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A Trampo\A IQS\Planilhas\"/>
    </mc:Choice>
  </mc:AlternateContent>
  <xr:revisionPtr revIDLastSave="0" documentId="13_ncr:1_{0B32A292-106B-4230-A051-17BE3622CBDD}" xr6:coauthVersionLast="47" xr6:coauthVersionMax="47" xr10:uidLastSave="{00000000-0000-0000-0000-000000000000}"/>
  <bookViews>
    <workbookView xWindow="-120" yWindow="-120" windowWidth="20730" windowHeight="11160" tabRatio="693" activeTab="7" xr2:uid="{00000000-000D-0000-FFFF-FFFF00000000}"/>
  </bookViews>
  <sheets>
    <sheet name="Dashboard" sheetId="12" r:id="rId1"/>
    <sheet name="MPQT - WPQT" sheetId="6" r:id="rId2"/>
    <sheet name="24 X 1.268 OFF" sheetId="7" r:id="rId3"/>
    <sheet name="PO5021701" sheetId="1" r:id="rId4"/>
    <sheet name="Pivot" sheetId="3" r:id="rId5"/>
    <sheet name="Chart" sheetId="9" r:id="rId6"/>
    <sheet name="Repair" sheetId="5" r:id="rId7"/>
    <sheet name="Rejection" sheetId="4" r:id="rId8"/>
  </sheets>
  <definedNames>
    <definedName name="_xlnm._FilterDatabase" localSheetId="2" hidden="1">'24 X 1.268 OFF'!$C$1:$C$617</definedName>
    <definedName name="_xlnm._FilterDatabase" localSheetId="6" hidden="1">Repair!$B$4:$H$4</definedName>
    <definedName name="_xlchart.v1.0" hidden="1">Dashboard!$C$4:$C$27</definedName>
    <definedName name="_xlchart.v1.1" hidden="1">Dashboard!$E$3</definedName>
    <definedName name="_xlchart.v1.2" hidden="1">Dashboard!$E$4:$E$27</definedName>
    <definedName name="_xlchart.v1.3" hidden="1">Dashboard!$F$3</definedName>
    <definedName name="_xlchart.v1.4" hidden="1">Dashboard!$F$4:$F$27</definedName>
    <definedName name="_xlnm.Print_Area" localSheetId="5">Chart!$A$1:$P$27</definedName>
    <definedName name="_xlnm.Print_Area" localSheetId="0">Dashboard!$B$1:$I$34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E4" i="12"/>
  <c r="G4" i="12" s="1"/>
  <c r="E5" i="12"/>
  <c r="H5" i="12" s="1"/>
  <c r="E6" i="12"/>
  <c r="H6" i="12" s="1"/>
  <c r="E7" i="12"/>
  <c r="G7" i="12" s="1"/>
  <c r="E8" i="12"/>
  <c r="H8" i="12" s="1"/>
  <c r="E9" i="12"/>
  <c r="H9" i="12" s="1"/>
  <c r="E10" i="12"/>
  <c r="H10" i="12" s="1"/>
  <c r="E11" i="12"/>
  <c r="E12" i="12"/>
  <c r="H12" i="12" s="1"/>
  <c r="E13" i="12"/>
  <c r="E14" i="12"/>
  <c r="H14" i="12" s="1"/>
  <c r="E15" i="12"/>
  <c r="E16" i="12"/>
  <c r="F16" i="12" s="1"/>
  <c r="E17" i="12"/>
  <c r="E18" i="12"/>
  <c r="H18" i="12" s="1"/>
  <c r="E19" i="12"/>
  <c r="H19" i="12" s="1"/>
  <c r="E20" i="12"/>
  <c r="H20" i="12" s="1"/>
  <c r="E21" i="12"/>
  <c r="G21" i="12" s="1"/>
  <c r="E22" i="12"/>
  <c r="H22" i="12" s="1"/>
  <c r="E23" i="12"/>
  <c r="H23" i="12" s="1"/>
  <c r="E24" i="12"/>
  <c r="H24" i="12" s="1"/>
  <c r="E25" i="12"/>
  <c r="H25" i="12" s="1"/>
  <c r="E26" i="12"/>
  <c r="H26" i="12" s="1"/>
  <c r="E27" i="12"/>
  <c r="H27" i="12" s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I1" i="1"/>
  <c r="G6" i="12" l="1"/>
  <c r="F6" i="12"/>
  <c r="H7" i="12"/>
  <c r="H4" i="12"/>
  <c r="F8" i="12"/>
  <c r="G8" i="12"/>
  <c r="C2" i="12"/>
  <c r="F9" i="12"/>
  <c r="G9" i="12"/>
  <c r="F10" i="12"/>
  <c r="G10" i="12"/>
  <c r="F12" i="12"/>
  <c r="G12" i="12"/>
  <c r="F14" i="12"/>
  <c r="G16" i="12"/>
  <c r="H16" i="12"/>
  <c r="F18" i="12"/>
  <c r="F7" i="12"/>
  <c r="G14" i="12"/>
  <c r="F5" i="12"/>
  <c r="G5" i="12"/>
  <c r="F31" i="12"/>
  <c r="F32" i="12"/>
  <c r="G18" i="12"/>
  <c r="H21" i="12"/>
  <c r="F22" i="12"/>
  <c r="G22" i="12"/>
  <c r="F26" i="12"/>
  <c r="G26" i="12"/>
  <c r="F27" i="12"/>
  <c r="F11" i="12"/>
  <c r="G27" i="12"/>
  <c r="F4" i="12"/>
  <c r="F23" i="12"/>
  <c r="G23" i="12"/>
  <c r="F24" i="12"/>
  <c r="G24" i="12"/>
  <c r="F25" i="12"/>
  <c r="G25" i="12"/>
  <c r="F19" i="12"/>
  <c r="G19" i="12"/>
  <c r="F20" i="12"/>
  <c r="G20" i="12"/>
  <c r="F21" i="12"/>
  <c r="F33" i="12" l="1"/>
</calcChain>
</file>

<file path=xl/sharedStrings.xml><?xml version="1.0" encoding="utf-8"?>
<sst xmlns="http://schemas.openxmlformats.org/spreadsheetml/2006/main" count="16665" uniqueCount="2363">
  <si>
    <t>Seq. N°</t>
  </si>
  <si>
    <t>Tenaris Batch</t>
  </si>
  <si>
    <t>Pipe Dimensional</t>
  </si>
  <si>
    <t>Pipe Std</t>
  </si>
  <si>
    <t>Pipe Number</t>
  </si>
  <si>
    <t>Heat Number</t>
  </si>
  <si>
    <t>Plate Number</t>
  </si>
  <si>
    <t>Pipe length</t>
  </si>
  <si>
    <t>Total Pipes</t>
  </si>
  <si>
    <t>Plate Entrance</t>
  </si>
  <si>
    <t>Pipe Forming</t>
  </si>
  <si>
    <t>Tack Welding</t>
  </si>
  <si>
    <t>ID SAWL</t>
  </si>
  <si>
    <t>OD SAWL</t>
  </si>
  <si>
    <t>AUT1 in House</t>
  </si>
  <si>
    <t>Repair</t>
  </si>
  <si>
    <t>MCE 1</t>
  </si>
  <si>
    <t>MCE 2</t>
  </si>
  <si>
    <t>Straighness Re-work</t>
  </si>
  <si>
    <t>Hydrostatic Test</t>
  </si>
  <si>
    <t>Phase Array</t>
  </si>
  <si>
    <t>MUT</t>
  </si>
  <si>
    <t>Pipe End UT</t>
  </si>
  <si>
    <t>X-Ray</t>
  </si>
  <si>
    <t>OoR Pipe Body</t>
  </si>
  <si>
    <t>Dimensional 1</t>
  </si>
  <si>
    <t>Dimensional 2</t>
  </si>
  <si>
    <t>MPI</t>
  </si>
  <si>
    <t>UT DHC</t>
  </si>
  <si>
    <t>Final Marking and Weighing</t>
  </si>
  <si>
    <t>5021701</t>
  </si>
  <si>
    <t>609.600mm / 32.200mm</t>
  </si>
  <si>
    <t>DNV-ST-F101-2021 x 450 SFDU</t>
  </si>
  <si>
    <t>26.4.002086</t>
  </si>
  <si>
    <t>800229.V</t>
  </si>
  <si>
    <t>112430/2.V</t>
  </si>
  <si>
    <t>12350</t>
  </si>
  <si>
    <t>1</t>
  </si>
  <si>
    <t>2</t>
  </si>
  <si>
    <t>26.4.002211</t>
  </si>
  <si>
    <t>800222.V</t>
  </si>
  <si>
    <t>112447/1.V</t>
  </si>
  <si>
    <t>12450</t>
  </si>
  <si>
    <t>3</t>
  </si>
  <si>
    <t>26.4.002085</t>
  </si>
  <si>
    <t>112426/2.V</t>
  </si>
  <si>
    <t>12380</t>
  </si>
  <si>
    <t>4</t>
  </si>
  <si>
    <t>26.4.002089</t>
  </si>
  <si>
    <t>112427/1.V</t>
  </si>
  <si>
    <t>12470</t>
  </si>
  <si>
    <t>5</t>
  </si>
  <si>
    <t>26.4.002090</t>
  </si>
  <si>
    <t>112432/1.V</t>
  </si>
  <si>
    <t>12360</t>
  </si>
  <si>
    <t>6</t>
  </si>
  <si>
    <t>26.4.002147</t>
  </si>
  <si>
    <t>800233.V</t>
  </si>
  <si>
    <t>112487/2.V</t>
  </si>
  <si>
    <t>12460</t>
  </si>
  <si>
    <t>7</t>
  </si>
  <si>
    <t>26.4.002092</t>
  </si>
  <si>
    <t>112424/1.V</t>
  </si>
  <si>
    <t>8</t>
  </si>
  <si>
    <t>26.4.002088</t>
  </si>
  <si>
    <t>112426/1.V</t>
  </si>
  <si>
    <t>12430</t>
  </si>
  <si>
    <t>9</t>
  </si>
  <si>
    <t>26.4.002094</t>
  </si>
  <si>
    <t>112430/1.V</t>
  </si>
  <si>
    <t>10</t>
  </si>
  <si>
    <t>26.4.002095</t>
  </si>
  <si>
    <t>974058.V</t>
  </si>
  <si>
    <t>112411/1.V</t>
  </si>
  <si>
    <t>11</t>
  </si>
  <si>
    <t>26.4.002096</t>
  </si>
  <si>
    <t>112412/2.V</t>
  </si>
  <si>
    <t>12</t>
  </si>
  <si>
    <t>26.4.002097</t>
  </si>
  <si>
    <t>800223.V</t>
  </si>
  <si>
    <t>112460/1.V</t>
  </si>
  <si>
    <t>12370</t>
  </si>
  <si>
    <t>13</t>
  </si>
  <si>
    <t>26.4.002098</t>
  </si>
  <si>
    <t>112459/2.V</t>
  </si>
  <si>
    <t>14</t>
  </si>
  <si>
    <t>26.4.002115</t>
  </si>
  <si>
    <t>112488/2.V</t>
  </si>
  <si>
    <t>15</t>
  </si>
  <si>
    <t>26.4.002100</t>
  </si>
  <si>
    <t>112460/2.V</t>
  </si>
  <si>
    <t>16</t>
  </si>
  <si>
    <t>26.4.002101</t>
  </si>
  <si>
    <t>112412/1.V</t>
  </si>
  <si>
    <t>17</t>
  </si>
  <si>
    <t>26.4.002102</t>
  </si>
  <si>
    <t>112411/2.V</t>
  </si>
  <si>
    <t>18</t>
  </si>
  <si>
    <t>26.4.002103</t>
  </si>
  <si>
    <t>112427/2.V</t>
  </si>
  <si>
    <t>12440</t>
  </si>
  <si>
    <t>19</t>
  </si>
  <si>
    <t>26.4.002093</t>
  </si>
  <si>
    <t>112425/2.V</t>
  </si>
  <si>
    <t>20</t>
  </si>
  <si>
    <t>26.4.002105</t>
  </si>
  <si>
    <t>112425/1.V</t>
  </si>
  <si>
    <t>12340</t>
  </si>
  <si>
    <t>21</t>
  </si>
  <si>
    <t>26.4.002106</t>
  </si>
  <si>
    <t>112422/2.V</t>
  </si>
  <si>
    <t>12320</t>
  </si>
  <si>
    <t>22</t>
  </si>
  <si>
    <t>26.4.002107</t>
  </si>
  <si>
    <t>112423/2.V</t>
  </si>
  <si>
    <t>23</t>
  </si>
  <si>
    <t>26.4.002108</t>
  </si>
  <si>
    <t>112424/2.V</t>
  </si>
  <si>
    <t>12330</t>
  </si>
  <si>
    <t>24</t>
  </si>
  <si>
    <t>26.4.002109</t>
  </si>
  <si>
    <t>112428/2.V</t>
  </si>
  <si>
    <t>25</t>
  </si>
  <si>
    <t>26.4.002110</t>
  </si>
  <si>
    <t>112423/1.V</t>
  </si>
  <si>
    <t>12300</t>
  </si>
  <si>
    <t>26</t>
  </si>
  <si>
    <t>26.4.002111</t>
  </si>
  <si>
    <t>112431/1.V</t>
  </si>
  <si>
    <t>27</t>
  </si>
  <si>
    <t>26.4.002112</t>
  </si>
  <si>
    <t>112428/1.V</t>
  </si>
  <si>
    <t>28</t>
  </si>
  <si>
    <t>26.4.002113</t>
  </si>
  <si>
    <t>112429/2.V</t>
  </si>
  <si>
    <t>29</t>
  </si>
  <si>
    <t>26.4.002114</t>
  </si>
  <si>
    <t>112487/1.V</t>
  </si>
  <si>
    <t>30</t>
  </si>
  <si>
    <t>26.4.002099</t>
  </si>
  <si>
    <t>112459/1.V</t>
  </si>
  <si>
    <t>31</t>
  </si>
  <si>
    <t>26.4.002116</t>
  </si>
  <si>
    <t>112485/2.V</t>
  </si>
  <si>
    <t>12020</t>
  </si>
  <si>
    <t>32</t>
  </si>
  <si>
    <t>26.4.002117</t>
  </si>
  <si>
    <t>112490/1.V</t>
  </si>
  <si>
    <t>33</t>
  </si>
  <si>
    <t>26.4.002118</t>
  </si>
  <si>
    <t>800232.V</t>
  </si>
  <si>
    <t>112444/2.V</t>
  </si>
  <si>
    <t>34</t>
  </si>
  <si>
    <t>26.4.002119</t>
  </si>
  <si>
    <t>112483/1.V</t>
  </si>
  <si>
    <t>35</t>
  </si>
  <si>
    <t>26.4.002120</t>
  </si>
  <si>
    <t>112437/2.V</t>
  </si>
  <si>
    <t>36</t>
  </si>
  <si>
    <t>26.4.002121</t>
  </si>
  <si>
    <t>112441/2.V</t>
  </si>
  <si>
    <t>37</t>
  </si>
  <si>
    <t>26.4.002122</t>
  </si>
  <si>
    <t>112434/2.V</t>
  </si>
  <si>
    <t>38</t>
  </si>
  <si>
    <t>26.4.002123</t>
  </si>
  <si>
    <t>112437/1.V</t>
  </si>
  <si>
    <t>39</t>
  </si>
  <si>
    <t>26.4.002124</t>
  </si>
  <si>
    <t>112436/2.V</t>
  </si>
  <si>
    <t>40</t>
  </si>
  <si>
    <t>26.4.002125</t>
  </si>
  <si>
    <t>112442/1.V</t>
  </si>
  <si>
    <t>41</t>
  </si>
  <si>
    <t>26.4.002104</t>
  </si>
  <si>
    <t>112429/1.V</t>
  </si>
  <si>
    <t>42</t>
  </si>
  <si>
    <t>26.4.002127</t>
  </si>
  <si>
    <t>112436/1.V</t>
  </si>
  <si>
    <t>43</t>
  </si>
  <si>
    <t>26.4.002128</t>
  </si>
  <si>
    <t>112434/1.V</t>
  </si>
  <si>
    <t>44</t>
  </si>
  <si>
    <t>26.4.002129</t>
  </si>
  <si>
    <t>112433/2.V</t>
  </si>
  <si>
    <t>45</t>
  </si>
  <si>
    <t>26.4.002130</t>
  </si>
  <si>
    <t>112444/1.V</t>
  </si>
  <si>
    <t>46</t>
  </si>
  <si>
    <t>26.4.002131</t>
  </si>
  <si>
    <t>112438/1.V</t>
  </si>
  <si>
    <t>47</t>
  </si>
  <si>
    <t>26.4.002132</t>
  </si>
  <si>
    <t>112440/2.V</t>
  </si>
  <si>
    <t>48</t>
  </si>
  <si>
    <t>26.4.002133</t>
  </si>
  <si>
    <t>112441/1.V</t>
  </si>
  <si>
    <t>49</t>
  </si>
  <si>
    <t>26.4.002134</t>
  </si>
  <si>
    <t>112443/2.V</t>
  </si>
  <si>
    <t>50</t>
  </si>
  <si>
    <t>26.4.002135</t>
  </si>
  <si>
    <t>112445/2.V</t>
  </si>
  <si>
    <t>51</t>
  </si>
  <si>
    <t>26.4.002136</t>
  </si>
  <si>
    <t>112435/1.V</t>
  </si>
  <si>
    <t>52</t>
  </si>
  <si>
    <t>26.4.002137</t>
  </si>
  <si>
    <t>112445/1.V</t>
  </si>
  <si>
    <t>53</t>
  </si>
  <si>
    <t>26.4.002138</t>
  </si>
  <si>
    <t>112440/1.V</t>
  </si>
  <si>
    <t>54</t>
  </si>
  <si>
    <t>26.4.002139</t>
  </si>
  <si>
    <t>112435/2.V</t>
  </si>
  <si>
    <t>55</t>
  </si>
  <si>
    <t>26.4.002140</t>
  </si>
  <si>
    <t>112439/2.V</t>
  </si>
  <si>
    <t>56</t>
  </si>
  <si>
    <t>26.4.002141</t>
  </si>
  <si>
    <t>112438/2.V</t>
  </si>
  <si>
    <t>57</t>
  </si>
  <si>
    <t>26.4.002142</t>
  </si>
  <si>
    <t>112443/1.V</t>
  </si>
  <si>
    <t>58</t>
  </si>
  <si>
    <t>26.4.002143</t>
  </si>
  <si>
    <t>112442/2.V</t>
  </si>
  <si>
    <t>59</t>
  </si>
  <si>
    <t>26.4.002144</t>
  </si>
  <si>
    <t>112484/2.V</t>
  </si>
  <si>
    <t>60</t>
  </si>
  <si>
    <t>26.4.002145</t>
  </si>
  <si>
    <t>112486/1.V</t>
  </si>
  <si>
    <t>61</t>
  </si>
  <si>
    <t>26.4.002146</t>
  </si>
  <si>
    <t>112484/1.V</t>
  </si>
  <si>
    <t>62</t>
  </si>
  <si>
    <t>26.4.002091</t>
  </si>
  <si>
    <t>112431/2.V</t>
  </si>
  <si>
    <t>63</t>
  </si>
  <si>
    <t>26.4.002148</t>
  </si>
  <si>
    <t>112490/2.V</t>
  </si>
  <si>
    <t>64</t>
  </si>
  <si>
    <t>26.4.002149</t>
  </si>
  <si>
    <t>112483/2.V</t>
  </si>
  <si>
    <t>65</t>
  </si>
  <si>
    <t>26.4.002150</t>
  </si>
  <si>
    <t>112489/1.V</t>
  </si>
  <si>
    <t>66</t>
  </si>
  <si>
    <t>26.4.002151</t>
  </si>
  <si>
    <t>112485/1.V</t>
  </si>
  <si>
    <t>67</t>
  </si>
  <si>
    <t>26.4.002152</t>
  </si>
  <si>
    <t>112489/2.V</t>
  </si>
  <si>
    <t>68</t>
  </si>
  <si>
    <t>26.4.002153</t>
  </si>
  <si>
    <t>112486/2.V</t>
  </si>
  <si>
    <t>69</t>
  </si>
  <si>
    <t>26.4.002154</t>
  </si>
  <si>
    <t>780325.V</t>
  </si>
  <si>
    <t>112403/1.V</t>
  </si>
  <si>
    <t>70</t>
  </si>
  <si>
    <t>26.4.002155</t>
  </si>
  <si>
    <t>112405/2.V</t>
  </si>
  <si>
    <t>71</t>
  </si>
  <si>
    <t>26.4.002156</t>
  </si>
  <si>
    <t>112409/2.V</t>
  </si>
  <si>
    <t>12040</t>
  </si>
  <si>
    <t>72</t>
  </si>
  <si>
    <t>26.4.002157</t>
  </si>
  <si>
    <t>112406/2.V</t>
  </si>
  <si>
    <t>12480</t>
  </si>
  <si>
    <t>73</t>
  </si>
  <si>
    <t>26.4.002158</t>
  </si>
  <si>
    <t>112407/2.V</t>
  </si>
  <si>
    <t>74</t>
  </si>
  <si>
    <t>26.4.002159</t>
  </si>
  <si>
    <t>112405/1.V</t>
  </si>
  <si>
    <t>75</t>
  </si>
  <si>
    <t>26.4.002160</t>
  </si>
  <si>
    <t>112397/2.V</t>
  </si>
  <si>
    <t>76</t>
  </si>
  <si>
    <t>26.4.002161</t>
  </si>
  <si>
    <t>112404/2.V</t>
  </si>
  <si>
    <t>77</t>
  </si>
  <si>
    <t>26.4.002162</t>
  </si>
  <si>
    <t>112488/1.V</t>
  </si>
  <si>
    <t>78</t>
  </si>
  <si>
    <t>26.4.002163</t>
  </si>
  <si>
    <t>112404/1.V</t>
  </si>
  <si>
    <t>79</t>
  </si>
  <si>
    <t>26.4.002164</t>
  </si>
  <si>
    <t>112408/1.V</t>
  </si>
  <si>
    <t>80</t>
  </si>
  <si>
    <t>26.4.002165</t>
  </si>
  <si>
    <t>112408/2.V</t>
  </si>
  <si>
    <t>81</t>
  </si>
  <si>
    <t>26.4.002166</t>
  </si>
  <si>
    <t>112400/2.V</t>
  </si>
  <si>
    <t>82</t>
  </si>
  <si>
    <t>26.4.002167</t>
  </si>
  <si>
    <t>112399/2.V</t>
  </si>
  <si>
    <t>83</t>
  </si>
  <si>
    <t>26.4.002168</t>
  </si>
  <si>
    <t>112401/2.V</t>
  </si>
  <si>
    <t>84</t>
  </si>
  <si>
    <t>26.4.002126</t>
  </si>
  <si>
    <t>112439/1.V</t>
  </si>
  <si>
    <t>85</t>
  </si>
  <si>
    <t>26.4.002170</t>
  </si>
  <si>
    <t>112403/2.V</t>
  </si>
  <si>
    <t>86</t>
  </si>
  <si>
    <t>26.4.002171</t>
  </si>
  <si>
    <t>112401/1.V</t>
  </si>
  <si>
    <t>12070</t>
  </si>
  <si>
    <t>87</t>
  </si>
  <si>
    <t>26.4.002172</t>
  </si>
  <si>
    <t>112402/2.V</t>
  </si>
  <si>
    <t>88</t>
  </si>
  <si>
    <t>26.4.002173</t>
  </si>
  <si>
    <t>112399/1.V</t>
  </si>
  <si>
    <t>89</t>
  </si>
  <si>
    <t>26.4.002174</t>
  </si>
  <si>
    <t>974062.V</t>
  </si>
  <si>
    <t>112482/1.V</t>
  </si>
  <si>
    <t>90</t>
  </si>
  <si>
    <t>26.4.002175</t>
  </si>
  <si>
    <t>112470/2.V</t>
  </si>
  <si>
    <t>91</t>
  </si>
  <si>
    <t>26.4.002176</t>
  </si>
  <si>
    <t>112478/1.V</t>
  </si>
  <si>
    <t>92</t>
  </si>
  <si>
    <t>26.4.002177</t>
  </si>
  <si>
    <t>112481/2.V</t>
  </si>
  <si>
    <t>93</t>
  </si>
  <si>
    <t>26.4.002178</t>
  </si>
  <si>
    <t>112461/2.V</t>
  </si>
  <si>
    <t>94</t>
  </si>
  <si>
    <t>26.4.002179</t>
  </si>
  <si>
    <t>112461/1.V</t>
  </si>
  <si>
    <t>95</t>
  </si>
  <si>
    <t>26.4.002180</t>
  </si>
  <si>
    <t>112463/2.V</t>
  </si>
  <si>
    <t>96</t>
  </si>
  <si>
    <t>26.4.002181</t>
  </si>
  <si>
    <t>112464/2.V</t>
  </si>
  <si>
    <t>97</t>
  </si>
  <si>
    <t>26.4.002182</t>
  </si>
  <si>
    <t>112462/2.V</t>
  </si>
  <si>
    <t>98</t>
  </si>
  <si>
    <t>26.4.002183</t>
  </si>
  <si>
    <t>112458/2.V</t>
  </si>
  <si>
    <t>99</t>
  </si>
  <si>
    <t>26.4.002184</t>
  </si>
  <si>
    <t>112464/1.V</t>
  </si>
  <si>
    <t>100</t>
  </si>
  <si>
    <t>26.4.002185</t>
  </si>
  <si>
    <t>112463/1.V</t>
  </si>
  <si>
    <t>101</t>
  </si>
  <si>
    <t>26.4.002186</t>
  </si>
  <si>
    <t>112454/2.V</t>
  </si>
  <si>
    <t>102</t>
  </si>
  <si>
    <t>26.4.002187</t>
  </si>
  <si>
    <t>112458/1.V</t>
  </si>
  <si>
    <t>103</t>
  </si>
  <si>
    <t>26.4.002188</t>
  </si>
  <si>
    <t>112455/2.V</t>
  </si>
  <si>
    <t>104</t>
  </si>
  <si>
    <t>26.4.002189</t>
  </si>
  <si>
    <t>112456/1.V</t>
  </si>
  <si>
    <t>105</t>
  </si>
  <si>
    <t>26.4.002190</t>
  </si>
  <si>
    <t>112454/1.V</t>
  </si>
  <si>
    <t>106</t>
  </si>
  <si>
    <t>26.4.002191</t>
  </si>
  <si>
    <t>112462/1.V</t>
  </si>
  <si>
    <t>107</t>
  </si>
  <si>
    <t>26.4.002192</t>
  </si>
  <si>
    <t>112455/1.V</t>
  </si>
  <si>
    <t>108</t>
  </si>
  <si>
    <t>26.4.002193</t>
  </si>
  <si>
    <t>112457/2.V</t>
  </si>
  <si>
    <t>109</t>
  </si>
  <si>
    <t>26.4.002194</t>
  </si>
  <si>
    <t>112397/1.V</t>
  </si>
  <si>
    <t>110</t>
  </si>
  <si>
    <t>26.4.002195</t>
  </si>
  <si>
    <t>112457/1.V</t>
  </si>
  <si>
    <t>111</t>
  </si>
  <si>
    <t>26.4.002196</t>
  </si>
  <si>
    <t>112402/1.V</t>
  </si>
  <si>
    <t>112</t>
  </si>
  <si>
    <t>26.4.002197</t>
  </si>
  <si>
    <t>112400/1.V</t>
  </si>
  <si>
    <t>113</t>
  </si>
  <si>
    <t>26.4.002198</t>
  </si>
  <si>
    <t>112398/1.V</t>
  </si>
  <si>
    <t>114</t>
  </si>
  <si>
    <t>26.4.002199</t>
  </si>
  <si>
    <t>112398/2.V</t>
  </si>
  <si>
    <t>115</t>
  </si>
  <si>
    <t>26.4.002200</t>
  </si>
  <si>
    <t>112410/2.V</t>
  </si>
  <si>
    <t>116</t>
  </si>
  <si>
    <t>26.4.002201</t>
  </si>
  <si>
    <t>112409/1.V</t>
  </si>
  <si>
    <t>117</t>
  </si>
  <si>
    <t>26.4.002202</t>
  </si>
  <si>
    <t>112407/1.V</t>
  </si>
  <si>
    <t>118</t>
  </si>
  <si>
    <t>26.4.002203</t>
  </si>
  <si>
    <t>112410/1.V</t>
  </si>
  <si>
    <t>119</t>
  </si>
  <si>
    <t>26.4.002204</t>
  </si>
  <si>
    <t>112448/1.V</t>
  </si>
  <si>
    <t>120</t>
  </si>
  <si>
    <t>26.4.002205</t>
  </si>
  <si>
    <t>112449/1.V</t>
  </si>
  <si>
    <t>121</t>
  </si>
  <si>
    <t>26.4.002206</t>
  </si>
  <si>
    <t>112448/2.V</t>
  </si>
  <si>
    <t>122</t>
  </si>
  <si>
    <t>26.4.002207</t>
  </si>
  <si>
    <t>112452/1.V</t>
  </si>
  <si>
    <t>123</t>
  </si>
  <si>
    <t>26.4.002208</t>
  </si>
  <si>
    <t>112447/2.V</t>
  </si>
  <si>
    <t>124</t>
  </si>
  <si>
    <t>26.4.002209</t>
  </si>
  <si>
    <t>112446/1.V</t>
  </si>
  <si>
    <t>125</t>
  </si>
  <si>
    <t>26.4.002210</t>
  </si>
  <si>
    <t>112446/2.V</t>
  </si>
  <si>
    <t>126</t>
  </si>
  <si>
    <t>26.4.002087</t>
  </si>
  <si>
    <t>112432/2.V</t>
  </si>
  <si>
    <t>127</t>
  </si>
  <si>
    <t>26.4.002212</t>
  </si>
  <si>
    <t>112471/2.V</t>
  </si>
  <si>
    <t>128</t>
  </si>
  <si>
    <t>26.4.002213</t>
  </si>
  <si>
    <t>112475/2.V</t>
  </si>
  <si>
    <t>129</t>
  </si>
  <si>
    <t>26.4.002214</t>
  </si>
  <si>
    <t>112473/1.V</t>
  </si>
  <si>
    <t>130</t>
  </si>
  <si>
    <t>26.4.002215</t>
  </si>
  <si>
    <t>112477/1.V</t>
  </si>
  <si>
    <t>131</t>
  </si>
  <si>
    <t>26.4.002216</t>
  </si>
  <si>
    <t>112476/1.V</t>
  </si>
  <si>
    <t>132</t>
  </si>
  <si>
    <t>26.4.002217</t>
  </si>
  <si>
    <t>112476/2.V</t>
  </si>
  <si>
    <t>133</t>
  </si>
  <si>
    <t>26.4.002218</t>
  </si>
  <si>
    <t>112474/2.V</t>
  </si>
  <si>
    <t>134</t>
  </si>
  <si>
    <t>26.4.002219</t>
  </si>
  <si>
    <t>112474/1.V</t>
  </si>
  <si>
    <t>135</t>
  </si>
  <si>
    <t>26.4.002220</t>
  </si>
  <si>
    <t>112470/1.V</t>
  </si>
  <si>
    <t>136</t>
  </si>
  <si>
    <t>26.4.002221</t>
  </si>
  <si>
    <t>112471/1.V</t>
  </si>
  <si>
    <t>137</t>
  </si>
  <si>
    <t>26.4.002222</t>
  </si>
  <si>
    <t>112480/2.V</t>
  </si>
  <si>
    <t>138</t>
  </si>
  <si>
    <t>26.4.002223</t>
  </si>
  <si>
    <t>112472/2.V</t>
  </si>
  <si>
    <t>139</t>
  </si>
  <si>
    <t>26.4.002224</t>
  </si>
  <si>
    <t>112473/2.V</t>
  </si>
  <si>
    <t>140</t>
  </si>
  <si>
    <t>26.4.002225</t>
  </si>
  <si>
    <t>112478/2.V</t>
  </si>
  <si>
    <t>141</t>
  </si>
  <si>
    <t>26.4.002226</t>
  </si>
  <si>
    <t>112469/2.V</t>
  </si>
  <si>
    <t>142</t>
  </si>
  <si>
    <t>26.4.002227</t>
  </si>
  <si>
    <t>112482/2.V</t>
  </si>
  <si>
    <t>143</t>
  </si>
  <si>
    <t>26.4.002228</t>
  </si>
  <si>
    <t>112479/1.V</t>
  </si>
  <si>
    <t>144</t>
  </si>
  <si>
    <t>26.4.002229</t>
  </si>
  <si>
    <t>112469/1.V</t>
  </si>
  <si>
    <t>145</t>
  </si>
  <si>
    <t>26.4.002230</t>
  </si>
  <si>
    <t>112475/1.V</t>
  </si>
  <si>
    <t>146</t>
  </si>
  <si>
    <t>26.4.002231</t>
  </si>
  <si>
    <t>112479/2.V</t>
  </si>
  <si>
    <t>147</t>
  </si>
  <si>
    <t>26.4.002232</t>
  </si>
  <si>
    <t>112477/2.V</t>
  </si>
  <si>
    <t>148</t>
  </si>
  <si>
    <t>26.4.002233</t>
  </si>
  <si>
    <t>112472/1.V</t>
  </si>
  <si>
    <t>149</t>
  </si>
  <si>
    <t>26.4.002234</t>
  </si>
  <si>
    <t>112450/1.V</t>
  </si>
  <si>
    <t>150</t>
  </si>
  <si>
    <t>26.4.002235</t>
  </si>
  <si>
    <t>112451/1.V</t>
  </si>
  <si>
    <t>151</t>
  </si>
  <si>
    <t>26.4.002236</t>
  </si>
  <si>
    <t>112417/1.V</t>
  </si>
  <si>
    <t>152</t>
  </si>
  <si>
    <t>26.4.002237</t>
  </si>
  <si>
    <t>112413/2.V</t>
  </si>
  <si>
    <t>153</t>
  </si>
  <si>
    <t>26.4.002238</t>
  </si>
  <si>
    <t>112416/1.V</t>
  </si>
  <si>
    <t>154</t>
  </si>
  <si>
    <t>26.4.002239</t>
  </si>
  <si>
    <t>112416/2.V</t>
  </si>
  <si>
    <t>155</t>
  </si>
  <si>
    <t>26.4.002240</t>
  </si>
  <si>
    <t>113145/2.V</t>
  </si>
  <si>
    <t>156</t>
  </si>
  <si>
    <t>26.4.002241</t>
  </si>
  <si>
    <t>112415/2.V</t>
  </si>
  <si>
    <t>157</t>
  </si>
  <si>
    <t>26.4.002242</t>
  </si>
  <si>
    <t>112418/1.V</t>
  </si>
  <si>
    <t>158</t>
  </si>
  <si>
    <t>26.4.002243</t>
  </si>
  <si>
    <t>113145/1.V</t>
  </si>
  <si>
    <t>159</t>
  </si>
  <si>
    <t>26.4.002244</t>
  </si>
  <si>
    <t>112450/2.V</t>
  </si>
  <si>
    <t>160</t>
  </si>
  <si>
    <t>26.4.002245</t>
  </si>
  <si>
    <t>112452/2.V</t>
  </si>
  <si>
    <t>161</t>
  </si>
  <si>
    <t>26.4.002246</t>
  </si>
  <si>
    <t>112453/2.V</t>
  </si>
  <si>
    <t>162</t>
  </si>
  <si>
    <t>26.4.002247</t>
  </si>
  <si>
    <t>112451/2.V</t>
  </si>
  <si>
    <t>163</t>
  </si>
  <si>
    <t>26.4.002248</t>
  </si>
  <si>
    <t>112415/1.V</t>
  </si>
  <si>
    <t>164</t>
  </si>
  <si>
    <t>26.4.002249</t>
  </si>
  <si>
    <t>112449/2.V</t>
  </si>
  <si>
    <t>165</t>
  </si>
  <si>
    <t>26.4.002250</t>
  </si>
  <si>
    <t>112414/1.V</t>
  </si>
  <si>
    <t>166</t>
  </si>
  <si>
    <t>26.4.002251</t>
  </si>
  <si>
    <t>112417/2.V</t>
  </si>
  <si>
    <t>167</t>
  </si>
  <si>
    <t>26.4.002252</t>
  </si>
  <si>
    <t>112418/2.V</t>
  </si>
  <si>
    <t>168</t>
  </si>
  <si>
    <t>26.4.002253</t>
  </si>
  <si>
    <t>112414/2.V</t>
  </si>
  <si>
    <t>169</t>
  </si>
  <si>
    <t>26.4.002254</t>
  </si>
  <si>
    <t>112413/1.V</t>
  </si>
  <si>
    <t>170</t>
  </si>
  <si>
    <t>26.4.002169</t>
  </si>
  <si>
    <t>112406/1.V</t>
  </si>
  <si>
    <t>EC</t>
  </si>
  <si>
    <t>PU</t>
  </si>
  <si>
    <t>SEL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</si>
  <si>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</si>
  <si>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</si>
  <si>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</si>
  <si>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</si>
  <si>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</si>
  <si>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</si>
  <si>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</si>
  <si>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</si>
  <si>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</si>
  <si>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</si>
  <si>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</si>
  <si>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</si>
  <si>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IF2</t>
  </si>
  <si>
    <t>PM</t>
  </si>
  <si>
    <t>BA</t>
  </si>
  <si>
    <t>FL</t>
  </si>
  <si>
    <t>Totale complessivo</t>
  </si>
  <si>
    <t xml:space="preserve"> Pipe Forming</t>
  </si>
  <si>
    <t xml:space="preserve"> Tack Welding</t>
  </si>
  <si>
    <t xml:space="preserve"> OD SAWL</t>
  </si>
  <si>
    <t xml:space="preserve"> ID SAWL</t>
  </si>
  <si>
    <t>AUT1</t>
  </si>
  <si>
    <t xml:space="preserve"> Fluoroscopic</t>
  </si>
  <si>
    <t>Welding Repair</t>
  </si>
  <si>
    <t>MCE1</t>
  </si>
  <si>
    <t>MCE2</t>
  </si>
  <si>
    <t xml:space="preserve">Incoming Plate </t>
  </si>
  <si>
    <t xml:space="preserve">MCE Inspection </t>
  </si>
  <si>
    <t xml:space="preserve"> Straighness Re-work</t>
  </si>
  <si>
    <t>Hydro Test</t>
  </si>
  <si>
    <t xml:space="preserve"> AUT2 </t>
  </si>
  <si>
    <t>Phase Arr.</t>
  </si>
  <si>
    <t>MUT_</t>
  </si>
  <si>
    <t>End UT</t>
  </si>
  <si>
    <t xml:space="preserve"> X-Ray</t>
  </si>
  <si>
    <t xml:space="preserve">  OoR Pipe Body</t>
  </si>
  <si>
    <t xml:space="preserve"> Dimensional 1</t>
  </si>
  <si>
    <t xml:space="preserve">  Dimensional 2</t>
  </si>
  <si>
    <t xml:space="preserve"> MPI</t>
  </si>
  <si>
    <t xml:space="preserve"> UT DHC</t>
  </si>
  <si>
    <t xml:space="preserve"> Final Marking and Weighing</t>
  </si>
  <si>
    <t>24OD x 1.268WT</t>
  </si>
  <si>
    <t>REJECTION TABLE</t>
  </si>
  <si>
    <t>DATE</t>
  </si>
  <si>
    <t>Shift</t>
  </si>
  <si>
    <t>Pipe Nº</t>
  </si>
  <si>
    <t>Defect</t>
  </si>
  <si>
    <t>Remarks</t>
  </si>
  <si>
    <t>Burn Through</t>
  </si>
  <si>
    <t>MPQT Pipe (NCR-001)</t>
  </si>
  <si>
    <t>REPAIR TABLE</t>
  </si>
  <si>
    <t>Pipe Position (mm)</t>
  </si>
  <si>
    <t>Extension (mm)</t>
  </si>
  <si>
    <t>Weld heigh bead below the specified</t>
  </si>
  <si>
    <t xml:space="preserve">Overview MPQT / WPQT SAWL Line Pipe  - Lab Tests Control Table SAKARYA PROJECT </t>
  </si>
  <si>
    <t>OD X WT (in X in)</t>
  </si>
  <si>
    <t>WPS Nº</t>
  </si>
  <si>
    <t>Heat N°</t>
  </si>
  <si>
    <t>Chemical Compos. Analysis</t>
  </si>
  <si>
    <t xml:space="preserve"> Tensile Tests </t>
  </si>
  <si>
    <t>Transversal Compression Test</t>
  </si>
  <si>
    <t>BM CVN Impact Testing  -30°C</t>
  </si>
  <si>
    <t>Guided Bend Tests</t>
  </si>
  <si>
    <t xml:space="preserve">VicKers Hardness Tests </t>
  </si>
  <si>
    <t>Macrographic Test</t>
  </si>
  <si>
    <t>BM</t>
  </si>
  <si>
    <t>WM</t>
  </si>
  <si>
    <t>Longitudinal BM</t>
  </si>
  <si>
    <t>Transversal BM</t>
  </si>
  <si>
    <t>Transversal BM
(Coated)</t>
  </si>
  <si>
    <t>Transversal WM</t>
  </si>
  <si>
    <t>Transversal WM
(Coated)</t>
  </si>
  <si>
    <t>Inline Heat Treatment (Coated)</t>
  </si>
  <si>
    <t>Coated</t>
  </si>
  <si>
    <t>Side</t>
  </si>
  <si>
    <t>HAZ</t>
  </si>
  <si>
    <t>1/Pipe</t>
  </si>
  <si>
    <t>All</t>
  </si>
  <si>
    <t>24 x 1.268</t>
  </si>
  <si>
    <t xml:space="preserve">Repair Qualification </t>
  </si>
  <si>
    <t>24 x 1.268
(STOP/START)</t>
  </si>
  <si>
    <t xml:space="preserve">WPS-260 (SHALLOW) </t>
  </si>
  <si>
    <t>WPS-262 (DEEP)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</si>
  <si>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</si>
  <si>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</si>
  <si>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</si>
  <si>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</si>
  <si>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1/Heat</t>
  </si>
  <si>
    <t>36 x 0.406</t>
  </si>
  <si>
    <t>ITP Steps.</t>
  </si>
  <si>
    <t/>
  </si>
  <si>
    <t>PO 5021701</t>
  </si>
  <si>
    <t>PO 5021701 Totale</t>
  </si>
  <si>
    <t>26.4.002096 (AF)</t>
  </si>
  <si>
    <t>26.4.002097 (AF)</t>
  </si>
  <si>
    <t>26.4.002098 (AF)</t>
  </si>
  <si>
    <t>26.4.002240 (AF)</t>
  </si>
  <si>
    <t>26.4.002099 (AC)</t>
  </si>
  <si>
    <t>26.4.002100 (AC)</t>
  </si>
  <si>
    <t>26.4.002101 (AC)</t>
  </si>
  <si>
    <t>26.4.002243 (AC)</t>
  </si>
  <si>
    <t>Longitudinal 
BM
(Coated)</t>
  </si>
  <si>
    <t>Inline Heat Treatment</t>
  </si>
  <si>
    <t>AF</t>
  </si>
  <si>
    <t>WM
(Coated)</t>
  </si>
  <si>
    <t>CVN Impact Testing of the Weld Seam 
 @ -30°C</t>
  </si>
  <si>
    <t>Tenaris Labs Report</t>
  </si>
  <si>
    <t>CVN Impact Testing Transition Curve Base Metal @ +20°C to -120°C</t>
  </si>
  <si>
    <t>AF (Aged)</t>
  </si>
  <si>
    <t xml:space="preserve">Drop Weight Tear Testing (DWTT)  </t>
  </si>
  <si>
    <t>Transition Curve</t>
  </si>
  <si>
    <t>OD</t>
  </si>
  <si>
    <t>ID</t>
  </si>
  <si>
    <t>All Weld (Coated)</t>
  </si>
  <si>
    <t>Grain Size BM</t>
  </si>
  <si>
    <t>Interpenetration</t>
  </si>
  <si>
    <t>Flux Humidity (Karl Fischer)</t>
  </si>
  <si>
    <t>WPQT</t>
  </si>
  <si>
    <t>HIC</t>
  </si>
  <si>
    <t>SSC</t>
  </si>
  <si>
    <t>4/Heat 20
1/Heat</t>
  </si>
  <si>
    <t>1 / 5 Heats</t>
  </si>
  <si>
    <t>1/Shift</t>
  </si>
  <si>
    <t>1 /Heat (first five Heat, than 1 / 10)</t>
  </si>
  <si>
    <t>Tenaris Lote</t>
  </si>
  <si>
    <t>Pipe N°</t>
  </si>
  <si>
    <t>Plate N°</t>
  </si>
  <si>
    <t>Pipe length2</t>
  </si>
  <si>
    <t xml:space="preserve">WPS-3973 </t>
  </si>
  <si>
    <t>26.4. 2128 (INT)</t>
  </si>
  <si>
    <t>26.4.2128 (EXT)</t>
  </si>
  <si>
    <t>Totale</t>
  </si>
  <si>
    <t>ITP Step</t>
  </si>
  <si>
    <t>Section</t>
  </si>
  <si>
    <t>Count</t>
  </si>
  <si>
    <t>Yield vs Input</t>
  </si>
  <si>
    <t>Loss vs Input</t>
  </si>
  <si>
    <t>Cumul. Loss</t>
  </si>
  <si>
    <t>Incoming Plate</t>
  </si>
  <si>
    <t>Forming</t>
  </si>
  <si>
    <t>Welding &amp; NDT</t>
  </si>
  <si>
    <t>Fluoroscopic</t>
  </si>
  <si>
    <t>Mechanical</t>
  </si>
  <si>
    <t>—</t>
  </si>
  <si>
    <t>MCE Inspection</t>
  </si>
  <si>
    <t>Straightness Re-work</t>
  </si>
  <si>
    <t>Testing</t>
  </si>
  <si>
    <t>AUT2</t>
  </si>
  <si>
    <t>Dimensional &amp; Final</t>
  </si>
  <si>
    <t>Final Mark &amp; Weigh</t>
  </si>
  <si>
    <t>Seq. n°</t>
  </si>
  <si>
    <t>Total pipes Accepted</t>
  </si>
  <si>
    <t>Overall Status %</t>
  </si>
  <si>
    <t>SAKARYA PROJECT - INSPECTION &amp; TEST PLAN — PIPE PRODUCTION TRACKING</t>
  </si>
  <si>
    <t>SUMMARY</t>
  </si>
  <si>
    <t xml:space="preserve">Input </t>
  </si>
  <si>
    <t>Pore</t>
  </si>
  <si>
    <t>WT Below Spec</t>
  </si>
  <si>
    <t>2350x50mm</t>
  </si>
  <si>
    <t>8100x640mm</t>
  </si>
  <si>
    <t>IR-05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</si>
  <si>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</si>
  <si>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</si>
  <si>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</si>
  <si>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</si>
  <si>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</si>
  <si>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</si>
  <si>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</si>
  <si>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</si>
  <si>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</si>
  <si>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</si>
  <si>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</si>
  <si>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</si>
  <si>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Approved</t>
  </si>
  <si>
    <t>CTOD
(AF)</t>
  </si>
  <si>
    <t>CTOD
(AC)</t>
  </si>
  <si>
    <t>N/A</t>
  </si>
  <si>
    <t>ID and OD 
All Weld</t>
  </si>
  <si>
    <t>WPQT Pipes</t>
  </si>
  <si>
    <t>IR-06</t>
  </si>
  <si>
    <t>Without Inline Heat Treatment</t>
  </si>
  <si>
    <t>IR-07</t>
  </si>
  <si>
    <t>AC</t>
  </si>
  <si>
    <t>Ring Splitting Test</t>
  </si>
  <si>
    <t>*RT05/Rm Longitudinal BM Tensile at Border Line
*CVN ID Fusino Line Rejected with single results 26J.
*ReTest performed as per NCR-003 and approved for both Test</t>
  </si>
  <si>
    <t>*RT05/Rm Longitudinal BM Tensile at Rejected
*CVN ID Fusino Line Rejected with single results 29J
*ReTest performed as per NCR-003 and approved for both Test</t>
  </si>
  <si>
    <t>*RT05/Rm Longitudinal BM Tensile at Rejected
*ReTest performed as per NCR-003 and approved</t>
  </si>
  <si>
    <t>IR-08</t>
  </si>
  <si>
    <t>26.4.2114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</si>
  <si>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</si>
  <si>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</si>
  <si>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</si>
  <si>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</si>
  <si>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</si>
  <si>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</si>
  <si>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</si>
  <si>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</si>
  <si>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</si>
  <si>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26.4.2095</t>
  </si>
  <si>
    <t>3LPP Tenaris Internal Trials</t>
  </si>
  <si>
    <t>Heated over 3 times</t>
  </si>
  <si>
    <t>IR-05 &amp; IR-08</t>
  </si>
  <si>
    <t>IR-09</t>
  </si>
  <si>
    <t>IR-10</t>
  </si>
  <si>
    <t>IR-11</t>
  </si>
  <si>
    <t>IR-13</t>
  </si>
  <si>
    <t>IR-14</t>
  </si>
  <si>
    <t>CVN Failure at OD  FL+2mm (NCR-004) - Re-test performed and approved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</si>
  <si>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</si>
  <si>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</si>
  <si>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26.4.2089</t>
  </si>
  <si>
    <t>26.4.2205</t>
  </si>
  <si>
    <t>26.4.2207</t>
  </si>
  <si>
    <t>26.4.2252</t>
  </si>
  <si>
    <t>5021601</t>
  </si>
  <si>
    <t>26.4.900028</t>
  </si>
  <si>
    <t>26.4.900029</t>
  </si>
  <si>
    <t>26.4.2156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</si>
  <si>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</si>
  <si>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Sample Removal</t>
  </si>
  <si>
    <t>IR-11 / IR-15</t>
  </si>
  <si>
    <t>26.4.2117</t>
  </si>
  <si>
    <t xml:space="preserve">CVN Rejection </t>
  </si>
  <si>
    <t>(NCR-004)</t>
  </si>
  <si>
    <t>CVN Failure at Intersectio ID  and OD FL (NCR-004) - Re-test performed Rejected on the same pipe (26.4.2117). Retest Performed and approved in two addtional Pipes from the same Test unit and approved (26.4.2147 and 2152)</t>
  </si>
  <si>
    <t>Transversal WM (DNV)</t>
  </si>
  <si>
    <t>IR-17</t>
  </si>
  <si>
    <t>26.4.2094</t>
  </si>
  <si>
    <t>26.4.2250</t>
  </si>
  <si>
    <t>IR-11 
IR-15
IR-17</t>
  </si>
  <si>
    <t>26.4.7733</t>
  </si>
  <si>
    <t>OD 24 x 1.268
(rWPS)</t>
  </si>
  <si>
    <t xml:space="preserve">26.4. 2128 </t>
  </si>
  <si>
    <t>ID 24 x 1.268
(rWPS)</t>
  </si>
  <si>
    <t>26.4. 2205</t>
  </si>
  <si>
    <t>IR-18</t>
  </si>
  <si>
    <t>NA</t>
  </si>
  <si>
    <t>26.4.007775</t>
  </si>
  <si>
    <t>801208.V</t>
  </si>
  <si>
    <t>122020/1A.V</t>
  </si>
  <si>
    <t>26.4.007768</t>
  </si>
  <si>
    <t>122030/2.V</t>
  </si>
  <si>
    <t>26.4.007750</t>
  </si>
  <si>
    <t>122030/1A.V</t>
  </si>
  <si>
    <t>26.4.007976</t>
  </si>
  <si>
    <t>780993.V</t>
  </si>
  <si>
    <t>118565/2.V</t>
  </si>
  <si>
    <t>26.4.007784</t>
  </si>
  <si>
    <t>781297.V</t>
  </si>
  <si>
    <t>121345/1A.V</t>
  </si>
  <si>
    <t>26.4.007880</t>
  </si>
  <si>
    <t>800957.V</t>
  </si>
  <si>
    <t>119869/1A.V</t>
  </si>
  <si>
    <t>26.4.007729</t>
  </si>
  <si>
    <t>781283.V</t>
  </si>
  <si>
    <t>121411/1.V</t>
  </si>
  <si>
    <t>26.4.007730</t>
  </si>
  <si>
    <t>121418/1.V</t>
  </si>
  <si>
    <t>26.4.007731</t>
  </si>
  <si>
    <t>121419/1.V</t>
  </si>
  <si>
    <t>26.4.007732</t>
  </si>
  <si>
    <t>121409/2.V</t>
  </si>
  <si>
    <t>26.4.007734</t>
  </si>
  <si>
    <t>121420/2.V</t>
  </si>
  <si>
    <t>26.4.007735</t>
  </si>
  <si>
    <t>121415/2.V</t>
  </si>
  <si>
    <t>26.4.007737</t>
  </si>
  <si>
    <t>121416/1.V</t>
  </si>
  <si>
    <t>26.4.007738</t>
  </si>
  <si>
    <t>121415/1.V</t>
  </si>
  <si>
    <t>26.4.007739</t>
  </si>
  <si>
    <t>122028/2.V</t>
  </si>
  <si>
    <t>26.4.007740</t>
  </si>
  <si>
    <t>122028/1A.V</t>
  </si>
  <si>
    <t>26.4.007741</t>
  </si>
  <si>
    <t>122018/2.V</t>
  </si>
  <si>
    <t>26.4.007742</t>
  </si>
  <si>
    <t>122025/1A.V</t>
  </si>
  <si>
    <t>26.4.007743</t>
  </si>
  <si>
    <t>122021/1A.V</t>
  </si>
  <si>
    <t>26.4.007744</t>
  </si>
  <si>
    <t>122025/2.V</t>
  </si>
  <si>
    <t>26.4.007745</t>
  </si>
  <si>
    <t>122022/1A.V</t>
  </si>
  <si>
    <t>26.4.007746</t>
  </si>
  <si>
    <t>121407/1.V</t>
  </si>
  <si>
    <t>26.4.007747</t>
  </si>
  <si>
    <t>121407/2.V</t>
  </si>
  <si>
    <t>26.4.007748</t>
  </si>
  <si>
    <t>121418/2.V</t>
  </si>
  <si>
    <t>26.4.007749</t>
  </si>
  <si>
    <t>122027/2.V</t>
  </si>
  <si>
    <t>26.4.007944</t>
  </si>
  <si>
    <t>801198.V</t>
  </si>
  <si>
    <t>121320/2.V</t>
  </si>
  <si>
    <t>26.4.007751</t>
  </si>
  <si>
    <t>122031/1A.V</t>
  </si>
  <si>
    <t>26.4.007752</t>
  </si>
  <si>
    <t>122023/2.V</t>
  </si>
  <si>
    <t>26.4.007753</t>
  </si>
  <si>
    <t>122023/1A.V</t>
  </si>
  <si>
    <t>26.4.007754</t>
  </si>
  <si>
    <t>122022/2.V</t>
  </si>
  <si>
    <t>26.4.007755</t>
  </si>
  <si>
    <t>122019/1A.V</t>
  </si>
  <si>
    <t>26.4.007756</t>
  </si>
  <si>
    <t>121412/2.V</t>
  </si>
  <si>
    <t>26.4.007757</t>
  </si>
  <si>
    <t>122018/1A.V</t>
  </si>
  <si>
    <t>26.4.007758</t>
  </si>
  <si>
    <t>122021/2.V</t>
  </si>
  <si>
    <t>26.4.007759</t>
  </si>
  <si>
    <t>121408/2.V</t>
  </si>
  <si>
    <t>26.4.007760</t>
  </si>
  <si>
    <t>121419/2.V</t>
  </si>
  <si>
    <t>26.4.007761</t>
  </si>
  <si>
    <t>121414/2.V</t>
  </si>
  <si>
    <t>26.4.007762</t>
  </si>
  <si>
    <t>121410/1.V</t>
  </si>
  <si>
    <t>26.4.007763</t>
  </si>
  <si>
    <t>121411/2.V</t>
  </si>
  <si>
    <t>26.4.007765</t>
  </si>
  <si>
    <t>121413/1.V</t>
  </si>
  <si>
    <t>26.4.007767</t>
  </si>
  <si>
    <t>121409/1.V</t>
  </si>
  <si>
    <t>26.4.007977</t>
  </si>
  <si>
    <t>118565/1.V</t>
  </si>
  <si>
    <t>26.4.007769</t>
  </si>
  <si>
    <t>121414/1.V</t>
  </si>
  <si>
    <t>26.4.007770</t>
  </si>
  <si>
    <t>121408/1.V</t>
  </si>
  <si>
    <t>26.4.007771</t>
  </si>
  <si>
    <t>122029/1A.V</t>
  </si>
  <si>
    <t>26.4.007772</t>
  </si>
  <si>
    <t>122029/2.V</t>
  </si>
  <si>
    <t>26.4.007776</t>
  </si>
  <si>
    <t>122020/2.V</t>
  </si>
  <si>
    <t>26.4.007777</t>
  </si>
  <si>
    <t>122031/2.V</t>
  </si>
  <si>
    <t>26.4.007778</t>
  </si>
  <si>
    <t>122019/2.V</t>
  </si>
  <si>
    <t>26.4.007779</t>
  </si>
  <si>
    <t>122024/2.V</t>
  </si>
  <si>
    <t>26.4.007780</t>
  </si>
  <si>
    <t>122024/1A.V</t>
  </si>
  <si>
    <t>26.4.007781</t>
  </si>
  <si>
    <t>121333/2.V</t>
  </si>
  <si>
    <t>26.4.007782</t>
  </si>
  <si>
    <t>121339/2.V</t>
  </si>
  <si>
    <t>26.4.007783</t>
  </si>
  <si>
    <t>121334/2.V</t>
  </si>
  <si>
    <t>26.4.007819</t>
  </si>
  <si>
    <t>121342/1A.V</t>
  </si>
  <si>
    <t>26.4.007785</t>
  </si>
  <si>
    <t>121337/2.V</t>
  </si>
  <si>
    <t>26.4.007786</t>
  </si>
  <si>
    <t>121333/1A.V</t>
  </si>
  <si>
    <t>26.4.007787</t>
  </si>
  <si>
    <t>121338/1A.V</t>
  </si>
  <si>
    <t>26.4.007788</t>
  </si>
  <si>
    <t>121344/1A.V</t>
  </si>
  <si>
    <t>26.4.007789</t>
  </si>
  <si>
    <t>121336/2.V</t>
  </si>
  <si>
    <t>26.4.007790</t>
  </si>
  <si>
    <t>121344/2.V</t>
  </si>
  <si>
    <t>26.4.007791</t>
  </si>
  <si>
    <t>974992.V</t>
  </si>
  <si>
    <t>122002/2.V</t>
  </si>
  <si>
    <t>26.4.007792</t>
  </si>
  <si>
    <t>122006/1A.V</t>
  </si>
  <si>
    <t>26.4.007793</t>
  </si>
  <si>
    <t>122004/1A.V</t>
  </si>
  <si>
    <t>26.4.007794</t>
  </si>
  <si>
    <t>122003/1A.V</t>
  </si>
  <si>
    <t>26.4.007795</t>
  </si>
  <si>
    <t>121342/2.V</t>
  </si>
  <si>
    <t>26.4.007796</t>
  </si>
  <si>
    <t>122003/2.V</t>
  </si>
  <si>
    <t>26.4.007797</t>
  </si>
  <si>
    <t>121345/2.V</t>
  </si>
  <si>
    <t>26.4.007798</t>
  </si>
  <si>
    <t>121341/1.V</t>
  </si>
  <si>
    <t>26.4.007799</t>
  </si>
  <si>
    <t>121338/2.V</t>
  </si>
  <si>
    <t>26.4.007800</t>
  </si>
  <si>
    <t>121340/2.V</t>
  </si>
  <si>
    <t>26.4.007801</t>
  </si>
  <si>
    <t>121339/1A.V</t>
  </si>
  <si>
    <t>26.4.007802</t>
  </si>
  <si>
    <t>121346/2.V</t>
  </si>
  <si>
    <t>26.4.007803</t>
  </si>
  <si>
    <t>121340/1A.V</t>
  </si>
  <si>
    <t>26.4.007804</t>
  </si>
  <si>
    <t>122005/1A.V</t>
  </si>
  <si>
    <t>26.4.007805</t>
  </si>
  <si>
    <t>122005/2.V</t>
  </si>
  <si>
    <t>26.4.007806</t>
  </si>
  <si>
    <t>121999/2.V</t>
  </si>
  <si>
    <t>26.4.007807</t>
  </si>
  <si>
    <t>122000/2.V</t>
  </si>
  <si>
    <t>26.4.007808</t>
  </si>
  <si>
    <t>122001/2.V</t>
  </si>
  <si>
    <t>26.4.007809</t>
  </si>
  <si>
    <t>122004/2.V</t>
  </si>
  <si>
    <t>26.4.007810</t>
  </si>
  <si>
    <t>122006/2.V</t>
  </si>
  <si>
    <t>26.4.007811</t>
  </si>
  <si>
    <t>122002/1A.V</t>
  </si>
  <si>
    <t>26.4.007812</t>
  </si>
  <si>
    <t>122000/1A.V</t>
  </si>
  <si>
    <t>26.4.007813</t>
  </si>
  <si>
    <t>121999/1A.V</t>
  </si>
  <si>
    <t>26.4.007814</t>
  </si>
  <si>
    <t>122001/1A.V</t>
  </si>
  <si>
    <t>26.4.007815</t>
  </si>
  <si>
    <t>121335/2.V</t>
  </si>
  <si>
    <t>26.4.007818</t>
  </si>
  <si>
    <t>121337/1A.V</t>
  </si>
  <si>
    <t>26.4.007817</t>
  </si>
  <si>
    <t>121334/1A.V</t>
  </si>
  <si>
    <t>26.4.007816</t>
  </si>
  <si>
    <t>121335/1A.V</t>
  </si>
  <si>
    <t>26.4.007820</t>
  </si>
  <si>
    <t>121336/1A.V</t>
  </si>
  <si>
    <t>26.4.007821</t>
  </si>
  <si>
    <t>121346/1A.V</t>
  </si>
  <si>
    <t>26.4.007822</t>
  </si>
  <si>
    <t>975002.V</t>
  </si>
  <si>
    <t>121360/1A.V</t>
  </si>
  <si>
    <t>26.4.007823</t>
  </si>
  <si>
    <t>801219.V</t>
  </si>
  <si>
    <t>122060/1A.V</t>
  </si>
  <si>
    <t>26.4.007824</t>
  </si>
  <si>
    <t>122063/1A.V</t>
  </si>
  <si>
    <t>26.4.007825</t>
  </si>
  <si>
    <t>122066/2.V</t>
  </si>
  <si>
    <t>26.4.007826</t>
  </si>
  <si>
    <t>122066/1.V</t>
  </si>
  <si>
    <t>26.4.007827</t>
  </si>
  <si>
    <t>121354/2.V</t>
  </si>
  <si>
    <t>26.4.007828</t>
  </si>
  <si>
    <t>121350/2.V</t>
  </si>
  <si>
    <t>26.4.007829</t>
  </si>
  <si>
    <t>121350/1A.V</t>
  </si>
  <si>
    <t>26.4.007830</t>
  </si>
  <si>
    <t>121358/1A.V</t>
  </si>
  <si>
    <t>26.4.007831</t>
  </si>
  <si>
    <t>121358/2.V</t>
  </si>
  <si>
    <t>26.4.007832</t>
  </si>
  <si>
    <t>122071/2.V</t>
  </si>
  <si>
    <t>26.4.007833</t>
  </si>
  <si>
    <t>122069/1.V</t>
  </si>
  <si>
    <t>26.4.007834</t>
  </si>
  <si>
    <t>122073/1.V</t>
  </si>
  <si>
    <t>26.4.007835</t>
  </si>
  <si>
    <t>121347/2.V</t>
  </si>
  <si>
    <t>26.4.007836</t>
  </si>
  <si>
    <t>121356/1A.V</t>
  </si>
  <si>
    <t>26.4.007837</t>
  </si>
  <si>
    <t>121356/2.V</t>
  </si>
  <si>
    <t>26.4.007838</t>
  </si>
  <si>
    <t>121360/2.V</t>
  </si>
  <si>
    <t>26.4.007839</t>
  </si>
  <si>
    <t>121352/1A.V</t>
  </si>
  <si>
    <t>26.4.007840</t>
  </si>
  <si>
    <t>121355/2.V</t>
  </si>
  <si>
    <t>26.4.007841</t>
  </si>
  <si>
    <t>121357/1A.V</t>
  </si>
  <si>
    <t>26.4.007842</t>
  </si>
  <si>
    <t>121353/2.V</t>
  </si>
  <si>
    <t>26.4.007843</t>
  </si>
  <si>
    <t>121351/2.V</t>
  </si>
  <si>
    <t>26.4.007844</t>
  </si>
  <si>
    <t>121351/1A.V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</si>
  <si>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</si>
  <si>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</si>
  <si>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</si>
  <si>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</si>
  <si>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</si>
  <si>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</si>
  <si>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</si>
  <si>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</si>
  <si>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</si>
  <si>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</si>
  <si>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</si>
  <si>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</si>
  <si>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</si>
  <si>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</si>
  <si>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26.4.007852</t>
  </si>
  <si>
    <t>122061/2.V</t>
  </si>
  <si>
    <t>26.4.007853</t>
  </si>
  <si>
    <t>122062/2.V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</si>
  <si>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</si>
  <si>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</si>
  <si>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</si>
  <si>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</si>
  <si>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</si>
  <si>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</si>
  <si>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</si>
  <si>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</si>
  <si>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26.4.007860</t>
  </si>
  <si>
    <t>121353/1A.V</t>
  </si>
  <si>
    <t>26.4.007861</t>
  </si>
  <si>
    <t>121348/1A.V</t>
  </si>
  <si>
    <t>26.4.007862</t>
  </si>
  <si>
    <t>121355/1A.V</t>
  </si>
  <si>
    <t>26.4.007863</t>
  </si>
  <si>
    <t>121352/2.V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</si>
  <si>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</si>
  <si>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</si>
  <si>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</si>
  <si>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</si>
  <si>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</si>
  <si>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</si>
  <si>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</si>
  <si>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</si>
  <si>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</si>
  <si>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</si>
  <si>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</si>
  <si>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</si>
  <si>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26.4.007870</t>
  </si>
  <si>
    <t>122060/2.V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</si>
  <si>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</si>
  <si>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</si>
  <si>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</si>
  <si>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</si>
  <si>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</si>
  <si>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</si>
  <si>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</si>
  <si>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</si>
  <si>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</si>
  <si>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</si>
  <si>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</si>
  <si>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</si>
  <si>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</si>
  <si>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</si>
  <si>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26.4.007878</t>
  </si>
  <si>
    <t>800943.V</t>
  </si>
  <si>
    <t>119469/2.V</t>
  </si>
  <si>
    <t>26.4.007879</t>
  </si>
  <si>
    <t>119476/2.V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</si>
  <si>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</si>
  <si>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</si>
  <si>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</si>
  <si>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</si>
  <si>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</si>
  <si>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</si>
  <si>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</si>
  <si>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</si>
  <si>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</si>
  <si>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</si>
  <si>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26.4.007886</t>
  </si>
  <si>
    <t>119867/1A.V</t>
  </si>
  <si>
    <t>26.4.007887</t>
  </si>
  <si>
    <t>119862/1A.V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</si>
  <si>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</si>
  <si>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</si>
  <si>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</si>
  <si>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</si>
  <si>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</si>
  <si>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</si>
  <si>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</si>
  <si>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</si>
  <si>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</si>
  <si>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</si>
  <si>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</si>
  <si>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</si>
  <si>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</si>
  <si>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</si>
  <si>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26.4.007895</t>
  </si>
  <si>
    <t>119471/1.V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</si>
  <si>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</si>
  <si>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</si>
  <si>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</si>
  <si>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</si>
  <si>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</si>
  <si>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</si>
  <si>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</si>
  <si>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</si>
  <si>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</si>
  <si>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</si>
  <si>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</si>
  <si>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</si>
  <si>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</si>
  <si>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</si>
  <si>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26.4.007903</t>
  </si>
  <si>
    <t>119870/1A.V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</si>
  <si>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</si>
  <si>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</si>
  <si>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</si>
  <si>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</si>
  <si>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</si>
  <si>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</si>
  <si>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</si>
  <si>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</si>
  <si>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</si>
  <si>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</si>
  <si>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</si>
  <si>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</si>
  <si>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</si>
  <si>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</si>
  <si>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26.4.007911</t>
  </si>
  <si>
    <t>119875/2.V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</si>
  <si>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</si>
  <si>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</si>
  <si>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</si>
  <si>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</si>
  <si>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</si>
  <si>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</si>
  <si>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</si>
  <si>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</si>
  <si>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</si>
  <si>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</si>
  <si>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</si>
  <si>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</si>
  <si>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</si>
  <si>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</si>
  <si>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26.4.007919</t>
  </si>
  <si>
    <t>119864/1A.V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</si>
  <si>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</si>
  <si>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</si>
  <si>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</si>
  <si>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</si>
  <si>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</si>
  <si>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</si>
  <si>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</si>
  <si>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</si>
  <si>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</si>
  <si>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</si>
  <si>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</si>
  <si>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</si>
  <si>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</si>
  <si>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</si>
  <si>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26.4.007927</t>
  </si>
  <si>
    <t>119472/1.V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</si>
  <si>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</si>
  <si>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</si>
  <si>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</si>
  <si>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</si>
  <si>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</si>
  <si>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</si>
  <si>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</si>
  <si>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</si>
  <si>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</si>
  <si>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</si>
  <si>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</si>
  <si>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</si>
  <si>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</si>
  <si>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</si>
  <si>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26.4.007935</t>
  </si>
  <si>
    <t>121332/2.V</t>
  </si>
  <si>
    <t>26.4.007936</t>
  </si>
  <si>
    <t>121327/1A.V</t>
  </si>
  <si>
    <t>26.4.007937</t>
  </si>
  <si>
    <t>121322/1A.V</t>
  </si>
  <si>
    <t>26.4.007938</t>
  </si>
  <si>
    <t>121328/1A.V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</si>
  <si>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</si>
  <si>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</si>
  <si>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</si>
  <si>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</si>
  <si>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</si>
  <si>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</si>
  <si>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</si>
  <si>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</si>
  <si>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26.4.007943</t>
  </si>
  <si>
    <t>121331/1A.V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</si>
  <si>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</si>
  <si>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</si>
  <si>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</si>
  <si>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</si>
  <si>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</si>
  <si>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</si>
  <si>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</si>
  <si>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</si>
  <si>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</si>
  <si>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</si>
  <si>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</si>
  <si>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</si>
  <si>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26.4.007951</t>
  </si>
  <si>
    <t>121330/2.V</t>
  </si>
  <si>
    <t>26.4.007952</t>
  </si>
  <si>
    <t>121330/1A.V</t>
  </si>
  <si>
    <t>26.4.007953</t>
  </si>
  <si>
    <t>118572/1.V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</si>
  <si>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</si>
  <si>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</si>
  <si>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</si>
  <si>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</si>
  <si>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</si>
  <si>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</si>
  <si>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</si>
  <si>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</si>
  <si>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</si>
  <si>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</si>
  <si>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</si>
  <si>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</si>
  <si>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26.4.007960</t>
  </si>
  <si>
    <t>121325/2.V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</si>
  <si>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</si>
  <si>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</si>
  <si>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</si>
  <si>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</si>
  <si>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</si>
  <si>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</si>
  <si>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</si>
  <si>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</si>
  <si>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</si>
  <si>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</si>
  <si>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</si>
  <si>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</si>
  <si>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</si>
  <si>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</si>
  <si>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26.4.007968</t>
  </si>
  <si>
    <t>118569/1.V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</si>
  <si>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</si>
  <si>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</si>
  <si>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</si>
  <si>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</si>
  <si>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</si>
  <si>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</si>
  <si>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</si>
  <si>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</si>
  <si>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</si>
  <si>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</si>
  <si>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</si>
  <si>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</si>
  <si>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</si>
  <si>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</si>
  <si>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</si>
  <si>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</si>
  <si>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</si>
  <si>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</si>
  <si>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</si>
  <si>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</si>
  <si>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</si>
  <si>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</si>
  <si>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</si>
  <si>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</si>
  <si>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</si>
  <si>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</si>
  <si>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</si>
  <si>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</si>
  <si>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26.4.007985</t>
  </si>
  <si>
    <t>118561/1.V</t>
  </si>
  <si>
    <t>26.4.007986</t>
  </si>
  <si>
    <t>118574/2.V</t>
  </si>
  <si>
    <t>26.4.007774</t>
  </si>
  <si>
    <t>121410/2.V</t>
  </si>
  <si>
    <t>Fluoroscopic/TOFD In House</t>
  </si>
  <si>
    <t>26.4.7838</t>
  </si>
  <si>
    <t>Weld Leak</t>
  </si>
  <si>
    <t>26.4.7866</t>
  </si>
  <si>
    <t>Weld Fail</t>
  </si>
  <si>
    <t>26.4.7701</t>
  </si>
  <si>
    <t>Slag Inclusion</t>
  </si>
  <si>
    <t>26.4.7840</t>
  </si>
  <si>
    <t>3360/5850</t>
  </si>
  <si>
    <t>150/100</t>
  </si>
  <si>
    <t>26.4.7859</t>
  </si>
  <si>
    <t>26.4.7888</t>
  </si>
  <si>
    <t>26.4.7841</t>
  </si>
  <si>
    <t>26.4.7986</t>
  </si>
  <si>
    <t>26.4.7955</t>
  </si>
  <si>
    <t>26.4.8007</t>
  </si>
  <si>
    <t>26.4.7736</t>
  </si>
  <si>
    <t>Underfill</t>
  </si>
  <si>
    <t>Wall TKS Below the Spec.</t>
  </si>
  <si>
    <t>26.4.8071</t>
  </si>
  <si>
    <t>26.4.8113</t>
  </si>
  <si>
    <t>(NCR-009)</t>
  </si>
  <si>
    <t>Tack Weld Parameter</t>
  </si>
  <si>
    <t>26.4.8118</t>
  </si>
  <si>
    <t>26.4.8117</t>
  </si>
  <si>
    <t>26.4.8219</t>
  </si>
  <si>
    <t xml:space="preserve">Slag Inclusion </t>
  </si>
  <si>
    <t xml:space="preserve">Underfill </t>
  </si>
  <si>
    <t xml:space="preserve">Stop/Start </t>
  </si>
  <si>
    <t>24.6.8204</t>
  </si>
  <si>
    <t>26.4.7952</t>
  </si>
  <si>
    <t>MCE Mark</t>
  </si>
  <si>
    <t>26.4.7773</t>
  </si>
  <si>
    <t>24.6.8231</t>
  </si>
  <si>
    <t>IR-19</t>
  </si>
  <si>
    <t>FL OD</t>
  </si>
  <si>
    <t>FL ID</t>
  </si>
  <si>
    <t>FL Root</t>
  </si>
  <si>
    <t>FL + 2 OD</t>
  </si>
  <si>
    <t>FL + 2 ID</t>
  </si>
  <si>
    <t>FL + 2 Root</t>
  </si>
  <si>
    <t>WM OD</t>
  </si>
  <si>
    <t>WD ID</t>
  </si>
  <si>
    <t>WM Root</t>
  </si>
  <si>
    <t>PDES</t>
  </si>
  <si>
    <t>26.4.008021</t>
  </si>
  <si>
    <t>780995.V</t>
  </si>
  <si>
    <t>118305/2.V</t>
  </si>
  <si>
    <t>26.4.008022</t>
  </si>
  <si>
    <t>118312/1.V</t>
  </si>
  <si>
    <t>26.4.008019</t>
  </si>
  <si>
    <t>118310/2.V</t>
  </si>
  <si>
    <t>26.4.008204</t>
  </si>
  <si>
    <t>801174.V</t>
  </si>
  <si>
    <t>120822/2.V</t>
  </si>
  <si>
    <t>26.4.008080</t>
  </si>
  <si>
    <t>780991.V</t>
  </si>
  <si>
    <t>118557/1.V</t>
  </si>
  <si>
    <t>26.4.008140</t>
  </si>
  <si>
    <t>800958.V</t>
  </si>
  <si>
    <t>119486/2.V</t>
  </si>
  <si>
    <t>26.4.008205</t>
  </si>
  <si>
    <t>801169.V</t>
  </si>
  <si>
    <t>120797/1A.V</t>
  </si>
  <si>
    <t>26.4.008334</t>
  </si>
  <si>
    <t>781068.V</t>
  </si>
  <si>
    <t>119546/2.V</t>
  </si>
  <si>
    <t>26.4.007987</t>
  </si>
  <si>
    <t>118301/2.V</t>
  </si>
  <si>
    <t>26.4.007988</t>
  </si>
  <si>
    <t>118309/2.V</t>
  </si>
  <si>
    <t>26.4.007989</t>
  </si>
  <si>
    <t>118309/1.V</t>
  </si>
  <si>
    <t>26.4.007990</t>
  </si>
  <si>
    <t>780992.V</t>
  </si>
  <si>
    <t>118290/2.V</t>
  </si>
  <si>
    <t>26.4.007991</t>
  </si>
  <si>
    <t>118307/1.V</t>
  </si>
  <si>
    <t>26.4.007992</t>
  </si>
  <si>
    <t>118295/1.V</t>
  </si>
  <si>
    <t>26.4.007993</t>
  </si>
  <si>
    <t>118292/2.V</t>
  </si>
  <si>
    <t>26.4.007994</t>
  </si>
  <si>
    <t>118291/1.V</t>
  </si>
  <si>
    <t>26.4.007995</t>
  </si>
  <si>
    <t>118294/1.V</t>
  </si>
  <si>
    <t>26.4.007996</t>
  </si>
  <si>
    <t>118294/2.V</t>
  </si>
  <si>
    <t>26.4.007997</t>
  </si>
  <si>
    <t>118298/1.V</t>
  </si>
  <si>
    <t>26.4.007998</t>
  </si>
  <si>
    <t>118288/1.V</t>
  </si>
  <si>
    <t>26.4.007999</t>
  </si>
  <si>
    <t>118308/1.V</t>
  </si>
  <si>
    <t>26.4.008000</t>
  </si>
  <si>
    <t>118288/2.V</t>
  </si>
  <si>
    <t>26.4.008001</t>
  </si>
  <si>
    <t>118313/2.V</t>
  </si>
  <si>
    <t>26.4.008002</t>
  </si>
  <si>
    <t>118311/2.V</t>
  </si>
  <si>
    <t>26.4.008003</t>
  </si>
  <si>
    <t>118304/1.V</t>
  </si>
  <si>
    <t>26.4.008004</t>
  </si>
  <si>
    <t>118308/2.V</t>
  </si>
  <si>
    <t>26.4.008005</t>
  </si>
  <si>
    <t>118302/2.V</t>
  </si>
  <si>
    <t>26.4.008006</t>
  </si>
  <si>
    <t>118313/1.V</t>
  </si>
  <si>
    <t>26.4.008007</t>
  </si>
  <si>
    <t>118287/2.V</t>
  </si>
  <si>
    <t>26.4.008008</t>
  </si>
  <si>
    <t>118301/1.V</t>
  </si>
  <si>
    <t>26.4.008009</t>
  </si>
  <si>
    <t>118297/1.V</t>
  </si>
  <si>
    <t>26.4.008010</t>
  </si>
  <si>
    <t>118290/1.V</t>
  </si>
  <si>
    <t>26.4.008011</t>
  </si>
  <si>
    <t>118287/1.V</t>
  </si>
  <si>
    <t>26.4.008012</t>
  </si>
  <si>
    <t>118291/2.V</t>
  </si>
  <si>
    <t>26.4.008013</t>
  </si>
  <si>
    <t>118289/2.V</t>
  </si>
  <si>
    <t>26.4.008014</t>
  </si>
  <si>
    <t>118292/1.V</t>
  </si>
  <si>
    <t>26.4.008015</t>
  </si>
  <si>
    <t>118293/2.V</t>
  </si>
  <si>
    <t>26.4.008016</t>
  </si>
  <si>
    <t>118295/2.V</t>
  </si>
  <si>
    <t>26.4.008017</t>
  </si>
  <si>
    <t>118299/2.V</t>
  </si>
  <si>
    <t>26.4.008018</t>
  </si>
  <si>
    <t>118293/1.V</t>
  </si>
  <si>
    <t>26.4.008079</t>
  </si>
  <si>
    <t>118551/2.V</t>
  </si>
  <si>
    <t>26.4.008023</t>
  </si>
  <si>
    <t>118298/2.V</t>
  </si>
  <si>
    <t>26.4.008024</t>
  </si>
  <si>
    <t>118306/1.V</t>
  </si>
  <si>
    <t>26.4.008025</t>
  </si>
  <si>
    <t>118296/1.V</t>
  </si>
  <si>
    <t>26.4.008026</t>
  </si>
  <si>
    <t>118296/2.V</t>
  </si>
  <si>
    <t>26.4.008027</t>
  </si>
  <si>
    <t>118303/2.V</t>
  </si>
  <si>
    <t>26.4.008028</t>
  </si>
  <si>
    <t>118300/1.V</t>
  </si>
  <si>
    <t>26.4.008029</t>
  </si>
  <si>
    <t>118307/2.V</t>
  </si>
  <si>
    <t>26.4.008030</t>
  </si>
  <si>
    <t>118303/1.V</t>
  </si>
  <si>
    <t>26.4.008031</t>
  </si>
  <si>
    <t>118310/1.V</t>
  </si>
  <si>
    <t>26.4.008032</t>
  </si>
  <si>
    <t>118314/1.V</t>
  </si>
  <si>
    <t>26.4.008033</t>
  </si>
  <si>
    <t>118304/2.V</t>
  </si>
  <si>
    <t>26.4.008034</t>
  </si>
  <si>
    <t>118312/2.V</t>
  </si>
  <si>
    <t>26.4.008035</t>
  </si>
  <si>
    <t>118314/2.V</t>
  </si>
  <si>
    <t>26.4.008036</t>
  </si>
  <si>
    <t>118311/1.V</t>
  </si>
  <si>
    <t>26.4.008037</t>
  </si>
  <si>
    <t>118305/1.V</t>
  </si>
  <si>
    <t>26.4.008038</t>
  </si>
  <si>
    <t>118302/1.V</t>
  </si>
  <si>
    <t>26.4.008039</t>
  </si>
  <si>
    <t>118299/1.V</t>
  </si>
  <si>
    <t>26.4.008040</t>
  </si>
  <si>
    <t>118300/2.V</t>
  </si>
  <si>
    <t>26.4.008041</t>
  </si>
  <si>
    <t>118289/1.V</t>
  </si>
  <si>
    <t>26.4.008042</t>
  </si>
  <si>
    <t>800965.V</t>
  </si>
  <si>
    <t>119506/1.V</t>
  </si>
  <si>
    <t>26.4.008043</t>
  </si>
  <si>
    <t>119508/1.V</t>
  </si>
  <si>
    <t>26.4.008044</t>
  </si>
  <si>
    <t>119503/2.V</t>
  </si>
  <si>
    <t>26.4.008045</t>
  </si>
  <si>
    <t>119512/2.V</t>
  </si>
  <si>
    <t>26.4.008046</t>
  </si>
  <si>
    <t>118554/2.V</t>
  </si>
  <si>
    <t>26.4.008047</t>
  </si>
  <si>
    <t>118550/1.V</t>
  </si>
  <si>
    <t>26.4.008048</t>
  </si>
  <si>
    <t>118559/2.V</t>
  </si>
  <si>
    <t>26.4.008049</t>
  </si>
  <si>
    <t>118560/2.V</t>
  </si>
  <si>
    <t>26.4.008050</t>
  </si>
  <si>
    <t>119504/1.V</t>
  </si>
  <si>
    <t>26.4.008051</t>
  </si>
  <si>
    <t>118554/1.V</t>
  </si>
  <si>
    <t>26.4.008052</t>
  </si>
  <si>
    <t>119505/2.V</t>
  </si>
  <si>
    <t>26.4.008053</t>
  </si>
  <si>
    <t>118556/2.V</t>
  </si>
  <si>
    <t>26.4.008054</t>
  </si>
  <si>
    <t>119509/1.V</t>
  </si>
  <si>
    <t>26.4.008055</t>
  </si>
  <si>
    <t>119509/2.V</t>
  </si>
  <si>
    <t>26.4.008056</t>
  </si>
  <si>
    <t>119514/1.V</t>
  </si>
  <si>
    <t>26.4.008057</t>
  </si>
  <si>
    <t>119510/1.V</t>
  </si>
  <si>
    <t>26.4.008058</t>
  </si>
  <si>
    <t>119516/2.V</t>
  </si>
  <si>
    <t>26.4.008059</t>
  </si>
  <si>
    <t>119514/2.V</t>
  </si>
  <si>
    <t>26.4.008060</t>
  </si>
  <si>
    <t>119508/2.V</t>
  </si>
  <si>
    <t>26.4.008061</t>
  </si>
  <si>
    <t>118555/1.V</t>
  </si>
  <si>
    <t>26.4.008062</t>
  </si>
  <si>
    <t>119510/2.V</t>
  </si>
  <si>
    <t>26.4.008063</t>
  </si>
  <si>
    <t>119507/2.V</t>
  </si>
  <si>
    <t>26.4.008064</t>
  </si>
  <si>
    <t>118556/1.V</t>
  </si>
  <si>
    <t>26.4.008065</t>
  </si>
  <si>
    <t>119504/2.V</t>
  </si>
  <si>
    <t>26.4.008066</t>
  </si>
  <si>
    <t>118555/2.V</t>
  </si>
  <si>
    <t>26.4.008067</t>
  </si>
  <si>
    <t>118553/1.V</t>
  </si>
  <si>
    <t>26.4.008068</t>
  </si>
  <si>
    <t>118553/2.V</t>
  </si>
  <si>
    <t>26.4.008069</t>
  </si>
  <si>
    <t>119505/1.V</t>
  </si>
  <si>
    <t>26.4.008070</t>
  </si>
  <si>
    <t>119516/1.V</t>
  </si>
  <si>
    <t>26.4.008071</t>
  </si>
  <si>
    <t>119513/2.V</t>
  </si>
  <si>
    <t>26.4.008072</t>
  </si>
  <si>
    <t>119513/1.V</t>
  </si>
  <si>
    <t>26.4.008073</t>
  </si>
  <si>
    <t>119512/1.V</t>
  </si>
  <si>
    <t>26.4.008074</t>
  </si>
  <si>
    <t>119511/2.V</t>
  </si>
  <si>
    <t>26.4.008078</t>
  </si>
  <si>
    <t>119515/1.V</t>
  </si>
  <si>
    <t>26.4.008077</t>
  </si>
  <si>
    <t>119507/1.V</t>
  </si>
  <si>
    <t>26.4.008076</t>
  </si>
  <si>
    <t>119511/1.V</t>
  </si>
  <si>
    <t>26.4.008081</t>
  </si>
  <si>
    <t>121348/2.V</t>
  </si>
  <si>
    <t>26.4.008082</t>
  </si>
  <si>
    <t>119503/1.V</t>
  </si>
  <si>
    <t>26.4.008083</t>
  </si>
  <si>
    <t>119515/2.V</t>
  </si>
  <si>
    <t>26.4.008084</t>
  </si>
  <si>
    <t>118551/1.V</t>
  </si>
  <si>
    <t>26.4.008085</t>
  </si>
  <si>
    <t>118552/2.V</t>
  </si>
  <si>
    <t>26.4.008086</t>
  </si>
  <si>
    <t>118558/2.V</t>
  </si>
  <si>
    <t>26.4.008087</t>
  </si>
  <si>
    <t>118552/1.V</t>
  </si>
  <si>
    <t>26.4.008088</t>
  </si>
  <si>
    <t>118560/1.V</t>
  </si>
  <si>
    <t>26.4.008089</t>
  </si>
  <si>
    <t>118558/1.V</t>
  </si>
  <si>
    <t>26.4.008090</t>
  </si>
  <si>
    <t>118557/2.V</t>
  </si>
  <si>
    <t>26.4.008091</t>
  </si>
  <si>
    <t>118559/1.V</t>
  </si>
  <si>
    <t>26.4.008092</t>
  </si>
  <si>
    <t>118550/2.V</t>
  </si>
  <si>
    <t>26.4.008093</t>
  </si>
  <si>
    <t>781083.V</t>
  </si>
  <si>
    <t>120867/2.V</t>
  </si>
  <si>
    <t>26.4.008094</t>
  </si>
  <si>
    <t>120865/2.V</t>
  </si>
  <si>
    <t>26.4.008095</t>
  </si>
  <si>
    <t>120869/2.V</t>
  </si>
  <si>
    <t>26.4.008096</t>
  </si>
  <si>
    <t>120869/1A.V</t>
  </si>
  <si>
    <t>26.4.008097</t>
  </si>
  <si>
    <t>120867/1A.V</t>
  </si>
  <si>
    <t>26.4.008098</t>
  </si>
  <si>
    <t>120868/1A.V</t>
  </si>
  <si>
    <t>26.4.008099</t>
  </si>
  <si>
    <t>800970.V</t>
  </si>
  <si>
    <t>119905/1A.V</t>
  </si>
  <si>
    <t>26.4.008100</t>
  </si>
  <si>
    <t>120868/2.V</t>
  </si>
  <si>
    <t>26.4.008101</t>
  </si>
  <si>
    <t>119907/1A.V</t>
  </si>
  <si>
    <t>26.4.008102</t>
  </si>
  <si>
    <t>119907/2.V</t>
  </si>
  <si>
    <t>26.4.008103</t>
  </si>
  <si>
    <t>120864/2.V</t>
  </si>
  <si>
    <t>26.4.008104</t>
  </si>
  <si>
    <t>120870/1.V</t>
  </si>
  <si>
    <t>26.4.008105</t>
  </si>
  <si>
    <t>119906/2.V</t>
  </si>
  <si>
    <t>26.4.008106</t>
  </si>
  <si>
    <t>119910/1A.V</t>
  </si>
  <si>
    <t>26.4.008107</t>
  </si>
  <si>
    <t>119910/2.V</t>
  </si>
  <si>
    <t>26.4.008108</t>
  </si>
  <si>
    <t>119911/2.V</t>
  </si>
  <si>
    <t>26.4.008109</t>
  </si>
  <si>
    <t>119908/2.V</t>
  </si>
  <si>
    <t>26.4.008110</t>
  </si>
  <si>
    <t>119905/2.V</t>
  </si>
  <si>
    <t>26.4.008111</t>
  </si>
  <si>
    <t>119904/1A.V</t>
  </si>
  <si>
    <t>26.4.008112</t>
  </si>
  <si>
    <t>119909/2.V</t>
  </si>
  <si>
    <t>26.4.008114</t>
  </si>
  <si>
    <t>119904/2.V</t>
  </si>
  <si>
    <t>26.4.008115</t>
  </si>
  <si>
    <t>120870/2.V</t>
  </si>
  <si>
    <t>26.4.008116</t>
  </si>
  <si>
    <t>120864/1A.V</t>
  </si>
  <si>
    <t>26.4.008117</t>
  </si>
  <si>
    <t>120865/1A.V</t>
  </si>
  <si>
    <t>26.4.008118</t>
  </si>
  <si>
    <t>120866/2.V</t>
  </si>
  <si>
    <t>26.4.008119</t>
  </si>
  <si>
    <t>120866/1A.V</t>
  </si>
  <si>
    <t>26.4.008120</t>
  </si>
  <si>
    <t>120871/1A.V</t>
  </si>
  <si>
    <t>26.4.008121</t>
  </si>
  <si>
    <t>119906/1A.V</t>
  </si>
  <si>
    <t>26.4.008122</t>
  </si>
  <si>
    <t>120871/2.V</t>
  </si>
  <si>
    <t>26.4.008123</t>
  </si>
  <si>
    <t>119908/1A.V</t>
  </si>
  <si>
    <t>26.4.008124</t>
  </si>
  <si>
    <t>119909/1A.V</t>
  </si>
  <si>
    <t>26.4.008125</t>
  </si>
  <si>
    <t>119482/1.V</t>
  </si>
  <si>
    <t>26.4.008126</t>
  </si>
  <si>
    <t>119485/1.V</t>
  </si>
  <si>
    <t>26.4.008127</t>
  </si>
  <si>
    <t>800959.V</t>
  </si>
  <si>
    <t>119878/2.V</t>
  </si>
  <si>
    <t>26.4.008128</t>
  </si>
  <si>
    <t>119481/1.V</t>
  </si>
  <si>
    <t>26.4.008129</t>
  </si>
  <si>
    <t>119479/2.V</t>
  </si>
  <si>
    <t>26.4.008130</t>
  </si>
  <si>
    <t>119479/1.V</t>
  </si>
  <si>
    <t>26.4.008131</t>
  </si>
  <si>
    <t>119489/1.V</t>
  </si>
  <si>
    <t>26.4.008132</t>
  </si>
  <si>
    <t>119488/1.V</t>
  </si>
  <si>
    <t>26.4.008133</t>
  </si>
  <si>
    <t>119880/1A.V</t>
  </si>
  <si>
    <t>26.4.008134</t>
  </si>
  <si>
    <t>119491/2.V</t>
  </si>
  <si>
    <t>26.4.008135</t>
  </si>
  <si>
    <t>119880/2.V</t>
  </si>
  <si>
    <t>26.4.008136</t>
  </si>
  <si>
    <t>119884/2.V</t>
  </si>
  <si>
    <t>26.4.008137</t>
  </si>
  <si>
    <t>119879/2.V</t>
  </si>
  <si>
    <t>26.4.008138</t>
  </si>
  <si>
    <t>119881/2.V</t>
  </si>
  <si>
    <t>26.4.008139</t>
  </si>
  <si>
    <t>119881/1A.V</t>
  </si>
  <si>
    <t>26.4.008075</t>
  </si>
  <si>
    <t>119506/2.V</t>
  </si>
  <si>
    <t>26.4.008141</t>
  </si>
  <si>
    <t>119484/2.V</t>
  </si>
  <si>
    <t>26.4.008142</t>
  </si>
  <si>
    <t>119484/1.V</t>
  </si>
  <si>
    <t>26.4.008143</t>
  </si>
  <si>
    <t>119483/2.V</t>
  </si>
  <si>
    <t>26.4.008144</t>
  </si>
  <si>
    <t>119486/1.V</t>
  </si>
  <si>
    <t>26.4.008145</t>
  </si>
  <si>
    <t>119489/2.V</t>
  </si>
  <si>
    <t>26.4.008146</t>
  </si>
  <si>
    <t>119482/2.V</t>
  </si>
  <si>
    <t>26.4.008147</t>
  </si>
  <si>
    <t>119886/2.V</t>
  </si>
  <si>
    <t>26.4.008148</t>
  </si>
  <si>
    <t>119888/1A.V</t>
  </si>
  <si>
    <t>26.4.008149</t>
  </si>
  <si>
    <t>119490/1.V</t>
  </si>
  <si>
    <t>26.4.008150</t>
  </si>
  <si>
    <t>119491/1.V</t>
  </si>
  <si>
    <t>26.4.008151</t>
  </si>
  <si>
    <t>119876/1A.V</t>
  </si>
  <si>
    <t>26.4.008152</t>
  </si>
  <si>
    <t>119876/2.V</t>
  </si>
  <si>
    <t>26.4.008153</t>
  </si>
  <si>
    <t>119490/2.V</t>
  </si>
  <si>
    <t>26.4.008154</t>
  </si>
  <si>
    <t>119885/2.V</t>
  </si>
  <si>
    <t>26.4.008155</t>
  </si>
  <si>
    <t>119878/1A.V</t>
  </si>
  <si>
    <t>26.4.008156</t>
  </si>
  <si>
    <t>119886/1A.V</t>
  </si>
  <si>
    <t>26.4.008157</t>
  </si>
  <si>
    <t>119487/1.V</t>
  </si>
  <si>
    <t>26.4.008158</t>
  </si>
  <si>
    <t>119888/2.V</t>
  </si>
  <si>
    <t>26.4.008159</t>
  </si>
  <si>
    <t>119487/2.V</t>
  </si>
  <si>
    <t>26.4.008160</t>
  </si>
  <si>
    <t>119879/1A.V</t>
  </si>
  <si>
    <t>26.4.008161</t>
  </si>
  <si>
    <t>119485/2.V</t>
  </si>
  <si>
    <t>26.4.008162</t>
  </si>
  <si>
    <t>119478/1.V</t>
  </si>
  <si>
    <t>26.4.008163</t>
  </si>
  <si>
    <t>119481/2.V</t>
  </si>
  <si>
    <t>26.4.008164</t>
  </si>
  <si>
    <t>119483/1.V</t>
  </si>
  <si>
    <t>26.4.008165</t>
  </si>
  <si>
    <t>119889/1A.V</t>
  </si>
  <si>
    <t>26.4.008166</t>
  </si>
  <si>
    <t>119889/2.V</t>
  </si>
  <si>
    <t>26.4.008167</t>
  </si>
  <si>
    <t>119887/1A.V</t>
  </si>
  <si>
    <t>26.4.008168</t>
  </si>
  <si>
    <t>119887/2.V</t>
  </si>
  <si>
    <t>26.4.008169</t>
  </si>
  <si>
    <t>119877/2.V</t>
  </si>
  <si>
    <t>26.4.008170</t>
  </si>
  <si>
    <t>119877/1A.V</t>
  </si>
  <si>
    <t>26.4.008171</t>
  </si>
  <si>
    <t>119882/2.V</t>
  </si>
  <si>
    <t>26.4.008172</t>
  </si>
  <si>
    <t>119883/1A.V</t>
  </si>
  <si>
    <t>26.4.008173</t>
  </si>
  <si>
    <t>119478/2.V</t>
  </si>
  <si>
    <t>26.4.008174</t>
  </si>
  <si>
    <t>119885/1A.V</t>
  </si>
  <si>
    <t>26.4.008175</t>
  </si>
  <si>
    <t>119882/1A.V</t>
  </si>
  <si>
    <t>26.4.008176</t>
  </si>
  <si>
    <t>119884/1A.V</t>
  </si>
  <si>
    <t>26.4.008177</t>
  </si>
  <si>
    <t>119488/2.V</t>
  </si>
  <si>
    <t>26.4.008178</t>
  </si>
  <si>
    <t>119480/1.V</t>
  </si>
  <si>
    <t>26.4.008179</t>
  </si>
  <si>
    <t>119883/2.V</t>
  </si>
  <si>
    <t>26.4.008180</t>
  </si>
  <si>
    <t>119480/2.V</t>
  </si>
  <si>
    <t>26.4.008181</t>
  </si>
  <si>
    <t>120794/1A.V</t>
  </si>
  <si>
    <t>26.4.008182</t>
  </si>
  <si>
    <t>120820/2.V</t>
  </si>
  <si>
    <t>26.4.008183</t>
  </si>
  <si>
    <t>120816/1A.V</t>
  </si>
  <si>
    <t>26.4.008184</t>
  </si>
  <si>
    <t>120791/2.V</t>
  </si>
  <si>
    <t>26.4.008185</t>
  </si>
  <si>
    <t>120824/2.V</t>
  </si>
  <si>
    <t>26.4.008186</t>
  </si>
  <si>
    <t>120818/1A.V</t>
  </si>
  <si>
    <t>26.4.008187</t>
  </si>
  <si>
    <t>120795/2.V</t>
  </si>
  <si>
    <t>26.4.008188</t>
  </si>
  <si>
    <t>120823/2.V</t>
  </si>
  <si>
    <t>26.4.008189</t>
  </si>
  <si>
    <t>120818/2.V</t>
  </si>
  <si>
    <t>26.4.008190</t>
  </si>
  <si>
    <t>120794/2.V</t>
  </si>
  <si>
    <t>26.4.008191</t>
  </si>
  <si>
    <t>120813/2.V</t>
  </si>
  <si>
    <t>26.4.008192</t>
  </si>
  <si>
    <t>120792/2.V</t>
  </si>
  <si>
    <t>26.4.008193</t>
  </si>
  <si>
    <t>120817/2.V</t>
  </si>
  <si>
    <t>26.4.008194</t>
  </si>
  <si>
    <t>120813/1A.V</t>
  </si>
  <si>
    <t>26.4.008195</t>
  </si>
  <si>
    <t>120819/2.V</t>
  </si>
  <si>
    <t>26.4.008196</t>
  </si>
  <si>
    <t>120819/1A.V</t>
  </si>
  <si>
    <t>26.4.008197</t>
  </si>
  <si>
    <t>120825/1A.V</t>
  </si>
  <si>
    <t>26.4.008198</t>
  </si>
  <si>
    <t>120825/2.V</t>
  </si>
  <si>
    <t>26.4.008199</t>
  </si>
  <si>
    <t>120821/2.V</t>
  </si>
  <si>
    <t>26.4.008200</t>
  </si>
  <si>
    <t>120820/1A.V</t>
  </si>
  <si>
    <t>26.4.008201</t>
  </si>
  <si>
    <t>120814/2.V</t>
  </si>
  <si>
    <t>26.4.008202</t>
  </si>
  <si>
    <t>120821/1A.V</t>
  </si>
  <si>
    <t>26.4.008203</t>
  </si>
  <si>
    <t>120795/1A.V</t>
  </si>
  <si>
    <t>26.4.008206</t>
  </si>
  <si>
    <t>120797/2.V</t>
  </si>
  <si>
    <t>26.4.008207</t>
  </si>
  <si>
    <t>120793/1A.V</t>
  </si>
  <si>
    <t>26.4.008208</t>
  </si>
  <si>
    <t>120796/2.V</t>
  </si>
  <si>
    <t>26.4.008209</t>
  </si>
  <si>
    <t>120796/1A.V</t>
  </si>
  <si>
    <t>26.4.008210</t>
  </si>
  <si>
    <t>120793/2.V</t>
  </si>
  <si>
    <t>26.4.008211</t>
  </si>
  <si>
    <t>120823/1A.V</t>
  </si>
  <si>
    <t>26.4.008212</t>
  </si>
  <si>
    <t>120791/1A.V</t>
  </si>
  <si>
    <t>26.4.008213</t>
  </si>
  <si>
    <t>120822/1A.V</t>
  </si>
  <si>
    <t>26.4.008214</t>
  </si>
  <si>
    <t>120812/1A.V</t>
  </si>
  <si>
    <t>26.4.008215</t>
  </si>
  <si>
    <t>120812/2.V</t>
  </si>
  <si>
    <t>26.4.008216</t>
  </si>
  <si>
    <t>120817/1A.V</t>
  </si>
  <si>
    <t>26.4.008217</t>
  </si>
  <si>
    <t>120824/1A.V</t>
  </si>
  <si>
    <t>26.4.008218</t>
  </si>
  <si>
    <t>120814/1A.V</t>
  </si>
  <si>
    <t>26.4.008219</t>
  </si>
  <si>
    <t>120816/2.V</t>
  </si>
  <si>
    <t>26.4.008220</t>
  </si>
  <si>
    <t>120792/1A.V</t>
  </si>
  <si>
    <t>26.4.008221</t>
  </si>
  <si>
    <t>781062.V</t>
  </si>
  <si>
    <t>119462/2.V</t>
  </si>
  <si>
    <t>26.4.008222</t>
  </si>
  <si>
    <t>119461/1.V</t>
  </si>
  <si>
    <t>26.4.008223</t>
  </si>
  <si>
    <t>119458/2.V</t>
  </si>
  <si>
    <t>26.4.008224</t>
  </si>
  <si>
    <t>119462/1.V</t>
  </si>
  <si>
    <t>26.4.008225</t>
  </si>
  <si>
    <t>119451/2.V</t>
  </si>
  <si>
    <t>26.4.008226</t>
  </si>
  <si>
    <t>119451/1A.V</t>
  </si>
  <si>
    <t>26.4.008227</t>
  </si>
  <si>
    <t>975015.V</t>
  </si>
  <si>
    <t>121401/2.V</t>
  </si>
  <si>
    <t>26.4.008228</t>
  </si>
  <si>
    <t>121406/1.V</t>
  </si>
  <si>
    <t>26.4.008229</t>
  </si>
  <si>
    <t>121402/1.V</t>
  </si>
  <si>
    <t>26.4.008230</t>
  </si>
  <si>
    <t>121402/2.V</t>
  </si>
  <si>
    <t>26.4.008231</t>
  </si>
  <si>
    <t>121393/2.V</t>
  </si>
  <si>
    <t>26.4.008232</t>
  </si>
  <si>
    <t>121406/2.V</t>
  </si>
  <si>
    <t>26.4.008233</t>
  </si>
  <si>
    <t>121400/1.V</t>
  </si>
  <si>
    <t>26.4.008234</t>
  </si>
  <si>
    <t>121400/2.V</t>
  </si>
  <si>
    <t>26.4.008235</t>
  </si>
  <si>
    <t>121404/1.V</t>
  </si>
  <si>
    <t>26.4.008236</t>
  </si>
  <si>
    <t>119458/1.V</t>
  </si>
  <si>
    <t>26.4.008237</t>
  </si>
  <si>
    <t>119450/1A.V</t>
  </si>
  <si>
    <t>26.4.008238</t>
  </si>
  <si>
    <t>121401/1.V</t>
  </si>
  <si>
    <t>26.4.008239</t>
  </si>
  <si>
    <t>121394/2.V</t>
  </si>
  <si>
    <t>26.4.008240</t>
  </si>
  <si>
    <t>121404/2.V</t>
  </si>
  <si>
    <t>26.4.008241</t>
  </si>
  <si>
    <t>121396/1.V</t>
  </si>
  <si>
    <t>26.4.008242</t>
  </si>
  <si>
    <t>121403/1.V</t>
  </si>
  <si>
    <t>26.4.008243</t>
  </si>
  <si>
    <t>121394/1.V</t>
  </si>
  <si>
    <t>26.4.008244</t>
  </si>
  <si>
    <t>121399/2.V</t>
  </si>
  <si>
    <t>26.4.008245</t>
  </si>
  <si>
    <t>121403/2.V</t>
  </si>
  <si>
    <t>26.4.008246</t>
  </si>
  <si>
    <t>121405/1.V</t>
  </si>
  <si>
    <t>26.4.008247</t>
  </si>
  <si>
    <t>121405/2.V</t>
  </si>
  <si>
    <t>26.4.008248</t>
  </si>
  <si>
    <t>119454/1.V</t>
  </si>
  <si>
    <t>26.4.008249</t>
  </si>
  <si>
    <t>119457/1.V</t>
  </si>
  <si>
    <t>26.4.008250</t>
  </si>
  <si>
    <t>119450/2.V</t>
  </si>
  <si>
    <t>26.4.008251</t>
  </si>
  <si>
    <t>119452/1A.V</t>
  </si>
  <si>
    <t>26.4.008252</t>
  </si>
  <si>
    <t>119456/1.V</t>
  </si>
  <si>
    <t>26.4.008253</t>
  </si>
  <si>
    <t>119456/2.V</t>
  </si>
  <si>
    <t>26.4.008254</t>
  </si>
  <si>
    <t>121393/1.V</t>
  </si>
  <si>
    <t>26.4.008257</t>
  </si>
  <si>
    <t>121398/1.V</t>
  </si>
  <si>
    <t>26.4.008258</t>
  </si>
  <si>
    <t>121399/1.V</t>
  </si>
  <si>
    <t>26.4.008259</t>
  </si>
  <si>
    <t>121395/1.V</t>
  </si>
  <si>
    <t>26.4.008260</t>
  </si>
  <si>
    <t>119452/2.V</t>
  </si>
  <si>
    <t>26.4.008261</t>
  </si>
  <si>
    <t>121397/2.V</t>
  </si>
  <si>
    <t>26.4.008262</t>
  </si>
  <si>
    <t>121397/1.V</t>
  </si>
  <si>
    <t>26.4.008263</t>
  </si>
  <si>
    <t>119463/2.V</t>
  </si>
  <si>
    <t>26.4.008264</t>
  </si>
  <si>
    <t>119459/1.V</t>
  </si>
  <si>
    <t>26.4.008265</t>
  </si>
  <si>
    <t>119453/1.V</t>
  </si>
  <si>
    <t>26.4.008266</t>
  </si>
  <si>
    <t>119459/2.V</t>
  </si>
  <si>
    <t>26.4.008267</t>
  </si>
  <si>
    <t>119453/2.V</t>
  </si>
  <si>
    <t>26.4.008268</t>
  </si>
  <si>
    <t>119454/2.V</t>
  </si>
  <si>
    <t>26.4.008269</t>
  </si>
  <si>
    <t>119455/1.V</t>
  </si>
  <si>
    <t>26.4.008270</t>
  </si>
  <si>
    <t>119463/1.V</t>
  </si>
  <si>
    <t>26.4.008271</t>
  </si>
  <si>
    <t>119461/2.V</t>
  </si>
  <si>
    <t>26.4.008272</t>
  </si>
  <si>
    <t>119455/2.V</t>
  </si>
  <si>
    <t>26.4.008273</t>
  </si>
  <si>
    <t>119460/1.V</t>
  </si>
  <si>
    <t>26.4.008274</t>
  </si>
  <si>
    <t>119460/2.V</t>
  </si>
  <si>
    <t>26.4.008275</t>
  </si>
  <si>
    <t>119457/2.V</t>
  </si>
  <si>
    <t>26.4.008276</t>
  </si>
  <si>
    <t>121396/2.V</t>
  </si>
  <si>
    <t>26.4.008277</t>
  </si>
  <si>
    <t>781052.V</t>
  </si>
  <si>
    <t>119846/2.V</t>
  </si>
  <si>
    <t>26.4.008278</t>
  </si>
  <si>
    <t>119842/2.V</t>
  </si>
  <si>
    <t>26.4.008279</t>
  </si>
  <si>
    <t>119836/1A.V</t>
  </si>
  <si>
    <t>26.4.008280</t>
  </si>
  <si>
    <t>119842/1A.V</t>
  </si>
  <si>
    <t>26.4.008281</t>
  </si>
  <si>
    <t>975011.V</t>
  </si>
  <si>
    <t>122052/2.V</t>
  </si>
  <si>
    <t>26.4.008282</t>
  </si>
  <si>
    <t>122050/1A.V</t>
  </si>
  <si>
    <t>26.4.008283</t>
  </si>
  <si>
    <t>122055/1A.V</t>
  </si>
  <si>
    <t>26.4.008284</t>
  </si>
  <si>
    <t>122054/2.V</t>
  </si>
  <si>
    <t>26.4.008285</t>
  </si>
  <si>
    <t>122050/2.V</t>
  </si>
  <si>
    <t>26.4.008286</t>
  </si>
  <si>
    <t>122054/1A.V</t>
  </si>
  <si>
    <t>26.4.008287</t>
  </si>
  <si>
    <t>119843/2.V</t>
  </si>
  <si>
    <t>26.4.008288</t>
  </si>
  <si>
    <t>119843/1A.V</t>
  </si>
  <si>
    <t>26.4.008289</t>
  </si>
  <si>
    <t>119838/1A.V</t>
  </si>
  <si>
    <t>26.4.008290</t>
  </si>
  <si>
    <t>119839/1A.V</t>
  </si>
  <si>
    <t>26.4.008291</t>
  </si>
  <si>
    <t>119835/1A.V</t>
  </si>
  <si>
    <t>26.4.008292</t>
  </si>
  <si>
    <t>119840/2.V</t>
  </si>
  <si>
    <t>26.4.008293</t>
  </si>
  <si>
    <t>119837/2.V</t>
  </si>
  <si>
    <t>26.4.008294</t>
  </si>
  <si>
    <t>119836/2.V</t>
  </si>
  <si>
    <t>26.4.008295</t>
  </si>
  <si>
    <t>119838/2.V</t>
  </si>
  <si>
    <t>26.4.008296</t>
  </si>
  <si>
    <t>122057/1.V</t>
  </si>
  <si>
    <t>26.4.008297</t>
  </si>
  <si>
    <t>122056/2.V</t>
  </si>
  <si>
    <t>26.4.008298</t>
  </si>
  <si>
    <t>122046/1.V</t>
  </si>
  <si>
    <t>26.4.008299</t>
  </si>
  <si>
    <t>122046/2.V</t>
  </si>
  <si>
    <t>26.4.008300</t>
  </si>
  <si>
    <t>122055/2.V</t>
  </si>
  <si>
    <t>26.4.008301</t>
  </si>
  <si>
    <t>122049/1.V</t>
  </si>
  <si>
    <t>26.4.008302</t>
  </si>
  <si>
    <t>122058/1.V</t>
  </si>
  <si>
    <t>26.4.008303</t>
  </si>
  <si>
    <t>122053/2.V</t>
  </si>
  <si>
    <t>26.4.008304</t>
  </si>
  <si>
    <t>122058/2.V</t>
  </si>
  <si>
    <t>26.4.008305</t>
  </si>
  <si>
    <t>122059/1A.V</t>
  </si>
  <si>
    <t>26.4.008306</t>
  </si>
  <si>
    <t>122051/1A.V</t>
  </si>
  <si>
    <t>26.4.008307</t>
  </si>
  <si>
    <t>122047/2.V</t>
  </si>
  <si>
    <t>26.4.008308</t>
  </si>
  <si>
    <t>122051/2.V</t>
  </si>
  <si>
    <t>26.4.008309</t>
  </si>
  <si>
    <t>122047/1A.V</t>
  </si>
  <si>
    <t>26.4.008310</t>
  </si>
  <si>
    <t>122052/1A.V</t>
  </si>
  <si>
    <t>26.4.008311</t>
  </si>
  <si>
    <t>122048/2.V</t>
  </si>
  <si>
    <t>26.4.008312</t>
  </si>
  <si>
    <t>122048/1A.V</t>
  </si>
  <si>
    <t>26.4.008313</t>
  </si>
  <si>
    <t>122056/1A.V</t>
  </si>
  <si>
    <t>26.4.008314</t>
  </si>
  <si>
    <t>122053/1A.V</t>
  </si>
  <si>
    <t>26.4.008315</t>
  </si>
  <si>
    <t>122059/2.V</t>
  </si>
  <si>
    <t>26.4.008316</t>
  </si>
  <si>
    <t>119839/2.V</t>
  </si>
  <si>
    <t>26.4.008317</t>
  </si>
  <si>
    <t>119846/1A.V</t>
  </si>
  <si>
    <t>26.4.008318</t>
  </si>
  <si>
    <t>119841/2.V</t>
  </si>
  <si>
    <t>26.4.008319</t>
  </si>
  <si>
    <t>119845/2.V</t>
  </si>
  <si>
    <t>26.4.008320</t>
  </si>
  <si>
    <t>119837/1A.V</t>
  </si>
  <si>
    <t>26.4.008321</t>
  </si>
  <si>
    <t>119835/2.V</t>
  </si>
  <si>
    <t>26.4.008322</t>
  </si>
  <si>
    <t>119834/1A.V</t>
  </si>
  <si>
    <t>26.4.008323</t>
  </si>
  <si>
    <t>119847/1A.V</t>
  </si>
  <si>
    <t>26.4.008324</t>
  </si>
  <si>
    <t>119834/2.V</t>
  </si>
  <si>
    <t>26.4.008325</t>
  </si>
  <si>
    <t>119845/1A.V</t>
  </si>
  <si>
    <t>26.4.008326</t>
  </si>
  <si>
    <t>119847/2.V</t>
  </si>
  <si>
    <t>26.4.008327</t>
  </si>
  <si>
    <t>122057/2.V</t>
  </si>
  <si>
    <t>26.4.008328</t>
  </si>
  <si>
    <t>122049/2.V</t>
  </si>
  <si>
    <t>26.4.008329</t>
  </si>
  <si>
    <t>119841/1A.V</t>
  </si>
  <si>
    <t>26.4.008330</t>
  </si>
  <si>
    <t>119840/1A.V</t>
  </si>
  <si>
    <t>26.4.008331</t>
  </si>
  <si>
    <t>119844/2.V</t>
  </si>
  <si>
    <t>26.4.008332</t>
  </si>
  <si>
    <t>119844/1A.V</t>
  </si>
  <si>
    <t>26.4.008333</t>
  </si>
  <si>
    <t>119540/2.V</t>
  </si>
  <si>
    <t>26.4.008335</t>
  </si>
  <si>
    <t>119539/2.V</t>
  </si>
  <si>
    <t>26.4.008336</t>
  </si>
  <si>
    <t>119539/1.V</t>
  </si>
  <si>
    <t>26.4.008337</t>
  </si>
  <si>
    <t>781085.V</t>
  </si>
  <si>
    <t>120895/2.V</t>
  </si>
  <si>
    <t>26.4.008338</t>
  </si>
  <si>
    <t>119544/1.V</t>
  </si>
  <si>
    <t>26.4.008339</t>
  </si>
  <si>
    <t>120888/1A.V</t>
  </si>
  <si>
    <t>26.4.008340</t>
  </si>
  <si>
    <t>120895/1A.V</t>
  </si>
  <si>
    <t>26.4.008341</t>
  </si>
  <si>
    <t>120891/2.V</t>
  </si>
  <si>
    <t>26.4.008342</t>
  </si>
  <si>
    <t>120894/2.V</t>
  </si>
  <si>
    <t>26.4.008343</t>
  </si>
  <si>
    <t>120888/2.V</t>
  </si>
  <si>
    <t>26.4.008344</t>
  </si>
  <si>
    <t>120891/1.V</t>
  </si>
  <si>
    <t>26.4.008345</t>
  </si>
  <si>
    <t>120889/2.V</t>
  </si>
  <si>
    <t>26.4.008346</t>
  </si>
  <si>
    <t>120887/2.V</t>
  </si>
  <si>
    <t>26.4.008347</t>
  </si>
  <si>
    <t>120894/1A.V</t>
  </si>
  <si>
    <t>26.4.008348</t>
  </si>
  <si>
    <t>120890/1A.V</t>
  </si>
  <si>
    <t>26.4.008349</t>
  </si>
  <si>
    <t>120896/2.V</t>
  </si>
  <si>
    <t>26.4.008350</t>
  </si>
  <si>
    <t>120896/1A.V</t>
  </si>
  <si>
    <t>26.4.008351</t>
  </si>
  <si>
    <t>120887/1A.V</t>
  </si>
  <si>
    <t>26.4.008352</t>
  </si>
  <si>
    <t>120892/1A.V</t>
  </si>
  <si>
    <t>26.4.008353</t>
  </si>
  <si>
    <t>120892/2.V</t>
  </si>
  <si>
    <t>26.4.008354</t>
  </si>
  <si>
    <t>120893/1A.V</t>
  </si>
  <si>
    <t>26.4.008355</t>
  </si>
  <si>
    <t>120893/2.V</t>
  </si>
  <si>
    <t>26.4.008356</t>
  </si>
  <si>
    <t>119547/1.V</t>
  </si>
  <si>
    <t>26.4.008357</t>
  </si>
  <si>
    <t>119549/2.V</t>
  </si>
  <si>
    <t>26.4.008358</t>
  </si>
  <si>
    <t>120886/2.V</t>
  </si>
  <si>
    <t>26.4.008359</t>
  </si>
  <si>
    <t>120890/2.V</t>
  </si>
  <si>
    <t>26.4.008360</t>
  </si>
  <si>
    <t>119545/1.V</t>
  </si>
  <si>
    <t>26.4.008361</t>
  </si>
  <si>
    <t>120886/1A.V</t>
  </si>
  <si>
    <t>26.4.008362</t>
  </si>
  <si>
    <t>119546/1.V</t>
  </si>
  <si>
    <t>26.4.008363</t>
  </si>
  <si>
    <t>119547/2.V</t>
  </si>
  <si>
    <t>26.4.008364</t>
  </si>
  <si>
    <t>119545/2.V</t>
  </si>
  <si>
    <t>26.4.008365</t>
  </si>
  <si>
    <t>119541/2.V</t>
  </si>
  <si>
    <t>26.4.008366</t>
  </si>
  <si>
    <t>119548/2.V</t>
  </si>
  <si>
    <t>26.4.008367</t>
  </si>
  <si>
    <t>119542/2.V</t>
  </si>
  <si>
    <t>26.4.008368</t>
  </si>
  <si>
    <t>119548/1.V</t>
  </si>
  <si>
    <t>26.4.008369</t>
  </si>
  <si>
    <t>120889/1A.V</t>
  </si>
  <si>
    <t>26.4.008370</t>
  </si>
  <si>
    <t>119541/1.V</t>
  </si>
  <si>
    <t>26.4.008371</t>
  </si>
  <si>
    <t>119542/1.V</t>
  </si>
  <si>
    <t>26.4.008372</t>
  </si>
  <si>
    <t>119543/1.V</t>
  </si>
  <si>
    <t>26.4.008373</t>
  </si>
  <si>
    <t>119549/1.V</t>
  </si>
  <si>
    <t>26.4.008374</t>
  </si>
  <si>
    <t>119543/2.V</t>
  </si>
  <si>
    <t>26.4.008375</t>
  </si>
  <si>
    <t>119544/2.V</t>
  </si>
  <si>
    <t>26.4.008376</t>
  </si>
  <si>
    <t>781086.V</t>
  </si>
  <si>
    <t>120904/1A.V</t>
  </si>
  <si>
    <t>26.4.008377</t>
  </si>
  <si>
    <t>120901/1A.V</t>
  </si>
  <si>
    <t>26.4.008378</t>
  </si>
  <si>
    <t>120908/1A.V</t>
  </si>
  <si>
    <t>26.4.008379</t>
  </si>
  <si>
    <t>781090.V</t>
  </si>
  <si>
    <t>120684/1.V</t>
  </si>
  <si>
    <t>26.4.008380</t>
  </si>
  <si>
    <t>120689/1.V</t>
  </si>
  <si>
    <t>26.4.008381</t>
  </si>
  <si>
    <t>120678/2.V</t>
  </si>
  <si>
    <t>26.4.008382</t>
  </si>
  <si>
    <t>120910/1A.V</t>
  </si>
  <si>
    <t>26.4.008383</t>
  </si>
  <si>
    <t>120678/1.V</t>
  </si>
  <si>
    <t>26.4.008384</t>
  </si>
  <si>
    <t>120902/1A.V</t>
  </si>
  <si>
    <t>26.4.008385</t>
  </si>
  <si>
    <t>120689/2.V</t>
  </si>
  <si>
    <t>26.4.008386</t>
  </si>
  <si>
    <t>120897/2.V</t>
  </si>
  <si>
    <t>26.4.008387</t>
  </si>
  <si>
    <t>120910/2.V</t>
  </si>
  <si>
    <t>26.4.008388</t>
  </si>
  <si>
    <t>120685/2.V</t>
  </si>
  <si>
    <t>26.4.008389</t>
  </si>
  <si>
    <t>120677/1.V</t>
  </si>
  <si>
    <t>26.4.008390</t>
  </si>
  <si>
    <t>120681/1.V</t>
  </si>
  <si>
    <t>26.4.008391</t>
  </si>
  <si>
    <t>120687/1.V</t>
  </si>
  <si>
    <t>26.4.008392</t>
  </si>
  <si>
    <t>120676/1.V</t>
  </si>
  <si>
    <t>26.4.008393</t>
  </si>
  <si>
    <t>120685/1.V</t>
  </si>
  <si>
    <t>26.4.008394</t>
  </si>
  <si>
    <t>120904/2.V</t>
  </si>
  <si>
    <t>26.4.008395</t>
  </si>
  <si>
    <t>120676/2.V</t>
  </si>
  <si>
    <t>26.4.008396</t>
  </si>
  <si>
    <t>120683/2.V</t>
  </si>
  <si>
    <t>26.4.008397</t>
  </si>
  <si>
    <t>120679/2.V</t>
  </si>
  <si>
    <t>26.4.008398</t>
  </si>
  <si>
    <t>120909/1A.V</t>
  </si>
  <si>
    <t>26.4.008399</t>
  </si>
  <si>
    <t>120907/2.V</t>
  </si>
  <si>
    <t>26.4.008400</t>
  </si>
  <si>
    <t>120903/2.V</t>
  </si>
  <si>
    <t>26.4.008401</t>
  </si>
  <si>
    <t>120902/2.V</t>
  </si>
  <si>
    <t>26.4.008402</t>
  </si>
  <si>
    <t>120900/1A.V</t>
  </si>
  <si>
    <t>26.4.008403</t>
  </si>
  <si>
    <t>120909/2.V</t>
  </si>
  <si>
    <t>26.4.008404</t>
  </si>
  <si>
    <t>120900/2.V</t>
  </si>
  <si>
    <t>26.4.008405</t>
  </si>
  <si>
    <t>120908/2.V</t>
  </si>
  <si>
    <t>26.4.008406</t>
  </si>
  <si>
    <t>120905/2.V</t>
  </si>
  <si>
    <t>26.4.008407</t>
  </si>
  <si>
    <t>120898/2.V</t>
  </si>
  <si>
    <t>26.4.008408</t>
  </si>
  <si>
    <t>120681/2.V</t>
  </si>
  <si>
    <t>26.4.008409</t>
  </si>
  <si>
    <t>120906/2.V</t>
  </si>
  <si>
    <t>26.4.008410</t>
  </si>
  <si>
    <t>120680/2.V</t>
  </si>
  <si>
    <t>26.4.008411</t>
  </si>
  <si>
    <t>120688/1.V</t>
  </si>
  <si>
    <t>26.4.008412</t>
  </si>
  <si>
    <t>120687/2.V</t>
  </si>
  <si>
    <t>26.4.008413</t>
  </si>
  <si>
    <t>120680/1.V</t>
  </si>
  <si>
    <t>26.4.008414</t>
  </si>
  <si>
    <t>120679/1.V</t>
  </si>
  <si>
    <t>26.4.008415</t>
  </si>
  <si>
    <t>120682/1.V</t>
  </si>
  <si>
    <t>26.4.008416</t>
  </si>
  <si>
    <t>120677/2.V</t>
  </si>
  <si>
    <t>26.4.008417</t>
  </si>
  <si>
    <t>120906/1A.V</t>
  </si>
  <si>
    <t>26.4.008418</t>
  </si>
  <si>
    <t>120683/1.V</t>
  </si>
  <si>
    <t>26.4.008419</t>
  </si>
  <si>
    <t>120682/2.V</t>
  </si>
  <si>
    <t>26.4.008420</t>
  </si>
  <si>
    <t>120686/2.V</t>
  </si>
  <si>
    <t>26.4.008421</t>
  </si>
  <si>
    <t>120684/2.V</t>
  </si>
  <si>
    <t>26.4.008422</t>
  </si>
  <si>
    <t>120688/2.V</t>
  </si>
  <si>
    <t>26.4.008423</t>
  </si>
  <si>
    <t>120898/1A.V</t>
  </si>
  <si>
    <t>26.4.008424</t>
  </si>
  <si>
    <t>120897/1A.V</t>
  </si>
  <si>
    <t>26.4.008425</t>
  </si>
  <si>
    <t>120899/1A.V</t>
  </si>
  <si>
    <t>26.4.008426</t>
  </si>
  <si>
    <t>120905/1A.V</t>
  </si>
  <si>
    <t>26.4.008427</t>
  </si>
  <si>
    <t>120899/2.V</t>
  </si>
  <si>
    <t>26.4.008428</t>
  </si>
  <si>
    <t>120686/1.V</t>
  </si>
  <si>
    <t>26.4.008429</t>
  </si>
  <si>
    <t>120903/1A.V</t>
  </si>
  <si>
    <t>26.4.008430</t>
  </si>
  <si>
    <t>800841.V</t>
  </si>
  <si>
    <t>118134/1A.V</t>
  </si>
  <si>
    <t>26.4.008431</t>
  </si>
  <si>
    <t>118136/1A.V</t>
  </si>
  <si>
    <t>26.4.008432</t>
  </si>
  <si>
    <t>118140/2A.V</t>
  </si>
  <si>
    <t>26.4.008433</t>
  </si>
  <si>
    <t>118141/1A.V</t>
  </si>
  <si>
    <t>26.4.008434</t>
  </si>
  <si>
    <t>118139/2A.V</t>
  </si>
  <si>
    <t>26.4.008435</t>
  </si>
  <si>
    <t>118134/2A.V</t>
  </si>
  <si>
    <t>26.4.008436</t>
  </si>
  <si>
    <t>118145/1A.V</t>
  </si>
  <si>
    <t>26.4.008437</t>
  </si>
  <si>
    <t>118145/2A.V</t>
  </si>
  <si>
    <t>26.4.008438</t>
  </si>
  <si>
    <t>800848.V</t>
  </si>
  <si>
    <t>118430/1.V</t>
  </si>
  <si>
    <t>26.4.008439</t>
  </si>
  <si>
    <t>118139/1A.V</t>
  </si>
  <si>
    <t>26.4.008440</t>
  </si>
  <si>
    <t>118429/1.V</t>
  </si>
  <si>
    <t>26.4.008441</t>
  </si>
  <si>
    <t>118433/2.V</t>
  </si>
  <si>
    <t>26.4.008442</t>
  </si>
  <si>
    <t>118423/2.V</t>
  </si>
  <si>
    <t>26.4.008443</t>
  </si>
  <si>
    <t>118425/1.V</t>
  </si>
  <si>
    <t>26.4.008444</t>
  </si>
  <si>
    <t>118426/1.V</t>
  </si>
  <si>
    <t>26.4.008445</t>
  </si>
  <si>
    <t>118424/1.V</t>
  </si>
  <si>
    <t>26.4.008446</t>
  </si>
  <si>
    <t>118147/2A.V</t>
  </si>
  <si>
    <t>26.4.008447</t>
  </si>
  <si>
    <t>118137/2A.V</t>
  </si>
  <si>
    <t>26.4.008448</t>
  </si>
  <si>
    <t>118425/2.V</t>
  </si>
  <si>
    <t>26.4.008449</t>
  </si>
  <si>
    <t>118431/2.V</t>
  </si>
  <si>
    <t>26.4.008450</t>
  </si>
  <si>
    <t>118422/1.V</t>
  </si>
  <si>
    <t>26.4.008451</t>
  </si>
  <si>
    <t>118422/2.V</t>
  </si>
  <si>
    <t>26.4.008452</t>
  </si>
  <si>
    <t>118143/1A.V</t>
  </si>
  <si>
    <t>26.4.008453</t>
  </si>
  <si>
    <t>118144/2A.V</t>
  </si>
  <si>
    <t>26.4.008454</t>
  </si>
  <si>
    <t>118147/1A.V</t>
  </si>
  <si>
    <t>26.4.008455</t>
  </si>
  <si>
    <t>118430/2.V</t>
  </si>
  <si>
    <t>26.4.008456</t>
  </si>
  <si>
    <t>118138/2A.V</t>
  </si>
  <si>
    <t>26.4.008457</t>
  </si>
  <si>
    <t>118141/2A.V</t>
  </si>
  <si>
    <t>26.4.008458</t>
  </si>
  <si>
    <t>118426/2.V</t>
  </si>
  <si>
    <t>26.4.008459</t>
  </si>
  <si>
    <t>118146/2A.V</t>
  </si>
  <si>
    <t>26.4.008460</t>
  </si>
  <si>
    <t>118140/1A.V</t>
  </si>
  <si>
    <t>26.4.008461</t>
  </si>
  <si>
    <t>118428/1.V</t>
  </si>
  <si>
    <t>26.4.008462</t>
  </si>
  <si>
    <t>118143/2A.V</t>
  </si>
  <si>
    <t>26.4.008463</t>
  </si>
  <si>
    <t>118432/1.V</t>
  </si>
  <si>
    <t>26.4.008464</t>
  </si>
  <si>
    <t>118432/2.V</t>
  </si>
  <si>
    <t>26.4.008465</t>
  </si>
  <si>
    <t>118421/2.V</t>
  </si>
  <si>
    <t>26.4.008466</t>
  </si>
  <si>
    <t>118136/2A.V</t>
  </si>
  <si>
    <t>26.4.008467</t>
  </si>
  <si>
    <t>118420/2.V</t>
  </si>
  <si>
    <t>26.4.008468</t>
  </si>
  <si>
    <t>118142/2A.V</t>
  </si>
  <si>
    <t>26.4.008469</t>
  </si>
  <si>
    <t>118420/1.V</t>
  </si>
  <si>
    <t>26.4.008470</t>
  </si>
  <si>
    <t>118421/1.V</t>
  </si>
  <si>
    <t>26.4.008471</t>
  </si>
  <si>
    <t>118423/1.V</t>
  </si>
  <si>
    <t>26.4.008472</t>
  </si>
  <si>
    <t>118429/2.V</t>
  </si>
  <si>
    <t>26.4.008473</t>
  </si>
  <si>
    <t>118424/2.V</t>
  </si>
  <si>
    <t>26.4.008474</t>
  </si>
  <si>
    <t>118428/2.V</t>
  </si>
  <si>
    <t>26.4.008475</t>
  </si>
  <si>
    <t>118142/1A.V</t>
  </si>
  <si>
    <t>26.4.008476</t>
  </si>
  <si>
    <t>118135/2A.V</t>
  </si>
  <si>
    <t>26.4.008477</t>
  </si>
  <si>
    <t>118146/1A.V</t>
  </si>
  <si>
    <t>26.4.008020</t>
  </si>
  <si>
    <t>118297/2.V</t>
  </si>
  <si>
    <t>REP</t>
  </si>
  <si>
    <t>DHC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</si>
</sst>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0"/>
      <color rgb="FF666666"/>
      <name val="Calibri"/>
      <family val="2"/>
    </font>
    <font>
      <b/>
      <sz val="10"/>
      <color rgb="FF9C0006"/>
      <name val="Calibri"/>
      <family val="2"/>
    </font>
    <font>
      <sz val="10"/>
      <color rgb="FF888888"/>
      <name val="Calibri"/>
      <family val="2"/>
    </font>
    <font>
      <b/>
      <sz val="10"/>
      <color rgb="FF9C6500"/>
      <name val="Calibri"/>
      <family val="2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b/>
      <sz val="10"/>
      <color rgb="FF888888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0"/>
      <name val="Calibri"/>
    </font>
    <font>
      <sz val="8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sz val="6"/>
      <color rgb="FF000000"/>
      <name val="Times New Roman"/>
      <family val="2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2B3C"/>
        <bgColor rgb="FF0D1B2A"/>
      </patternFill>
    </fill>
    <fill>
      <patternFill patternType="solid">
        <fgColor rgb="FF0D1B2A"/>
        <bgColor rgb="FF1A2B3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rgb="FFF2F7FA"/>
      </patternFill>
    </fill>
    <fill>
      <patternFill patternType="solid">
        <fgColor theme="0" tint="-4.9989318521683403E-2"/>
        <b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rgb="FF44444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9" fillId="0" borderId="52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 wrapText="1"/>
    </xf>
    <xf numFmtId="0" fontId="7" fillId="2" borderId="54" xfId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2" fillId="11" borderId="0" xfId="0" applyFont="1" applyFill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164" fontId="15" fillId="8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164" fontId="17" fillId="8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2" fillId="9" borderId="0" xfId="0" applyFont="1" applyFill="1"/>
    <xf numFmtId="164" fontId="14" fillId="9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0" fillId="13" borderId="10" xfId="1" applyFont="1" applyFill="1" applyBorder="1" applyAlignment="1">
      <alignment horizontal="center" vertical="center" wrapText="1"/>
    </xf>
    <xf numFmtId="0" fontId="10" fillId="13" borderId="6" xfId="1" applyFont="1" applyFill="1" applyBorder="1" applyAlignment="1">
      <alignment horizontal="center" vertical="center" wrapText="1"/>
    </xf>
    <xf numFmtId="0" fontId="10" fillId="13" borderId="7" xfId="1" applyFont="1" applyFill="1" applyBorder="1" applyAlignment="1">
      <alignment horizontal="center" vertical="center" wrapText="1"/>
    </xf>
    <xf numFmtId="0" fontId="10" fillId="13" borderId="15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50" xfId="1" applyFont="1" applyFill="1" applyBorder="1" applyAlignment="1">
      <alignment horizontal="center" vertical="center" wrapText="1"/>
    </xf>
    <xf numFmtId="0" fontId="9" fillId="4" borderId="51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9" fillId="4" borderId="56" xfId="1" applyFont="1" applyFill="1" applyBorder="1" applyAlignment="1">
      <alignment horizontal="center" vertical="center" wrapText="1"/>
    </xf>
    <xf numFmtId="0" fontId="10" fillId="13" borderId="39" xfId="1" applyFont="1" applyFill="1" applyBorder="1" applyAlignment="1">
      <alignment horizontal="center" vertical="center" wrapText="1"/>
    </xf>
    <xf numFmtId="0" fontId="23" fillId="4" borderId="7" xfId="1" applyFont="1" applyFill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6" fillId="13" borderId="7" xfId="1" applyFont="1" applyFill="1" applyBorder="1" applyAlignment="1">
      <alignment horizontal="center" vertical="center" wrapText="1"/>
    </xf>
    <xf numFmtId="0" fontId="10" fillId="14" borderId="6" xfId="1" applyFont="1" applyFill="1" applyBorder="1" applyAlignment="1">
      <alignment horizontal="center" vertical="center" wrapText="1"/>
    </xf>
    <xf numFmtId="0" fontId="10" fillId="13" borderId="50" xfId="1" applyFont="1" applyFill="1" applyBorder="1" applyAlignment="1">
      <alignment horizontal="center" vertical="center" wrapText="1"/>
    </xf>
    <xf numFmtId="0" fontId="10" fillId="13" borderId="51" xfId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0" fillId="14" borderId="7" xfId="1" applyFont="1" applyFill="1" applyBorder="1" applyAlignment="1">
      <alignment horizontal="center" vertical="center" wrapText="1"/>
    </xf>
    <xf numFmtId="0" fontId="23" fillId="0" borderId="49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6" fillId="13" borderId="49" xfId="1" applyFont="1" applyFill="1" applyBorder="1" applyAlignment="1">
      <alignment horizontal="center" vertical="center" wrapText="1"/>
    </xf>
    <xf numFmtId="0" fontId="26" fillId="14" borderId="7" xfId="1" applyFont="1" applyFill="1" applyBorder="1" applyAlignment="1">
      <alignment horizontal="center" vertical="center" wrapText="1"/>
    </xf>
    <xf numFmtId="0" fontId="27" fillId="14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14" borderId="7" xfId="0" applyFont="1" applyFill="1" applyBorder="1" applyAlignment="1">
      <alignment wrapText="1"/>
    </xf>
    <xf numFmtId="0" fontId="27" fillId="15" borderId="7" xfId="1" applyFont="1" applyFill="1" applyBorder="1" applyAlignment="1">
      <alignment horizontal="center" vertical="center" wrapText="1"/>
    </xf>
    <xf numFmtId="0" fontId="26" fillId="15" borderId="7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4" fillId="13" borderId="7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7" fillId="13" borderId="10" xfId="1" applyFont="1" applyFill="1" applyBorder="1" applyAlignment="1">
      <alignment horizontal="center" vertical="center" wrapText="1"/>
    </xf>
    <xf numFmtId="0" fontId="7" fillId="13" borderId="7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8" fillId="13" borderId="10" xfId="1" applyFont="1" applyFill="1" applyBorder="1" applyAlignment="1">
      <alignment horizontal="center" vertical="center" wrapText="1"/>
    </xf>
    <xf numFmtId="0" fontId="8" fillId="13" borderId="7" xfId="1" applyFont="1" applyFill="1" applyBorder="1" applyAlignment="1">
      <alignment horizontal="center" vertical="center" wrapText="1"/>
    </xf>
    <xf numFmtId="0" fontId="25" fillId="13" borderId="7" xfId="1" applyFont="1" applyFill="1" applyBorder="1" applyAlignment="1">
      <alignment horizontal="center" vertical="center" wrapText="1"/>
    </xf>
    <xf numFmtId="0" fontId="25" fillId="4" borderId="7" xfId="1" applyFont="1" applyFill="1" applyBorder="1" applyAlignment="1">
      <alignment horizontal="center" vertical="center" wrapText="1"/>
    </xf>
    <xf numFmtId="1" fontId="32" fillId="0" borderId="58" xfId="0" applyNumberFormat="1" applyFont="1" applyBorder="1" applyAlignment="1">
      <alignment horizontal="center" vertical="top" shrinkToFit="1"/>
    </xf>
    <xf numFmtId="0" fontId="25" fillId="16" borderId="7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6" fillId="4" borderId="15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15" xfId="1" applyFont="1" applyFill="1" applyBorder="1" applyAlignment="1">
      <alignment horizontal="center" vertical="center" wrapText="1"/>
    </xf>
    <xf numFmtId="0" fontId="8" fillId="4" borderId="13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55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7" fillId="2" borderId="35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6" fillId="4" borderId="57" xfId="1" applyFont="1" applyFill="1" applyBorder="1" applyAlignment="1">
      <alignment horizontal="center" vertical="center" wrapText="1"/>
    </xf>
    <xf numFmtId="0" fontId="6" fillId="4" borderId="5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9" fillId="13" borderId="38" xfId="1" applyFont="1" applyFill="1" applyBorder="1" applyAlignment="1">
      <alignment horizontal="center" vertical="center" wrapText="1"/>
    </xf>
    <xf numFmtId="0" fontId="9" fillId="13" borderId="40" xfId="1" applyFont="1" applyFill="1" applyBorder="1" applyAlignment="1">
      <alignment horizontal="center" vertical="center" wrapText="1"/>
    </xf>
    <xf numFmtId="0" fontId="9" fillId="13" borderId="12" xfId="1" applyFont="1" applyFill="1" applyBorder="1" applyAlignment="1">
      <alignment horizontal="center" vertical="center" wrapText="1"/>
    </xf>
    <xf numFmtId="0" fontId="7" fillId="2" borderId="42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center" wrapText="1"/>
    </xf>
    <xf numFmtId="0" fontId="9" fillId="0" borderId="56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7" fillId="2" borderId="45" xfId="1" applyFont="1" applyFill="1" applyBorder="1" applyAlignment="1">
      <alignment horizontal="center" vertical="center" wrapText="1"/>
    </xf>
    <xf numFmtId="0" fontId="7" fillId="2" borderId="46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3" fillId="13" borderId="7" xfId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e 2" xfId="1" xr:uid="{00000000-0005-0000-0000-000001000000}"/>
  </cellStyles>
  <dxfs count="224"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WELDING REPAIR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Repair!$C$4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Repair!$B$5:$B$29</c:f>
              <c:numCache>
                <c:formatCode>m/d/yyyy</c:formatCode>
                <c:ptCount val="25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</c:numCache>
            </c:numRef>
          </c:cat>
          <c:val>
            <c:numRef>
              <c:f>Repair!$C$5:$C$29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B-4363-9BAF-8512B7179DBC}"/>
            </c:ext>
          </c:extLst>
        </c:ser>
        <c:ser>
          <c:idx val="3"/>
          <c:order val="3"/>
          <c:tx>
            <c:strRef>
              <c:f>Repair!$F$4</c:f>
              <c:strCache>
                <c:ptCount val="1"/>
                <c:pt idx="0">
                  <c:v>Pipe Position (mm)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Repair!$B$5:$B$29</c:f>
              <c:numCache>
                <c:formatCode>m/d/yyyy</c:formatCode>
                <c:ptCount val="25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</c:numCache>
            </c:numRef>
          </c:cat>
          <c:val>
            <c:numRef>
              <c:f>Repair!$F$5:$F$29</c:f>
              <c:numCache>
                <c:formatCode>General</c:formatCode>
                <c:ptCount val="25"/>
                <c:pt idx="0">
                  <c:v>1200</c:v>
                </c:pt>
                <c:pt idx="1">
                  <c:v>1450</c:v>
                </c:pt>
                <c:pt idx="2">
                  <c:v>5510</c:v>
                </c:pt>
                <c:pt idx="3">
                  <c:v>2320</c:v>
                </c:pt>
                <c:pt idx="4">
                  <c:v>4600</c:v>
                </c:pt>
                <c:pt idx="5">
                  <c:v>2500</c:v>
                </c:pt>
                <c:pt idx="6">
                  <c:v>0</c:v>
                </c:pt>
                <c:pt idx="7">
                  <c:v>8190</c:v>
                </c:pt>
                <c:pt idx="8">
                  <c:v>2024</c:v>
                </c:pt>
                <c:pt idx="9">
                  <c:v>9770</c:v>
                </c:pt>
                <c:pt idx="10">
                  <c:v>3190</c:v>
                </c:pt>
                <c:pt idx="11">
                  <c:v>9100</c:v>
                </c:pt>
                <c:pt idx="12">
                  <c:v>2830</c:v>
                </c:pt>
                <c:pt idx="13">
                  <c:v>7340</c:v>
                </c:pt>
                <c:pt idx="14">
                  <c:v>3930</c:v>
                </c:pt>
                <c:pt idx="15">
                  <c:v>11900</c:v>
                </c:pt>
                <c:pt idx="16">
                  <c:v>6720</c:v>
                </c:pt>
                <c:pt idx="17">
                  <c:v>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B-4363-9BAF-8512B7179DBC}"/>
            </c:ext>
          </c:extLst>
        </c:ser>
        <c:ser>
          <c:idx val="4"/>
          <c:order val="4"/>
          <c:tx>
            <c:strRef>
              <c:f>Repair!$G$4</c:f>
              <c:strCache>
                <c:ptCount val="1"/>
                <c:pt idx="0">
                  <c:v>Extension (mm)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Repair!$B$5:$B$29</c:f>
              <c:numCache>
                <c:formatCode>m/d/yyyy</c:formatCode>
                <c:ptCount val="25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</c:numCache>
            </c:numRef>
          </c:cat>
          <c:val>
            <c:numRef>
              <c:f>Repair!$G$5:$G$29</c:f>
              <c:numCache>
                <c:formatCode>General</c:formatCode>
                <c:ptCount val="25"/>
                <c:pt idx="0">
                  <c:v>300</c:v>
                </c:pt>
                <c:pt idx="1">
                  <c:v>100</c:v>
                </c:pt>
                <c:pt idx="2">
                  <c:v>130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150</c:v>
                </c:pt>
                <c:pt idx="11">
                  <c:v>150</c:v>
                </c:pt>
                <c:pt idx="12">
                  <c:v>200</c:v>
                </c:pt>
                <c:pt idx="13">
                  <c:v>180</c:v>
                </c:pt>
                <c:pt idx="14">
                  <c:v>170</c:v>
                </c:pt>
                <c:pt idx="15">
                  <c:v>200</c:v>
                </c:pt>
                <c:pt idx="16">
                  <c:v>250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B-4363-9BAF-8512B7179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9788800"/>
        <c:axId val="481419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Repair!$D$4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Repair!$B$5:$B$29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Repair!$D$5:$D$29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D1B-4363-9BAF-8512B7179DB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Repair!$E$4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Repair!$B$5:$B$29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Repair!$E$5:$E$29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1B-4363-9BAF-8512B7179D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Repair!$H$4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Repair!$B$5:$B$29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Repair!$H$5:$H$29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1B-4363-9BAF-8512B7179DBC}"/>
                  </c:ext>
                </c:extLst>
              </c15:ser>
            </c15:filteredBarSeries>
          </c:ext>
        </c:extLst>
      </c:barChart>
      <c:dateAx>
        <c:axId val="219788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8141952"/>
        <c:crosses val="autoZero"/>
        <c:auto val="1"/>
        <c:lblOffset val="100"/>
        <c:baseTimeUnit val="days"/>
      </c:dateAx>
      <c:valAx>
        <c:axId val="4814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978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Pipes Rejected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Rejection!$C$3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Rejection!$B$4:$B$31</c:f>
              <c:numCache>
                <c:formatCode>m/d/yyyy</c:formatCode>
                <c:ptCount val="28"/>
                <c:pt idx="0">
                  <c:v>46064</c:v>
                </c:pt>
                <c:pt idx="1">
                  <c:v>46076</c:v>
                </c:pt>
                <c:pt idx="2">
                  <c:v>46076</c:v>
                </c:pt>
                <c:pt idx="3">
                  <c:v>46091</c:v>
                </c:pt>
                <c:pt idx="4">
                  <c:v>46091</c:v>
                </c:pt>
                <c:pt idx="5">
                  <c:v>46091</c:v>
                </c:pt>
                <c:pt idx="6">
                  <c:v>46091</c:v>
                </c:pt>
                <c:pt idx="7">
                  <c:v>46091</c:v>
                </c:pt>
                <c:pt idx="8">
                  <c:v>46091</c:v>
                </c:pt>
                <c:pt idx="9">
                  <c:v>46091</c:v>
                </c:pt>
                <c:pt idx="10">
                  <c:v>46091</c:v>
                </c:pt>
                <c:pt idx="11">
                  <c:v>46091</c:v>
                </c:pt>
                <c:pt idx="12">
                  <c:v>46091</c:v>
                </c:pt>
                <c:pt idx="13">
                  <c:v>46134</c:v>
                </c:pt>
                <c:pt idx="14">
                  <c:v>46161</c:v>
                </c:pt>
                <c:pt idx="15">
                  <c:v>46175</c:v>
                </c:pt>
                <c:pt idx="16">
                  <c:v>46182</c:v>
                </c:pt>
                <c:pt idx="17">
                  <c:v>46182</c:v>
                </c:pt>
                <c:pt idx="18">
                  <c:v>46183</c:v>
                </c:pt>
                <c:pt idx="19">
                  <c:v>46184</c:v>
                </c:pt>
                <c:pt idx="20">
                  <c:v>46185</c:v>
                </c:pt>
                <c:pt idx="21">
                  <c:v>46186</c:v>
                </c:pt>
              </c:numCache>
            </c:numRef>
          </c:cat>
          <c:val>
            <c:numRef>
              <c:f>Rejection!$C$4:$C$31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6-4FC8-90B7-A6E43900A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9956736"/>
        <c:axId val="772334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Rejection!$D$3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Rejection!$D$4:$D$31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26-4FC8-90B7-A6E43900A1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Rejection!$E$3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Rejection!$E$4:$E$31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26-4FC8-90B7-A6E43900A1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Rejection!$F$3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Rejection!$F$4:$F$31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26-4FC8-90B7-A6E43900A1D0}"/>
                  </c:ext>
                </c:extLst>
              </c15:ser>
            </c15:filteredBarSeries>
          </c:ext>
        </c:extLst>
      </c:barChart>
      <c:dateAx>
        <c:axId val="219956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7233472"/>
        <c:crosses val="autoZero"/>
        <c:auto val="1"/>
        <c:lblOffset val="100"/>
        <c:baseTimeUnit val="days"/>
      </c:dateAx>
      <c:valAx>
        <c:axId val="7723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995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 sz="9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SAKARYA PROJECT - INSPECTION &amp; TEST PLAN — PIPE PRODUCTION TRACKING</cx:v>
        </cx:txData>
      </cx:tx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it-IT" sz="1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SAKARYA PROJECT - INSPECTION &amp; TEST PLAN — PIPE PRODUCTION TRACKING</a:t>
          </a:r>
        </a:p>
      </cx:txPr>
    </cx:title>
    <cx:plotArea>
      <cx:plotAreaRegion>
        <cx:series layoutId="clusteredColumn" uniqueId="{D8979D4E-F361-4537-8F91-09611B0BE10F}" formatIdx="0">
          <cx:tx>
            <cx:txData>
              <cx:f>_xlchart.v1.1</cx:f>
              <cx:v>Count</cx:v>
            </cx:txData>
          </cx:tx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Pt idx="18">
            <cx:spPr>
              <a:solidFill>
                <a:srgbClr val="FFC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9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D054FC9-EE7D-484C-BCBC-2B4E06EC7391}" formatIdx="1">
          <cx:spPr>
            <a:ln>
              <a:solidFill>
                <a:srgbClr val="FFC000"/>
              </a:solidFill>
              <a:prstDash val="sysDash"/>
            </a:ln>
          </cx:spPr>
          <cx:axisId val="2"/>
        </cx:series>
        <cx:series layoutId="clusteredColumn" hidden="1" uniqueId="{57E9045F-85C6-480A-9373-D620DCE5DCCF}" formatIdx="2">
          <cx:tx>
            <cx:txData>
              <cx:f>_xlchart.v1.3</cx:f>
              <cx:v>Yield vs Input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100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</cx:dataLabels>
          <cx:dataId val="1"/>
          <cx:layoutPr>
            <cx:aggregation/>
          </cx:layoutPr>
          <cx:axisId val="1"/>
        </cx:series>
        <cx:series layoutId="paretoLine" ownerIdx="2" uniqueId="{03A4342F-46C9-41C6-85DF-0A1762B0F0BB}" formatIdx="3">
          <cx:axisId val="2"/>
        </cx:series>
      </cx:plotAreaRegion>
      <cx:axis id="0">
        <cx:catScaling gapWidth="0.28000000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1">
        <a:lumMod val="95000"/>
      </a:schemeClr>
    </a:solidFill>
    <a:ln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158751</xdr:colOff>
          <xdr:row>13</xdr:row>
          <xdr:rowOff>111125</xdr:rowOff>
        </xdr:from>
        <xdr:to>
          <xdr:col>4</xdr:col>
          <xdr:colOff>696194</xdr:colOff>
          <xdr:row>14</xdr:row>
          <xdr:rowOff>171450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C6FCFA3-53AD-03A5-83A0-44647CAB8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174626</xdr:colOff>
          <xdr:row>14</xdr:row>
          <xdr:rowOff>365125</xdr:rowOff>
        </xdr:from>
        <xdr:to>
          <xdr:col>4</xdr:col>
          <xdr:colOff>712069</xdr:colOff>
          <xdr:row>16</xdr:row>
          <xdr:rowOff>28575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2D2E4F8C-DA72-AF63-5366-21D6BB99CA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425450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161925"/>
              <a:ext cx="8340725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642054</xdr:colOff>
      <xdr:row>2</xdr:row>
      <xdr:rowOff>0</xdr:rowOff>
    </xdr:from>
    <xdr:to>
      <xdr:col>13</xdr:col>
      <xdr:colOff>642055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rino M" refreshedDate="46083.615969212966" createdVersion="8" refreshedVersion="8" minRefreshableVersion="3" recordCount="170" xr:uid="{00000000-000A-0000-FFFF-FFFF01000000}">
  <cacheSource type="worksheet">
    <worksheetSource name="Tabella1"/>
  </cacheSource>
  <cacheFields count="38">
    <cacheField name="Seq. N°" numFmtId="0">
      <sharedItems containsMixedTypes="1" containsNumber="1" containsInteger="1" minValue="1" maxValue="1"/>
    </cacheField>
    <cacheField name="Tenaris Batch" numFmtId="0">
      <sharedItems containsBlank="1" count="2">
        <s v="5021701"/>
        <m u="1"/>
      </sharedItems>
    </cacheField>
    <cacheField name="Pipe Dimensional" numFmtId="0">
      <sharedItems/>
    </cacheField>
    <cacheField name="Pipe Std" numFmtId="0">
      <sharedItems/>
    </cacheField>
    <cacheField name="Pipe Number" numFmtId="0">
      <sharedItems containsBlank="1" count="171">
        <s v="26.4.002086"/>
        <s v="26.4.002211"/>
        <s v="26.4.002085"/>
        <s v="26.4.002089"/>
        <s v="26.4.002090"/>
        <s v="26.4.002147"/>
        <s v="26.4.002092"/>
        <s v="26.4.002088"/>
        <s v="26.4.002094"/>
        <s v="26.4.002095"/>
        <s v="26.4.002096"/>
        <s v="26.4.002097"/>
        <s v="26.4.002098"/>
        <s v="26.4.002115"/>
        <s v="26.4.002100"/>
        <s v="26.4.002101"/>
        <s v="26.4.002102"/>
        <s v="26.4.002103"/>
        <s v="26.4.002093"/>
        <s v="26.4.002105"/>
        <s v="26.4.002106"/>
        <s v="26.4.002107"/>
        <s v="26.4.002108"/>
        <s v="26.4.002109"/>
        <s v="26.4.002110"/>
        <s v="26.4.002111"/>
        <s v="26.4.002112"/>
        <s v="26.4.002113"/>
        <s v="26.4.002114"/>
        <s v="26.4.002099"/>
        <s v="26.4.002116"/>
        <s v="26.4.002117"/>
        <s v="26.4.002118"/>
        <s v="26.4.002119"/>
        <s v="26.4.002120"/>
        <s v="26.4.002121"/>
        <s v="26.4.002122"/>
        <s v="26.4.002123"/>
        <s v="26.4.002124"/>
        <s v="26.4.002125"/>
        <s v="26.4.002104"/>
        <s v="26.4.002127"/>
        <s v="26.4.002128"/>
        <s v="26.4.002129"/>
        <s v="26.4.002130"/>
        <s v="26.4.002131"/>
        <s v="26.4.002132"/>
        <s v="26.4.002133"/>
        <s v="26.4.002134"/>
        <s v="26.4.002135"/>
        <s v="26.4.002136"/>
        <s v="26.4.002137"/>
        <s v="26.4.002138"/>
        <s v="26.4.002139"/>
        <s v="26.4.002140"/>
        <s v="26.4.002141"/>
        <s v="26.4.002142"/>
        <s v="26.4.002143"/>
        <s v="26.4.002144"/>
        <s v="26.4.002145"/>
        <s v="26.4.002146"/>
        <s v="26.4.002091"/>
        <s v="26.4.002148"/>
        <s v="26.4.002149"/>
        <s v="26.4.002150"/>
        <s v="26.4.002151"/>
        <s v="26.4.002152"/>
        <s v="26.4.002153"/>
        <s v="26.4.002154"/>
        <s v="26.4.002155"/>
        <s v="26.4.002156"/>
        <s v="26.4.002157"/>
        <s v="26.4.002158"/>
        <s v="26.4.002159"/>
        <s v="26.4.002160"/>
        <s v="26.4.002161"/>
        <s v="26.4.002162"/>
        <s v="26.4.002163"/>
        <s v="26.4.002164"/>
        <s v="26.4.002165"/>
        <s v="26.4.002166"/>
        <s v="26.4.002167"/>
        <s v="26.4.002168"/>
        <s v="26.4.002126"/>
        <s v="26.4.002170"/>
        <s v="26.4.002171"/>
        <s v="26.4.002172"/>
        <s v="26.4.002173"/>
        <s v="26.4.002174"/>
        <s v="26.4.002175"/>
        <s v="26.4.002176"/>
        <s v="26.4.002177"/>
        <s v="26.4.002178"/>
        <s v="26.4.002179"/>
        <s v="26.4.002180"/>
        <s v="26.4.002181"/>
        <s v="26.4.002182"/>
        <s v="26.4.002183"/>
        <s v="26.4.002184"/>
        <s v="26.4.002185"/>
        <s v="26.4.002186"/>
        <s v="26.4.002187"/>
        <s v="26.4.002188"/>
        <s v="26.4.002189"/>
        <s v="26.4.002190"/>
        <s v="26.4.002191"/>
        <s v="26.4.002192"/>
        <s v="26.4.002193"/>
        <s v="26.4.002194"/>
        <s v="26.4.002195"/>
        <s v="26.4.002196"/>
        <s v="26.4.002197"/>
        <s v="26.4.002198"/>
        <s v="26.4.002199"/>
        <s v="26.4.002200"/>
        <s v="26.4.002201"/>
        <s v="26.4.002202"/>
        <s v="26.4.002203"/>
        <s v="26.4.002204"/>
        <s v="26.4.002205"/>
        <s v="26.4.002206"/>
        <s v="26.4.002207"/>
        <s v="26.4.002208"/>
        <s v="26.4.002209"/>
        <s v="26.4.002210"/>
        <s v="26.4.002087"/>
        <s v="26.4.002212"/>
        <s v="26.4.002213"/>
        <s v="26.4.002214"/>
        <s v="26.4.002215"/>
        <s v="26.4.002216"/>
        <s v="26.4.002217"/>
        <s v="26.4.002218"/>
        <s v="26.4.002219"/>
        <s v="26.4.002220"/>
        <s v="26.4.002221"/>
        <s v="26.4.002222"/>
        <s v="26.4.002223"/>
        <s v="26.4.002224"/>
        <s v="26.4.002225"/>
        <s v="26.4.002226"/>
        <s v="26.4.002227"/>
        <s v="26.4.002228"/>
        <s v="26.4.002229"/>
        <s v="26.4.002230"/>
        <s v="26.4.002231"/>
        <s v="26.4.002232"/>
        <s v="26.4.002233"/>
        <s v="26.4.002234"/>
        <s v="26.4.002235"/>
        <s v="26.4.002236"/>
        <s v="26.4.002237"/>
        <s v="26.4.002238"/>
        <s v="26.4.002239"/>
        <s v="26.4.002240"/>
        <s v="26.4.002241"/>
        <s v="26.4.002242"/>
        <s v="26.4.002243"/>
        <s v="26.4.002244"/>
        <s v="26.4.002245"/>
        <s v="26.4.002246"/>
        <s v="26.4.002247"/>
        <s v="26.4.002248"/>
        <s v="26.4.002249"/>
        <s v="26.4.002250"/>
        <s v="26.4.002251"/>
        <s v="26.4.002252"/>
        <s v="26.4.002253"/>
        <s v="26.4.002254"/>
        <s v="26.4.002169"/>
        <m u="1"/>
      </sharedItems>
    </cacheField>
    <cacheField name="Heat Number" numFmtId="0">
      <sharedItems containsBlank="1" count="9">
        <s v="800229.V"/>
        <s v="800222.V"/>
        <s v="800233.V"/>
        <s v="974058.V"/>
        <s v="800223.V"/>
        <s v="800232.V"/>
        <s v="780325.V"/>
        <s v="974062.V"/>
        <m u="1"/>
      </sharedItems>
    </cacheField>
    <cacheField name="Plate Number" numFmtId="0">
      <sharedItems/>
    </cacheField>
    <cacheField name="Pipe length" numFmtId="0">
      <sharedItems/>
    </cacheField>
    <cacheField name="Total Pipes" numFmtId="0">
      <sharedItems/>
    </cacheField>
    <cacheField name="Tenaris Lote" numFmtId="0">
      <sharedItems/>
    </cacheField>
    <cacheField name="Pipe N°" numFmtId="0">
      <sharedItems/>
    </cacheField>
    <cacheField name="Heat N°" numFmtId="0">
      <sharedItems/>
    </cacheField>
    <cacheField name="Plate N°" numFmtId="0">
      <sharedItems/>
    </cacheField>
    <cacheField name="Pipe length2" numFmtId="0">
      <sharedItems containsSemiMixedTypes="0" containsString="0" containsNumber="1" containsInteger="1" minValue="11830" maxValue="12480"/>
    </cacheField>
    <cacheField name="Plate Entrance" numFmtId="0">
      <sharedItems/>
    </cacheField>
    <cacheField name="Pipe Forming" numFmtId="0">
      <sharedItems/>
    </cacheField>
    <cacheField name="Tack Welding" numFmtId="0">
      <sharedItems/>
    </cacheField>
    <cacheField name="ID SAWL" numFmtId="0">
      <sharedItems/>
    </cacheField>
    <cacheField name="OD SAWL" numFmtId="0">
      <sharedItems/>
    </cacheField>
    <cacheField name="AUT1 in House" numFmtId="0">
      <sharedItems/>
    </cacheField>
    <cacheField name="Fluoroscopic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NonDate="0" containsString="0" containsBlank="1"/>
    </cacheField>
    <cacheField name="MCE Inspection Table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AUT2 In House" numFmtId="0">
      <sharedItems containsNonDate="0" containsString="0"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UT DHC" numFmtId="0">
      <sharedItems containsBlank="1"/>
    </cacheField>
    <cacheField name="Final Marking and Weigh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"/>
    <x v="0"/>
    <s v="609.600mm / 32.200mm"/>
    <s v="DNV-ST-F101-2021 x 450 SFDU"/>
    <x v="0"/>
    <x v="0"/>
    <s v="112430/2.V"/>
    <s v="12350"/>
    <s v="1"/>
    <s v="5021701"/>
    <s v="26.4.002086"/>
    <s v="800229.V"/>
    <s v="112430/2.V"/>
    <n v="122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"/>
    <x v="0"/>
    <s v="609.600mm / 32.200mm"/>
    <s v="DNV-ST-F101-2021 x 450 SFDU"/>
    <x v="1"/>
    <x v="1"/>
    <s v="112447/1.V"/>
    <s v="12450"/>
    <s v="1"/>
    <s v="5021701"/>
    <s v="26.4.002211"/>
    <s v="800222.V"/>
    <s v="11244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"/>
    <x v="0"/>
    <s v="609.600mm / 32.200mm"/>
    <s v="DNV-ST-F101-2021 x 450 SFDU"/>
    <x v="2"/>
    <x v="0"/>
    <s v="112426/2.V"/>
    <s v="12380"/>
    <s v="1"/>
    <s v="5021701"/>
    <s v="26.4.002085"/>
    <s v="800229.V"/>
    <s v="112426/2.V"/>
    <n v="121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"/>
    <x v="0"/>
    <s v="609.600mm / 32.200mm"/>
    <s v="DNV-ST-F101-2021 x 450 SFDU"/>
    <x v="3"/>
    <x v="0"/>
    <s v="112427/1.V"/>
    <s v="12470"/>
    <s v="1"/>
    <s v="5021701"/>
    <s v="26.4.002089"/>
    <s v="800229.V"/>
    <s v="112427/1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5"/>
    <x v="0"/>
    <s v="609.600mm / 32.200mm"/>
    <s v="DNV-ST-F101-2021 x 450 SFDU"/>
    <x v="4"/>
    <x v="0"/>
    <s v="112432/1.V"/>
    <s v="12360"/>
    <s v="1"/>
    <s v="5021701"/>
    <s v="26.4.002090"/>
    <s v="800229.V"/>
    <s v="112432/1.V"/>
    <n v="123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6"/>
    <x v="0"/>
    <s v="609.600mm / 32.200mm"/>
    <s v="DNV-ST-F101-2021 x 450 SFDU"/>
    <x v="5"/>
    <x v="2"/>
    <s v="112487/2.V"/>
    <s v="12460"/>
    <s v="1"/>
    <s v="5021701"/>
    <s v="26.4.002147"/>
    <s v="800233.V"/>
    <s v="11248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"/>
    <x v="0"/>
    <s v="609.600mm / 32.200mm"/>
    <s v="DNV-ST-F101-2021 x 450 SFDU"/>
    <x v="6"/>
    <x v="0"/>
    <s v="112424/1.V"/>
    <s v="12360"/>
    <s v="1"/>
    <s v="5021701"/>
    <s v="26.4.002092"/>
    <s v="800229.V"/>
    <s v="112424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"/>
    <x v="0"/>
    <s v="609.600mm / 32.200mm"/>
    <s v="DNV-ST-F101-2021 x 450 SFDU"/>
    <x v="7"/>
    <x v="0"/>
    <s v="112426/1.V"/>
    <s v="12430"/>
    <s v="1"/>
    <s v="5021701"/>
    <s v="26.4.002088"/>
    <s v="800229.V"/>
    <s v="11242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"/>
    <x v="0"/>
    <s v="609.600mm / 32.200mm"/>
    <s v="DNV-ST-F101-2021 x 450 SFDU"/>
    <x v="8"/>
    <x v="0"/>
    <s v="112430/1.V"/>
    <s v="12470"/>
    <s v="1"/>
    <s v="5021701"/>
    <s v="26.4.002094"/>
    <s v="800229.V"/>
    <s v="112430/1.V"/>
    <n v="12470"/>
    <s v="EC"/>
    <s v="PU"/>
    <s v="SEL"/>
    <s v="SI"/>
    <s v="SE"/>
    <s v="U1"/>
    <m/>
    <m/>
    <s v="SMS"/>
    <m/>
    <s v="EX2"/>
    <m/>
    <s v="TH"/>
    <m/>
    <s v="UTPA"/>
    <s v="UTMAN"/>
    <s v="UE"/>
    <m/>
    <m/>
    <m/>
    <m/>
    <m/>
    <m/>
    <m/>
  </r>
  <r>
    <s v="10"/>
    <x v="0"/>
    <s v="609.600mm / 32.200mm"/>
    <s v="DNV-ST-F101-2021 x 450 SFDU"/>
    <x v="9"/>
    <x v="3"/>
    <s v="112411/1.V"/>
    <s v="12460"/>
    <s v="1"/>
    <s v="5021701"/>
    <s v="26.4.002095"/>
    <s v="974058.V"/>
    <s v="112411/1.V"/>
    <n v="12460"/>
    <s v="EC"/>
    <s v="PU"/>
    <s v="SEL"/>
    <s v="SI"/>
    <s v="SE"/>
    <s v="U1"/>
    <m/>
    <m/>
    <m/>
    <m/>
    <m/>
    <m/>
    <m/>
    <m/>
    <m/>
    <m/>
    <m/>
    <m/>
    <m/>
    <m/>
    <m/>
    <m/>
    <m/>
    <m/>
  </r>
  <r>
    <s v="11"/>
    <x v="0"/>
    <s v="609.600mm / 32.200mm"/>
    <s v="DNV-ST-F101-2021 x 450 SFDU"/>
    <x v="10"/>
    <x v="3"/>
    <s v="112412/2.V"/>
    <s v="12470"/>
    <s v="1"/>
    <s v="5021701"/>
    <s v="26.4.002096"/>
    <s v="974058.V"/>
    <s v="112412/2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"/>
    <x v="0"/>
    <s v="609.600mm / 32.200mm"/>
    <s v="DNV-ST-F101-2021 x 450 SFDU"/>
    <x v="11"/>
    <x v="4"/>
    <s v="112460/1.V"/>
    <s v="12370"/>
    <s v="1"/>
    <s v="5021701"/>
    <s v="26.4.002097"/>
    <s v="800223.V"/>
    <s v="112460/1.V"/>
    <n v="1230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"/>
    <x v="0"/>
    <s v="609.600mm / 32.200mm"/>
    <s v="DNV-ST-F101-2021 x 450 SFDU"/>
    <x v="12"/>
    <x v="4"/>
    <s v="112459/2.V"/>
    <s v="12370"/>
    <s v="1"/>
    <s v="5021701"/>
    <s v="26.4.002098"/>
    <s v="800223.V"/>
    <s v="112459/2.V"/>
    <n v="123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"/>
    <x v="0"/>
    <s v="609.600mm / 32.200mm"/>
    <s v="DNV-ST-F101-2021 x 450 SFDU"/>
    <x v="13"/>
    <x v="2"/>
    <s v="112488/2.V"/>
    <s v="12450"/>
    <s v="1"/>
    <s v="5021701"/>
    <s v="26.4.002115"/>
    <s v="800233.V"/>
    <s v="11248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"/>
    <x v="0"/>
    <s v="609.600mm / 32.200mm"/>
    <s v="DNV-ST-F101-2021 x 450 SFDU"/>
    <x v="14"/>
    <x v="4"/>
    <s v="112460/2.V"/>
    <s v="12470"/>
    <s v="1"/>
    <s v="5021701"/>
    <s v="26.4.002100"/>
    <s v="800223.V"/>
    <s v="112460/2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"/>
    <x v="0"/>
    <s v="609.600mm / 32.200mm"/>
    <s v="DNV-ST-F101-2021 x 450 SFDU"/>
    <x v="15"/>
    <x v="3"/>
    <s v="112412/1.V"/>
    <s v="12460"/>
    <s v="1"/>
    <s v="5021701"/>
    <s v="26.4.002101"/>
    <s v="974058.V"/>
    <s v="112412/1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"/>
    <x v="0"/>
    <s v="609.600mm / 32.200mm"/>
    <s v="DNV-ST-F101-2021 x 450 SFDU"/>
    <x v="16"/>
    <x v="3"/>
    <s v="112411/2.V"/>
    <s v="12460"/>
    <s v="1"/>
    <s v="5021701"/>
    <s v="26.4.002102"/>
    <s v="974058.V"/>
    <s v="112411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8"/>
    <x v="0"/>
    <s v="609.600mm / 32.200mm"/>
    <s v="DNV-ST-F101-2021 x 450 SFDU"/>
    <x v="17"/>
    <x v="0"/>
    <s v="112427/2.V"/>
    <s v="12440"/>
    <s v="1"/>
    <s v="5021701"/>
    <s v="26.4.002103"/>
    <s v="800229.V"/>
    <s v="112427/2.V"/>
    <n v="12440"/>
    <s v="EC"/>
    <s v="PU"/>
    <s v="SEL"/>
    <s v="SI"/>
    <s v="SE"/>
    <s v="U1"/>
    <m/>
    <m/>
    <s v="SMS"/>
    <m/>
    <s v="EX2"/>
    <m/>
    <s v="TH"/>
    <m/>
    <s v="UTPA"/>
    <s v="UTMAN"/>
    <m/>
    <m/>
    <m/>
    <m/>
    <m/>
    <m/>
    <m/>
    <m/>
  </r>
  <r>
    <s v="19"/>
    <x v="0"/>
    <s v="609.600mm / 32.200mm"/>
    <s v="DNV-ST-F101-2021 x 450 SFDU"/>
    <x v="18"/>
    <x v="0"/>
    <s v="112425/2.V"/>
    <s v="12440"/>
    <s v="1"/>
    <s v="5021701"/>
    <s v="26.4.002093"/>
    <s v="800229.V"/>
    <s v="11242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0"/>
    <x v="0"/>
    <s v="609.600mm / 32.200mm"/>
    <s v="DNV-ST-F101-2021 x 450 SFDU"/>
    <x v="19"/>
    <x v="0"/>
    <s v="112425/1.V"/>
    <s v="12340"/>
    <s v="1"/>
    <s v="5021701"/>
    <s v="26.4.002105"/>
    <s v="800229.V"/>
    <s v="112425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1"/>
    <x v="0"/>
    <s v="609.600mm / 32.200mm"/>
    <s v="DNV-ST-F101-2021 x 450 SFDU"/>
    <x v="20"/>
    <x v="0"/>
    <s v="112422/2.V"/>
    <s v="12320"/>
    <s v="1"/>
    <s v="5021701"/>
    <s v="26.4.002106"/>
    <s v="800229.V"/>
    <s v="112422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2"/>
    <x v="0"/>
    <s v="609.600mm / 32.200mm"/>
    <s v="DNV-ST-F101-2021 x 450 SFDU"/>
    <x v="21"/>
    <x v="0"/>
    <s v="112423/2.V"/>
    <s v="12370"/>
    <s v="1"/>
    <s v="5021701"/>
    <s v="26.4.002107"/>
    <s v="800229.V"/>
    <s v="112423/2.V"/>
    <n v="122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3"/>
    <x v="0"/>
    <s v="609.600mm / 32.200mm"/>
    <s v="DNV-ST-F101-2021 x 450 SFDU"/>
    <x v="22"/>
    <x v="0"/>
    <s v="112424/2.V"/>
    <s v="12330"/>
    <s v="1"/>
    <s v="5021701"/>
    <s v="26.4.002108"/>
    <s v="800229.V"/>
    <s v="112424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4"/>
    <x v="0"/>
    <s v="609.600mm / 32.200mm"/>
    <s v="DNV-ST-F101-2021 x 450 SFDU"/>
    <x v="23"/>
    <x v="0"/>
    <s v="112428/2.V"/>
    <s v="12470"/>
    <s v="1"/>
    <s v="5021701"/>
    <s v="26.4.002109"/>
    <s v="800229.V"/>
    <s v="112428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5"/>
    <x v="0"/>
    <s v="609.600mm / 32.200mm"/>
    <s v="DNV-ST-F101-2021 x 450 SFDU"/>
    <x v="24"/>
    <x v="0"/>
    <s v="112423/1.V"/>
    <s v="12300"/>
    <s v="1"/>
    <s v="5021701"/>
    <s v="26.4.002110"/>
    <s v="800229.V"/>
    <s v="112423/1.V"/>
    <n v="1230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6"/>
    <x v="0"/>
    <s v="609.600mm / 32.200mm"/>
    <s v="DNV-ST-F101-2021 x 450 SFDU"/>
    <x v="25"/>
    <x v="0"/>
    <s v="112431/1.V"/>
    <s v="12440"/>
    <s v="1"/>
    <s v="5021701"/>
    <s v="26.4.002111"/>
    <s v="800229.V"/>
    <s v="112431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7"/>
    <x v="0"/>
    <s v="609.600mm / 32.200mm"/>
    <s v="DNV-ST-F101-2021 x 450 SFDU"/>
    <x v="26"/>
    <x v="0"/>
    <s v="112428/1.V"/>
    <s v="12440"/>
    <s v="1"/>
    <s v="5021701"/>
    <s v="26.4.002112"/>
    <s v="800229.V"/>
    <s v="112428/1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8"/>
    <x v="0"/>
    <s v="609.600mm / 32.200mm"/>
    <s v="DNV-ST-F101-2021 x 450 SFDU"/>
    <x v="27"/>
    <x v="0"/>
    <s v="112429/2.V"/>
    <s v="12470"/>
    <s v="1"/>
    <s v="5021701"/>
    <s v="26.4.002113"/>
    <s v="800229.V"/>
    <s v="112429/2.V"/>
    <n v="1247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29"/>
    <x v="0"/>
    <s v="609.600mm / 32.200mm"/>
    <s v="DNV-ST-F101-2021 x 450 SFDU"/>
    <x v="28"/>
    <x v="2"/>
    <s v="112487/1.V"/>
    <s v="12450"/>
    <s v="1"/>
    <s v="5021701"/>
    <s v="26.4.002114"/>
    <s v="800233.V"/>
    <s v="11248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0"/>
    <x v="0"/>
    <s v="609.600mm / 32.200mm"/>
    <s v="DNV-ST-F101-2021 x 450 SFDU"/>
    <x v="29"/>
    <x v="4"/>
    <s v="112459/1.V"/>
    <s v="12460"/>
    <s v="1"/>
    <s v="5021701"/>
    <s v="26.4.002099"/>
    <s v="800223.V"/>
    <s v="112459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1"/>
    <x v="0"/>
    <s v="609.600mm / 32.200mm"/>
    <s v="DNV-ST-F101-2021 x 450 SFDU"/>
    <x v="30"/>
    <x v="2"/>
    <s v="112485/2.V"/>
    <s v="12020"/>
    <s v="1"/>
    <s v="5021701"/>
    <s v="26.4.002116"/>
    <s v="800233.V"/>
    <s v="112485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2"/>
    <x v="0"/>
    <s v="609.600mm / 32.200mm"/>
    <s v="DNV-ST-F101-2021 x 450 SFDU"/>
    <x v="31"/>
    <x v="2"/>
    <s v="112490/1.V"/>
    <s v="12020"/>
    <s v="1"/>
    <s v="5021701"/>
    <s v="26.4.002117"/>
    <s v="800233.V"/>
    <s v="112490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3"/>
    <x v="0"/>
    <s v="609.600mm / 32.200mm"/>
    <s v="DNV-ST-F101-2021 x 450 SFDU"/>
    <x v="32"/>
    <x v="5"/>
    <s v="112444/2.V"/>
    <s v="12470"/>
    <s v="1"/>
    <s v="5021701"/>
    <s v="26.4.002118"/>
    <s v="800232.V"/>
    <s v="112444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4"/>
    <x v="0"/>
    <s v="609.600mm / 32.200mm"/>
    <s v="DNV-ST-F101-2021 x 450 SFDU"/>
    <x v="33"/>
    <x v="2"/>
    <s v="112483/1.V"/>
    <s v="12450"/>
    <s v="1"/>
    <s v="5021701"/>
    <s v="26.4.002119"/>
    <s v="800233.V"/>
    <s v="11248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5"/>
    <x v="0"/>
    <s v="609.600mm / 32.200mm"/>
    <s v="DNV-ST-F101-2021 x 450 SFDU"/>
    <x v="34"/>
    <x v="5"/>
    <s v="112437/2.V"/>
    <s v="12450"/>
    <s v="1"/>
    <s v="5021701"/>
    <s v="26.4.002120"/>
    <s v="800232.V"/>
    <s v="11243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6"/>
    <x v="0"/>
    <s v="609.600mm / 32.200mm"/>
    <s v="DNV-ST-F101-2021 x 450 SFDU"/>
    <x v="35"/>
    <x v="5"/>
    <s v="112441/2.V"/>
    <s v="12450"/>
    <s v="1"/>
    <s v="5021701"/>
    <s v="26.4.002121"/>
    <s v="800232.V"/>
    <s v="112441/2.V"/>
    <n v="122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7"/>
    <x v="0"/>
    <s v="609.600mm / 32.200mm"/>
    <s v="DNV-ST-F101-2021 x 450 SFDU"/>
    <x v="36"/>
    <x v="5"/>
    <s v="112434/2.V"/>
    <s v="12450"/>
    <s v="1"/>
    <s v="5021701"/>
    <s v="26.4.002122"/>
    <s v="800232.V"/>
    <s v="112434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8"/>
    <x v="0"/>
    <s v="609.600mm / 32.200mm"/>
    <s v="DNV-ST-F101-2021 x 450 SFDU"/>
    <x v="37"/>
    <x v="5"/>
    <s v="112437/1.V"/>
    <s v="12450"/>
    <s v="1"/>
    <s v="5021701"/>
    <s v="26.4.002123"/>
    <s v="800232.V"/>
    <s v="11243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9"/>
    <x v="0"/>
    <s v="609.600mm / 32.200mm"/>
    <s v="DNV-ST-F101-2021 x 450 SFDU"/>
    <x v="38"/>
    <x v="5"/>
    <s v="112436/2.V"/>
    <s v="12450"/>
    <s v="1"/>
    <s v="5021701"/>
    <s v="26.4.002124"/>
    <s v="800232.V"/>
    <s v="11243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0"/>
    <x v="0"/>
    <s v="609.600mm / 32.200mm"/>
    <s v="DNV-ST-F101-2021 x 450 SFDU"/>
    <x v="39"/>
    <x v="5"/>
    <s v="112442/1.V"/>
    <s v="12450"/>
    <s v="1"/>
    <s v="5021701"/>
    <s v="26.4.002125"/>
    <s v="800232.V"/>
    <s v="11244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1"/>
    <x v="0"/>
    <s v="609.600mm / 32.200mm"/>
    <s v="DNV-ST-F101-2021 x 450 SFDU"/>
    <x v="40"/>
    <x v="0"/>
    <s v="112429/1.V"/>
    <s v="12430"/>
    <s v="1"/>
    <s v="5021701"/>
    <s v="26.4.002104"/>
    <s v="800229.V"/>
    <s v="11242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2"/>
    <x v="0"/>
    <s v="609.600mm / 32.200mm"/>
    <s v="DNV-ST-F101-2021 x 450 SFDU"/>
    <x v="41"/>
    <x v="5"/>
    <s v="112436/1.V"/>
    <s v="12450"/>
    <s v="1"/>
    <s v="5021701"/>
    <s v="26.4.002127"/>
    <s v="800232.V"/>
    <s v="11243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3"/>
    <x v="0"/>
    <s v="609.600mm / 32.200mm"/>
    <s v="DNV-ST-F101-2021 x 450 SFDU"/>
    <x v="42"/>
    <x v="5"/>
    <s v="112434/1.V"/>
    <s v="12450"/>
    <s v="1"/>
    <s v="5021701"/>
    <s v="26.4.002128"/>
    <s v="800232.V"/>
    <s v="112434/1.V"/>
    <n v="12470"/>
    <s v="EC"/>
    <s v="PU"/>
    <s v="SEL"/>
    <s v="SI"/>
    <s v="SE"/>
    <s v="U1"/>
    <s v="FL"/>
    <m/>
    <m/>
    <m/>
    <m/>
    <m/>
    <m/>
    <m/>
    <m/>
    <m/>
    <m/>
    <m/>
    <m/>
    <m/>
    <m/>
    <m/>
    <m/>
    <m/>
  </r>
  <r>
    <s v="44"/>
    <x v="0"/>
    <s v="609.600mm / 32.200mm"/>
    <s v="DNV-ST-F101-2021 x 450 SFDU"/>
    <x v="43"/>
    <x v="5"/>
    <s v="112433/2.V"/>
    <s v="12450"/>
    <s v="1"/>
    <s v="5021701"/>
    <s v="26.4.002129"/>
    <s v="800232.V"/>
    <s v="112433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5"/>
    <x v="0"/>
    <s v="609.600mm / 32.200mm"/>
    <s v="DNV-ST-F101-2021 x 450 SFDU"/>
    <x v="44"/>
    <x v="5"/>
    <s v="112444/1.V"/>
    <s v="12450"/>
    <s v="1"/>
    <s v="5021701"/>
    <s v="26.4.002130"/>
    <s v="800232.V"/>
    <s v="11244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6"/>
    <x v="0"/>
    <s v="609.600mm / 32.200mm"/>
    <s v="DNV-ST-F101-2021 x 450 SFDU"/>
    <x v="45"/>
    <x v="5"/>
    <s v="112438/1.V"/>
    <s v="12450"/>
    <s v="1"/>
    <s v="5021701"/>
    <s v="26.4.002131"/>
    <s v="800232.V"/>
    <s v="112438/1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7"/>
    <x v="0"/>
    <s v="609.600mm / 32.200mm"/>
    <s v="DNV-ST-F101-2021 x 450 SFDU"/>
    <x v="46"/>
    <x v="5"/>
    <s v="112440/2.V"/>
    <s v="12450"/>
    <s v="1"/>
    <s v="5021701"/>
    <s v="26.4.002132"/>
    <s v="800232.V"/>
    <s v="11244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8"/>
    <x v="0"/>
    <s v="609.600mm / 32.200mm"/>
    <s v="DNV-ST-F101-2021 x 450 SFDU"/>
    <x v="47"/>
    <x v="5"/>
    <s v="112441/1.V"/>
    <s v="12450"/>
    <s v="1"/>
    <s v="5021701"/>
    <s v="26.4.002133"/>
    <s v="800232.V"/>
    <s v="112441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9"/>
    <x v="0"/>
    <s v="609.600mm / 32.200mm"/>
    <s v="DNV-ST-F101-2021 x 450 SFDU"/>
    <x v="48"/>
    <x v="5"/>
    <s v="112443/2.V"/>
    <s v="12450"/>
    <s v="1"/>
    <s v="5021701"/>
    <s v="26.4.002134"/>
    <s v="800232.V"/>
    <s v="11244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0"/>
    <x v="0"/>
    <s v="609.600mm / 32.200mm"/>
    <s v="DNV-ST-F101-2021 x 450 SFDU"/>
    <x v="49"/>
    <x v="5"/>
    <s v="112445/2.V"/>
    <s v="12450"/>
    <s v="1"/>
    <s v="5021701"/>
    <s v="26.4.002135"/>
    <s v="800232.V"/>
    <s v="11244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1"/>
    <x v="0"/>
    <s v="609.600mm / 32.200mm"/>
    <s v="DNV-ST-F101-2021 x 450 SFDU"/>
    <x v="50"/>
    <x v="5"/>
    <s v="112435/1.V"/>
    <s v="12450"/>
    <s v="1"/>
    <s v="5021701"/>
    <s v="26.4.002136"/>
    <s v="800232.V"/>
    <s v="11243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2"/>
    <x v="0"/>
    <s v="609.600mm / 32.200mm"/>
    <s v="DNV-ST-F101-2021 x 450 SFDU"/>
    <x v="51"/>
    <x v="5"/>
    <s v="112445/1.V"/>
    <s v="12450"/>
    <s v="1"/>
    <s v="5021701"/>
    <s v="26.4.002137"/>
    <s v="800232.V"/>
    <s v="11244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3"/>
    <x v="0"/>
    <s v="609.600mm / 32.200mm"/>
    <s v="DNV-ST-F101-2021 x 450 SFDU"/>
    <x v="52"/>
    <x v="5"/>
    <s v="112440/1.V"/>
    <s v="12450"/>
    <s v="1"/>
    <s v="5021701"/>
    <s v="26.4.002138"/>
    <s v="800232.V"/>
    <s v="112440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4"/>
    <x v="0"/>
    <s v="609.600mm / 32.200mm"/>
    <s v="DNV-ST-F101-2021 x 450 SFDU"/>
    <x v="53"/>
    <x v="5"/>
    <s v="112435/2.V"/>
    <s v="12450"/>
    <s v="1"/>
    <s v="5021701"/>
    <s v="26.4.002139"/>
    <s v="800232.V"/>
    <s v="112435/2.V"/>
    <n v="123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5"/>
    <x v="0"/>
    <s v="609.600mm / 32.200mm"/>
    <s v="DNV-ST-F101-2021 x 450 SFDU"/>
    <x v="54"/>
    <x v="5"/>
    <s v="112439/2.V"/>
    <s v="12450"/>
    <s v="1"/>
    <s v="5021701"/>
    <s v="26.4.002140"/>
    <s v="800232.V"/>
    <s v="112439/2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6"/>
    <x v="0"/>
    <s v="609.600mm / 32.200mm"/>
    <s v="DNV-ST-F101-2021 x 450 SFDU"/>
    <x v="55"/>
    <x v="5"/>
    <s v="112438/2.V"/>
    <s v="12450"/>
    <s v="1"/>
    <s v="5021701"/>
    <s v="26.4.002141"/>
    <s v="800232.V"/>
    <s v="112438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7"/>
    <x v="0"/>
    <s v="609.600mm / 32.200mm"/>
    <s v="DNV-ST-F101-2021 x 450 SFDU"/>
    <x v="56"/>
    <x v="5"/>
    <s v="112443/1.V"/>
    <s v="12450"/>
    <s v="1"/>
    <s v="5021701"/>
    <s v="26.4.002142"/>
    <s v="800232.V"/>
    <s v="11244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8"/>
    <x v="0"/>
    <s v="609.600mm / 32.200mm"/>
    <s v="DNV-ST-F101-2021 x 450 SFDU"/>
    <x v="57"/>
    <x v="5"/>
    <s v="112442/2.V"/>
    <s v="12450"/>
    <s v="1"/>
    <s v="5021701"/>
    <s v="26.4.002143"/>
    <s v="800232.V"/>
    <s v="112442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9"/>
    <x v="0"/>
    <s v="609.600mm / 32.200mm"/>
    <s v="DNV-ST-F101-2021 x 450 SFDU"/>
    <x v="58"/>
    <x v="2"/>
    <s v="112484/2.V"/>
    <s v="12470"/>
    <s v="1"/>
    <s v="5021701"/>
    <s v="26.4.002144"/>
    <s v="800233.V"/>
    <s v="11248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0"/>
    <x v="0"/>
    <s v="609.600mm / 32.200mm"/>
    <s v="DNV-ST-F101-2021 x 450 SFDU"/>
    <x v="59"/>
    <x v="2"/>
    <s v="112486/1.V"/>
    <s v="12470"/>
    <s v="1"/>
    <s v="5021701"/>
    <s v="26.4.002145"/>
    <s v="800233.V"/>
    <s v="11248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1"/>
    <x v="0"/>
    <s v="609.600mm / 32.200mm"/>
    <s v="DNV-ST-F101-2021 x 450 SFDU"/>
    <x v="60"/>
    <x v="2"/>
    <s v="112484/1.V"/>
    <s v="12450"/>
    <s v="1"/>
    <s v="5021701"/>
    <s v="26.4.002146"/>
    <s v="800233.V"/>
    <s v="11248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2"/>
    <x v="0"/>
    <s v="609.600mm / 32.200mm"/>
    <s v="DNV-ST-F101-2021 x 450 SFDU"/>
    <x v="61"/>
    <x v="0"/>
    <s v="112431/2.V"/>
    <s v="12360"/>
    <s v="1"/>
    <s v="5021701"/>
    <s v="26.4.002091"/>
    <s v="800229.V"/>
    <s v="112431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3"/>
    <x v="0"/>
    <s v="609.600mm / 32.200mm"/>
    <s v="DNV-ST-F101-2021 x 450 SFDU"/>
    <x v="62"/>
    <x v="2"/>
    <s v="112490/2.V"/>
    <s v="12450"/>
    <s v="1"/>
    <s v="5021701"/>
    <s v="26.4.002148"/>
    <s v="800233.V"/>
    <s v="11249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4"/>
    <x v="0"/>
    <s v="609.600mm / 32.200mm"/>
    <s v="DNV-ST-F101-2021 x 450 SFDU"/>
    <x v="63"/>
    <x v="2"/>
    <s v="112483/2.V"/>
    <s v="12450"/>
    <s v="1"/>
    <s v="5021701"/>
    <s v="26.4.002149"/>
    <s v="800233.V"/>
    <s v="11248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5"/>
    <x v="0"/>
    <s v="609.600mm / 32.200mm"/>
    <s v="DNV-ST-F101-2021 x 450 SFDU"/>
    <x v="64"/>
    <x v="2"/>
    <s v="112489/1.V"/>
    <s v="12450"/>
    <s v="1"/>
    <s v="5021701"/>
    <s v="26.4.002150"/>
    <s v="800233.V"/>
    <s v="11248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6"/>
    <x v="0"/>
    <s v="609.600mm / 32.200mm"/>
    <s v="DNV-ST-F101-2021 x 450 SFDU"/>
    <x v="65"/>
    <x v="2"/>
    <s v="112485/1.V"/>
    <s v="12450"/>
    <s v="1"/>
    <s v="5021701"/>
    <s v="26.4.002151"/>
    <s v="800233.V"/>
    <s v="112485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7"/>
    <x v="0"/>
    <s v="609.600mm / 32.200mm"/>
    <s v="DNV-ST-F101-2021 x 450 SFDU"/>
    <x v="66"/>
    <x v="2"/>
    <s v="112489/2.V"/>
    <s v="12450"/>
    <s v="1"/>
    <s v="5021701"/>
    <s v="26.4.002152"/>
    <s v="800233.V"/>
    <s v="112489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8"/>
    <x v="0"/>
    <s v="609.600mm / 32.200mm"/>
    <s v="DNV-ST-F101-2021 x 450 SFDU"/>
    <x v="67"/>
    <x v="2"/>
    <s v="112486/2.V"/>
    <s v="12450"/>
    <s v="1"/>
    <s v="5021701"/>
    <s v="26.4.002153"/>
    <s v="800233.V"/>
    <s v="11248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9"/>
    <x v="0"/>
    <s v="609.600mm / 32.200mm"/>
    <s v="DNV-ST-F101-2021 x 450 SFDU"/>
    <x v="68"/>
    <x v="6"/>
    <s v="112403/1.V"/>
    <s v="12470"/>
    <s v="1"/>
    <s v="5021701"/>
    <s v="26.4.002154"/>
    <s v="780325.V"/>
    <s v="112403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0"/>
    <x v="0"/>
    <s v="609.600mm / 32.200mm"/>
    <s v="DNV-ST-F101-2021 x 450 SFDU"/>
    <x v="69"/>
    <x v="6"/>
    <s v="112405/2.V"/>
    <s v="12450"/>
    <s v="1"/>
    <s v="5021701"/>
    <s v="26.4.002155"/>
    <s v="780325.V"/>
    <s v="11240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1"/>
    <x v="0"/>
    <s v="609.600mm / 32.200mm"/>
    <s v="DNV-ST-F101-2021 x 450 SFDU"/>
    <x v="70"/>
    <x v="6"/>
    <s v="112409/2.V"/>
    <s v="12040"/>
    <s v="1"/>
    <s v="5021701"/>
    <s v="26.4.002156"/>
    <s v="780325.V"/>
    <s v="112409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2"/>
    <x v="0"/>
    <s v="609.600mm / 32.200mm"/>
    <s v="DNV-ST-F101-2021 x 450 SFDU"/>
    <x v="71"/>
    <x v="6"/>
    <s v="112406/2.V"/>
    <s v="12480"/>
    <s v="1"/>
    <s v="5021701"/>
    <s v="26.4.002157"/>
    <s v="780325.V"/>
    <s v="112406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3"/>
    <x v="0"/>
    <s v="609.600mm / 32.200mm"/>
    <s v="DNV-ST-F101-2021 x 450 SFDU"/>
    <x v="72"/>
    <x v="6"/>
    <s v="112407/2.V"/>
    <s v="12450"/>
    <s v="1"/>
    <s v="5021701"/>
    <s v="26.4.002158"/>
    <s v="780325.V"/>
    <s v="11240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4"/>
    <x v="0"/>
    <s v="609.600mm / 32.200mm"/>
    <s v="DNV-ST-F101-2021 x 450 SFDU"/>
    <x v="73"/>
    <x v="6"/>
    <s v="112405/1.V"/>
    <s v="12450"/>
    <s v="1"/>
    <s v="5021701"/>
    <s v="26.4.002159"/>
    <s v="780325.V"/>
    <s v="112405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5"/>
    <x v="0"/>
    <s v="609.600mm / 32.200mm"/>
    <s v="DNV-ST-F101-2021 x 450 SFDU"/>
    <x v="74"/>
    <x v="6"/>
    <s v="112397/2.V"/>
    <s v="12450"/>
    <s v="1"/>
    <s v="5021701"/>
    <s v="26.4.002160"/>
    <s v="780325.V"/>
    <s v="11239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6"/>
    <x v="0"/>
    <s v="609.600mm / 32.200mm"/>
    <s v="DNV-ST-F101-2021 x 450 SFDU"/>
    <x v="75"/>
    <x v="6"/>
    <s v="112404/2.V"/>
    <s v="12450"/>
    <s v="1"/>
    <s v="5021701"/>
    <s v="26.4.002161"/>
    <s v="780325.V"/>
    <s v="112404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7"/>
    <x v="0"/>
    <s v="609.600mm / 32.200mm"/>
    <s v="DNV-ST-F101-2021 x 450 SFDU"/>
    <x v="76"/>
    <x v="2"/>
    <s v="112488/1.V"/>
    <s v="12450"/>
    <s v="1"/>
    <s v="5021701"/>
    <s v="26.4.002162"/>
    <s v="800233.V"/>
    <s v="112488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8"/>
    <x v="0"/>
    <s v="609.600mm / 32.200mm"/>
    <s v="DNV-ST-F101-2021 x 450 SFDU"/>
    <x v="77"/>
    <x v="6"/>
    <s v="112404/1.V"/>
    <s v="12450"/>
    <s v="1"/>
    <s v="5021701"/>
    <s v="26.4.002163"/>
    <s v="780325.V"/>
    <s v="11240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9"/>
    <x v="0"/>
    <s v="609.600mm / 32.200mm"/>
    <s v="DNV-ST-F101-2021 x 450 SFDU"/>
    <x v="78"/>
    <x v="6"/>
    <s v="112408/1.V"/>
    <s v="12450"/>
    <s v="1"/>
    <s v="5021701"/>
    <s v="26.4.002164"/>
    <s v="780325.V"/>
    <s v="11240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0"/>
    <x v="0"/>
    <s v="609.600mm / 32.200mm"/>
    <s v="DNV-ST-F101-2021 x 450 SFDU"/>
    <x v="79"/>
    <x v="6"/>
    <s v="112408/2.V"/>
    <s v="12450"/>
    <s v="1"/>
    <s v="5021701"/>
    <s v="26.4.002165"/>
    <s v="780325.V"/>
    <s v="11240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1"/>
    <x v="0"/>
    <s v="609.600mm / 32.200mm"/>
    <s v="DNV-ST-F101-2021 x 450 SFDU"/>
    <x v="80"/>
    <x v="6"/>
    <s v="112400/2.V"/>
    <s v="12450"/>
    <s v="1"/>
    <s v="5021701"/>
    <s v="26.4.002166"/>
    <s v="780325.V"/>
    <s v="112400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2"/>
    <x v="0"/>
    <s v="609.600mm / 32.200mm"/>
    <s v="DNV-ST-F101-2021 x 450 SFDU"/>
    <x v="81"/>
    <x v="6"/>
    <s v="112399/2.V"/>
    <s v="12450"/>
    <s v="1"/>
    <s v="5021701"/>
    <s v="26.4.002167"/>
    <s v="780325.V"/>
    <s v="112399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3"/>
    <x v="0"/>
    <s v="609.600mm / 32.200mm"/>
    <s v="DNV-ST-F101-2021 x 450 SFDU"/>
    <x v="82"/>
    <x v="6"/>
    <s v="112401/2.V"/>
    <s v="12450"/>
    <s v="1"/>
    <s v="5021701"/>
    <s v="26.4.002168"/>
    <s v="780325.V"/>
    <s v="112401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4"/>
    <x v="0"/>
    <s v="609.600mm / 32.200mm"/>
    <s v="DNV-ST-F101-2021 x 450 SFDU"/>
    <x v="83"/>
    <x v="5"/>
    <s v="112439/1.V"/>
    <s v="12450"/>
    <s v="1"/>
    <s v="5021701"/>
    <s v="26.4.002126"/>
    <s v="800232.V"/>
    <s v="11243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5"/>
    <x v="0"/>
    <s v="609.600mm / 32.200mm"/>
    <s v="DNV-ST-F101-2021 x 450 SFDU"/>
    <x v="84"/>
    <x v="6"/>
    <s v="112403/2.V"/>
    <s v="12450"/>
    <s v="1"/>
    <s v="5021701"/>
    <s v="26.4.002170"/>
    <s v="780325.V"/>
    <s v="112403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86"/>
    <x v="0"/>
    <s v="609.600mm / 32.200mm"/>
    <s v="DNV-ST-F101-2021 x 450 SFDU"/>
    <x v="85"/>
    <x v="6"/>
    <s v="112401/1.V"/>
    <s v="12070"/>
    <s v="1"/>
    <s v="5021701"/>
    <s v="26.4.002171"/>
    <s v="780325.V"/>
    <s v="112401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7"/>
    <x v="0"/>
    <s v="609.600mm / 32.200mm"/>
    <s v="DNV-ST-F101-2021 x 450 SFDU"/>
    <x v="86"/>
    <x v="6"/>
    <s v="112402/2.V"/>
    <s v="12450"/>
    <s v="1"/>
    <s v="5021701"/>
    <s v="26.4.002172"/>
    <s v="780325.V"/>
    <s v="112402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8"/>
    <x v="0"/>
    <s v="609.600mm / 32.200mm"/>
    <s v="DNV-ST-F101-2021 x 450 SFDU"/>
    <x v="87"/>
    <x v="6"/>
    <s v="112399/1.V"/>
    <s v="12450"/>
    <s v="1"/>
    <s v="5021701"/>
    <s v="26.4.002173"/>
    <s v="780325.V"/>
    <s v="11239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9"/>
    <x v="0"/>
    <s v="609.600mm / 32.200mm"/>
    <s v="DNV-ST-F101-2021 x 450 SFDU"/>
    <x v="88"/>
    <x v="7"/>
    <s v="112482/1.V"/>
    <s v="12450"/>
    <s v="1"/>
    <s v="5021701"/>
    <s v="26.4.002174"/>
    <s v="974062.V"/>
    <s v="112482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0"/>
    <x v="0"/>
    <s v="609.600mm / 32.200mm"/>
    <s v="DNV-ST-F101-2021 x 450 SFDU"/>
    <x v="89"/>
    <x v="7"/>
    <s v="112470/2.V"/>
    <s v="12450"/>
    <s v="1"/>
    <s v="5021701"/>
    <s v="26.4.002175"/>
    <s v="974062.V"/>
    <s v="112470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1"/>
    <x v="0"/>
    <s v="609.600mm / 32.200mm"/>
    <s v="DNV-ST-F101-2021 x 450 SFDU"/>
    <x v="90"/>
    <x v="7"/>
    <s v="112478/1.V"/>
    <s v="12460"/>
    <s v="1"/>
    <s v="5021701"/>
    <s v="26.4.002176"/>
    <s v="974062.V"/>
    <s v="112478/1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92"/>
    <x v="0"/>
    <s v="609.600mm / 32.200mm"/>
    <s v="DNV-ST-F101-2021 x 450 SFDU"/>
    <x v="91"/>
    <x v="7"/>
    <s v="112481/2.V"/>
    <s v="12460"/>
    <s v="1"/>
    <s v="5021701"/>
    <s v="26.4.002177"/>
    <s v="974062.V"/>
    <s v="112481/2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3"/>
    <x v="0"/>
    <s v="609.600mm / 32.200mm"/>
    <s v="DNV-ST-F101-2021 x 450 SFDU"/>
    <x v="92"/>
    <x v="4"/>
    <s v="112461/2.V"/>
    <s v="12450"/>
    <s v="1"/>
    <s v="5021701"/>
    <s v="26.4.002178"/>
    <s v="800223.V"/>
    <s v="112461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4"/>
    <x v="0"/>
    <s v="609.600mm / 32.200mm"/>
    <s v="DNV-ST-F101-2021 x 450 SFDU"/>
    <x v="93"/>
    <x v="4"/>
    <s v="112461/1.V"/>
    <s v="12460"/>
    <s v="1"/>
    <s v="5021701"/>
    <s v="26.4.002179"/>
    <s v="800223.V"/>
    <s v="112461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5"/>
    <x v="0"/>
    <s v="609.600mm / 32.200mm"/>
    <s v="DNV-ST-F101-2021 x 450 SFDU"/>
    <x v="94"/>
    <x v="4"/>
    <s v="112463/2.V"/>
    <s v="12450"/>
    <s v="1"/>
    <s v="5021701"/>
    <s v="26.4.002180"/>
    <s v="800223.V"/>
    <s v="11246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6"/>
    <x v="0"/>
    <s v="609.600mm / 32.200mm"/>
    <s v="DNV-ST-F101-2021 x 450 SFDU"/>
    <x v="95"/>
    <x v="4"/>
    <s v="112464/2.V"/>
    <s v="12460"/>
    <s v="1"/>
    <s v="5021701"/>
    <s v="26.4.002181"/>
    <s v="800223.V"/>
    <s v="11246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7"/>
    <x v="0"/>
    <s v="609.600mm / 32.200mm"/>
    <s v="DNV-ST-F101-2021 x 450 SFDU"/>
    <x v="96"/>
    <x v="4"/>
    <s v="112462/2.V"/>
    <s v="12450"/>
    <s v="1"/>
    <s v="5021701"/>
    <s v="26.4.002182"/>
    <s v="800223.V"/>
    <s v="112462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8"/>
    <x v="0"/>
    <s v="609.600mm / 32.200mm"/>
    <s v="DNV-ST-F101-2021 x 450 SFDU"/>
    <x v="97"/>
    <x v="4"/>
    <s v="112458/2.V"/>
    <s v="12450"/>
    <s v="1"/>
    <s v="5021701"/>
    <s v="26.4.002183"/>
    <s v="800223.V"/>
    <s v="11245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9"/>
    <x v="0"/>
    <s v="609.600mm / 32.200mm"/>
    <s v="DNV-ST-F101-2021 x 450 SFDU"/>
    <x v="98"/>
    <x v="4"/>
    <s v="112464/1.V"/>
    <s v="12450"/>
    <s v="1"/>
    <s v="5021701"/>
    <s v="26.4.002184"/>
    <s v="800223.V"/>
    <s v="11246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0"/>
    <x v="0"/>
    <s v="609.600mm / 32.200mm"/>
    <s v="DNV-ST-F101-2021 x 450 SFDU"/>
    <x v="99"/>
    <x v="4"/>
    <s v="112463/1.V"/>
    <s v="12450"/>
    <s v="1"/>
    <s v="5021701"/>
    <s v="26.4.002185"/>
    <s v="800223.V"/>
    <s v="11246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1"/>
    <x v="0"/>
    <s v="609.600mm / 32.200mm"/>
    <s v="DNV-ST-F101-2021 x 450 SFDU"/>
    <x v="100"/>
    <x v="4"/>
    <s v="112454/2.V"/>
    <s v="12450"/>
    <s v="1"/>
    <s v="5021701"/>
    <s v="26.4.002186"/>
    <s v="800223.V"/>
    <s v="11245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2"/>
    <x v="0"/>
    <s v="609.600mm / 32.200mm"/>
    <s v="DNV-ST-F101-2021 x 450 SFDU"/>
    <x v="101"/>
    <x v="4"/>
    <s v="112458/1.V"/>
    <s v="12470"/>
    <s v="1"/>
    <s v="5021701"/>
    <s v="26.4.002187"/>
    <s v="800223.V"/>
    <s v="11245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3"/>
    <x v="0"/>
    <s v="609.600mm / 32.200mm"/>
    <s v="DNV-ST-F101-2021 x 450 SFDU"/>
    <x v="102"/>
    <x v="4"/>
    <s v="112455/2.V"/>
    <s v="12450"/>
    <s v="1"/>
    <s v="5021701"/>
    <s v="26.4.002188"/>
    <s v="800223.V"/>
    <s v="112455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04"/>
    <x v="0"/>
    <s v="609.600mm / 32.200mm"/>
    <s v="DNV-ST-F101-2021 x 450 SFDU"/>
    <x v="103"/>
    <x v="4"/>
    <s v="112456/1.V"/>
    <s v="12460"/>
    <s v="1"/>
    <s v="5021701"/>
    <s v="26.4.002189"/>
    <s v="800223.V"/>
    <s v="11245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05"/>
    <x v="0"/>
    <s v="609.600mm / 32.200mm"/>
    <s v="DNV-ST-F101-2021 x 450 SFDU"/>
    <x v="104"/>
    <x v="4"/>
    <s v="112454/1.V"/>
    <s v="12470"/>
    <s v="1"/>
    <s v="5021701"/>
    <s v="26.4.002190"/>
    <s v="800223.V"/>
    <s v="112454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6"/>
    <x v="0"/>
    <s v="609.600mm / 32.200mm"/>
    <s v="DNV-ST-F101-2021 x 450 SFDU"/>
    <x v="105"/>
    <x v="4"/>
    <s v="112462/1.V"/>
    <s v="12460"/>
    <s v="1"/>
    <s v="5021701"/>
    <s v="26.4.002191"/>
    <s v="800223.V"/>
    <s v="112462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7"/>
    <x v="0"/>
    <s v="609.600mm / 32.200mm"/>
    <s v="DNV-ST-F101-2021 x 450 SFDU"/>
    <x v="106"/>
    <x v="4"/>
    <s v="112455/1.V"/>
    <s v="12470"/>
    <s v="1"/>
    <s v="5021701"/>
    <s v="26.4.002192"/>
    <s v="800223.V"/>
    <s v="112455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8"/>
    <x v="0"/>
    <s v="609.600mm / 32.200mm"/>
    <s v="DNV-ST-F101-2021 x 450 SFDU"/>
    <x v="107"/>
    <x v="4"/>
    <s v="112457/2.V"/>
    <s v="12450"/>
    <s v="1"/>
    <s v="5021701"/>
    <s v="26.4.002193"/>
    <s v="800223.V"/>
    <s v="11245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9"/>
    <x v="0"/>
    <s v="609.600mm / 32.200mm"/>
    <s v="DNV-ST-F101-2021 x 450 SFDU"/>
    <x v="108"/>
    <x v="6"/>
    <s v="112397/1.V"/>
    <s v="12460"/>
    <s v="1"/>
    <s v="5021701"/>
    <s v="26.4.002194"/>
    <s v="780325.V"/>
    <s v="112397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0"/>
    <x v="0"/>
    <s v="609.600mm / 32.200mm"/>
    <s v="DNV-ST-F101-2021 x 450 SFDU"/>
    <x v="109"/>
    <x v="4"/>
    <s v="112457/1.V"/>
    <s v="12460"/>
    <s v="1"/>
    <s v="5021701"/>
    <s v="26.4.002195"/>
    <s v="800223.V"/>
    <s v="112457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1"/>
    <x v="0"/>
    <s v="609.600mm / 32.200mm"/>
    <s v="DNV-ST-F101-2021 x 450 SFDU"/>
    <x v="110"/>
    <x v="6"/>
    <s v="112402/1.V"/>
    <s v="12450"/>
    <s v="1"/>
    <s v="5021701"/>
    <s v="26.4.002196"/>
    <s v="780325.V"/>
    <s v="11240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2"/>
    <x v="0"/>
    <s v="609.600mm / 32.200mm"/>
    <s v="DNV-ST-F101-2021 x 450 SFDU"/>
    <x v="111"/>
    <x v="6"/>
    <s v="112400/1.V"/>
    <s v="12460"/>
    <s v="1"/>
    <s v="5021701"/>
    <s v="26.4.002197"/>
    <s v="780325.V"/>
    <s v="112400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3"/>
    <x v="0"/>
    <s v="609.600mm / 32.200mm"/>
    <s v="DNV-ST-F101-2021 x 450 SFDU"/>
    <x v="112"/>
    <x v="6"/>
    <s v="112398/1.V"/>
    <s v="12450"/>
    <s v="1"/>
    <s v="5021701"/>
    <s v="26.4.002198"/>
    <s v="780325.V"/>
    <s v="11239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4"/>
    <x v="0"/>
    <s v="609.600mm / 32.200mm"/>
    <s v="DNV-ST-F101-2021 x 450 SFDU"/>
    <x v="113"/>
    <x v="6"/>
    <s v="112398/2.V"/>
    <s v="12450"/>
    <s v="1"/>
    <s v="5021701"/>
    <s v="26.4.002199"/>
    <s v="780325.V"/>
    <s v="11239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5"/>
    <x v="0"/>
    <s v="609.600mm / 32.200mm"/>
    <s v="DNV-ST-F101-2021 x 450 SFDU"/>
    <x v="114"/>
    <x v="6"/>
    <s v="112410/2.V"/>
    <s v="12470"/>
    <s v="1"/>
    <s v="5021701"/>
    <s v="26.4.002200"/>
    <s v="780325.V"/>
    <s v="11241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6"/>
    <x v="0"/>
    <s v="609.600mm / 32.200mm"/>
    <s v="DNV-ST-F101-2021 x 450 SFDU"/>
    <x v="115"/>
    <x v="6"/>
    <s v="112409/1.V"/>
    <s v="12450"/>
    <s v="1"/>
    <s v="5021701"/>
    <s v="26.4.002201"/>
    <s v="780325.V"/>
    <s v="112409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7"/>
    <x v="0"/>
    <s v="609.600mm / 32.200mm"/>
    <s v="DNV-ST-F101-2021 x 450 SFDU"/>
    <x v="116"/>
    <x v="6"/>
    <s v="112407/1.V"/>
    <s v="12450"/>
    <s v="1"/>
    <s v="5021701"/>
    <s v="26.4.002202"/>
    <s v="780325.V"/>
    <s v="11240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8"/>
    <x v="0"/>
    <s v="609.600mm / 32.200mm"/>
    <s v="DNV-ST-F101-2021 x 450 SFDU"/>
    <x v="117"/>
    <x v="6"/>
    <s v="112410/1.V"/>
    <s v="12450"/>
    <s v="1"/>
    <s v="5021701"/>
    <s v="26.4.002203"/>
    <s v="780325.V"/>
    <s v="112410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19"/>
    <x v="0"/>
    <s v="609.600mm / 32.200mm"/>
    <s v="DNV-ST-F101-2021 x 450 SFDU"/>
    <x v="118"/>
    <x v="1"/>
    <s v="112448/1.V"/>
    <s v="12460"/>
    <s v="1"/>
    <s v="5021701"/>
    <s v="26.4.002204"/>
    <s v="800222.V"/>
    <s v="112448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0"/>
    <x v="0"/>
    <s v="609.600mm / 32.200mm"/>
    <s v="DNV-ST-F101-2021 x 450 SFDU"/>
    <x v="119"/>
    <x v="1"/>
    <s v="112449/1.V"/>
    <s v="12460"/>
    <s v="1"/>
    <s v="5021701"/>
    <s v="26.4.002205"/>
    <s v="800222.V"/>
    <s v="112449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1"/>
    <x v="0"/>
    <s v="609.600mm / 32.200mm"/>
    <s v="DNV-ST-F101-2021 x 450 SFDU"/>
    <x v="120"/>
    <x v="1"/>
    <s v="112448/2.V"/>
    <s v="12480"/>
    <s v="1"/>
    <s v="5021701"/>
    <s v="26.4.002206"/>
    <s v="800222.V"/>
    <s v="112448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2"/>
    <x v="0"/>
    <s v="609.600mm / 32.200mm"/>
    <s v="DNV-ST-F101-2021 x 450 SFDU"/>
    <x v="121"/>
    <x v="1"/>
    <s v="112452/1.V"/>
    <s v="12450"/>
    <s v="1"/>
    <s v="5021701"/>
    <s v="26.4.002207"/>
    <s v="800222.V"/>
    <s v="112452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3"/>
    <x v="0"/>
    <s v="609.600mm / 32.200mm"/>
    <s v="DNV-ST-F101-2021 x 450 SFDU"/>
    <x v="122"/>
    <x v="1"/>
    <s v="112447/2.V"/>
    <s v="12470"/>
    <s v="1"/>
    <s v="5021701"/>
    <s v="26.4.002208"/>
    <s v="800222.V"/>
    <s v="112447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4"/>
    <x v="0"/>
    <s v="609.600mm / 32.200mm"/>
    <s v="DNV-ST-F101-2021 x 450 SFDU"/>
    <x v="123"/>
    <x v="1"/>
    <s v="112446/1.V"/>
    <s v="12460"/>
    <s v="1"/>
    <s v="5021701"/>
    <s v="26.4.002209"/>
    <s v="800222.V"/>
    <s v="112446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5"/>
    <x v="0"/>
    <s v="609.600mm / 32.200mm"/>
    <s v="DNV-ST-F101-2021 x 450 SFDU"/>
    <x v="124"/>
    <x v="1"/>
    <s v="112446/2.V"/>
    <s v="12450"/>
    <s v="1"/>
    <s v="5021701"/>
    <s v="26.4.002210"/>
    <s v="800222.V"/>
    <s v="11244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6"/>
    <x v="0"/>
    <s v="609.600mm / 32.200mm"/>
    <s v="DNV-ST-F101-2021 x 450 SFDU"/>
    <x v="125"/>
    <x v="0"/>
    <s v="112432/2.V"/>
    <s v="12470"/>
    <s v="1"/>
    <s v="5021701"/>
    <s v="26.4.002087"/>
    <s v="800229.V"/>
    <s v="11243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7"/>
    <x v="0"/>
    <s v="609.600mm / 32.200mm"/>
    <s v="DNV-ST-F101-2021 x 450 SFDU"/>
    <x v="126"/>
    <x v="7"/>
    <s v="112471/2.V"/>
    <s v="12470"/>
    <s v="1"/>
    <s v="5021701"/>
    <s v="26.4.002212"/>
    <s v="974062.V"/>
    <s v="112471/2.V"/>
    <n v="120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28"/>
    <x v="0"/>
    <s v="609.600mm / 32.200mm"/>
    <s v="DNV-ST-F101-2021 x 450 SFDU"/>
    <x v="127"/>
    <x v="7"/>
    <s v="112475/2.V"/>
    <s v="12460"/>
    <s v="1"/>
    <s v="5021701"/>
    <s v="26.4.002213"/>
    <s v="974062.V"/>
    <s v="112475/2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9"/>
    <x v="0"/>
    <s v="609.600mm / 32.200mm"/>
    <s v="DNV-ST-F101-2021 x 450 SFDU"/>
    <x v="128"/>
    <x v="7"/>
    <s v="112473/1.V"/>
    <s v="12460"/>
    <s v="1"/>
    <s v="5021701"/>
    <s v="26.4.002214"/>
    <s v="974062.V"/>
    <s v="11247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0"/>
    <x v="0"/>
    <s v="609.600mm / 32.200mm"/>
    <s v="DNV-ST-F101-2021 x 450 SFDU"/>
    <x v="129"/>
    <x v="7"/>
    <s v="112477/1.V"/>
    <s v="12460"/>
    <s v="1"/>
    <s v="5021701"/>
    <s v="26.4.002215"/>
    <s v="974062.V"/>
    <s v="112477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1"/>
    <x v="0"/>
    <s v="609.600mm / 32.200mm"/>
    <s v="DNV-ST-F101-2021 x 450 SFDU"/>
    <x v="130"/>
    <x v="7"/>
    <s v="112476/1.V"/>
    <s v="12460"/>
    <s v="1"/>
    <s v="5021701"/>
    <s v="26.4.002216"/>
    <s v="974062.V"/>
    <s v="112476/1.V"/>
    <n v="118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2"/>
    <x v="0"/>
    <s v="609.600mm / 32.200mm"/>
    <s v="DNV-ST-F101-2021 x 450 SFDU"/>
    <x v="131"/>
    <x v="7"/>
    <s v="112476/2.V"/>
    <s v="12460"/>
    <s v="1"/>
    <s v="5021701"/>
    <s v="26.4.002217"/>
    <s v="974062.V"/>
    <s v="11247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3"/>
    <x v="0"/>
    <s v="609.600mm / 32.200mm"/>
    <s v="DNV-ST-F101-2021 x 450 SFDU"/>
    <x v="132"/>
    <x v="7"/>
    <s v="112474/2.V"/>
    <s v="12370"/>
    <s v="1"/>
    <s v="5021701"/>
    <s v="26.4.002218"/>
    <s v="974062.V"/>
    <s v="112474/2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4"/>
    <x v="0"/>
    <s v="609.600mm / 32.200mm"/>
    <s v="DNV-ST-F101-2021 x 450 SFDU"/>
    <x v="133"/>
    <x v="7"/>
    <s v="112474/1.V"/>
    <s v="12460"/>
    <s v="1"/>
    <s v="5021701"/>
    <s v="26.4.002219"/>
    <s v="974062.V"/>
    <s v="11247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5"/>
    <x v="0"/>
    <s v="609.600mm / 32.200mm"/>
    <s v="DNV-ST-F101-2021 x 450 SFDU"/>
    <x v="134"/>
    <x v="7"/>
    <s v="112470/1.V"/>
    <s v="12470"/>
    <s v="1"/>
    <s v="5021701"/>
    <s v="26.4.002220"/>
    <s v="974062.V"/>
    <s v="112470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6"/>
    <x v="0"/>
    <s v="609.600mm / 32.200mm"/>
    <s v="DNV-ST-F101-2021 x 450 SFDU"/>
    <x v="135"/>
    <x v="7"/>
    <s v="112471/1.V"/>
    <s v="12450"/>
    <s v="1"/>
    <s v="5021701"/>
    <s v="26.4.002221"/>
    <s v="974062.V"/>
    <s v="112471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7"/>
    <x v="0"/>
    <s v="609.600mm / 32.200mm"/>
    <s v="DNV-ST-F101-2021 x 450 SFDU"/>
    <x v="136"/>
    <x v="7"/>
    <s v="112480/2.V"/>
    <s v="12450"/>
    <s v="1"/>
    <s v="5021701"/>
    <s v="26.4.002222"/>
    <s v="974062.V"/>
    <s v="112480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8"/>
    <x v="0"/>
    <s v="609.600mm / 32.200mm"/>
    <s v="DNV-ST-F101-2021 x 450 SFDU"/>
    <x v="137"/>
    <x v="7"/>
    <s v="112472/2.V"/>
    <s v="12380"/>
    <s v="1"/>
    <s v="5021701"/>
    <s v="26.4.002223"/>
    <s v="974062.V"/>
    <s v="112472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9"/>
    <x v="0"/>
    <s v="609.600mm / 32.200mm"/>
    <s v="DNV-ST-F101-2021 x 450 SFDU"/>
    <x v="138"/>
    <x v="7"/>
    <s v="112473/2.V"/>
    <s v="12450"/>
    <s v="1"/>
    <s v="5021701"/>
    <s v="26.4.002224"/>
    <s v="974062.V"/>
    <s v="11247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0"/>
    <x v="0"/>
    <s v="609.600mm / 32.200mm"/>
    <s v="DNV-ST-F101-2021 x 450 SFDU"/>
    <x v="139"/>
    <x v="7"/>
    <s v="112478/2.V"/>
    <s v="12450"/>
    <s v="1"/>
    <s v="5021701"/>
    <s v="26.4.002225"/>
    <s v="974062.V"/>
    <s v="112478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1"/>
    <x v="0"/>
    <s v="609.600mm / 32.200mm"/>
    <s v="DNV-ST-F101-2021 x 450 SFDU"/>
    <x v="140"/>
    <x v="7"/>
    <s v="112469/2.V"/>
    <s v="12450"/>
    <s v="1"/>
    <s v="5021701"/>
    <s v="26.4.002226"/>
    <s v="974062.V"/>
    <s v="11246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2"/>
    <x v="0"/>
    <s v="609.600mm / 32.200mm"/>
    <s v="DNV-ST-F101-2021 x 450 SFDU"/>
    <x v="141"/>
    <x v="7"/>
    <s v="112482/2.V"/>
    <s v="12450"/>
    <s v="1"/>
    <s v="5021701"/>
    <s v="26.4.002227"/>
    <s v="974062.V"/>
    <s v="112482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3"/>
    <x v="0"/>
    <s v="609.600mm / 32.200mm"/>
    <s v="DNV-ST-F101-2021 x 450 SFDU"/>
    <x v="142"/>
    <x v="7"/>
    <s v="112479/1.V"/>
    <s v="12460"/>
    <s v="1"/>
    <s v="5021701"/>
    <s v="26.4.002228"/>
    <s v="974062.V"/>
    <s v="112479/1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4"/>
    <x v="0"/>
    <s v="609.600mm / 32.200mm"/>
    <s v="DNV-ST-F101-2021 x 450 SFDU"/>
    <x v="143"/>
    <x v="7"/>
    <s v="112469/1.V"/>
    <s v="12450"/>
    <s v="1"/>
    <s v="5021701"/>
    <s v="26.4.002229"/>
    <s v="974062.V"/>
    <s v="11246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5"/>
    <x v="0"/>
    <s v="609.600mm / 32.200mm"/>
    <s v="DNV-ST-F101-2021 x 450 SFDU"/>
    <x v="144"/>
    <x v="7"/>
    <s v="112475/1.V"/>
    <s v="12450"/>
    <s v="1"/>
    <s v="5021701"/>
    <s v="26.4.002230"/>
    <s v="974062.V"/>
    <s v="11247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6"/>
    <x v="0"/>
    <s v="609.600mm / 32.200mm"/>
    <s v="DNV-ST-F101-2021 x 450 SFDU"/>
    <x v="145"/>
    <x v="7"/>
    <s v="112479/2.V"/>
    <s v="12450"/>
    <s v="1"/>
    <s v="5021701"/>
    <s v="26.4.002231"/>
    <s v="974062.V"/>
    <s v="11247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7"/>
    <x v="0"/>
    <s v="609.600mm / 32.200mm"/>
    <s v="DNV-ST-F101-2021 x 450 SFDU"/>
    <x v="146"/>
    <x v="7"/>
    <s v="112477/2.V"/>
    <s v="12470"/>
    <s v="1"/>
    <s v="5021701"/>
    <s v="26.4.002232"/>
    <s v="974062.V"/>
    <s v="112477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8"/>
    <x v="0"/>
    <s v="609.600mm / 32.200mm"/>
    <s v="DNV-ST-F101-2021 x 450 SFDU"/>
    <x v="147"/>
    <x v="7"/>
    <s v="112472/1.V"/>
    <s v="12470"/>
    <s v="1"/>
    <s v="5021701"/>
    <s v="26.4.002233"/>
    <s v="974062.V"/>
    <s v="112472/1.V"/>
    <n v="121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9"/>
    <x v="0"/>
    <s v="609.600mm / 32.200mm"/>
    <s v="DNV-ST-F101-2021 x 450 SFDU"/>
    <x v="148"/>
    <x v="1"/>
    <s v="112450/1.V"/>
    <s v="12450"/>
    <s v="1"/>
    <s v="5021701"/>
    <s v="26.4.002234"/>
    <s v="800222.V"/>
    <s v="112450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0"/>
    <x v="0"/>
    <s v="609.600mm / 32.200mm"/>
    <s v="DNV-ST-F101-2021 x 450 SFDU"/>
    <x v="149"/>
    <x v="1"/>
    <s v="112451/1.V"/>
    <s v="12450"/>
    <s v="1"/>
    <s v="5021701"/>
    <s v="26.4.002235"/>
    <s v="800222.V"/>
    <s v="112451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1"/>
    <x v="0"/>
    <s v="609.600mm / 32.200mm"/>
    <s v="DNV-ST-F101-2021 x 450 SFDU"/>
    <x v="150"/>
    <x v="3"/>
    <s v="112417/1.V"/>
    <s v="12470"/>
    <s v="1"/>
    <s v="5021701"/>
    <s v="26.4.002236"/>
    <s v="974058.V"/>
    <s v="11241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2"/>
    <x v="0"/>
    <s v="609.600mm / 32.200mm"/>
    <s v="DNV-ST-F101-2021 x 450 SFDU"/>
    <x v="151"/>
    <x v="3"/>
    <s v="112413/2.V"/>
    <s v="12480"/>
    <s v="1"/>
    <s v="5021701"/>
    <s v="26.4.002237"/>
    <s v="974058.V"/>
    <s v="11241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3"/>
    <x v="0"/>
    <s v="609.600mm / 32.200mm"/>
    <s v="DNV-ST-F101-2021 x 450 SFDU"/>
    <x v="152"/>
    <x v="3"/>
    <s v="112416/1.V"/>
    <s v="12460"/>
    <s v="1"/>
    <s v="5021701"/>
    <s v="26.4.002238"/>
    <s v="974058.V"/>
    <s v="112416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154"/>
    <x v="0"/>
    <s v="609.600mm / 32.200mm"/>
    <s v="DNV-ST-F101-2021 x 450 SFDU"/>
    <x v="153"/>
    <x v="3"/>
    <s v="112416/2.V"/>
    <s v="12470"/>
    <s v="1"/>
    <s v="5021701"/>
    <s v="26.4.002239"/>
    <s v="974058.V"/>
    <s v="11241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5"/>
    <x v="0"/>
    <s v="609.600mm / 32.200mm"/>
    <s v="DNV-ST-F101-2021 x 450 SFDU"/>
    <x v="154"/>
    <x v="3"/>
    <s v="113145/2.V"/>
    <s v="12450"/>
    <s v="1"/>
    <s v="5021701"/>
    <s v="26.4.002240"/>
    <s v="974058.V"/>
    <s v="113145/2.V"/>
    <n v="122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6"/>
    <x v="0"/>
    <s v="609.600mm / 32.200mm"/>
    <s v="DNV-ST-F101-2021 x 450 SFDU"/>
    <x v="155"/>
    <x v="3"/>
    <s v="112415/2.V"/>
    <s v="12450"/>
    <s v="1"/>
    <s v="5021701"/>
    <s v="26.4.002241"/>
    <s v="974058.V"/>
    <s v="11241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7"/>
    <x v="0"/>
    <s v="609.600mm / 32.200mm"/>
    <s v="DNV-ST-F101-2021 x 450 SFDU"/>
    <x v="156"/>
    <x v="3"/>
    <s v="112418/1.V"/>
    <s v="12450"/>
    <s v="1"/>
    <s v="5021701"/>
    <s v="26.4.002242"/>
    <s v="974058.V"/>
    <s v="11241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8"/>
    <x v="0"/>
    <s v="609.600mm / 32.200mm"/>
    <s v="DNV-ST-F101-2021 x 450 SFDU"/>
    <x v="157"/>
    <x v="3"/>
    <s v="113145/1.V"/>
    <s v="12450"/>
    <s v="1"/>
    <s v="5021701"/>
    <s v="26.4.002243"/>
    <s v="974058.V"/>
    <s v="113145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9"/>
    <x v="0"/>
    <s v="609.600mm / 32.200mm"/>
    <s v="DNV-ST-F101-2021 x 450 SFDU"/>
    <x v="158"/>
    <x v="1"/>
    <s v="112450/2.V"/>
    <s v="12450"/>
    <s v="1"/>
    <s v="5021701"/>
    <s v="26.4.002244"/>
    <s v="800222.V"/>
    <s v="112450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0"/>
    <x v="0"/>
    <s v="609.600mm / 32.200mm"/>
    <s v="DNV-ST-F101-2021 x 450 SFDU"/>
    <x v="159"/>
    <x v="1"/>
    <s v="112452/2.V"/>
    <s v="12470"/>
    <s v="1"/>
    <s v="5021701"/>
    <s v="26.4.002245"/>
    <s v="800222.V"/>
    <s v="11245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1"/>
    <x v="0"/>
    <s v="609.600mm / 32.200mm"/>
    <s v="DNV-ST-F101-2021 x 450 SFDU"/>
    <x v="160"/>
    <x v="1"/>
    <s v="112453/2.V"/>
    <s v="12480"/>
    <s v="1"/>
    <s v="5021701"/>
    <s v="26.4.002246"/>
    <s v="800222.V"/>
    <s v="112453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2"/>
    <x v="0"/>
    <s v="609.600mm / 32.200mm"/>
    <s v="DNV-ST-F101-2021 x 450 SFDU"/>
    <x v="161"/>
    <x v="1"/>
    <s v="112451/2.V"/>
    <s v="12470"/>
    <s v="1"/>
    <s v="5021701"/>
    <s v="26.4.002247"/>
    <s v="800222.V"/>
    <s v="112451/2.V"/>
    <n v="121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3"/>
    <x v="0"/>
    <s v="609.600mm / 32.200mm"/>
    <s v="DNV-ST-F101-2021 x 450 SFDU"/>
    <x v="162"/>
    <x v="3"/>
    <s v="112415/1.V"/>
    <s v="12450"/>
    <s v="1"/>
    <s v="5021701"/>
    <s v="26.4.002248"/>
    <s v="974058.V"/>
    <s v="11241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4"/>
    <x v="0"/>
    <s v="609.600mm / 32.200mm"/>
    <s v="DNV-ST-F101-2021 x 450 SFDU"/>
    <x v="163"/>
    <x v="1"/>
    <s v="112449/2.V"/>
    <s v="12450"/>
    <s v="1"/>
    <s v="5021701"/>
    <s v="26.4.002249"/>
    <s v="800222.V"/>
    <s v="112449/2.V"/>
    <n v="124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5"/>
    <x v="0"/>
    <s v="609.600mm / 32.200mm"/>
    <s v="DNV-ST-F101-2021 x 450 SFDU"/>
    <x v="164"/>
    <x v="3"/>
    <s v="112414/1.V"/>
    <s v="12460"/>
    <s v="1"/>
    <s v="5021701"/>
    <s v="26.4.002250"/>
    <s v="974058.V"/>
    <s v="11241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m/>
    <m/>
    <m/>
    <m/>
  </r>
  <r>
    <s v="166"/>
    <x v="0"/>
    <s v="609.600mm / 32.200mm"/>
    <s v="DNV-ST-F101-2021 x 450 SFDU"/>
    <x v="165"/>
    <x v="3"/>
    <s v="112417/2.V"/>
    <s v="12460"/>
    <s v="1"/>
    <s v="5021701"/>
    <s v="26.4.002251"/>
    <s v="974058.V"/>
    <s v="11241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7"/>
    <x v="0"/>
    <s v="609.600mm / 32.200mm"/>
    <s v="DNV-ST-F101-2021 x 450 SFDU"/>
    <x v="166"/>
    <x v="3"/>
    <s v="112418/2.V"/>
    <s v="12450"/>
    <s v="1"/>
    <s v="5021701"/>
    <s v="26.4.002252"/>
    <s v="974058.V"/>
    <s v="112418/2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68"/>
    <x v="0"/>
    <s v="609.600mm / 32.200mm"/>
    <s v="DNV-ST-F101-2021 x 450 SFDU"/>
    <x v="167"/>
    <x v="3"/>
    <s v="112414/2.V"/>
    <s v="12450"/>
    <s v="1"/>
    <s v="5021701"/>
    <s v="26.4.002253"/>
    <s v="974058.V"/>
    <s v="112414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9"/>
    <x v="0"/>
    <s v="609.600mm / 32.200mm"/>
    <s v="DNV-ST-F101-2021 x 450 SFDU"/>
    <x v="168"/>
    <x v="3"/>
    <s v="112413/1.V"/>
    <s v="12450"/>
    <s v="1"/>
    <s v="5021701"/>
    <s v="26.4.002254"/>
    <s v="974058.V"/>
    <s v="11241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0"/>
    <x v="0"/>
    <s v="609.600mm / 32.200mm"/>
    <s v="DNV-ST-F101-2021 x 450 SFDU"/>
    <x v="169"/>
    <x v="6"/>
    <s v="112406/1.V"/>
    <s v="12470"/>
    <s v="1"/>
    <s v="5021701"/>
    <s v="26.4.002169"/>
    <s v="780325.V"/>
    <s v="112406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la pivot10" cacheId="0" dataOnRows="1" applyNumberFormats="0" applyBorderFormats="0" applyFontFormats="0" applyPatternFormats="0" applyAlignmentFormats="0" applyWidthHeightFormats="1" dataCaption="ITP Steps." updatedVersion="8" minRefreshableVersion="3" useAutoFormatting="1" itemPrintTitles="1" createdVersion="8" indent="0" outline="1" outlineData="1" multipleFieldFilters="0" chartFormat="22" colHeaderCaption="">
  <location ref="A3:K30" firstHeaderRow="1" firstDataRow="4" firstDataCol="1"/>
  <pivotFields count="38">
    <pivotField showAll="0"/>
    <pivotField axis="axisCol" showAll="0">
      <items count="3">
        <item n="PO 5021701" x="0"/>
        <item h="1" m="1" x="1"/>
        <item t="default"/>
      </items>
    </pivotField>
    <pivotField showAll="0"/>
    <pivotField showAll="0"/>
    <pivotField axis="axisCol" showAll="0">
      <items count="172">
        <item x="2"/>
        <item x="0"/>
        <item x="125"/>
        <item x="7"/>
        <item x="3"/>
        <item x="4"/>
        <item x="61"/>
        <item x="6"/>
        <item x="18"/>
        <item x="8"/>
        <item x="9"/>
        <item x="10"/>
        <item x="11"/>
        <item x="12"/>
        <item x="29"/>
        <item x="14"/>
        <item x="15"/>
        <item x="16"/>
        <item x="17"/>
        <item x="40"/>
        <item x="19"/>
        <item x="20"/>
        <item x="21"/>
        <item x="22"/>
        <item x="23"/>
        <item x="24"/>
        <item x="25"/>
        <item x="26"/>
        <item x="27"/>
        <item x="28"/>
        <item x="13"/>
        <item x="30"/>
        <item x="31"/>
        <item x="32"/>
        <item x="33"/>
        <item x="34"/>
        <item x="35"/>
        <item x="36"/>
        <item x="37"/>
        <item x="38"/>
        <item x="39"/>
        <item x="8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9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0"/>
        <item t="default"/>
      </items>
    </pivotField>
    <pivotField axis="axisCol" showAll="0">
      <items count="10">
        <item sd="0" x="6"/>
        <item sd="0" x="1"/>
        <item sd="0" x="4"/>
        <item sd="0" x="0"/>
        <item sd="0" x="5"/>
        <item sd="0" x="2"/>
        <item sd="0" x="3"/>
        <item sd="0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rowItems>
  <colFields count="3">
    <field x="1"/>
    <field x="5"/>
    <field x="4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24">
    <dataField name="Incoming Plate " fld="14" subtotal="count" baseField="0" baseItem="0"/>
    <dataField name=" Pipe Forming" fld="15" subtotal="count" baseField="0" baseItem="0"/>
    <dataField name=" Tack Welding" fld="16" subtotal="count" baseField="0" baseItem="0"/>
    <dataField name=" ID SAWL" fld="17" subtotal="count" baseField="0" baseItem="0"/>
    <dataField name=" OD SAWL" fld="18" subtotal="count" baseField="0" baseItem="0"/>
    <dataField name="AUT1" fld="19" subtotal="count" baseField="0" baseItem="0"/>
    <dataField name=" Fluoroscopic" fld="20" subtotal="count" baseField="0" baseItem="0"/>
    <dataField name="Welding Repair" fld="21" subtotal="count" baseField="0" baseItem="0"/>
    <dataField name="MCE1" fld="22" subtotal="count" baseField="0" baseItem="0"/>
    <dataField name="MCE2" fld="23" subtotal="count" baseField="0" baseItem="0"/>
    <dataField name="MCE Inspection " fld="24" subtotal="count" baseField="0" baseItem="0"/>
    <dataField name=" Straighness Re-work" fld="25" subtotal="count" baseField="0" baseItem="0"/>
    <dataField name="Hydro Test" fld="26" subtotal="count" baseField="0" baseItem="0"/>
    <dataField name=" AUT2 " fld="27" subtotal="count" baseField="0" baseItem="0"/>
    <dataField name="Phase Arr." fld="28" subtotal="count" baseField="0" baseItem="0"/>
    <dataField name="MUT_" fld="29" subtotal="count" baseField="0" baseItem="0"/>
    <dataField name="End UT" fld="30" subtotal="count" baseField="0" baseItem="0"/>
    <dataField name=" X-Ray" fld="31" subtotal="count" baseField="0" baseItem="0"/>
    <dataField name="  OoR Pipe Body" fld="32" subtotal="count" baseField="0" baseItem="0"/>
    <dataField name=" Dimensional 1" fld="33" subtotal="count" baseField="0" baseItem="0"/>
    <dataField name="  Dimensional 2" fld="34" subtotal="count" baseField="0" baseItem="0"/>
    <dataField name=" MPI" fld="35" subtotal="count" baseField="0" baseItem="0"/>
    <dataField name=" UT DHC" fld="36" subtotal="count" baseField="0" baseItem="0"/>
    <dataField name=" Final Marking and Weighing" fld="37" subtotal="count" baseField="0" baseItem="0"/>
  </dataFields>
  <formats count="44"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" type="button" dataOnly="0" labelOnly="1" outline="0" axis="axisCol" fieldPosition="0"/>
    </format>
    <format dxfId="187">
      <pivotArea dataOnly="0" labelOnly="1" fieldPosition="0">
        <references count="1">
          <reference field="1" count="0"/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2">
          <reference field="1" count="0" selected="0"/>
          <reference field="5" count="0"/>
        </references>
      </pivotArea>
    </format>
    <format dxfId="184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83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82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81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80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79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78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77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" type="button" dataOnly="0" labelOnly="1" outline="0" axis="axisCol" fieldPosition="0"/>
    </format>
    <format dxfId="172">
      <pivotArea dataOnly="0" labelOnly="1" fieldPosition="0">
        <references count="1">
          <reference field="1" count="0"/>
        </references>
      </pivotArea>
    </format>
    <format dxfId="171">
      <pivotArea dataOnly="0" labelOnly="1" grandRow="1" outline="0" fieldPosition="0"/>
    </format>
    <format dxfId="170">
      <pivotArea dataOnly="0" labelOnly="1" fieldPosition="0">
        <references count="2">
          <reference field="1" count="0" selected="0"/>
          <reference field="5" count="0"/>
        </references>
      </pivotArea>
    </format>
    <format dxfId="169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68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67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66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65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64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63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62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61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1" type="button" dataOnly="0" labelOnly="1" outline="0" axis="axisCol" fieldPosition="0"/>
    </format>
    <format dxfId="156">
      <pivotArea field="5" type="button" dataOnly="0" labelOnly="1" outline="0" axis="axisCol" fieldPosition="1"/>
    </format>
    <format dxfId="155">
      <pivotArea field="4" type="button" dataOnly="0" labelOnly="1" outline="0" axis="axisCol" fieldPosition="2"/>
    </format>
    <format dxfId="154">
      <pivotArea type="topRight" dataOnly="0" labelOnly="1" outline="0" fieldPosition="0"/>
    </format>
    <format dxfId="153">
      <pivotArea field="-2" type="button" dataOnly="0" labelOnly="1" outline="0" axis="axisRow" fieldPosition="0"/>
    </format>
    <format dxfId="152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fieldPosition="0">
        <references count="1">
          <reference field="1" count="0" defaultSubtotal="1"/>
        </references>
      </pivotArea>
    </format>
    <format dxfId="149">
      <pivotArea dataOnly="0" labelOnly="1" grandCol="1" outline="0" fieldPosition="0"/>
    </format>
    <format dxfId="148">
      <pivotArea dataOnly="0" labelOnly="1" fieldPosition="0">
        <references count="2">
          <reference field="1" count="0" selected="0"/>
          <reference field="5" count="0"/>
        </references>
      </pivotArea>
    </format>
    <format dxfId="147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2:AJ910" headerRowDxfId="212" dataDxfId="211" totalsRowDxfId="210">
  <autoFilter ref="A2:AJ910" xr:uid="{00000000-0009-0000-0100-000001000000}"/>
  <tableColumns count="36">
    <tableColumn id="1" xr3:uid="{00000000-0010-0000-0000-000001000000}" name="Seq. N°" totalsRowLabel="Totale" dataDxfId="209" totalsRowDxfId="208"/>
    <tableColumn id="2" xr3:uid="{00000000-0010-0000-0000-000002000000}" name="Tenaris Batch" dataDxfId="207" totalsRowDxfId="206"/>
    <tableColumn id="3" xr3:uid="{00000000-0010-0000-0000-000003000000}" name="Pipe Dimensional" dataDxfId="205" totalsRowDxfId="204"/>
    <tableColumn id="4" xr3:uid="{00000000-0010-0000-0000-000004000000}" name="Pipe Std" dataDxfId="203" totalsRowDxfId="202"/>
    <tableColumn id="5" xr3:uid="{00000000-0010-0000-0000-000005000000}" name="Pipe Number" dataDxfId="201" totalsRowDxfId="200"/>
    <tableColumn id="6" xr3:uid="{00000000-0010-0000-0000-000006000000}" name="Heat Number" dataDxfId="199" totalsRowDxfId="198"/>
    <tableColumn id="7" xr3:uid="{00000000-0010-0000-0000-000007000000}" name="Plate Number" dataDxfId="197" totalsRowDxfId="196"/>
    <tableColumn id="8" xr3:uid="{00000000-0010-0000-0000-000008000000}" name="Pipe length" dataDxfId="195" totalsRowDxfId="194"/>
    <tableColumn id="9" xr3:uid="{00000000-0010-0000-0000-000009000000}" name="Total Pipes" totalsRowFunction="count" dataDxfId="193" totalsRowDxfId="192"/>
    <tableColumn id="38" xr3:uid="{00000000-0010-0000-0000-000026000000}" name="Tenaris Lote" dataDxfId="25"/>
    <tableColumn id="37" xr3:uid="{00000000-0010-0000-0000-000025000000}" name="Pipe N°" dataDxfId="24"/>
    <tableColumn id="36" xr3:uid="{00000000-0010-0000-0000-000024000000}" name="Heat N°" dataDxfId="23"/>
    <tableColumn id="35" xr3:uid="{00000000-0010-0000-0000-000023000000}" name="Plate N°" dataDxfId="22"/>
    <tableColumn id="13" xr3:uid="{00000000-0010-0000-0000-00000D000000}" name="Pipe length2" dataDxfId="21"/>
    <tableColumn id="10" xr3:uid="{00000000-0010-0000-0000-00000A000000}" name="Plate Entrance" totalsRowFunction="count" dataDxfId="20"/>
    <tableColumn id="11" xr3:uid="{00000000-0010-0000-0000-00000B000000}" name="Pipe Forming" totalsRowFunction="count" dataDxfId="19"/>
    <tableColumn id="12" xr3:uid="{00000000-0010-0000-0000-00000C000000}" name="Tack Welding" totalsRowFunction="count" dataDxfId="18"/>
    <tableColumn id="14" xr3:uid="{00000000-0010-0000-0000-00000E000000}" name="ID SAWL" totalsRowFunction="count" dataDxfId="17"/>
    <tableColumn id="15" xr3:uid="{00000000-0010-0000-0000-00000F000000}" name="OD SAWL" totalsRowFunction="count" dataDxfId="16"/>
    <tableColumn id="16" xr3:uid="{00000000-0010-0000-0000-000010000000}" name="AUT1 in House" totalsRowFunction="count" dataDxfId="15"/>
    <tableColumn id="17" xr3:uid="{00000000-0010-0000-0000-000011000000}" name="Fluoroscopic/TOFD In House" totalsRowFunction="count" dataDxfId="14"/>
    <tableColumn id="18" xr3:uid="{00000000-0010-0000-0000-000012000000}" name="Repair" totalsRowFunction="count" dataDxfId="13"/>
    <tableColumn id="19" xr3:uid="{00000000-0010-0000-0000-000013000000}" name="MCE 1" totalsRowFunction="count" dataDxfId="12"/>
    <tableColumn id="20" xr3:uid="{00000000-0010-0000-0000-000014000000}" name="MCE 2" totalsRowFunction="count" dataDxfId="11"/>
    <tableColumn id="22" xr3:uid="{00000000-0010-0000-0000-000016000000}" name="Straighness Re-work" totalsRowFunction="count" dataDxfId="10"/>
    <tableColumn id="23" xr3:uid="{00000000-0010-0000-0000-000017000000}" name="Hydrostatic Test" totalsRowFunction="count" dataDxfId="9"/>
    <tableColumn id="25" xr3:uid="{00000000-0010-0000-0000-000019000000}" name="Phase Array" totalsRowFunction="count" dataDxfId="8"/>
    <tableColumn id="26" xr3:uid="{00000000-0010-0000-0000-00001A000000}" name="MUT" totalsRowFunction="count" dataDxfId="7"/>
    <tableColumn id="27" xr3:uid="{00000000-0010-0000-0000-00001B000000}" name="Pipe End UT" totalsRowFunction="count" dataDxfId="6"/>
    <tableColumn id="28" xr3:uid="{00000000-0010-0000-0000-00001C000000}" name="X-Ray" totalsRowFunction="count" dataDxfId="5"/>
    <tableColumn id="29" xr3:uid="{00000000-0010-0000-0000-00001D000000}" name="OoR Pipe Body" totalsRowFunction="count" dataDxfId="4"/>
    <tableColumn id="30" xr3:uid="{00000000-0010-0000-0000-00001E000000}" name="Dimensional 1" totalsRowFunction="count" dataDxfId="3"/>
    <tableColumn id="31" xr3:uid="{00000000-0010-0000-0000-00001F000000}" name="Dimensional 2" totalsRowFunction="count" dataDxfId="2"/>
    <tableColumn id="32" xr3:uid="{00000000-0010-0000-0000-000020000000}" name="MPI" totalsRowFunction="count" dataDxfId="1"/>
    <tableColumn id="33" xr3:uid="{00000000-0010-0000-0000-000021000000}" name="Final Marking and Weighing" totalsRowFunction="count" dataDxfId="0"/>
    <tableColumn id="34" xr3:uid="{00000000-0010-0000-0000-000022000000}" name="UT DHC" totalsRowFunction="count" dataDxfId="1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2" displayName="Tabella2" ref="B4:H29" totalsRowShown="0" headerRowDxfId="223" dataDxfId="221" headerRowBorderDxfId="222" tableBorderDxfId="220">
  <autoFilter ref="B4:H29" xr:uid="{00000000-0009-0000-0100-000002000000}"/>
  <tableColumns count="7">
    <tableColumn id="1" xr3:uid="{00000000-0010-0000-0100-000001000000}" name="DATE" dataDxfId="219"/>
    <tableColumn id="2" xr3:uid="{00000000-0010-0000-0100-000002000000}" name="Shift" dataDxfId="218"/>
    <tableColumn id="3" xr3:uid="{00000000-0010-0000-0100-000003000000}" name="Pipe Nº" dataDxfId="217"/>
    <tableColumn id="4" xr3:uid="{00000000-0010-0000-0100-000004000000}" name="Defect" dataDxfId="216"/>
    <tableColumn id="5" xr3:uid="{00000000-0010-0000-0100-000005000000}" name="Pipe Position (mm)" dataDxfId="215"/>
    <tableColumn id="6" xr3:uid="{00000000-0010-0000-0100-000006000000}" name="Extension (mm)" dataDxfId="214"/>
    <tableColumn id="7" xr3:uid="{00000000-0010-0000-0100-000007000000}" name="Remarks" dataDxfId="2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3" displayName="Tabella3" ref="B3:F31" totalsRowShown="0" headerRowDxfId="146" dataDxfId="144" headerRowBorderDxfId="145" tableBorderDxfId="143">
  <autoFilter ref="B3:F31" xr:uid="{00000000-0009-0000-0100-000003000000}"/>
  <tableColumns count="5">
    <tableColumn id="1" xr3:uid="{00000000-0010-0000-0200-000001000000}" name="DATE" dataDxfId="142"/>
    <tableColumn id="2" xr3:uid="{00000000-0010-0000-0200-000002000000}" name="Shift" dataDxfId="141"/>
    <tableColumn id="3" xr3:uid="{00000000-0010-0000-0200-000003000000}" name="Pipe Nº" dataDxfId="140"/>
    <tableColumn id="4" xr3:uid="{00000000-0010-0000-0200-000004000000}" name="Defect" dataDxfId="139"/>
    <tableColumn id="5" xr3:uid="{00000000-0010-0000-0200-000005000000}" name="Remarks" dataDxfId="1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I34"/>
  <sheetViews>
    <sheetView zoomScaleNormal="100" workbookViewId="0">
      <selection activeCell="G11" sqref="G11"/>
    </sheetView>
  </sheetViews>
  <sheetFormatPr defaultColWidth="8.5703125" defaultRowHeight="12.75" x14ac:dyDescent="0.2"/>
  <cols>
    <col min="1" max="1" width="4.28515625" style="5" customWidth="1"/>
    <col min="2" max="2" width="6.85546875" style="5" bestFit="1" customWidth="1"/>
    <col min="3" max="3" width="16.85546875" style="5" bestFit="1" customWidth="1"/>
    <col min="4" max="4" width="16.140625" style="5" bestFit="1" customWidth="1"/>
    <col min="5" max="5" width="10" style="5" customWidth="1"/>
    <col min="6" max="6" width="12" style="5" bestFit="1" customWidth="1"/>
    <col min="7" max="7" width="11.5703125" style="5" bestFit="1" customWidth="1"/>
    <col min="8" max="8" width="10.7109375" style="5" bestFit="1" customWidth="1"/>
    <col min="9" max="9" width="12.85546875" style="5" customWidth="1"/>
    <col min="10" max="10" width="4.28515625" style="5" customWidth="1"/>
    <col min="11" max="16384" width="8.5703125" style="5"/>
  </cols>
  <sheetData>
    <row r="1" spans="2:9" ht="15" x14ac:dyDescent="0.2">
      <c r="B1" s="133" t="s">
        <v>724</v>
      </c>
      <c r="C1" s="133"/>
      <c r="D1" s="133"/>
      <c r="E1" s="133"/>
      <c r="F1" s="133"/>
      <c r="G1" s="133"/>
      <c r="H1" s="133"/>
      <c r="I1" s="133"/>
    </row>
    <row r="2" spans="2:9" ht="15" x14ac:dyDescent="0.2">
      <c r="B2" s="48" t="s">
        <v>726</v>
      </c>
      <c r="C2" s="48">
        <f>E4</f>
        <v>170</v>
      </c>
      <c r="D2" s="48"/>
      <c r="E2" s="48"/>
      <c r="F2" s="48"/>
      <c r="G2" s="48"/>
      <c r="H2" s="48"/>
      <c r="I2" s="48"/>
    </row>
    <row r="3" spans="2:9" ht="15" x14ac:dyDescent="0.2">
      <c r="B3" s="47" t="s">
        <v>721</v>
      </c>
      <c r="C3" s="47" t="s">
        <v>703</v>
      </c>
      <c r="D3" s="47" t="s">
        <v>704</v>
      </c>
      <c r="E3" s="47" t="s">
        <v>705</v>
      </c>
      <c r="F3" s="47" t="s">
        <v>706</v>
      </c>
      <c r="G3" s="47" t="s">
        <v>707</v>
      </c>
      <c r="H3" s="47" t="s">
        <v>708</v>
      </c>
      <c r="I3" s="47" t="s">
        <v>618</v>
      </c>
    </row>
    <row r="4" spans="2:9" x14ac:dyDescent="0.2">
      <c r="B4" s="50">
        <v>1</v>
      </c>
      <c r="C4" s="51" t="s">
        <v>709</v>
      </c>
      <c r="D4" s="52" t="s">
        <v>710</v>
      </c>
      <c r="E4" s="53">
        <f>Pivot!J7</f>
        <v>170</v>
      </c>
      <c r="F4" s="54">
        <f t="shared" ref="F4:F12" si="0">IF(E4="N/A","",E4/170)</f>
        <v>1</v>
      </c>
      <c r="G4" s="50">
        <f t="shared" ref="G4:G12" si="1">170-E4</f>
        <v>0</v>
      </c>
      <c r="H4" s="50">
        <f t="shared" ref="H4:H12" si="2">170-E4</f>
        <v>0</v>
      </c>
      <c r="I4" s="55"/>
    </row>
    <row r="5" spans="2:9" x14ac:dyDescent="0.2">
      <c r="B5" s="56">
        <v>2</v>
      </c>
      <c r="C5" s="57" t="s">
        <v>10</v>
      </c>
      <c r="D5" s="58" t="s">
        <v>710</v>
      </c>
      <c r="E5" s="59">
        <f>Pivot!J8</f>
        <v>170</v>
      </c>
      <c r="F5" s="54">
        <f t="shared" si="0"/>
        <v>1</v>
      </c>
      <c r="G5" s="56">
        <f t="shared" si="1"/>
        <v>0</v>
      </c>
      <c r="H5" s="56">
        <f t="shared" si="2"/>
        <v>0</v>
      </c>
      <c r="I5" s="60"/>
    </row>
    <row r="6" spans="2:9" x14ac:dyDescent="0.2">
      <c r="B6" s="50">
        <v>3</v>
      </c>
      <c r="C6" s="51" t="s">
        <v>11</v>
      </c>
      <c r="D6" s="52" t="s">
        <v>710</v>
      </c>
      <c r="E6" s="53">
        <f>Pivot!J9</f>
        <v>170</v>
      </c>
      <c r="F6" s="54">
        <f t="shared" si="0"/>
        <v>1</v>
      </c>
      <c r="G6" s="50">
        <f t="shared" si="1"/>
        <v>0</v>
      </c>
      <c r="H6" s="50">
        <f t="shared" si="2"/>
        <v>0</v>
      </c>
      <c r="I6" s="55"/>
    </row>
    <row r="7" spans="2:9" x14ac:dyDescent="0.2">
      <c r="B7" s="56">
        <v>4</v>
      </c>
      <c r="C7" s="57" t="s">
        <v>12</v>
      </c>
      <c r="D7" s="58" t="s">
        <v>710</v>
      </c>
      <c r="E7" s="59">
        <f>Pivot!J10</f>
        <v>170</v>
      </c>
      <c r="F7" s="54">
        <f t="shared" si="0"/>
        <v>1</v>
      </c>
      <c r="G7" s="56">
        <f t="shared" si="1"/>
        <v>0</v>
      </c>
      <c r="H7" s="56">
        <f t="shared" si="2"/>
        <v>0</v>
      </c>
      <c r="I7" s="60"/>
    </row>
    <row r="8" spans="2:9" x14ac:dyDescent="0.2">
      <c r="B8" s="50">
        <v>5</v>
      </c>
      <c r="C8" s="51" t="s">
        <v>13</v>
      </c>
      <c r="D8" s="52" t="s">
        <v>710</v>
      </c>
      <c r="E8" s="53">
        <f>Pivot!J11</f>
        <v>170</v>
      </c>
      <c r="F8" s="54">
        <f t="shared" si="0"/>
        <v>1</v>
      </c>
      <c r="G8" s="50">
        <f t="shared" si="1"/>
        <v>0</v>
      </c>
      <c r="H8" s="50">
        <f t="shared" si="2"/>
        <v>0</v>
      </c>
      <c r="I8" s="55"/>
    </row>
    <row r="9" spans="2:9" x14ac:dyDescent="0.2">
      <c r="B9" s="56">
        <v>6</v>
      </c>
      <c r="C9" s="57" t="s">
        <v>592</v>
      </c>
      <c r="D9" s="58" t="s">
        <v>711</v>
      </c>
      <c r="E9" s="59">
        <f>Pivot!J12</f>
        <v>170</v>
      </c>
      <c r="F9" s="54">
        <f t="shared" si="0"/>
        <v>1</v>
      </c>
      <c r="G9" s="56">
        <f t="shared" si="1"/>
        <v>0</v>
      </c>
      <c r="H9" s="56">
        <f t="shared" si="2"/>
        <v>0</v>
      </c>
      <c r="I9" s="60"/>
    </row>
    <row r="10" spans="2:9" x14ac:dyDescent="0.2">
      <c r="B10" s="50">
        <v>7</v>
      </c>
      <c r="C10" s="51" t="s">
        <v>712</v>
      </c>
      <c r="D10" s="52" t="s">
        <v>711</v>
      </c>
      <c r="E10" s="53">
        <f>Pivot!J13</f>
        <v>12</v>
      </c>
      <c r="F10" s="61">
        <f t="shared" si="0"/>
        <v>7.0588235294117646E-2</v>
      </c>
      <c r="G10" s="50">
        <f t="shared" si="1"/>
        <v>158</v>
      </c>
      <c r="H10" s="50">
        <f t="shared" si="2"/>
        <v>158</v>
      </c>
      <c r="I10" s="55"/>
    </row>
    <row r="11" spans="2:9" x14ac:dyDescent="0.2">
      <c r="B11" s="56">
        <v>8</v>
      </c>
      <c r="C11" s="57" t="s">
        <v>594</v>
      </c>
      <c r="D11" s="58" t="s">
        <v>711</v>
      </c>
      <c r="E11" s="59">
        <f>Pivot!J14</f>
        <v>4</v>
      </c>
      <c r="F11" s="61">
        <f t="shared" si="0"/>
        <v>2.3529411764705882E-2</v>
      </c>
      <c r="G11" s="56">
        <v>4</v>
      </c>
      <c r="H11" s="56">
        <v>4</v>
      </c>
      <c r="I11" s="60"/>
    </row>
    <row r="12" spans="2:9" x14ac:dyDescent="0.2">
      <c r="B12" s="50">
        <v>9</v>
      </c>
      <c r="C12" s="51" t="s">
        <v>595</v>
      </c>
      <c r="D12" s="52" t="s">
        <v>713</v>
      </c>
      <c r="E12" s="53">
        <f>Pivot!J15</f>
        <v>164</v>
      </c>
      <c r="F12" s="54">
        <f t="shared" si="0"/>
        <v>0.96470588235294119</v>
      </c>
      <c r="G12" s="50">
        <f t="shared" si="1"/>
        <v>6</v>
      </c>
      <c r="H12" s="50">
        <f t="shared" si="2"/>
        <v>6</v>
      </c>
      <c r="I12" s="55"/>
    </row>
    <row r="13" spans="2:9" x14ac:dyDescent="0.2">
      <c r="B13" s="56">
        <v>10</v>
      </c>
      <c r="C13" s="57" t="s">
        <v>596</v>
      </c>
      <c r="D13" s="58" t="s">
        <v>713</v>
      </c>
      <c r="E13" s="62">
        <f>Pivot!J16</f>
        <v>0</v>
      </c>
      <c r="F13" s="63" t="s">
        <v>714</v>
      </c>
      <c r="G13" s="62" t="s">
        <v>714</v>
      </c>
      <c r="H13" s="62" t="s">
        <v>714</v>
      </c>
      <c r="I13" s="60"/>
    </row>
    <row r="14" spans="2:9" x14ac:dyDescent="0.2">
      <c r="B14" s="50">
        <v>11</v>
      </c>
      <c r="C14" s="51" t="s">
        <v>715</v>
      </c>
      <c r="D14" s="52" t="s">
        <v>713</v>
      </c>
      <c r="E14" s="53">
        <f>Pivot!J17</f>
        <v>164</v>
      </c>
      <c r="F14" s="54">
        <f>IF(E14="N/A","",E14/170)</f>
        <v>0.96470588235294119</v>
      </c>
      <c r="G14" s="50">
        <f>170-E14</f>
        <v>6</v>
      </c>
      <c r="H14" s="50">
        <f>170-E14</f>
        <v>6</v>
      </c>
      <c r="I14" s="55"/>
    </row>
    <row r="15" spans="2:9" x14ac:dyDescent="0.2">
      <c r="B15" s="56">
        <v>12</v>
      </c>
      <c r="C15" s="57" t="s">
        <v>716</v>
      </c>
      <c r="D15" s="58" t="s">
        <v>713</v>
      </c>
      <c r="E15" s="62">
        <f>Pivot!J18</f>
        <v>6</v>
      </c>
      <c r="F15" s="63" t="s">
        <v>714</v>
      </c>
      <c r="G15" s="62" t="s">
        <v>714</v>
      </c>
      <c r="H15" s="62" t="s">
        <v>714</v>
      </c>
      <c r="I15" s="60"/>
    </row>
    <row r="16" spans="2:9" x14ac:dyDescent="0.2">
      <c r="B16" s="50">
        <v>13</v>
      </c>
      <c r="C16" s="51" t="s">
        <v>600</v>
      </c>
      <c r="D16" s="52" t="s">
        <v>717</v>
      </c>
      <c r="E16" s="53">
        <f>Pivot!J19</f>
        <v>158</v>
      </c>
      <c r="F16" s="64">
        <f>IF(E16="N/A","",E16/170)</f>
        <v>0.92941176470588238</v>
      </c>
      <c r="G16" s="50">
        <f>170-E16</f>
        <v>12</v>
      </c>
      <c r="H16" s="50">
        <f>170-E16</f>
        <v>12</v>
      </c>
      <c r="I16" s="55"/>
    </row>
    <row r="17" spans="2:9" x14ac:dyDescent="0.2">
      <c r="B17" s="56">
        <v>14</v>
      </c>
      <c r="C17" s="57" t="s">
        <v>718</v>
      </c>
      <c r="D17" s="58" t="s">
        <v>717</v>
      </c>
      <c r="E17" s="62">
        <f>Pivot!J20</f>
        <v>0</v>
      </c>
      <c r="F17" s="63" t="s">
        <v>714</v>
      </c>
      <c r="G17" s="62" t="s">
        <v>714</v>
      </c>
      <c r="H17" s="62" t="s">
        <v>714</v>
      </c>
      <c r="I17" s="60"/>
    </row>
    <row r="18" spans="2:9" x14ac:dyDescent="0.2">
      <c r="B18" s="50">
        <v>15</v>
      </c>
      <c r="C18" s="51" t="s">
        <v>602</v>
      </c>
      <c r="D18" s="52" t="s">
        <v>717</v>
      </c>
      <c r="E18" s="53">
        <f>Pivot!J21</f>
        <v>158</v>
      </c>
      <c r="F18" s="64">
        <f t="shared" ref="F18:F27" si="3">IF(E18="N/A","",E18/170)</f>
        <v>0.92941176470588238</v>
      </c>
      <c r="G18" s="50">
        <f t="shared" ref="G18:G27" si="4">170-E18</f>
        <v>12</v>
      </c>
      <c r="H18" s="50">
        <f t="shared" ref="H18:H27" si="5">170-E18</f>
        <v>12</v>
      </c>
      <c r="I18" s="55"/>
    </row>
    <row r="19" spans="2:9" x14ac:dyDescent="0.2">
      <c r="B19" s="56">
        <v>16</v>
      </c>
      <c r="C19" s="57" t="s">
        <v>21</v>
      </c>
      <c r="D19" s="58" t="s">
        <v>717</v>
      </c>
      <c r="E19" s="59">
        <f>Pivot!J22</f>
        <v>158</v>
      </c>
      <c r="F19" s="64">
        <f t="shared" si="3"/>
        <v>0.92941176470588238</v>
      </c>
      <c r="G19" s="56">
        <f t="shared" si="4"/>
        <v>12</v>
      </c>
      <c r="H19" s="56">
        <f t="shared" si="5"/>
        <v>12</v>
      </c>
      <c r="I19" s="60"/>
    </row>
    <row r="20" spans="2:9" x14ac:dyDescent="0.2">
      <c r="B20" s="50">
        <v>17</v>
      </c>
      <c r="C20" s="51" t="s">
        <v>604</v>
      </c>
      <c r="D20" s="52" t="s">
        <v>717</v>
      </c>
      <c r="E20" s="53">
        <f>Pivot!J23</f>
        <v>157</v>
      </c>
      <c r="F20" s="64">
        <f t="shared" si="3"/>
        <v>0.92352941176470593</v>
      </c>
      <c r="G20" s="50">
        <f t="shared" si="4"/>
        <v>13</v>
      </c>
      <c r="H20" s="50">
        <f t="shared" si="5"/>
        <v>13</v>
      </c>
      <c r="I20" s="55"/>
    </row>
    <row r="21" spans="2:9" x14ac:dyDescent="0.2">
      <c r="B21" s="56">
        <v>18</v>
      </c>
      <c r="C21" s="57" t="s">
        <v>23</v>
      </c>
      <c r="D21" s="52" t="s">
        <v>717</v>
      </c>
      <c r="E21" s="59">
        <f>Pivot!J24</f>
        <v>156</v>
      </c>
      <c r="F21" s="64">
        <f t="shared" si="3"/>
        <v>0.91764705882352937</v>
      </c>
      <c r="G21" s="56">
        <f t="shared" si="4"/>
        <v>14</v>
      </c>
      <c r="H21" s="56">
        <f t="shared" si="5"/>
        <v>14</v>
      </c>
      <c r="I21" s="60"/>
    </row>
    <row r="22" spans="2:9" x14ac:dyDescent="0.2">
      <c r="B22" s="50">
        <v>19</v>
      </c>
      <c r="C22" s="51" t="s">
        <v>24</v>
      </c>
      <c r="D22" s="52" t="s">
        <v>719</v>
      </c>
      <c r="E22" s="53">
        <f>Pivot!J25</f>
        <v>156</v>
      </c>
      <c r="F22" s="64">
        <f t="shared" si="3"/>
        <v>0.91764705882352937</v>
      </c>
      <c r="G22" s="50">
        <f t="shared" si="4"/>
        <v>14</v>
      </c>
      <c r="H22" s="50">
        <f t="shared" si="5"/>
        <v>14</v>
      </c>
      <c r="I22" s="55"/>
    </row>
    <row r="23" spans="2:9" x14ac:dyDescent="0.2">
      <c r="B23" s="56">
        <v>20</v>
      </c>
      <c r="C23" s="57" t="s">
        <v>25</v>
      </c>
      <c r="D23" s="58" t="s">
        <v>719</v>
      </c>
      <c r="E23" s="59">
        <f>Pivot!J26</f>
        <v>150</v>
      </c>
      <c r="F23" s="61">
        <f t="shared" si="3"/>
        <v>0.88235294117647056</v>
      </c>
      <c r="G23" s="56">
        <f t="shared" si="4"/>
        <v>20</v>
      </c>
      <c r="H23" s="56">
        <f t="shared" si="5"/>
        <v>20</v>
      </c>
      <c r="I23" s="60"/>
    </row>
    <row r="24" spans="2:9" x14ac:dyDescent="0.2">
      <c r="B24" s="50">
        <v>21</v>
      </c>
      <c r="C24" s="51" t="s">
        <v>26</v>
      </c>
      <c r="D24" s="52" t="s">
        <v>719</v>
      </c>
      <c r="E24" s="53">
        <f>Pivot!J27</f>
        <v>149</v>
      </c>
      <c r="F24" s="61">
        <f t="shared" si="3"/>
        <v>0.87647058823529411</v>
      </c>
      <c r="G24" s="50">
        <f t="shared" si="4"/>
        <v>21</v>
      </c>
      <c r="H24" s="50">
        <f t="shared" si="5"/>
        <v>21</v>
      </c>
      <c r="I24" s="55"/>
    </row>
    <row r="25" spans="2:9" x14ac:dyDescent="0.2">
      <c r="B25" s="56">
        <v>22</v>
      </c>
      <c r="C25" s="57" t="s">
        <v>27</v>
      </c>
      <c r="D25" s="58" t="s">
        <v>719</v>
      </c>
      <c r="E25" s="59">
        <f>Pivot!J28</f>
        <v>149</v>
      </c>
      <c r="F25" s="61">
        <f t="shared" si="3"/>
        <v>0.87647058823529411</v>
      </c>
      <c r="G25" s="56">
        <f t="shared" si="4"/>
        <v>21</v>
      </c>
      <c r="H25" s="56">
        <f t="shared" si="5"/>
        <v>21</v>
      </c>
      <c r="I25" s="60"/>
    </row>
    <row r="26" spans="2:9" x14ac:dyDescent="0.2">
      <c r="B26" s="50">
        <v>23</v>
      </c>
      <c r="C26" s="51" t="s">
        <v>28</v>
      </c>
      <c r="D26" s="52" t="s">
        <v>719</v>
      </c>
      <c r="E26" s="53">
        <f>Pivot!J29</f>
        <v>147</v>
      </c>
      <c r="F26" s="64">
        <f t="shared" si="3"/>
        <v>0.86470588235294121</v>
      </c>
      <c r="G26" s="50">
        <f t="shared" si="4"/>
        <v>23</v>
      </c>
      <c r="H26" s="50">
        <f t="shared" si="5"/>
        <v>23</v>
      </c>
      <c r="I26" s="55"/>
    </row>
    <row r="27" spans="2:9" x14ac:dyDescent="0.2">
      <c r="B27" s="56">
        <v>24</v>
      </c>
      <c r="C27" s="57" t="s">
        <v>720</v>
      </c>
      <c r="D27" s="58" t="s">
        <v>719</v>
      </c>
      <c r="E27" s="59">
        <f>Pivot!J30</f>
        <v>149</v>
      </c>
      <c r="F27" s="61">
        <f t="shared" si="3"/>
        <v>0.87647058823529411</v>
      </c>
      <c r="G27" s="56">
        <f t="shared" si="4"/>
        <v>21</v>
      </c>
      <c r="H27" s="56">
        <f t="shared" si="5"/>
        <v>21</v>
      </c>
      <c r="I27" s="60"/>
    </row>
    <row r="28" spans="2:9" x14ac:dyDescent="0.2">
      <c r="B28" s="49"/>
      <c r="C28" s="49"/>
      <c r="D28" s="49"/>
      <c r="E28" s="49"/>
      <c r="F28" s="49"/>
      <c r="G28" s="49"/>
      <c r="H28" s="49"/>
      <c r="I28" s="49"/>
    </row>
    <row r="29" spans="2:9" x14ac:dyDescent="0.2">
      <c r="B29" s="49"/>
      <c r="C29" s="49"/>
      <c r="D29" s="49"/>
      <c r="E29" s="49"/>
      <c r="F29" s="49"/>
      <c r="G29" s="49"/>
      <c r="H29" s="49"/>
      <c r="I29" s="49"/>
    </row>
    <row r="30" spans="2:9" ht="15" x14ac:dyDescent="0.2">
      <c r="B30" s="134" t="s">
        <v>725</v>
      </c>
      <c r="C30" s="134"/>
      <c r="D30" s="134"/>
      <c r="E30" s="134"/>
      <c r="F30" s="134"/>
      <c r="G30" s="134"/>
      <c r="H30" s="134"/>
      <c r="I30" s="134"/>
    </row>
    <row r="31" spans="2:9" x14ac:dyDescent="0.2">
      <c r="B31" s="131" t="s">
        <v>8</v>
      </c>
      <c r="C31" s="131"/>
      <c r="D31" s="131"/>
      <c r="E31" s="131"/>
      <c r="F31" s="53">
        <f>E4</f>
        <v>170</v>
      </c>
      <c r="G31" s="65"/>
      <c r="H31" s="65"/>
      <c r="I31" s="65"/>
    </row>
    <row r="32" spans="2:9" x14ac:dyDescent="0.2">
      <c r="B32" s="132" t="s">
        <v>722</v>
      </c>
      <c r="C32" s="132"/>
      <c r="D32" s="132"/>
      <c r="E32" s="132"/>
      <c r="F32" s="59">
        <f>E27</f>
        <v>149</v>
      </c>
      <c r="G32" s="66"/>
      <c r="H32" s="66"/>
      <c r="I32" s="66"/>
    </row>
    <row r="33" spans="2:9" x14ac:dyDescent="0.2">
      <c r="B33" s="132" t="s">
        <v>723</v>
      </c>
      <c r="C33" s="132"/>
      <c r="D33" s="132"/>
      <c r="E33" s="132"/>
      <c r="F33" s="67">
        <f>F32/F31</f>
        <v>0.87647058823529411</v>
      </c>
      <c r="G33" s="66"/>
      <c r="H33" s="66"/>
      <c r="I33" s="66"/>
    </row>
    <row r="34" spans="2:9" x14ac:dyDescent="0.2">
      <c r="B34" s="131" t="s">
        <v>594</v>
      </c>
      <c r="C34" s="131"/>
      <c r="D34" s="131"/>
      <c r="E34" s="131"/>
      <c r="F34" s="53">
        <v>47</v>
      </c>
      <c r="G34" s="65"/>
      <c r="H34" s="65"/>
      <c r="I34" s="65"/>
    </row>
  </sheetData>
  <mergeCells count="6">
    <mergeCell ref="B31:E31"/>
    <mergeCell ref="B34:E34"/>
    <mergeCell ref="B32:E32"/>
    <mergeCell ref="B33:E33"/>
    <mergeCell ref="B1:I1"/>
    <mergeCell ref="B30:I30"/>
  </mergeCells>
  <conditionalFormatting sqref="F4:F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{502CA5C5-BD55-4A6E-B30C-5D63763A6D6C}</x14:id>
        </ext>
      </extLst>
    </cfRule>
  </conditionalFormatting>
  <conditionalFormatting sqref="F31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{FCEE1D50-25CB-437C-AD12-D81AE7B5E687}</x14:id>
        </ext>
      </extLst>
    </cfRule>
  </conditionalFormatting>
  <conditionalFormatting sqref="F33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{F8142595-29FC-4512-BE40-6805863AAE1C}</x14:id>
        </ext>
      </extLst>
    </cfRule>
  </conditionalFormatting>
  <pageMargins left="0.7" right="0.7" top="0.75" bottom="0.75" header="0.3" footer="0.3"/>
  <pageSetup paperSize="9" scale="86" orientation="portrait" verticalDpi="597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A5C5-BD55-4A6E-B30C-5D63763A6D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F4:F27</xm:sqref>
        </x14:conditionalFormatting>
        <x14:conditionalFormatting xmlns:xm="http://schemas.microsoft.com/office/excel/2006/main">
          <x14:cfRule type="dataBar" id="{FCEE1D50-25CB-437C-AD12-D81AE7B5E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F31:F34</xm:sqref>
        </x14:conditionalFormatting>
        <x14:conditionalFormatting xmlns:xm="http://schemas.microsoft.com/office/excel/2006/main">
          <x14:cfRule type="dataBar" id="{F8142595-29FC-4512-BE40-6805863AAE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1"/>
  <sheetViews>
    <sheetView showGridLines="0" zoomScale="60" zoomScaleNormal="60" workbookViewId="0">
      <pane xSplit="4" ySplit="4" topLeftCell="E9" activePane="bottomRight" state="frozen"/>
      <selection pane="topRight" activeCell="E1" sqref="E1"/>
      <selection pane="bottomLeft" activeCell="A5" sqref="A5"/>
      <selection pane="bottomRight" activeCell="H16" sqref="H16"/>
    </sheetView>
  </sheetViews>
  <sheetFormatPr defaultColWidth="9.140625" defaultRowHeight="15" x14ac:dyDescent="0.2"/>
  <cols>
    <col min="1" max="1" width="23.28515625" style="18" bestFit="1" customWidth="1"/>
    <col min="2" max="2" width="28.7109375" style="18" bestFit="1" customWidth="1"/>
    <col min="3" max="3" width="24" style="18" customWidth="1"/>
    <col min="4" max="5" width="13.5703125" style="18" customWidth="1"/>
    <col min="6" max="7" width="10.7109375" style="18" customWidth="1"/>
    <col min="8" max="8" width="22.28515625" style="18" bestFit="1" customWidth="1"/>
    <col min="9" max="9" width="17" style="18" bestFit="1" customWidth="1"/>
    <col min="10" max="10" width="17.140625" style="18" bestFit="1" customWidth="1"/>
    <col min="11" max="16" width="17.140625" style="18" customWidth="1"/>
    <col min="17" max="17" width="12.7109375" style="18" bestFit="1" customWidth="1"/>
    <col min="18" max="18" width="12.7109375" style="18" customWidth="1"/>
    <col min="19" max="19" width="11.28515625" style="18" customWidth="1"/>
    <col min="20" max="20" width="12" style="18" customWidth="1"/>
    <col min="21" max="25" width="11" style="18" customWidth="1"/>
    <col min="26" max="26" width="12.7109375" style="18" bestFit="1" customWidth="1"/>
    <col min="27" max="32" width="12.7109375" style="18" customWidth="1"/>
    <col min="33" max="33" width="13" style="18" customWidth="1"/>
    <col min="34" max="35" width="19.140625" style="18" customWidth="1"/>
    <col min="36" max="36" width="11.7109375" style="18" customWidth="1"/>
    <col min="37" max="37" width="14.7109375" style="18" customWidth="1"/>
    <col min="38" max="39" width="8.42578125" style="18" bestFit="1" customWidth="1"/>
    <col min="40" max="40" width="8.42578125" style="18" customWidth="1"/>
    <col min="41" max="43" width="11.85546875" style="18" customWidth="1"/>
    <col min="44" max="44" width="20.140625" style="18" bestFit="1" customWidth="1"/>
    <col min="45" max="45" width="8.7109375" style="18" customWidth="1"/>
    <col min="46" max="46" width="9.7109375" style="18" customWidth="1"/>
    <col min="47" max="47" width="9.85546875" style="18" bestFit="1" customWidth="1"/>
    <col min="48" max="50" width="8.140625" style="18" bestFit="1" customWidth="1"/>
    <col min="51" max="51" width="25.42578125" style="18" bestFit="1" customWidth="1"/>
    <col min="52" max="52" width="19.42578125" style="18" customWidth="1"/>
    <col min="53" max="53" width="13" style="18" customWidth="1"/>
    <col min="54" max="54" width="12.7109375" style="18" customWidth="1"/>
    <col min="55" max="56" width="13.7109375" style="18" bestFit="1" customWidth="1"/>
    <col min="57" max="58" width="8" style="18" bestFit="1" customWidth="1"/>
    <col min="59" max="59" width="78.42578125" style="18" customWidth="1"/>
    <col min="60" max="16384" width="9.140625" style="79"/>
  </cols>
  <sheetData>
    <row r="1" spans="1:59" ht="20.100000000000001" customHeight="1" x14ac:dyDescent="0.2">
      <c r="A1" s="153" t="s">
        <v>625</v>
      </c>
      <c r="B1" s="153"/>
      <c r="C1" s="153"/>
      <c r="D1" s="153"/>
      <c r="E1" s="153"/>
      <c r="F1" s="153"/>
      <c r="G1" s="153"/>
      <c r="H1" s="143"/>
      <c r="I1" s="143"/>
      <c r="J1" s="143"/>
      <c r="K1" s="143"/>
      <c r="L1" s="143"/>
      <c r="M1" s="143"/>
      <c r="N1" s="143"/>
      <c r="O1" s="143"/>
      <c r="P1" s="14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</row>
    <row r="2" spans="1:59" ht="51.75" customHeight="1" x14ac:dyDescent="0.2">
      <c r="A2" s="153" t="s">
        <v>626</v>
      </c>
      <c r="B2" s="153" t="s">
        <v>627</v>
      </c>
      <c r="C2" s="153" t="s">
        <v>616</v>
      </c>
      <c r="D2" s="153" t="s">
        <v>628</v>
      </c>
      <c r="E2" s="143" t="s">
        <v>677</v>
      </c>
      <c r="F2" s="153" t="s">
        <v>629</v>
      </c>
      <c r="G2" s="153"/>
      <c r="H2" s="155" t="s">
        <v>630</v>
      </c>
      <c r="I2" s="156"/>
      <c r="J2" s="156"/>
      <c r="K2" s="157"/>
      <c r="L2" s="157"/>
      <c r="M2" s="157"/>
      <c r="N2" s="157"/>
      <c r="O2" s="157"/>
      <c r="P2" s="158"/>
      <c r="Q2" s="148" t="s">
        <v>631</v>
      </c>
      <c r="R2" s="154"/>
      <c r="S2" s="148" t="s">
        <v>632</v>
      </c>
      <c r="T2" s="149"/>
      <c r="U2" s="153" t="s">
        <v>676</v>
      </c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48" t="s">
        <v>678</v>
      </c>
      <c r="AI2" s="149"/>
      <c r="AJ2" s="148" t="s">
        <v>680</v>
      </c>
      <c r="AK2" s="149"/>
      <c r="AL2" s="148" t="s">
        <v>745</v>
      </c>
      <c r="AM2" s="154"/>
      <c r="AN2" s="149"/>
      <c r="AO2" s="148" t="s">
        <v>746</v>
      </c>
      <c r="AP2" s="154"/>
      <c r="AQ2" s="149"/>
      <c r="AR2" s="153" t="s">
        <v>685</v>
      </c>
      <c r="AS2" s="153" t="s">
        <v>633</v>
      </c>
      <c r="AT2" s="153"/>
      <c r="AU2" s="153"/>
      <c r="AV2" s="153" t="s">
        <v>634</v>
      </c>
      <c r="AW2" s="153"/>
      <c r="AX2" s="153"/>
      <c r="AY2" s="19" t="s">
        <v>635</v>
      </c>
      <c r="AZ2" s="21" t="s">
        <v>687</v>
      </c>
      <c r="BA2" s="148" t="s">
        <v>754</v>
      </c>
      <c r="BB2" s="149"/>
      <c r="BC2" s="148" t="s">
        <v>689</v>
      </c>
      <c r="BD2" s="149"/>
      <c r="BE2" s="148" t="s">
        <v>690</v>
      </c>
      <c r="BF2" s="154"/>
      <c r="BG2" s="153" t="s">
        <v>618</v>
      </c>
    </row>
    <row r="3" spans="1:59" ht="45" x14ac:dyDescent="0.2">
      <c r="A3" s="153"/>
      <c r="B3" s="153"/>
      <c r="C3" s="153"/>
      <c r="D3" s="153"/>
      <c r="E3" s="159"/>
      <c r="F3" s="21" t="s">
        <v>636</v>
      </c>
      <c r="G3" s="21" t="s">
        <v>637</v>
      </c>
      <c r="H3" s="35" t="s">
        <v>638</v>
      </c>
      <c r="I3" s="34" t="s">
        <v>672</v>
      </c>
      <c r="J3" s="35" t="s">
        <v>639</v>
      </c>
      <c r="K3" s="35" t="s">
        <v>640</v>
      </c>
      <c r="L3" s="35" t="s">
        <v>641</v>
      </c>
      <c r="M3" s="35" t="s">
        <v>796</v>
      </c>
      <c r="N3" s="35" t="s">
        <v>642</v>
      </c>
      <c r="O3" s="35" t="s">
        <v>748</v>
      </c>
      <c r="P3" s="35" t="s">
        <v>684</v>
      </c>
      <c r="Q3" s="19" t="s">
        <v>751</v>
      </c>
      <c r="R3" s="19" t="s">
        <v>643</v>
      </c>
      <c r="S3" s="21" t="s">
        <v>674</v>
      </c>
      <c r="T3" s="21" t="s">
        <v>644</v>
      </c>
      <c r="U3" s="21" t="s">
        <v>732</v>
      </c>
      <c r="V3" s="21" t="s">
        <v>733</v>
      </c>
      <c r="W3" s="21" t="s">
        <v>734</v>
      </c>
      <c r="X3" s="21" t="s">
        <v>735</v>
      </c>
      <c r="Y3" s="21" t="s">
        <v>736</v>
      </c>
      <c r="Z3" s="21" t="s">
        <v>737</v>
      </c>
      <c r="AA3" s="21" t="s">
        <v>738</v>
      </c>
      <c r="AB3" s="21" t="s">
        <v>739</v>
      </c>
      <c r="AC3" s="21" t="s">
        <v>740</v>
      </c>
      <c r="AD3" s="21" t="s">
        <v>741</v>
      </c>
      <c r="AE3" s="21" t="s">
        <v>742</v>
      </c>
      <c r="AF3" s="21" t="s">
        <v>743</v>
      </c>
      <c r="AG3" s="21" t="s">
        <v>675</v>
      </c>
      <c r="AH3" s="21" t="s">
        <v>674</v>
      </c>
      <c r="AI3" s="21" t="s">
        <v>679</v>
      </c>
      <c r="AJ3" s="21" t="s">
        <v>674</v>
      </c>
      <c r="AK3" s="21" t="s">
        <v>681</v>
      </c>
      <c r="AL3" s="21" t="s">
        <v>636</v>
      </c>
      <c r="AM3" s="21" t="s">
        <v>637</v>
      </c>
      <c r="AN3" s="21" t="s">
        <v>646</v>
      </c>
      <c r="AO3" s="21" t="s">
        <v>636</v>
      </c>
      <c r="AP3" s="21" t="s">
        <v>637</v>
      </c>
      <c r="AQ3" s="21" t="s">
        <v>646</v>
      </c>
      <c r="AR3" s="153"/>
      <c r="AS3" s="21" t="s">
        <v>682</v>
      </c>
      <c r="AT3" s="21" t="s">
        <v>683</v>
      </c>
      <c r="AU3" s="21" t="s">
        <v>645</v>
      </c>
      <c r="AV3" s="21" t="s">
        <v>636</v>
      </c>
      <c r="AW3" s="21" t="s">
        <v>646</v>
      </c>
      <c r="AX3" s="21" t="s">
        <v>637</v>
      </c>
      <c r="AY3" s="21" t="s">
        <v>686</v>
      </c>
      <c r="AZ3" s="143" t="s">
        <v>688</v>
      </c>
      <c r="BA3" s="20" t="s">
        <v>674</v>
      </c>
      <c r="BB3" s="20" t="s">
        <v>753</v>
      </c>
      <c r="BC3" s="20" t="s">
        <v>636</v>
      </c>
      <c r="BD3" s="21" t="s">
        <v>637</v>
      </c>
      <c r="BE3" s="21" t="s">
        <v>636</v>
      </c>
      <c r="BF3" s="21" t="s">
        <v>637</v>
      </c>
      <c r="BG3" s="153"/>
    </row>
    <row r="4" spans="1:59" ht="35.25" customHeight="1" thickBot="1" x14ac:dyDescent="0.25">
      <c r="A4" s="143"/>
      <c r="B4" s="143"/>
      <c r="C4" s="143"/>
      <c r="D4" s="143"/>
      <c r="E4" s="159"/>
      <c r="F4" s="143" t="s">
        <v>647</v>
      </c>
      <c r="G4" s="160"/>
      <c r="H4" s="20" t="s">
        <v>648</v>
      </c>
      <c r="I4" s="20" t="s">
        <v>648</v>
      </c>
      <c r="J4" s="20" t="s">
        <v>648</v>
      </c>
      <c r="K4" s="20" t="s">
        <v>648</v>
      </c>
      <c r="L4" s="20" t="s">
        <v>648</v>
      </c>
      <c r="M4" s="20" t="s">
        <v>749</v>
      </c>
      <c r="N4" s="20" t="s">
        <v>648</v>
      </c>
      <c r="O4" s="20" t="s">
        <v>648</v>
      </c>
      <c r="P4" s="20" t="s">
        <v>648</v>
      </c>
      <c r="Q4" s="145" t="s">
        <v>648</v>
      </c>
      <c r="R4" s="147"/>
      <c r="S4" s="160" t="s">
        <v>648</v>
      </c>
      <c r="T4" s="161"/>
      <c r="U4" s="145" t="s">
        <v>648</v>
      </c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5" t="s">
        <v>648</v>
      </c>
      <c r="AI4" s="147"/>
      <c r="AJ4" s="145" t="s">
        <v>648</v>
      </c>
      <c r="AK4" s="147"/>
      <c r="AL4" s="145" t="s">
        <v>648</v>
      </c>
      <c r="AM4" s="146"/>
      <c r="AN4" s="147"/>
      <c r="AO4" s="145" t="s">
        <v>648</v>
      </c>
      <c r="AP4" s="146"/>
      <c r="AQ4" s="147"/>
      <c r="AR4" s="20" t="s">
        <v>648</v>
      </c>
      <c r="AS4" s="145" t="s">
        <v>648</v>
      </c>
      <c r="AT4" s="146"/>
      <c r="AU4" s="147"/>
      <c r="AV4" s="143" t="s">
        <v>648</v>
      </c>
      <c r="AW4" s="143"/>
      <c r="AX4" s="143"/>
      <c r="AY4" s="44" t="s">
        <v>648</v>
      </c>
      <c r="AZ4" s="144"/>
      <c r="BA4" s="44" t="s">
        <v>648</v>
      </c>
      <c r="BB4" s="44" t="s">
        <v>648</v>
      </c>
      <c r="BC4" s="145" t="s">
        <v>648</v>
      </c>
      <c r="BD4" s="147"/>
      <c r="BE4" s="28"/>
      <c r="BF4" s="28"/>
      <c r="BG4" s="20"/>
    </row>
    <row r="5" spans="1:59" s="80" customFormat="1" ht="51" customHeight="1" x14ac:dyDescent="0.2">
      <c r="A5" s="163" t="s">
        <v>649</v>
      </c>
      <c r="B5" s="74">
        <v>3973</v>
      </c>
      <c r="C5" s="74" t="s">
        <v>664</v>
      </c>
      <c r="D5" s="76" t="s">
        <v>72</v>
      </c>
      <c r="E5" s="78"/>
      <c r="F5" s="85" t="s">
        <v>731</v>
      </c>
      <c r="G5" s="85" t="s">
        <v>731</v>
      </c>
      <c r="H5" s="85" t="s">
        <v>731</v>
      </c>
      <c r="I5" s="75" t="s">
        <v>747</v>
      </c>
      <c r="J5" s="85" t="s">
        <v>731</v>
      </c>
      <c r="K5" s="75" t="s">
        <v>747</v>
      </c>
      <c r="L5" s="85" t="s">
        <v>731</v>
      </c>
      <c r="M5" s="75" t="s">
        <v>747</v>
      </c>
      <c r="N5" s="75" t="s">
        <v>747</v>
      </c>
      <c r="O5" s="85" t="s">
        <v>731</v>
      </c>
      <c r="P5" s="75" t="s">
        <v>747</v>
      </c>
      <c r="Q5" s="71" t="s">
        <v>752</v>
      </c>
      <c r="R5" s="75" t="s">
        <v>747</v>
      </c>
      <c r="S5" s="85" t="s">
        <v>731</v>
      </c>
      <c r="T5" s="75" t="s">
        <v>747</v>
      </c>
      <c r="U5" s="85" t="s">
        <v>731</v>
      </c>
      <c r="V5" s="85" t="s">
        <v>731</v>
      </c>
      <c r="W5" s="85" t="s">
        <v>731</v>
      </c>
      <c r="X5" s="85" t="s">
        <v>731</v>
      </c>
      <c r="Y5" s="85" t="s">
        <v>731</v>
      </c>
      <c r="Z5" s="85" t="s">
        <v>731</v>
      </c>
      <c r="AA5" s="85" t="s">
        <v>731</v>
      </c>
      <c r="AB5" s="85" t="s">
        <v>731</v>
      </c>
      <c r="AC5" s="85" t="s">
        <v>731</v>
      </c>
      <c r="AD5" s="91" t="s">
        <v>772</v>
      </c>
      <c r="AE5" s="85" t="s">
        <v>731</v>
      </c>
      <c r="AF5" s="85" t="s">
        <v>731</v>
      </c>
      <c r="AG5" s="75" t="s">
        <v>747</v>
      </c>
      <c r="AH5" s="70" t="s">
        <v>758</v>
      </c>
      <c r="AI5" s="70" t="s">
        <v>758</v>
      </c>
      <c r="AJ5" s="70" t="s">
        <v>750</v>
      </c>
      <c r="AK5" s="70" t="s">
        <v>774</v>
      </c>
      <c r="AL5" s="92" t="s">
        <v>752</v>
      </c>
      <c r="AM5" s="92" t="s">
        <v>752</v>
      </c>
      <c r="AN5" s="92" t="s">
        <v>752</v>
      </c>
      <c r="AO5" s="74" t="s">
        <v>747</v>
      </c>
      <c r="AP5" s="74" t="s">
        <v>747</v>
      </c>
      <c r="AQ5" s="74" t="s">
        <v>747</v>
      </c>
      <c r="AR5" s="70" t="s">
        <v>773</v>
      </c>
      <c r="AS5" s="85" t="s">
        <v>731</v>
      </c>
      <c r="AT5" s="85" t="s">
        <v>731</v>
      </c>
      <c r="AU5" s="85" t="s">
        <v>731</v>
      </c>
      <c r="AV5" s="85" t="s">
        <v>731</v>
      </c>
      <c r="AW5" s="85" t="s">
        <v>731</v>
      </c>
      <c r="AX5" s="85" t="s">
        <v>731</v>
      </c>
      <c r="AY5" s="85" t="s">
        <v>731</v>
      </c>
      <c r="AZ5" s="70" t="s">
        <v>744</v>
      </c>
      <c r="BA5" s="92" t="s">
        <v>752</v>
      </c>
      <c r="BB5" s="75" t="s">
        <v>747</v>
      </c>
      <c r="BC5" s="92" t="s">
        <v>752</v>
      </c>
      <c r="BD5" s="92" t="s">
        <v>752</v>
      </c>
      <c r="BE5" s="70" t="s">
        <v>774</v>
      </c>
      <c r="BF5" s="70" t="s">
        <v>774</v>
      </c>
      <c r="BG5" s="95" t="s">
        <v>755</v>
      </c>
    </row>
    <row r="6" spans="1:59" s="80" customFormat="1" ht="51" customHeight="1" x14ac:dyDescent="0.2">
      <c r="A6" s="164"/>
      <c r="B6" s="75">
        <v>3973</v>
      </c>
      <c r="C6" s="75" t="s">
        <v>665</v>
      </c>
      <c r="D6" s="77" t="s">
        <v>79</v>
      </c>
      <c r="E6" s="78"/>
      <c r="F6" s="71" t="s">
        <v>731</v>
      </c>
      <c r="G6" s="71" t="s">
        <v>731</v>
      </c>
      <c r="H6" s="91" t="s">
        <v>772</v>
      </c>
      <c r="I6" s="75" t="s">
        <v>747</v>
      </c>
      <c r="J6" s="71" t="s">
        <v>731</v>
      </c>
      <c r="K6" s="75" t="s">
        <v>747</v>
      </c>
      <c r="L6" s="71" t="s">
        <v>731</v>
      </c>
      <c r="M6" s="106" t="s">
        <v>797</v>
      </c>
      <c r="N6" s="75" t="s">
        <v>747</v>
      </c>
      <c r="O6" s="71" t="s">
        <v>731</v>
      </c>
      <c r="P6" s="75" t="s">
        <v>747</v>
      </c>
      <c r="Q6" s="71" t="s">
        <v>752</v>
      </c>
      <c r="R6" s="75" t="s">
        <v>747</v>
      </c>
      <c r="S6" s="71" t="s">
        <v>731</v>
      </c>
      <c r="T6" s="75" t="s">
        <v>747</v>
      </c>
      <c r="U6" s="71" t="s">
        <v>731</v>
      </c>
      <c r="V6" s="71" t="s">
        <v>731</v>
      </c>
      <c r="W6" s="71" t="s">
        <v>731</v>
      </c>
      <c r="X6" s="71" t="s">
        <v>731</v>
      </c>
      <c r="Y6" s="71" t="s">
        <v>731</v>
      </c>
      <c r="Z6" s="71" t="s">
        <v>731</v>
      </c>
      <c r="AA6" s="71" t="s">
        <v>731</v>
      </c>
      <c r="AB6" s="71" t="s">
        <v>731</v>
      </c>
      <c r="AC6" s="71" t="s">
        <v>731</v>
      </c>
      <c r="AD6" s="91" t="s">
        <v>772</v>
      </c>
      <c r="AE6" s="71" t="s">
        <v>731</v>
      </c>
      <c r="AF6" s="71" t="s">
        <v>731</v>
      </c>
      <c r="AG6" s="75" t="s">
        <v>747</v>
      </c>
      <c r="AH6" s="71" t="s">
        <v>758</v>
      </c>
      <c r="AI6" s="71" t="s">
        <v>758</v>
      </c>
      <c r="AJ6" s="71" t="s">
        <v>750</v>
      </c>
      <c r="AK6" s="71" t="s">
        <v>774</v>
      </c>
      <c r="AL6" s="93" t="s">
        <v>752</v>
      </c>
      <c r="AM6" s="93" t="s">
        <v>752</v>
      </c>
      <c r="AN6" s="93" t="s">
        <v>752</v>
      </c>
      <c r="AO6" s="75" t="s">
        <v>747</v>
      </c>
      <c r="AP6" s="75" t="s">
        <v>747</v>
      </c>
      <c r="AQ6" s="75" t="s">
        <v>747</v>
      </c>
      <c r="AR6" s="71" t="s">
        <v>773</v>
      </c>
      <c r="AS6" s="71" t="s">
        <v>731</v>
      </c>
      <c r="AT6" s="71" t="s">
        <v>731</v>
      </c>
      <c r="AU6" s="71" t="s">
        <v>731</v>
      </c>
      <c r="AV6" s="71" t="s">
        <v>731</v>
      </c>
      <c r="AW6" s="71" t="s">
        <v>731</v>
      </c>
      <c r="AX6" s="71" t="s">
        <v>731</v>
      </c>
      <c r="AY6" s="71" t="s">
        <v>731</v>
      </c>
      <c r="AZ6" s="71" t="s">
        <v>744</v>
      </c>
      <c r="BA6" s="93" t="s">
        <v>752</v>
      </c>
      <c r="BB6" s="75" t="s">
        <v>747</v>
      </c>
      <c r="BC6" s="93" t="s">
        <v>752</v>
      </c>
      <c r="BD6" s="93" t="s">
        <v>752</v>
      </c>
      <c r="BE6" s="71" t="s">
        <v>774</v>
      </c>
      <c r="BF6" s="71" t="s">
        <v>774</v>
      </c>
      <c r="BG6" s="95" t="s">
        <v>756</v>
      </c>
    </row>
    <row r="7" spans="1:59" s="80" customFormat="1" ht="45" customHeight="1" x14ac:dyDescent="0.2">
      <c r="A7" s="164"/>
      <c r="B7" s="75">
        <v>3973</v>
      </c>
      <c r="C7" s="75" t="s">
        <v>666</v>
      </c>
      <c r="D7" s="77" t="s">
        <v>79</v>
      </c>
      <c r="E7" s="78"/>
      <c r="F7" s="71" t="s">
        <v>731</v>
      </c>
      <c r="G7" s="71" t="s">
        <v>731</v>
      </c>
      <c r="H7" s="71" t="s">
        <v>731</v>
      </c>
      <c r="I7" s="75" t="s">
        <v>747</v>
      </c>
      <c r="J7" s="71" t="s">
        <v>731</v>
      </c>
      <c r="K7" s="75" t="s">
        <v>747</v>
      </c>
      <c r="L7" s="71" t="s">
        <v>731</v>
      </c>
      <c r="M7" s="75" t="s">
        <v>747</v>
      </c>
      <c r="N7" s="75" t="s">
        <v>747</v>
      </c>
      <c r="O7" s="71" t="s">
        <v>731</v>
      </c>
      <c r="P7" s="75" t="s">
        <v>747</v>
      </c>
      <c r="Q7" s="71" t="s">
        <v>752</v>
      </c>
      <c r="R7" s="75" t="s">
        <v>747</v>
      </c>
      <c r="S7" s="71" t="s">
        <v>731</v>
      </c>
      <c r="T7" s="75" t="s">
        <v>747</v>
      </c>
      <c r="U7" s="71" t="s">
        <v>731</v>
      </c>
      <c r="V7" s="71" t="s">
        <v>731</v>
      </c>
      <c r="W7" s="71" t="s">
        <v>731</v>
      </c>
      <c r="X7" s="71" t="s">
        <v>731</v>
      </c>
      <c r="Y7" s="71" t="s">
        <v>731</v>
      </c>
      <c r="Z7" s="71" t="s">
        <v>731</v>
      </c>
      <c r="AA7" s="71" t="s">
        <v>731</v>
      </c>
      <c r="AB7" s="71" t="s">
        <v>731</v>
      </c>
      <c r="AC7" s="71" t="s">
        <v>731</v>
      </c>
      <c r="AD7" s="71" t="s">
        <v>731</v>
      </c>
      <c r="AE7" s="71" t="s">
        <v>731</v>
      </c>
      <c r="AF7" s="71" t="s">
        <v>731</v>
      </c>
      <c r="AG7" s="75" t="s">
        <v>747</v>
      </c>
      <c r="AH7" s="71" t="s">
        <v>758</v>
      </c>
      <c r="AI7" s="71" t="s">
        <v>758</v>
      </c>
      <c r="AJ7" s="71" t="s">
        <v>750</v>
      </c>
      <c r="AK7" s="71" t="s">
        <v>774</v>
      </c>
      <c r="AL7" s="93" t="s">
        <v>752</v>
      </c>
      <c r="AM7" s="93" t="s">
        <v>752</v>
      </c>
      <c r="AN7" s="93" t="s">
        <v>752</v>
      </c>
      <c r="AO7" s="75" t="s">
        <v>747</v>
      </c>
      <c r="AP7" s="75" t="s">
        <v>747</v>
      </c>
      <c r="AQ7" s="75" t="s">
        <v>747</v>
      </c>
      <c r="AR7" s="71" t="s">
        <v>773</v>
      </c>
      <c r="AS7" s="71" t="s">
        <v>731</v>
      </c>
      <c r="AT7" s="71" t="s">
        <v>731</v>
      </c>
      <c r="AU7" s="71" t="s">
        <v>731</v>
      </c>
      <c r="AV7" s="71" t="s">
        <v>731</v>
      </c>
      <c r="AW7" s="71" t="s">
        <v>731</v>
      </c>
      <c r="AX7" s="71" t="s">
        <v>731</v>
      </c>
      <c r="AY7" s="71" t="s">
        <v>731</v>
      </c>
      <c r="AZ7" s="71" t="s">
        <v>744</v>
      </c>
      <c r="BA7" s="93" t="s">
        <v>752</v>
      </c>
      <c r="BB7" s="75" t="s">
        <v>747</v>
      </c>
      <c r="BC7" s="93" t="s">
        <v>752</v>
      </c>
      <c r="BD7" s="93" t="s">
        <v>752</v>
      </c>
      <c r="BE7" s="71" t="s">
        <v>774</v>
      </c>
      <c r="BF7" s="71" t="s">
        <v>774</v>
      </c>
      <c r="BG7" s="37"/>
    </row>
    <row r="8" spans="1:59" s="80" customFormat="1" ht="45" customHeight="1" x14ac:dyDescent="0.2">
      <c r="A8" s="164"/>
      <c r="B8" s="75">
        <v>3974</v>
      </c>
      <c r="C8" s="75" t="s">
        <v>667</v>
      </c>
      <c r="D8" s="77" t="s">
        <v>72</v>
      </c>
      <c r="E8" s="78"/>
      <c r="F8" s="71" t="s">
        <v>731</v>
      </c>
      <c r="G8" s="71" t="s">
        <v>731</v>
      </c>
      <c r="H8" s="91" t="s">
        <v>772</v>
      </c>
      <c r="I8" s="75" t="s">
        <v>747</v>
      </c>
      <c r="J8" s="71" t="s">
        <v>731</v>
      </c>
      <c r="K8" s="75" t="s">
        <v>747</v>
      </c>
      <c r="L8" s="71" t="s">
        <v>731</v>
      </c>
      <c r="M8" s="106" t="s">
        <v>797</v>
      </c>
      <c r="N8" s="75" t="s">
        <v>747</v>
      </c>
      <c r="O8" s="71" t="s">
        <v>731</v>
      </c>
      <c r="P8" s="75" t="s">
        <v>747</v>
      </c>
      <c r="Q8" s="71" t="s">
        <v>752</v>
      </c>
      <c r="R8" s="75" t="s">
        <v>747</v>
      </c>
      <c r="S8" s="71" t="s">
        <v>731</v>
      </c>
      <c r="T8" s="75" t="s">
        <v>747</v>
      </c>
      <c r="U8" s="71" t="s">
        <v>731</v>
      </c>
      <c r="V8" s="71" t="s">
        <v>731</v>
      </c>
      <c r="W8" s="71" t="s">
        <v>731</v>
      </c>
      <c r="X8" s="71" t="s">
        <v>731</v>
      </c>
      <c r="Y8" s="71" t="s">
        <v>731</v>
      </c>
      <c r="Z8" s="71" t="s">
        <v>731</v>
      </c>
      <c r="AA8" s="71" t="s">
        <v>731</v>
      </c>
      <c r="AB8" s="71" t="s">
        <v>731</v>
      </c>
      <c r="AC8" s="71" t="s">
        <v>731</v>
      </c>
      <c r="AD8" s="71" t="s">
        <v>731</v>
      </c>
      <c r="AE8" s="71" t="s">
        <v>731</v>
      </c>
      <c r="AF8" s="71" t="s">
        <v>731</v>
      </c>
      <c r="AG8" s="75" t="s">
        <v>747</v>
      </c>
      <c r="AH8" s="71" t="s">
        <v>758</v>
      </c>
      <c r="AI8" s="71" t="s">
        <v>758</v>
      </c>
      <c r="AJ8" s="71" t="s">
        <v>750</v>
      </c>
      <c r="AK8" s="71" t="s">
        <v>774</v>
      </c>
      <c r="AL8" s="93" t="s">
        <v>752</v>
      </c>
      <c r="AM8" s="93" t="s">
        <v>752</v>
      </c>
      <c r="AN8" s="93" t="s">
        <v>752</v>
      </c>
      <c r="AO8" s="75" t="s">
        <v>747</v>
      </c>
      <c r="AP8" s="75" t="s">
        <v>747</v>
      </c>
      <c r="AQ8" s="75" t="s">
        <v>747</v>
      </c>
      <c r="AR8" s="71" t="s">
        <v>773</v>
      </c>
      <c r="AS8" s="71" t="s">
        <v>731</v>
      </c>
      <c r="AT8" s="71" t="s">
        <v>731</v>
      </c>
      <c r="AU8" s="71" t="s">
        <v>731</v>
      </c>
      <c r="AV8" s="71" t="s">
        <v>731</v>
      </c>
      <c r="AW8" s="71" t="s">
        <v>731</v>
      </c>
      <c r="AX8" s="71" t="s">
        <v>731</v>
      </c>
      <c r="AY8" s="71" t="s">
        <v>731</v>
      </c>
      <c r="AZ8" s="71" t="s">
        <v>744</v>
      </c>
      <c r="BA8" s="93" t="s">
        <v>752</v>
      </c>
      <c r="BB8" s="75" t="s">
        <v>747</v>
      </c>
      <c r="BC8" s="93" t="s">
        <v>752</v>
      </c>
      <c r="BD8" s="93" t="s">
        <v>752</v>
      </c>
      <c r="BE8" s="71" t="s">
        <v>774</v>
      </c>
      <c r="BF8" s="71" t="s">
        <v>774</v>
      </c>
      <c r="BG8" s="95" t="s">
        <v>757</v>
      </c>
    </row>
    <row r="9" spans="1:59" s="80" customFormat="1" ht="30" customHeight="1" x14ac:dyDescent="0.25">
      <c r="A9" s="164"/>
      <c r="B9" s="36">
        <v>3973</v>
      </c>
      <c r="C9" s="36" t="s">
        <v>668</v>
      </c>
      <c r="D9" s="40" t="s">
        <v>79</v>
      </c>
      <c r="E9" s="172"/>
      <c r="F9" s="75" t="s">
        <v>747</v>
      </c>
      <c r="G9" s="75" t="s">
        <v>747</v>
      </c>
      <c r="H9" s="75" t="s">
        <v>747</v>
      </c>
      <c r="I9" s="71" t="s">
        <v>776</v>
      </c>
      <c r="J9" s="75" t="s">
        <v>747</v>
      </c>
      <c r="K9" s="71" t="s">
        <v>776</v>
      </c>
      <c r="L9" s="75" t="s">
        <v>747</v>
      </c>
      <c r="M9" s="75" t="s">
        <v>747</v>
      </c>
      <c r="N9" s="71" t="s">
        <v>776</v>
      </c>
      <c r="O9" s="75" t="s">
        <v>747</v>
      </c>
      <c r="P9" s="71" t="s">
        <v>776</v>
      </c>
      <c r="Q9" s="75" t="s">
        <v>747</v>
      </c>
      <c r="R9" s="71" t="s">
        <v>777</v>
      </c>
      <c r="S9" s="75" t="s">
        <v>747</v>
      </c>
      <c r="T9" s="71" t="s">
        <v>777</v>
      </c>
      <c r="U9" s="75" t="s">
        <v>747</v>
      </c>
      <c r="V9" s="75" t="s">
        <v>747</v>
      </c>
      <c r="W9" s="75" t="s">
        <v>747</v>
      </c>
      <c r="X9" s="75" t="s">
        <v>747</v>
      </c>
      <c r="Y9" s="75" t="s">
        <v>747</v>
      </c>
      <c r="Z9" s="75" t="s">
        <v>747</v>
      </c>
      <c r="AA9" s="75" t="s">
        <v>747</v>
      </c>
      <c r="AB9" s="75" t="s">
        <v>747</v>
      </c>
      <c r="AC9" s="75" t="s">
        <v>747</v>
      </c>
      <c r="AD9" s="75" t="s">
        <v>747</v>
      </c>
      <c r="AE9" s="75" t="s">
        <v>747</v>
      </c>
      <c r="AF9" s="75" t="s">
        <v>747</v>
      </c>
      <c r="AG9" s="75" t="s">
        <v>747</v>
      </c>
      <c r="AH9" s="75" t="s">
        <v>747</v>
      </c>
      <c r="AI9" s="75" t="s">
        <v>747</v>
      </c>
      <c r="AJ9" s="75" t="s">
        <v>747</v>
      </c>
      <c r="AK9" s="75" t="s">
        <v>747</v>
      </c>
      <c r="AL9" s="75" t="s">
        <v>747</v>
      </c>
      <c r="AM9" s="75" t="s">
        <v>747</v>
      </c>
      <c r="AN9" s="75" t="s">
        <v>747</v>
      </c>
      <c r="AO9" s="71" t="s">
        <v>777</v>
      </c>
      <c r="AP9" s="71" t="s">
        <v>777</v>
      </c>
      <c r="AQ9" s="71" t="s">
        <v>777</v>
      </c>
      <c r="AR9" s="75" t="s">
        <v>747</v>
      </c>
      <c r="AS9" s="75" t="s">
        <v>747</v>
      </c>
      <c r="AT9" s="75" t="s">
        <v>747</v>
      </c>
      <c r="AU9" s="75" t="s">
        <v>747</v>
      </c>
      <c r="AV9" s="75" t="s">
        <v>747</v>
      </c>
      <c r="AW9" s="75" t="s">
        <v>747</v>
      </c>
      <c r="AX9" s="75" t="s">
        <v>747</v>
      </c>
      <c r="AY9" s="75" t="s">
        <v>747</v>
      </c>
      <c r="AZ9" s="71" t="s">
        <v>744</v>
      </c>
      <c r="BA9" s="75" t="s">
        <v>747</v>
      </c>
      <c r="BB9" s="71" t="s">
        <v>777</v>
      </c>
      <c r="BC9" s="75" t="s">
        <v>747</v>
      </c>
      <c r="BD9" s="75" t="s">
        <v>747</v>
      </c>
      <c r="BE9" s="75" t="s">
        <v>747</v>
      </c>
      <c r="BF9" s="75" t="s">
        <v>747</v>
      </c>
      <c r="BG9" s="103" t="s">
        <v>789</v>
      </c>
    </row>
    <row r="10" spans="1:59" s="80" customFormat="1" ht="30" customHeight="1" x14ac:dyDescent="0.2">
      <c r="A10" s="164"/>
      <c r="B10" s="37">
        <v>3973</v>
      </c>
      <c r="C10" s="37" t="s">
        <v>669</v>
      </c>
      <c r="D10" s="41" t="s">
        <v>79</v>
      </c>
      <c r="E10" s="173"/>
      <c r="F10" s="75" t="s">
        <v>747</v>
      </c>
      <c r="G10" s="75" t="s">
        <v>747</v>
      </c>
      <c r="H10" s="75" t="s">
        <v>747</v>
      </c>
      <c r="I10" s="71" t="s">
        <v>776</v>
      </c>
      <c r="J10" s="75" t="s">
        <v>747</v>
      </c>
      <c r="K10" s="71" t="s">
        <v>776</v>
      </c>
      <c r="L10" s="75" t="s">
        <v>747</v>
      </c>
      <c r="M10" s="75" t="s">
        <v>747</v>
      </c>
      <c r="N10" s="71" t="s">
        <v>776</v>
      </c>
      <c r="O10" s="75" t="s">
        <v>747</v>
      </c>
      <c r="P10" s="71" t="s">
        <v>776</v>
      </c>
      <c r="Q10" s="75" t="s">
        <v>747</v>
      </c>
      <c r="R10" s="71" t="s">
        <v>777</v>
      </c>
      <c r="S10" s="75" t="s">
        <v>747</v>
      </c>
      <c r="T10" s="71" t="s">
        <v>777</v>
      </c>
      <c r="U10" s="75" t="s">
        <v>747</v>
      </c>
      <c r="V10" s="75" t="s">
        <v>747</v>
      </c>
      <c r="W10" s="75" t="s">
        <v>747</v>
      </c>
      <c r="X10" s="75" t="s">
        <v>747</v>
      </c>
      <c r="Y10" s="75" t="s">
        <v>747</v>
      </c>
      <c r="Z10" s="75" t="s">
        <v>747</v>
      </c>
      <c r="AA10" s="75" t="s">
        <v>747</v>
      </c>
      <c r="AB10" s="75" t="s">
        <v>747</v>
      </c>
      <c r="AC10" s="75" t="s">
        <v>747</v>
      </c>
      <c r="AD10" s="75" t="s">
        <v>747</v>
      </c>
      <c r="AE10" s="75" t="s">
        <v>747</v>
      </c>
      <c r="AF10" s="75" t="s">
        <v>747</v>
      </c>
      <c r="AG10" s="75" t="s">
        <v>747</v>
      </c>
      <c r="AH10" s="75" t="s">
        <v>747</v>
      </c>
      <c r="AI10" s="75" t="s">
        <v>747</v>
      </c>
      <c r="AJ10" s="75" t="s">
        <v>747</v>
      </c>
      <c r="AK10" s="75" t="s">
        <v>747</v>
      </c>
      <c r="AL10" s="75" t="s">
        <v>747</v>
      </c>
      <c r="AM10" s="75" t="s">
        <v>747</v>
      </c>
      <c r="AN10" s="75" t="s">
        <v>747</v>
      </c>
      <c r="AO10" s="71" t="s">
        <v>777</v>
      </c>
      <c r="AP10" s="71" t="s">
        <v>777</v>
      </c>
      <c r="AQ10" s="71" t="s">
        <v>777</v>
      </c>
      <c r="AR10" s="75" t="s">
        <v>747</v>
      </c>
      <c r="AS10" s="75" t="s">
        <v>747</v>
      </c>
      <c r="AT10" s="75" t="s">
        <v>747</v>
      </c>
      <c r="AU10" s="75" t="s">
        <v>747</v>
      </c>
      <c r="AV10" s="75" t="s">
        <v>747</v>
      </c>
      <c r="AW10" s="75" t="s">
        <v>747</v>
      </c>
      <c r="AX10" s="75" t="s">
        <v>747</v>
      </c>
      <c r="AY10" s="75" t="s">
        <v>747</v>
      </c>
      <c r="AZ10" s="72" t="s">
        <v>744</v>
      </c>
      <c r="BA10" s="75" t="s">
        <v>747</v>
      </c>
      <c r="BB10" s="71" t="s">
        <v>777</v>
      </c>
      <c r="BC10" s="75" t="s">
        <v>747</v>
      </c>
      <c r="BD10" s="75" t="s">
        <v>747</v>
      </c>
      <c r="BE10" s="75" t="s">
        <v>747</v>
      </c>
      <c r="BF10" s="75" t="s">
        <v>747</v>
      </c>
      <c r="BG10" s="94"/>
    </row>
    <row r="11" spans="1:59" s="80" customFormat="1" ht="30" customHeight="1" x14ac:dyDescent="0.25">
      <c r="A11" s="164"/>
      <c r="B11" s="38">
        <v>3973</v>
      </c>
      <c r="C11" s="38" t="s">
        <v>670</v>
      </c>
      <c r="D11" s="42" t="s">
        <v>72</v>
      </c>
      <c r="E11" s="173"/>
      <c r="F11" s="75" t="s">
        <v>747</v>
      </c>
      <c r="G11" s="75" t="s">
        <v>747</v>
      </c>
      <c r="H11" s="75" t="s">
        <v>747</v>
      </c>
      <c r="I11" s="71" t="s">
        <v>776</v>
      </c>
      <c r="J11" s="75" t="s">
        <v>747</v>
      </c>
      <c r="K11" s="71" t="s">
        <v>776</v>
      </c>
      <c r="L11" s="75" t="s">
        <v>747</v>
      </c>
      <c r="M11" s="75" t="s">
        <v>747</v>
      </c>
      <c r="N11" s="71" t="s">
        <v>776</v>
      </c>
      <c r="O11" s="75" t="s">
        <v>747</v>
      </c>
      <c r="P11" s="71" t="s">
        <v>776</v>
      </c>
      <c r="Q11" s="75" t="s">
        <v>747</v>
      </c>
      <c r="R11" s="71" t="s">
        <v>777</v>
      </c>
      <c r="S11" s="75" t="s">
        <v>747</v>
      </c>
      <c r="T11" s="71" t="s">
        <v>777</v>
      </c>
      <c r="U11" s="75" t="s">
        <v>747</v>
      </c>
      <c r="V11" s="75" t="s">
        <v>747</v>
      </c>
      <c r="W11" s="75" t="s">
        <v>747</v>
      </c>
      <c r="X11" s="75" t="s">
        <v>747</v>
      </c>
      <c r="Y11" s="75" t="s">
        <v>747</v>
      </c>
      <c r="Z11" s="75" t="s">
        <v>747</v>
      </c>
      <c r="AA11" s="75" t="s">
        <v>747</v>
      </c>
      <c r="AB11" s="75" t="s">
        <v>747</v>
      </c>
      <c r="AC11" s="75" t="s">
        <v>747</v>
      </c>
      <c r="AD11" s="75" t="s">
        <v>747</v>
      </c>
      <c r="AE11" s="75" t="s">
        <v>747</v>
      </c>
      <c r="AF11" s="75" t="s">
        <v>747</v>
      </c>
      <c r="AG11" s="75" t="s">
        <v>747</v>
      </c>
      <c r="AH11" s="75" t="s">
        <v>747</v>
      </c>
      <c r="AI11" s="75" t="s">
        <v>747</v>
      </c>
      <c r="AJ11" s="75" t="s">
        <v>747</v>
      </c>
      <c r="AK11" s="75" t="s">
        <v>747</v>
      </c>
      <c r="AL11" s="75" t="s">
        <v>747</v>
      </c>
      <c r="AM11" s="75" t="s">
        <v>747</v>
      </c>
      <c r="AN11" s="75" t="s">
        <v>747</v>
      </c>
      <c r="AO11" s="71" t="s">
        <v>777</v>
      </c>
      <c r="AP11" s="71" t="s">
        <v>777</v>
      </c>
      <c r="AQ11" s="71" t="s">
        <v>777</v>
      </c>
      <c r="AR11" s="75" t="s">
        <v>747</v>
      </c>
      <c r="AS11" s="75" t="s">
        <v>747</v>
      </c>
      <c r="AT11" s="75" t="s">
        <v>747</v>
      </c>
      <c r="AU11" s="75" t="s">
        <v>747</v>
      </c>
      <c r="AV11" s="75" t="s">
        <v>747</v>
      </c>
      <c r="AW11" s="75" t="s">
        <v>747</v>
      </c>
      <c r="AX11" s="75" t="s">
        <v>747</v>
      </c>
      <c r="AY11" s="75" t="s">
        <v>747</v>
      </c>
      <c r="AZ11" s="73" t="s">
        <v>744</v>
      </c>
      <c r="BA11" s="75" t="s">
        <v>747</v>
      </c>
      <c r="BB11" s="71" t="s">
        <v>777</v>
      </c>
      <c r="BC11" s="75" t="s">
        <v>747</v>
      </c>
      <c r="BD11" s="75" t="s">
        <v>747</v>
      </c>
      <c r="BE11" s="75" t="s">
        <v>747</v>
      </c>
      <c r="BF11" s="75" t="s">
        <v>747</v>
      </c>
      <c r="BG11" s="103" t="s">
        <v>789</v>
      </c>
    </row>
    <row r="12" spans="1:59" s="80" customFormat="1" ht="30" customHeight="1" thickBot="1" x14ac:dyDescent="0.3">
      <c r="A12" s="165"/>
      <c r="B12" s="39">
        <v>3973</v>
      </c>
      <c r="C12" s="39" t="s">
        <v>671</v>
      </c>
      <c r="D12" s="43" t="s">
        <v>72</v>
      </c>
      <c r="E12" s="174"/>
      <c r="F12" s="84" t="s">
        <v>747</v>
      </c>
      <c r="G12" s="84" t="s">
        <v>747</v>
      </c>
      <c r="H12" s="84" t="s">
        <v>747</v>
      </c>
      <c r="I12" s="71" t="s">
        <v>776</v>
      </c>
      <c r="J12" s="84" t="s">
        <v>747</v>
      </c>
      <c r="K12" s="71" t="s">
        <v>776</v>
      </c>
      <c r="L12" s="84" t="s">
        <v>747</v>
      </c>
      <c r="M12" s="84" t="s">
        <v>747</v>
      </c>
      <c r="N12" s="71" t="s">
        <v>776</v>
      </c>
      <c r="O12" s="84" t="s">
        <v>747</v>
      </c>
      <c r="P12" s="71" t="s">
        <v>776</v>
      </c>
      <c r="Q12" s="84" t="s">
        <v>747</v>
      </c>
      <c r="R12" s="71" t="s">
        <v>777</v>
      </c>
      <c r="S12" s="84" t="s">
        <v>747</v>
      </c>
      <c r="T12" s="71" t="s">
        <v>777</v>
      </c>
      <c r="U12" s="84" t="s">
        <v>747</v>
      </c>
      <c r="V12" s="84" t="s">
        <v>747</v>
      </c>
      <c r="W12" s="84" t="s">
        <v>747</v>
      </c>
      <c r="X12" s="84" t="s">
        <v>747</v>
      </c>
      <c r="Y12" s="84" t="s">
        <v>747</v>
      </c>
      <c r="Z12" s="84" t="s">
        <v>747</v>
      </c>
      <c r="AA12" s="84" t="s">
        <v>747</v>
      </c>
      <c r="AB12" s="84" t="s">
        <v>747</v>
      </c>
      <c r="AC12" s="84" t="s">
        <v>747</v>
      </c>
      <c r="AD12" s="84" t="s">
        <v>747</v>
      </c>
      <c r="AE12" s="84" t="s">
        <v>747</v>
      </c>
      <c r="AF12" s="84" t="s">
        <v>747</v>
      </c>
      <c r="AG12" s="84" t="s">
        <v>747</v>
      </c>
      <c r="AH12" s="84" t="s">
        <v>747</v>
      </c>
      <c r="AI12" s="84" t="s">
        <v>747</v>
      </c>
      <c r="AJ12" s="84" t="s">
        <v>747</v>
      </c>
      <c r="AK12" s="84" t="s">
        <v>747</v>
      </c>
      <c r="AL12" s="84" t="s">
        <v>747</v>
      </c>
      <c r="AM12" s="84" t="s">
        <v>747</v>
      </c>
      <c r="AN12" s="84" t="s">
        <v>747</v>
      </c>
      <c r="AO12" s="71" t="s">
        <v>777</v>
      </c>
      <c r="AP12" s="71" t="s">
        <v>777</v>
      </c>
      <c r="AQ12" s="71" t="s">
        <v>777</v>
      </c>
      <c r="AR12" s="84" t="s">
        <v>747</v>
      </c>
      <c r="AS12" s="84" t="s">
        <v>747</v>
      </c>
      <c r="AT12" s="84" t="s">
        <v>747</v>
      </c>
      <c r="AU12" s="84" t="s">
        <v>747</v>
      </c>
      <c r="AV12" s="84" t="s">
        <v>747</v>
      </c>
      <c r="AW12" s="84" t="s">
        <v>747</v>
      </c>
      <c r="AX12" s="84" t="s">
        <v>747</v>
      </c>
      <c r="AY12" s="84" t="s">
        <v>747</v>
      </c>
      <c r="AZ12" s="73" t="s">
        <v>744</v>
      </c>
      <c r="BA12" s="84" t="s">
        <v>747</v>
      </c>
      <c r="BB12" s="71" t="s">
        <v>777</v>
      </c>
      <c r="BC12" s="84" t="s">
        <v>747</v>
      </c>
      <c r="BD12" s="84" t="s">
        <v>747</v>
      </c>
      <c r="BE12" s="84" t="s">
        <v>747</v>
      </c>
      <c r="BF12" s="84" t="s">
        <v>747</v>
      </c>
      <c r="BG12" s="103" t="s">
        <v>789</v>
      </c>
    </row>
    <row r="13" spans="1:59" ht="27" customHeight="1" thickBot="1" x14ac:dyDescent="0.25">
      <c r="A13" s="166" t="s">
        <v>650</v>
      </c>
      <c r="B13" s="167"/>
      <c r="C13" s="167"/>
      <c r="D13" s="167"/>
      <c r="E13" s="33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</row>
    <row r="14" spans="1:59" ht="30.75" customHeight="1" x14ac:dyDescent="0.2">
      <c r="A14" s="169" t="s">
        <v>651</v>
      </c>
      <c r="B14" s="139" t="s">
        <v>699</v>
      </c>
      <c r="C14" s="81" t="s">
        <v>700</v>
      </c>
      <c r="D14" s="139" t="s">
        <v>150</v>
      </c>
      <c r="E14" s="150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9" t="s">
        <v>1354</v>
      </c>
      <c r="V14" s="114"/>
      <c r="W14" s="114"/>
      <c r="X14" s="114"/>
      <c r="Y14" s="119" t="s">
        <v>1354</v>
      </c>
      <c r="Z14" s="113"/>
      <c r="AA14" s="113"/>
      <c r="AB14" s="113"/>
      <c r="AC14" s="119" t="s">
        <v>1354</v>
      </c>
      <c r="AD14" s="119" t="s">
        <v>1354</v>
      </c>
      <c r="AE14" s="119" t="s">
        <v>1354</v>
      </c>
      <c r="AF14" s="113"/>
      <c r="AG14" s="113"/>
      <c r="AH14" s="114"/>
      <c r="AI14" s="113"/>
      <c r="AJ14" s="113"/>
      <c r="AK14" s="113"/>
      <c r="AL14" s="113"/>
      <c r="AM14" s="113"/>
      <c r="AN14" s="113"/>
      <c r="AO14" s="113"/>
      <c r="AP14" s="113"/>
      <c r="AQ14" s="113"/>
      <c r="AR14" s="119" t="s">
        <v>1354</v>
      </c>
      <c r="AS14" s="113"/>
      <c r="AT14" s="113"/>
      <c r="AU14" s="113"/>
      <c r="AV14" s="116" t="s">
        <v>806</v>
      </c>
      <c r="AW14" s="116" t="s">
        <v>806</v>
      </c>
      <c r="AX14" s="116" t="s">
        <v>806</v>
      </c>
      <c r="AY14" s="116" t="s">
        <v>806</v>
      </c>
      <c r="AZ14" s="113"/>
      <c r="BA14" s="113"/>
      <c r="BB14" s="113"/>
      <c r="BC14" s="113"/>
      <c r="BD14" s="113"/>
      <c r="BE14" s="113"/>
      <c r="BF14" s="113"/>
      <c r="BG14" s="115"/>
    </row>
    <row r="15" spans="1:59" ht="30.75" customHeight="1" x14ac:dyDescent="0.2">
      <c r="A15" s="137"/>
      <c r="B15" s="140"/>
      <c r="C15" s="82" t="s">
        <v>701</v>
      </c>
      <c r="D15" s="140"/>
      <c r="E15" s="151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88" t="s">
        <v>1354</v>
      </c>
      <c r="V15" s="188" t="s">
        <v>1354</v>
      </c>
      <c r="W15" s="188" t="s">
        <v>1354</v>
      </c>
      <c r="X15" s="25"/>
      <c r="Y15" s="188" t="s">
        <v>1354</v>
      </c>
      <c r="Z15" s="29"/>
      <c r="AA15" s="29"/>
      <c r="AB15" s="29"/>
      <c r="AC15" s="188" t="s">
        <v>1354</v>
      </c>
      <c r="AD15" s="29"/>
      <c r="AE15" s="29"/>
      <c r="AF15" s="29"/>
      <c r="AG15" s="29"/>
      <c r="AH15" s="25"/>
      <c r="AI15" s="29"/>
      <c r="AJ15" s="29"/>
      <c r="AK15" s="29"/>
      <c r="AL15" s="29"/>
      <c r="AM15" s="29"/>
      <c r="AN15" s="29"/>
      <c r="AO15" s="29"/>
      <c r="AP15" s="29"/>
      <c r="AQ15" s="29"/>
      <c r="AR15" s="120" t="s">
        <v>1354</v>
      </c>
      <c r="AS15" s="29"/>
      <c r="AT15" s="29"/>
      <c r="AU15" s="29"/>
      <c r="AV15" s="117" t="s">
        <v>806</v>
      </c>
      <c r="AW15" s="117" t="s">
        <v>806</v>
      </c>
      <c r="AX15" s="117" t="s">
        <v>806</v>
      </c>
      <c r="AY15" s="117" t="s">
        <v>806</v>
      </c>
      <c r="AZ15" s="29"/>
      <c r="BA15" s="29"/>
      <c r="BB15" s="29"/>
      <c r="BC15" s="29"/>
      <c r="BD15" s="29"/>
      <c r="BE15" s="29"/>
      <c r="BF15" s="29"/>
      <c r="BG15" s="30"/>
    </row>
    <row r="16" spans="1:59" ht="30.75" customHeight="1" x14ac:dyDescent="0.2">
      <c r="A16" s="137" t="s">
        <v>802</v>
      </c>
      <c r="B16" s="83" t="s">
        <v>652</v>
      </c>
      <c r="C16" s="138" t="s">
        <v>803</v>
      </c>
      <c r="D16" s="140"/>
      <c r="E16" s="151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5"/>
      <c r="V16" s="25"/>
      <c r="W16" s="25"/>
      <c r="X16" s="25"/>
      <c r="Y16" s="25"/>
      <c r="Z16" s="29"/>
      <c r="AA16" s="29"/>
      <c r="AB16" s="29"/>
      <c r="AC16" s="29"/>
      <c r="AD16" s="29"/>
      <c r="AE16" s="29"/>
      <c r="AF16" s="29"/>
      <c r="AG16" s="29"/>
      <c r="AH16" s="25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5"/>
      <c r="AW16" s="25"/>
      <c r="AX16" s="25"/>
      <c r="AY16" s="25"/>
      <c r="AZ16" s="29"/>
      <c r="BA16" s="29"/>
      <c r="BB16" s="29"/>
      <c r="BC16" s="29"/>
      <c r="BD16" s="29"/>
      <c r="BE16" s="29"/>
      <c r="BF16" s="29"/>
      <c r="BG16" s="30"/>
    </row>
    <row r="17" spans="1:59" ht="30.75" customHeight="1" x14ac:dyDescent="0.2">
      <c r="A17" s="137"/>
      <c r="B17" s="83" t="s">
        <v>653</v>
      </c>
      <c r="C17" s="138"/>
      <c r="D17" s="140"/>
      <c r="E17" s="152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5"/>
      <c r="V17" s="25"/>
      <c r="W17" s="25"/>
      <c r="X17" s="25"/>
      <c r="Y17" s="25"/>
      <c r="Z17" s="29"/>
      <c r="AA17" s="29"/>
      <c r="AB17" s="29"/>
      <c r="AC17" s="29"/>
      <c r="AD17" s="29"/>
      <c r="AE17" s="29"/>
      <c r="AF17" s="29"/>
      <c r="AG17" s="29"/>
      <c r="AH17" s="25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5"/>
      <c r="AW17" s="25"/>
      <c r="AX17" s="25"/>
      <c r="AY17" s="25"/>
      <c r="AZ17" s="29"/>
      <c r="BA17" s="29"/>
      <c r="BB17" s="29"/>
      <c r="BC17" s="29"/>
      <c r="BD17" s="29"/>
      <c r="BE17" s="29"/>
      <c r="BF17" s="29"/>
      <c r="BG17" s="30"/>
    </row>
    <row r="18" spans="1:59" ht="30.75" customHeight="1" x14ac:dyDescent="0.2">
      <c r="A18" s="137" t="s">
        <v>804</v>
      </c>
      <c r="B18" s="83" t="s">
        <v>652</v>
      </c>
      <c r="C18" s="138" t="s">
        <v>805</v>
      </c>
      <c r="D18" s="141" t="s">
        <v>40</v>
      </c>
      <c r="E18" s="135"/>
      <c r="F18" s="29"/>
      <c r="G18" s="25"/>
      <c r="H18" s="29"/>
      <c r="I18" s="29"/>
      <c r="J18" s="25"/>
      <c r="K18" s="25"/>
      <c r="L18" s="25"/>
      <c r="M18" s="25"/>
      <c r="N18" s="25"/>
      <c r="O18" s="25"/>
      <c r="P18" s="25"/>
      <c r="Q18" s="29"/>
      <c r="R18" s="29"/>
      <c r="S18" s="29"/>
      <c r="T18" s="29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9"/>
      <c r="AS18" s="25"/>
      <c r="AT18" s="25"/>
      <c r="AU18" s="25"/>
      <c r="AV18" s="29"/>
      <c r="AW18" s="25"/>
      <c r="AX18" s="25"/>
      <c r="AY18" s="25"/>
      <c r="AZ18" s="29"/>
      <c r="BA18" s="29"/>
      <c r="BB18" s="29"/>
      <c r="BC18" s="29"/>
      <c r="BD18" s="29"/>
      <c r="BE18" s="29"/>
      <c r="BF18" s="29"/>
      <c r="BG18" s="30"/>
    </row>
    <row r="19" spans="1:59" ht="30.75" customHeight="1" thickBot="1" x14ac:dyDescent="0.25">
      <c r="A19" s="170"/>
      <c r="B19" s="112" t="s">
        <v>653</v>
      </c>
      <c r="C19" s="171"/>
      <c r="D19" s="142"/>
      <c r="E19" s="136"/>
      <c r="F19" s="31"/>
      <c r="G19" s="26"/>
      <c r="H19" s="31"/>
      <c r="I19" s="31"/>
      <c r="J19" s="26"/>
      <c r="K19" s="26"/>
      <c r="L19" s="26"/>
      <c r="M19" s="26"/>
      <c r="N19" s="26"/>
      <c r="O19" s="26"/>
      <c r="P19" s="26"/>
      <c r="Q19" s="31"/>
      <c r="R19" s="31"/>
      <c r="S19" s="31"/>
      <c r="T19" s="31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31"/>
      <c r="AS19" s="26"/>
      <c r="AT19" s="26"/>
      <c r="AU19" s="26"/>
      <c r="AV19" s="31"/>
      <c r="AW19" s="26"/>
      <c r="AX19" s="26"/>
      <c r="AY19" s="26"/>
      <c r="AZ19" s="31"/>
      <c r="BA19" s="31"/>
      <c r="BB19" s="31"/>
      <c r="BC19" s="31"/>
      <c r="BD19" s="31"/>
      <c r="BE19" s="31"/>
      <c r="BF19" s="31"/>
      <c r="BG19" s="27"/>
    </row>
    <row r="20" spans="1:59" ht="36" customHeight="1" x14ac:dyDescent="0.2">
      <c r="A20" s="162"/>
    </row>
    <row r="21" spans="1:59" ht="35.25" customHeight="1" x14ac:dyDescent="0.2">
      <c r="A21" s="162"/>
    </row>
  </sheetData>
  <mergeCells count="49">
    <mergeCell ref="BG2:BG3"/>
    <mergeCell ref="F4:G4"/>
    <mergeCell ref="S4:T4"/>
    <mergeCell ref="U4:AG4"/>
    <mergeCell ref="A20:A21"/>
    <mergeCell ref="A5:A12"/>
    <mergeCell ref="A13:D13"/>
    <mergeCell ref="F13:BG13"/>
    <mergeCell ref="A14:A15"/>
    <mergeCell ref="B14:B15"/>
    <mergeCell ref="A18:A19"/>
    <mergeCell ref="C18:C19"/>
    <mergeCell ref="E9:E12"/>
    <mergeCell ref="BA2:BB2"/>
    <mergeCell ref="BC2:BD2"/>
    <mergeCell ref="BC4:BD4"/>
    <mergeCell ref="A1:BG1"/>
    <mergeCell ref="A2:A4"/>
    <mergeCell ref="B2:B4"/>
    <mergeCell ref="C2:C4"/>
    <mergeCell ref="D2:D4"/>
    <mergeCell ref="F2:G2"/>
    <mergeCell ref="H2:P2"/>
    <mergeCell ref="Q2:R2"/>
    <mergeCell ref="S2:T2"/>
    <mergeCell ref="U2:AG2"/>
    <mergeCell ref="AS2:AU2"/>
    <mergeCell ref="AL4:AN4"/>
    <mergeCell ref="BE2:BF2"/>
    <mergeCell ref="Q4:R4"/>
    <mergeCell ref="E2:E4"/>
    <mergeCell ref="AH2:AI2"/>
    <mergeCell ref="AZ3:AZ4"/>
    <mergeCell ref="AS4:AU4"/>
    <mergeCell ref="AJ2:AK2"/>
    <mergeCell ref="AJ4:AK4"/>
    <mergeCell ref="E14:E17"/>
    <mergeCell ref="AH4:AI4"/>
    <mergeCell ref="AV2:AX2"/>
    <mergeCell ref="AV4:AX4"/>
    <mergeCell ref="AL2:AN2"/>
    <mergeCell ref="AR2:AR3"/>
    <mergeCell ref="AO2:AQ2"/>
    <mergeCell ref="AO4:AQ4"/>
    <mergeCell ref="E18:E19"/>
    <mergeCell ref="A16:A17"/>
    <mergeCell ref="C16:C17"/>
    <mergeCell ref="D14:D17"/>
    <mergeCell ref="D18:D19"/>
  </mergeCells>
  <conditionalFormatting sqref="C16">
    <cfRule type="duplicateValues" dxfId="137" priority="1"/>
  </conditionalFormatting>
  <conditionalFormatting sqref="C18">
    <cfRule type="duplicateValues" dxfId="136" priority="2"/>
  </conditionalFormatting>
  <conditionalFormatting sqref="C20:C1048576 C1:C15">
    <cfRule type="duplicateValues" dxfId="135" priority="3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DF" dvAspect="DVASPECT_ICON" shapeId="4097" r:id="rId4">
          <objectPr defaultSize="0" autoPict="0" r:id="rId5">
            <anchor moveWithCells="1">
              <from>
                <xdr:col>4</xdr:col>
                <xdr:colOff>161925</xdr:colOff>
                <xdr:row>13</xdr:row>
                <xdr:rowOff>114300</xdr:rowOff>
              </from>
              <to>
                <xdr:col>4</xdr:col>
                <xdr:colOff>695325</xdr:colOff>
                <xdr:row>14</xdr:row>
                <xdr:rowOff>171450</xdr:rowOff>
              </to>
            </anchor>
          </objectPr>
        </oleObject>
      </mc:Choice>
      <mc:Fallback>
        <oleObject progId="PDF" dvAspect="DVASPECT_ICON" shapeId="4097" r:id="rId4"/>
      </mc:Fallback>
    </mc:AlternateContent>
    <mc:AlternateContent xmlns:mc="http://schemas.openxmlformats.org/markup-compatibility/2006">
      <mc:Choice Requires="x14">
        <oleObject progId="PDF" dvAspect="DVASPECT_ICON" shapeId="4098" r:id="rId6">
          <objectPr defaultSize="0" autoPict="0" r:id="rId7">
            <anchor moveWithCells="1">
              <from>
                <xdr:col>4</xdr:col>
                <xdr:colOff>171450</xdr:colOff>
                <xdr:row>14</xdr:row>
                <xdr:rowOff>361950</xdr:rowOff>
              </from>
              <to>
                <xdr:col>4</xdr:col>
                <xdr:colOff>714375</xdr:colOff>
                <xdr:row>16</xdr:row>
                <xdr:rowOff>28575</xdr:rowOff>
              </to>
            </anchor>
          </objectPr>
        </oleObject>
      </mc:Choice>
      <mc:Fallback>
        <oleObject progId="PDF" dvAspect="DVASPECT_ICON" shapeId="4098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58"/>
  <sheetViews>
    <sheetView topLeftCell="C1" zoomScale="50" zoomScaleNormal="50" workbookViewId="0">
      <pane xSplit="1" ySplit="5" topLeftCell="D22" activePane="bottomRight" state="frozen"/>
      <selection activeCell="C1" sqref="C1"/>
      <selection pane="topRight" activeCell="G1" sqref="G1"/>
      <selection pane="bottomLeft" activeCell="C6" sqref="C6"/>
      <selection pane="bottomRight" activeCell="O35" sqref="O35"/>
    </sheetView>
  </sheetViews>
  <sheetFormatPr defaultColWidth="9.140625" defaultRowHeight="15" x14ac:dyDescent="0.2"/>
  <cols>
    <col min="1" max="1" width="10.42578125" style="18" hidden="1" customWidth="1"/>
    <col min="2" max="2" width="8" style="18" hidden="1" customWidth="1"/>
    <col min="3" max="3" width="21" style="18" customWidth="1"/>
    <col min="4" max="5" width="8.7109375" style="18" customWidth="1"/>
    <col min="6" max="6" width="17" style="18" customWidth="1"/>
    <col min="7" max="8" width="16.5703125" style="18" bestFit="1" customWidth="1"/>
    <col min="9" max="9" width="12.7109375" style="18" hidden="1" customWidth="1"/>
    <col min="10" max="10" width="18.42578125" style="18" bestFit="1" customWidth="1"/>
    <col min="11" max="11" width="19" style="18" bestFit="1" customWidth="1"/>
    <col min="12" max="12" width="11.140625" style="18" bestFit="1" customWidth="1"/>
    <col min="13" max="13" width="9.42578125" style="18" bestFit="1" customWidth="1"/>
    <col min="14" max="14" width="13.42578125" style="18" bestFit="1" customWidth="1"/>
    <col min="15" max="15" width="18" style="18" bestFit="1" customWidth="1"/>
    <col min="16" max="16" width="10.85546875" style="18" customWidth="1"/>
    <col min="17" max="17" width="12" style="18" bestFit="1" customWidth="1"/>
    <col min="18" max="18" width="13.7109375" style="18" bestFit="1" customWidth="1"/>
    <col min="19" max="19" width="12.5703125" style="18" bestFit="1" customWidth="1"/>
    <col min="20" max="20" width="16.28515625" style="18" bestFit="1" customWidth="1"/>
    <col min="21" max="21" width="17.5703125" style="18" bestFit="1" customWidth="1"/>
    <col min="22" max="22" width="13.85546875" style="18" customWidth="1"/>
    <col min="23" max="27" width="9.140625" style="18"/>
    <col min="28" max="28" width="20.7109375" style="18" customWidth="1"/>
    <col min="29" max="30" width="14.7109375" style="18" customWidth="1"/>
    <col min="31" max="31" width="112.7109375" style="18" customWidth="1"/>
    <col min="32" max="16384" width="9.140625" style="18"/>
  </cols>
  <sheetData>
    <row r="1" spans="1:31" ht="20.100000000000001" customHeight="1" x14ac:dyDescent="0.2">
      <c r="A1" s="153" t="s">
        <v>654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</row>
    <row r="2" spans="1:31" ht="20.100000000000001" customHeight="1" x14ac:dyDescent="0.2">
      <c r="A2" s="148" t="s">
        <v>655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78"/>
    </row>
    <row r="3" spans="1:31" ht="51.75" customHeight="1" x14ac:dyDescent="0.2">
      <c r="A3" s="180" t="s">
        <v>656</v>
      </c>
      <c r="B3" s="175" t="s">
        <v>616</v>
      </c>
      <c r="C3" s="143" t="s">
        <v>657</v>
      </c>
      <c r="D3" s="153" t="s">
        <v>629</v>
      </c>
      <c r="E3" s="153"/>
      <c r="F3" s="155" t="s">
        <v>630</v>
      </c>
      <c r="G3" s="156"/>
      <c r="H3" s="157"/>
      <c r="I3" s="157"/>
      <c r="J3" s="19" t="s">
        <v>631</v>
      </c>
      <c r="K3" s="19" t="s">
        <v>632</v>
      </c>
      <c r="L3" s="148" t="s">
        <v>676</v>
      </c>
      <c r="M3" s="154"/>
      <c r="N3" s="154"/>
      <c r="O3" s="154"/>
      <c r="P3" s="154"/>
      <c r="Q3" s="154"/>
      <c r="R3" s="154"/>
      <c r="S3" s="154"/>
      <c r="T3" s="149"/>
      <c r="U3" s="19" t="s">
        <v>680</v>
      </c>
      <c r="V3" s="153" t="s">
        <v>685</v>
      </c>
      <c r="W3" s="153" t="s">
        <v>633</v>
      </c>
      <c r="X3" s="153"/>
      <c r="Y3" s="153" t="s">
        <v>634</v>
      </c>
      <c r="Z3" s="153"/>
      <c r="AA3" s="153"/>
      <c r="AB3" s="19" t="s">
        <v>635</v>
      </c>
      <c r="AC3" s="148" t="s">
        <v>689</v>
      </c>
      <c r="AD3" s="154"/>
      <c r="AE3" s="179" t="s">
        <v>618</v>
      </c>
    </row>
    <row r="4" spans="1:31" ht="45.75" thickBot="1" x14ac:dyDescent="0.25">
      <c r="A4" s="181"/>
      <c r="B4" s="176"/>
      <c r="C4" s="159"/>
      <c r="D4" s="21" t="s">
        <v>636</v>
      </c>
      <c r="E4" s="21" t="s">
        <v>636</v>
      </c>
      <c r="F4" s="35" t="s">
        <v>638</v>
      </c>
      <c r="G4" s="35" t="s">
        <v>639</v>
      </c>
      <c r="H4" s="35" t="s">
        <v>641</v>
      </c>
      <c r="I4" s="35" t="s">
        <v>642</v>
      </c>
      <c r="J4" s="24" t="s">
        <v>673</v>
      </c>
      <c r="K4" s="21" t="s">
        <v>674</v>
      </c>
      <c r="L4" s="21" t="s">
        <v>1361</v>
      </c>
      <c r="M4" s="21" t="s">
        <v>1362</v>
      </c>
      <c r="N4" s="21" t="s">
        <v>1363</v>
      </c>
      <c r="O4" s="21" t="s">
        <v>1355</v>
      </c>
      <c r="P4" s="21" t="s">
        <v>1356</v>
      </c>
      <c r="Q4" s="21" t="s">
        <v>1357</v>
      </c>
      <c r="R4" s="21" t="s">
        <v>1358</v>
      </c>
      <c r="S4" s="21" t="s">
        <v>1359</v>
      </c>
      <c r="T4" s="21" t="s">
        <v>1360</v>
      </c>
      <c r="U4" s="21" t="s">
        <v>636</v>
      </c>
      <c r="V4" s="153"/>
      <c r="W4" s="21" t="s">
        <v>682</v>
      </c>
      <c r="X4" s="21" t="s">
        <v>683</v>
      </c>
      <c r="Y4" s="21" t="s">
        <v>636</v>
      </c>
      <c r="Z4" s="21" t="s">
        <v>646</v>
      </c>
      <c r="AA4" s="21" t="s">
        <v>637</v>
      </c>
      <c r="AB4" s="21" t="s">
        <v>686</v>
      </c>
      <c r="AC4" s="20" t="s">
        <v>636</v>
      </c>
      <c r="AD4" s="19" t="s">
        <v>637</v>
      </c>
      <c r="AE4" s="179"/>
    </row>
    <row r="5" spans="1:31" ht="31.5" customHeight="1" x14ac:dyDescent="0.2">
      <c r="A5" s="22"/>
      <c r="B5" s="23"/>
      <c r="C5" s="177"/>
      <c r="D5" s="143" t="s">
        <v>647</v>
      </c>
      <c r="E5" s="160"/>
      <c r="F5" s="20" t="s">
        <v>658</v>
      </c>
      <c r="G5" s="20" t="s">
        <v>658</v>
      </c>
      <c r="H5" s="20" t="s">
        <v>658</v>
      </c>
      <c r="I5" s="20" t="s">
        <v>648</v>
      </c>
      <c r="J5" s="28" t="s">
        <v>691</v>
      </c>
      <c r="K5" s="24" t="s">
        <v>658</v>
      </c>
      <c r="L5" s="160" t="s">
        <v>658</v>
      </c>
      <c r="M5" s="178"/>
      <c r="N5" s="178"/>
      <c r="O5" s="178"/>
      <c r="P5" s="118"/>
      <c r="Q5" s="118"/>
      <c r="R5" s="118"/>
      <c r="S5" s="118"/>
      <c r="T5" s="118"/>
      <c r="U5" s="24" t="s">
        <v>658</v>
      </c>
      <c r="V5" s="20" t="s">
        <v>692</v>
      </c>
      <c r="W5" s="160" t="s">
        <v>658</v>
      </c>
      <c r="X5" s="178"/>
      <c r="Y5" s="143" t="s">
        <v>658</v>
      </c>
      <c r="Z5" s="143"/>
      <c r="AA5" s="143"/>
      <c r="AB5" s="20" t="s">
        <v>693</v>
      </c>
      <c r="AC5" s="160" t="s">
        <v>694</v>
      </c>
      <c r="AD5" s="178"/>
      <c r="AE5" s="179"/>
    </row>
    <row r="6" spans="1:31" s="97" customFormat="1" ht="24.95" customHeight="1" x14ac:dyDescent="0.2">
      <c r="A6" s="86" t="s">
        <v>659</v>
      </c>
      <c r="B6" s="86">
        <v>11646</v>
      </c>
      <c r="C6" s="111">
        <v>780325</v>
      </c>
      <c r="D6" s="90" t="s">
        <v>750</v>
      </c>
      <c r="E6" s="90" t="s">
        <v>750</v>
      </c>
      <c r="F6" s="90" t="s">
        <v>775</v>
      </c>
      <c r="G6" s="90" t="s">
        <v>773</v>
      </c>
      <c r="H6" s="90" t="s">
        <v>773</v>
      </c>
      <c r="I6" s="87"/>
      <c r="J6" s="88"/>
      <c r="K6" s="90" t="s">
        <v>775</v>
      </c>
      <c r="L6" s="90" t="s">
        <v>775</v>
      </c>
      <c r="M6" s="90" t="s">
        <v>775</v>
      </c>
      <c r="N6" s="90" t="s">
        <v>775</v>
      </c>
      <c r="O6" s="99" t="s">
        <v>791</v>
      </c>
      <c r="P6" s="90" t="s">
        <v>775</v>
      </c>
      <c r="Q6" s="90" t="s">
        <v>775</v>
      </c>
      <c r="R6" s="90" t="s">
        <v>775</v>
      </c>
      <c r="S6" s="90" t="s">
        <v>775</v>
      </c>
      <c r="T6" s="90" t="s">
        <v>775</v>
      </c>
      <c r="U6" s="90" t="s">
        <v>773</v>
      </c>
      <c r="V6" s="90" t="s">
        <v>775</v>
      </c>
      <c r="W6" s="90" t="s">
        <v>773</v>
      </c>
      <c r="X6" s="90" t="s">
        <v>773</v>
      </c>
      <c r="Y6" s="90" t="s">
        <v>750</v>
      </c>
      <c r="Z6" s="90" t="s">
        <v>750</v>
      </c>
      <c r="AA6" s="90" t="s">
        <v>750</v>
      </c>
      <c r="AB6" s="90" t="s">
        <v>750</v>
      </c>
      <c r="AC6" s="90" t="s">
        <v>758</v>
      </c>
      <c r="AD6" s="98" t="s">
        <v>758</v>
      </c>
      <c r="AE6" s="100" t="s">
        <v>778</v>
      </c>
    </row>
    <row r="7" spans="1:31" s="97" customFormat="1" ht="24.75" customHeight="1" x14ac:dyDescent="0.2">
      <c r="A7" s="89"/>
      <c r="B7" s="89"/>
      <c r="C7" s="111">
        <v>800222</v>
      </c>
      <c r="D7" s="90" t="s">
        <v>750</v>
      </c>
      <c r="E7" s="90" t="s">
        <v>773</v>
      </c>
      <c r="F7" s="90" t="s">
        <v>775</v>
      </c>
      <c r="G7" s="90" t="s">
        <v>773</v>
      </c>
      <c r="H7" s="90" t="s">
        <v>773</v>
      </c>
      <c r="I7" s="88"/>
      <c r="J7" s="88"/>
      <c r="K7" s="90" t="s">
        <v>775</v>
      </c>
      <c r="L7" s="90" t="s">
        <v>775</v>
      </c>
      <c r="M7" s="90" t="s">
        <v>775</v>
      </c>
      <c r="N7" s="90" t="s">
        <v>775</v>
      </c>
      <c r="O7" s="99" t="s">
        <v>791</v>
      </c>
      <c r="P7" s="90" t="s">
        <v>775</v>
      </c>
      <c r="Q7" s="90" t="s">
        <v>775</v>
      </c>
      <c r="R7" s="90" t="s">
        <v>775</v>
      </c>
      <c r="S7" s="90" t="s">
        <v>775</v>
      </c>
      <c r="T7" s="90" t="s">
        <v>775</v>
      </c>
      <c r="U7" s="90" t="s">
        <v>773</v>
      </c>
      <c r="V7" s="90" t="s">
        <v>775</v>
      </c>
      <c r="W7" s="90" t="s">
        <v>773</v>
      </c>
      <c r="X7" s="90" t="s">
        <v>773</v>
      </c>
      <c r="Y7" s="90" t="s">
        <v>750</v>
      </c>
      <c r="Z7" s="90" t="s">
        <v>750</v>
      </c>
      <c r="AA7" s="90" t="s">
        <v>750</v>
      </c>
      <c r="AB7" s="90" t="s">
        <v>750</v>
      </c>
      <c r="AC7" s="90" t="s">
        <v>758</v>
      </c>
      <c r="AD7" s="98" t="s">
        <v>758</v>
      </c>
      <c r="AE7" s="100" t="s">
        <v>779</v>
      </c>
    </row>
    <row r="8" spans="1:31" s="97" customFormat="1" ht="47.25" x14ac:dyDescent="0.2">
      <c r="A8" s="89"/>
      <c r="B8" s="89"/>
      <c r="C8" s="111">
        <v>800229</v>
      </c>
      <c r="D8" s="90" t="s">
        <v>750</v>
      </c>
      <c r="E8" s="90" t="s">
        <v>773</v>
      </c>
      <c r="F8" s="90" t="s">
        <v>775</v>
      </c>
      <c r="G8" s="90" t="s">
        <v>773</v>
      </c>
      <c r="H8" s="90" t="s">
        <v>773</v>
      </c>
      <c r="I8" s="87"/>
      <c r="J8" s="88"/>
      <c r="K8" s="90" t="s">
        <v>775</v>
      </c>
      <c r="L8" s="90" t="s">
        <v>775</v>
      </c>
      <c r="M8" s="90" t="s">
        <v>775</v>
      </c>
      <c r="N8" s="90" t="s">
        <v>775</v>
      </c>
      <c r="O8" s="99" t="s">
        <v>791</v>
      </c>
      <c r="P8" s="90" t="s">
        <v>775</v>
      </c>
      <c r="Q8" s="90" t="s">
        <v>775</v>
      </c>
      <c r="R8" s="90" t="s">
        <v>775</v>
      </c>
      <c r="S8" s="90" t="s">
        <v>775</v>
      </c>
      <c r="T8" s="90" t="s">
        <v>775</v>
      </c>
      <c r="U8" s="90" t="s">
        <v>773</v>
      </c>
      <c r="V8" s="90" t="s">
        <v>775</v>
      </c>
      <c r="W8" s="90" t="s">
        <v>773</v>
      </c>
      <c r="X8" s="90" t="s">
        <v>773</v>
      </c>
      <c r="Y8" s="90" t="s">
        <v>750</v>
      </c>
      <c r="Z8" s="90" t="s">
        <v>750</v>
      </c>
      <c r="AA8" s="90" t="s">
        <v>750</v>
      </c>
      <c r="AB8" s="90" t="s">
        <v>750</v>
      </c>
      <c r="AC8" s="90" t="s">
        <v>758</v>
      </c>
      <c r="AD8" s="98" t="s">
        <v>758</v>
      </c>
      <c r="AE8" s="100" t="s">
        <v>780</v>
      </c>
    </row>
    <row r="9" spans="1:31" s="97" customFormat="1" ht="24.95" customHeight="1" x14ac:dyDescent="0.2">
      <c r="A9" s="89"/>
      <c r="B9" s="89"/>
      <c r="C9" s="111">
        <v>800232</v>
      </c>
      <c r="D9" s="90" t="s">
        <v>750</v>
      </c>
      <c r="E9" s="90" t="s">
        <v>773</v>
      </c>
      <c r="F9" s="90" t="s">
        <v>775</v>
      </c>
      <c r="G9" s="90" t="s">
        <v>773</v>
      </c>
      <c r="H9" s="90" t="s">
        <v>773</v>
      </c>
      <c r="I9" s="87"/>
      <c r="J9" s="88"/>
      <c r="K9" s="90" t="s">
        <v>775</v>
      </c>
      <c r="L9" s="90" t="s">
        <v>775</v>
      </c>
      <c r="M9" s="90" t="s">
        <v>775</v>
      </c>
      <c r="N9" s="90" t="s">
        <v>775</v>
      </c>
      <c r="O9" s="90" t="s">
        <v>775</v>
      </c>
      <c r="P9" s="90" t="s">
        <v>775</v>
      </c>
      <c r="Q9" s="90" t="s">
        <v>775</v>
      </c>
      <c r="R9" s="90" t="s">
        <v>775</v>
      </c>
      <c r="S9" s="90" t="s">
        <v>775</v>
      </c>
      <c r="T9" s="90" t="s">
        <v>775</v>
      </c>
      <c r="U9" s="90" t="s">
        <v>773</v>
      </c>
      <c r="V9" s="90" t="s">
        <v>775</v>
      </c>
      <c r="W9" s="90" t="s">
        <v>773</v>
      </c>
      <c r="X9" s="90" t="s">
        <v>773</v>
      </c>
      <c r="Y9" s="90" t="s">
        <v>750</v>
      </c>
      <c r="Z9" s="90" t="s">
        <v>750</v>
      </c>
      <c r="AA9" s="90" t="s">
        <v>750</v>
      </c>
      <c r="AB9" s="90" t="s">
        <v>750</v>
      </c>
      <c r="AC9" s="90" t="s">
        <v>758</v>
      </c>
      <c r="AD9" s="98" t="s">
        <v>758</v>
      </c>
      <c r="AE9" s="89"/>
    </row>
    <row r="10" spans="1:31" s="97" customFormat="1" ht="47.25" x14ac:dyDescent="0.2">
      <c r="A10" s="89"/>
      <c r="B10" s="89"/>
      <c r="C10" s="111">
        <v>800233</v>
      </c>
      <c r="D10" s="90" t="s">
        <v>750</v>
      </c>
      <c r="E10" s="90" t="s">
        <v>750</v>
      </c>
      <c r="F10" s="90" t="s">
        <v>775</v>
      </c>
      <c r="G10" s="90" t="s">
        <v>773</v>
      </c>
      <c r="H10" s="90" t="s">
        <v>773</v>
      </c>
      <c r="I10" s="87"/>
      <c r="J10" s="88"/>
      <c r="K10" s="90" t="s">
        <v>775</v>
      </c>
      <c r="L10" s="90" t="s">
        <v>775</v>
      </c>
      <c r="M10" s="90" t="s">
        <v>775</v>
      </c>
      <c r="N10" s="90" t="s">
        <v>775</v>
      </c>
      <c r="O10" s="105" t="s">
        <v>800</v>
      </c>
      <c r="P10" s="90" t="s">
        <v>775</v>
      </c>
      <c r="Q10" s="90" t="s">
        <v>775</v>
      </c>
      <c r="R10" s="90" t="s">
        <v>775</v>
      </c>
      <c r="S10" s="90" t="s">
        <v>775</v>
      </c>
      <c r="T10" s="90" t="s">
        <v>775</v>
      </c>
      <c r="U10" s="90" t="s">
        <v>773</v>
      </c>
      <c r="V10" s="90" t="s">
        <v>775</v>
      </c>
      <c r="W10" s="90" t="s">
        <v>773</v>
      </c>
      <c r="X10" s="90" t="s">
        <v>773</v>
      </c>
      <c r="Y10" s="90" t="s">
        <v>750</v>
      </c>
      <c r="Z10" s="90" t="s">
        <v>750</v>
      </c>
      <c r="AA10" s="90" t="s">
        <v>750</v>
      </c>
      <c r="AB10" s="90" t="s">
        <v>750</v>
      </c>
      <c r="AC10" s="90" t="s">
        <v>758</v>
      </c>
      <c r="AD10" s="98" t="s">
        <v>758</v>
      </c>
      <c r="AE10" s="104" t="s">
        <v>795</v>
      </c>
    </row>
    <row r="11" spans="1:31" s="97" customFormat="1" ht="24.95" customHeight="1" x14ac:dyDescent="0.2">
      <c r="A11" s="89"/>
      <c r="B11" s="89"/>
      <c r="C11" s="111">
        <v>974062</v>
      </c>
      <c r="D11" s="90" t="s">
        <v>750</v>
      </c>
      <c r="E11" s="90" t="s">
        <v>750</v>
      </c>
      <c r="F11" s="90" t="s">
        <v>775</v>
      </c>
      <c r="G11" s="90" t="s">
        <v>773</v>
      </c>
      <c r="H11" s="90" t="s">
        <v>773</v>
      </c>
      <c r="I11" s="87"/>
      <c r="J11" s="88"/>
      <c r="K11" s="90" t="s">
        <v>775</v>
      </c>
      <c r="L11" s="90" t="s">
        <v>775</v>
      </c>
      <c r="M11" s="90" t="s">
        <v>775</v>
      </c>
      <c r="N11" s="90" t="s">
        <v>775</v>
      </c>
      <c r="O11" s="90" t="s">
        <v>775</v>
      </c>
      <c r="P11" s="90" t="s">
        <v>775</v>
      </c>
      <c r="Q11" s="90" t="s">
        <v>775</v>
      </c>
      <c r="R11" s="90" t="s">
        <v>775</v>
      </c>
      <c r="S11" s="90" t="s">
        <v>775</v>
      </c>
      <c r="T11" s="90" t="s">
        <v>775</v>
      </c>
      <c r="U11" s="90" t="s">
        <v>773</v>
      </c>
      <c r="V11" s="90" t="s">
        <v>775</v>
      </c>
      <c r="W11" s="90" t="s">
        <v>773</v>
      </c>
      <c r="X11" s="90" t="s">
        <v>773</v>
      </c>
      <c r="Y11" s="90" t="s">
        <v>750</v>
      </c>
      <c r="Z11" s="90" t="s">
        <v>750</v>
      </c>
      <c r="AA11" s="90" t="s">
        <v>750</v>
      </c>
      <c r="AB11" s="90" t="s">
        <v>750</v>
      </c>
      <c r="AC11" s="90" t="s">
        <v>758</v>
      </c>
      <c r="AD11" s="98" t="s">
        <v>758</v>
      </c>
      <c r="AE11" s="89"/>
    </row>
    <row r="12" spans="1:31" s="97" customFormat="1" ht="24.95" customHeight="1" x14ac:dyDescent="0.2">
      <c r="A12" s="89"/>
      <c r="B12" s="89"/>
      <c r="C12" s="87">
        <v>780991</v>
      </c>
      <c r="D12" s="88"/>
      <c r="E12" s="88"/>
      <c r="F12" s="88"/>
      <c r="G12" s="88"/>
      <c r="H12" s="88"/>
      <c r="I12" s="87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7"/>
      <c r="V12" s="89"/>
      <c r="W12" s="89"/>
      <c r="X12" s="89"/>
      <c r="Y12" s="89"/>
      <c r="Z12" s="89"/>
      <c r="AA12" s="89"/>
      <c r="AB12" s="89"/>
      <c r="AC12" s="89"/>
      <c r="AD12" s="96"/>
      <c r="AE12" s="89"/>
    </row>
    <row r="13" spans="1:31" s="97" customFormat="1" ht="24.95" customHeight="1" x14ac:dyDescent="0.2">
      <c r="A13" s="89"/>
      <c r="B13" s="89"/>
      <c r="C13" s="87">
        <v>780992</v>
      </c>
      <c r="D13" s="88"/>
      <c r="E13" s="88"/>
      <c r="F13" s="88"/>
      <c r="G13" s="88"/>
      <c r="H13" s="88"/>
      <c r="I13" s="87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7"/>
      <c r="V13" s="89"/>
      <c r="W13" s="89"/>
      <c r="X13" s="89"/>
      <c r="Y13" s="89"/>
      <c r="Z13" s="89"/>
      <c r="AA13" s="89"/>
      <c r="AB13" s="89"/>
      <c r="AC13" s="89"/>
      <c r="AD13" s="96"/>
      <c r="AE13" s="89"/>
    </row>
    <row r="14" spans="1:31" s="97" customFormat="1" ht="24.95" customHeight="1" x14ac:dyDescent="0.2">
      <c r="A14" s="89"/>
      <c r="B14" s="89"/>
      <c r="C14" s="87">
        <v>780993</v>
      </c>
      <c r="D14" s="88"/>
      <c r="E14" s="88"/>
      <c r="F14" s="88"/>
      <c r="G14" s="88"/>
      <c r="H14" s="88"/>
      <c r="I14" s="87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7"/>
      <c r="V14" s="89"/>
      <c r="W14" s="89"/>
      <c r="X14" s="89"/>
      <c r="Y14" s="89"/>
      <c r="Z14" s="89"/>
      <c r="AA14" s="89"/>
      <c r="AB14" s="89"/>
      <c r="AC14" s="89"/>
      <c r="AD14" s="96"/>
      <c r="AE14" s="89"/>
    </row>
    <row r="15" spans="1:31" s="97" customFormat="1" ht="24.95" customHeight="1" x14ac:dyDescent="0.2">
      <c r="A15" s="89"/>
      <c r="B15" s="89"/>
      <c r="C15" s="87">
        <v>780995</v>
      </c>
      <c r="D15" s="88"/>
      <c r="E15" s="88"/>
      <c r="F15" s="88"/>
      <c r="G15" s="88"/>
      <c r="H15" s="88"/>
      <c r="I15" s="87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7"/>
      <c r="V15" s="89"/>
      <c r="W15" s="89"/>
      <c r="X15" s="89"/>
      <c r="Y15" s="89"/>
      <c r="Z15" s="89"/>
      <c r="AA15" s="89"/>
      <c r="AB15" s="89"/>
      <c r="AC15" s="89"/>
      <c r="AD15" s="96"/>
      <c r="AE15" s="89"/>
    </row>
    <row r="16" spans="1:31" s="97" customFormat="1" ht="24.95" customHeight="1" x14ac:dyDescent="0.2">
      <c r="A16" s="89"/>
      <c r="B16" s="89"/>
      <c r="C16" s="87">
        <v>781083</v>
      </c>
      <c r="D16" s="88"/>
      <c r="E16" s="88"/>
      <c r="F16" s="88"/>
      <c r="G16" s="88"/>
      <c r="H16" s="88"/>
      <c r="I16" s="87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7"/>
      <c r="V16" s="89"/>
      <c r="W16" s="89"/>
      <c r="X16" s="89"/>
      <c r="Y16" s="89"/>
      <c r="Z16" s="89"/>
      <c r="AA16" s="89"/>
      <c r="AB16" s="89"/>
      <c r="AC16" s="89"/>
      <c r="AD16" s="96"/>
      <c r="AE16" s="89"/>
    </row>
    <row r="17" spans="1:31" s="97" customFormat="1" ht="24.95" customHeight="1" x14ac:dyDescent="0.2">
      <c r="A17" s="89"/>
      <c r="B17" s="89"/>
      <c r="C17" s="87">
        <v>781283</v>
      </c>
      <c r="D17" s="88"/>
      <c r="E17" s="88"/>
      <c r="F17" s="88"/>
      <c r="G17" s="88"/>
      <c r="H17" s="88"/>
      <c r="I17" s="87"/>
      <c r="J17" s="88"/>
      <c r="K17" s="121" t="s">
        <v>1354</v>
      </c>
      <c r="L17" s="121" t="s">
        <v>1354</v>
      </c>
      <c r="M17" s="121" t="s">
        <v>1354</v>
      </c>
      <c r="N17" s="121" t="s">
        <v>1354</v>
      </c>
      <c r="O17" s="88"/>
      <c r="P17" s="121" t="s">
        <v>1354</v>
      </c>
      <c r="Q17" s="88"/>
      <c r="R17" s="121" t="s">
        <v>1354</v>
      </c>
      <c r="S17" s="121" t="s">
        <v>1354</v>
      </c>
      <c r="T17" s="121" t="s">
        <v>1354</v>
      </c>
      <c r="U17" s="87"/>
      <c r="V17" s="89"/>
      <c r="W17" s="89"/>
      <c r="X17" s="89"/>
      <c r="Y17" s="89"/>
      <c r="Z17" s="89"/>
      <c r="AA17" s="89"/>
      <c r="AB17" s="89"/>
      <c r="AC17" s="89"/>
      <c r="AD17" s="96"/>
      <c r="AE17" s="89"/>
    </row>
    <row r="18" spans="1:31" s="97" customFormat="1" ht="24.95" customHeight="1" x14ac:dyDescent="0.2">
      <c r="A18" s="89"/>
      <c r="B18" s="89"/>
      <c r="C18" s="87">
        <v>781297</v>
      </c>
      <c r="D18" s="121" t="s">
        <v>1354</v>
      </c>
      <c r="E18" s="121" t="s">
        <v>1354</v>
      </c>
      <c r="F18" s="88"/>
      <c r="G18" s="88"/>
      <c r="H18" s="88"/>
      <c r="I18" s="87"/>
      <c r="J18" s="88"/>
      <c r="K18" s="121" t="s">
        <v>1354</v>
      </c>
      <c r="L18" s="121" t="s">
        <v>1354</v>
      </c>
      <c r="M18" s="121" t="s">
        <v>1354</v>
      </c>
      <c r="N18" s="121" t="s">
        <v>1354</v>
      </c>
      <c r="O18" s="121" t="s">
        <v>1354</v>
      </c>
      <c r="P18" s="121" t="s">
        <v>1354</v>
      </c>
      <c r="Q18" s="121" t="s">
        <v>1354</v>
      </c>
      <c r="R18" s="121" t="s">
        <v>1354</v>
      </c>
      <c r="S18" s="121" t="s">
        <v>1354</v>
      </c>
      <c r="T18" s="121" t="s">
        <v>1354</v>
      </c>
      <c r="U18" s="87"/>
      <c r="V18" s="89"/>
      <c r="W18" s="89"/>
      <c r="X18" s="89"/>
      <c r="Y18" s="89"/>
      <c r="Z18" s="89"/>
      <c r="AA18" s="89"/>
      <c r="AB18" s="89"/>
      <c r="AC18" s="89"/>
      <c r="AD18" s="96"/>
      <c r="AE18" s="89"/>
    </row>
    <row r="19" spans="1:31" s="97" customFormat="1" ht="24.95" customHeight="1" x14ac:dyDescent="0.2">
      <c r="A19" s="89"/>
      <c r="B19" s="89"/>
      <c r="C19" s="87">
        <v>800223</v>
      </c>
      <c r="D19" s="88"/>
      <c r="E19" s="88"/>
      <c r="F19" s="88"/>
      <c r="G19" s="88"/>
      <c r="H19" s="88"/>
      <c r="I19" s="87"/>
      <c r="J19" s="88"/>
      <c r="K19" s="88"/>
      <c r="L19" s="88"/>
      <c r="M19" s="88"/>
      <c r="N19" s="88"/>
      <c r="O19" s="88"/>
      <c r="P19" s="122"/>
      <c r="Q19" s="122"/>
      <c r="R19" s="122"/>
      <c r="S19" s="122"/>
      <c r="T19" s="122"/>
      <c r="U19" s="87"/>
      <c r="V19" s="89"/>
      <c r="W19" s="89"/>
      <c r="X19" s="89"/>
      <c r="Y19" s="89"/>
      <c r="Z19" s="89"/>
      <c r="AA19" s="89"/>
      <c r="AB19" s="89"/>
      <c r="AC19" s="89"/>
      <c r="AD19" s="96"/>
      <c r="AE19" s="89"/>
    </row>
    <row r="20" spans="1:31" s="97" customFormat="1" ht="24.95" customHeight="1" x14ac:dyDescent="0.2">
      <c r="A20" s="89"/>
      <c r="B20" s="89"/>
      <c r="C20" s="87">
        <v>800943</v>
      </c>
      <c r="D20" s="88"/>
      <c r="E20" s="88"/>
      <c r="F20" s="88"/>
      <c r="G20" s="88"/>
      <c r="H20" s="88"/>
      <c r="I20" s="87"/>
      <c r="J20" s="88"/>
      <c r="K20" s="88"/>
      <c r="L20" s="88"/>
      <c r="M20" s="88"/>
      <c r="N20" s="88"/>
      <c r="O20" s="88"/>
      <c r="P20" s="122"/>
      <c r="Q20" s="122"/>
      <c r="R20" s="122"/>
      <c r="S20" s="122"/>
      <c r="T20" s="122"/>
      <c r="U20" s="87"/>
      <c r="V20" s="89"/>
      <c r="W20" s="89"/>
      <c r="X20" s="89"/>
      <c r="Y20" s="89"/>
      <c r="Z20" s="89"/>
      <c r="AA20" s="89"/>
      <c r="AB20" s="89"/>
      <c r="AC20" s="89"/>
      <c r="AD20" s="96"/>
      <c r="AE20" s="89"/>
    </row>
    <row r="21" spans="1:31" s="97" customFormat="1" ht="24.95" customHeight="1" x14ac:dyDescent="0.2">
      <c r="A21" s="89"/>
      <c r="B21" s="89"/>
      <c r="C21" s="87">
        <v>800957</v>
      </c>
      <c r="D21" s="88"/>
      <c r="E21" s="88"/>
      <c r="F21" s="88"/>
      <c r="G21" s="88"/>
      <c r="H21" s="88"/>
      <c r="I21" s="87"/>
      <c r="J21" s="88"/>
      <c r="K21" s="88"/>
      <c r="L21" s="88"/>
      <c r="M21" s="88"/>
      <c r="N21" s="88"/>
      <c r="O21" s="88"/>
      <c r="P21" s="122"/>
      <c r="Q21" s="122"/>
      <c r="R21" s="122"/>
      <c r="S21" s="122"/>
      <c r="T21" s="122"/>
      <c r="U21" s="87"/>
      <c r="V21" s="89"/>
      <c r="W21" s="89"/>
      <c r="X21" s="89"/>
      <c r="Y21" s="89"/>
      <c r="Z21" s="89"/>
      <c r="AA21" s="89"/>
      <c r="AB21" s="89"/>
      <c r="AC21" s="89"/>
      <c r="AD21" s="96"/>
      <c r="AE21" s="89"/>
    </row>
    <row r="22" spans="1:31" s="97" customFormat="1" ht="24.95" customHeight="1" x14ac:dyDescent="0.2">
      <c r="A22" s="89"/>
      <c r="B22" s="89"/>
      <c r="C22" s="87">
        <v>800958</v>
      </c>
      <c r="D22" s="88"/>
      <c r="E22" s="88"/>
      <c r="F22" s="88"/>
      <c r="G22" s="88"/>
      <c r="H22" s="88"/>
      <c r="I22" s="87"/>
      <c r="J22" s="88"/>
      <c r="K22" s="88"/>
      <c r="L22" s="88"/>
      <c r="M22" s="88"/>
      <c r="N22" s="88"/>
      <c r="O22" s="88"/>
      <c r="P22" s="122"/>
      <c r="Q22" s="122"/>
      <c r="R22" s="122"/>
      <c r="S22" s="122"/>
      <c r="T22" s="122"/>
      <c r="U22" s="87"/>
      <c r="V22" s="89"/>
      <c r="W22" s="89"/>
      <c r="X22" s="89"/>
      <c r="Y22" s="89"/>
      <c r="Z22" s="89"/>
      <c r="AA22" s="89"/>
      <c r="AB22" s="89"/>
      <c r="AC22" s="89"/>
      <c r="AD22" s="96"/>
      <c r="AE22" s="89"/>
    </row>
    <row r="23" spans="1:31" s="97" customFormat="1" ht="24.95" customHeight="1" x14ac:dyDescent="0.2">
      <c r="A23" s="89"/>
      <c r="B23" s="89"/>
      <c r="C23" s="87">
        <v>800959</v>
      </c>
      <c r="D23" s="88"/>
      <c r="E23" s="88"/>
      <c r="F23" s="88"/>
      <c r="G23" s="88"/>
      <c r="H23" s="88"/>
      <c r="I23" s="87"/>
      <c r="J23" s="88"/>
      <c r="K23" s="88"/>
      <c r="L23" s="88"/>
      <c r="M23" s="88"/>
      <c r="N23" s="88"/>
      <c r="O23" s="88"/>
      <c r="P23" s="122"/>
      <c r="Q23" s="122"/>
      <c r="R23" s="122"/>
      <c r="S23" s="122"/>
      <c r="T23" s="122"/>
      <c r="U23" s="87"/>
      <c r="V23" s="89"/>
      <c r="W23" s="89"/>
      <c r="X23" s="89"/>
      <c r="Y23" s="89"/>
      <c r="Z23" s="89"/>
      <c r="AA23" s="89"/>
      <c r="AB23" s="89"/>
      <c r="AC23" s="89"/>
      <c r="AD23" s="96"/>
      <c r="AE23" s="89"/>
    </row>
    <row r="24" spans="1:31" s="97" customFormat="1" ht="24.95" customHeight="1" x14ac:dyDescent="0.2">
      <c r="A24" s="89"/>
      <c r="B24" s="89"/>
      <c r="C24" s="87">
        <v>800965</v>
      </c>
      <c r="D24" s="88"/>
      <c r="E24" s="88"/>
      <c r="F24" s="88"/>
      <c r="G24" s="88"/>
      <c r="H24" s="88"/>
      <c r="I24" s="87"/>
      <c r="J24" s="88"/>
      <c r="K24" s="88"/>
      <c r="L24" s="88"/>
      <c r="M24" s="88"/>
      <c r="N24" s="88"/>
      <c r="O24" s="88"/>
      <c r="P24" s="122"/>
      <c r="Q24" s="122"/>
      <c r="R24" s="122"/>
      <c r="S24" s="122"/>
      <c r="T24" s="122"/>
      <c r="U24" s="87"/>
      <c r="V24" s="89"/>
      <c r="W24" s="89"/>
      <c r="X24" s="89"/>
      <c r="Y24" s="89"/>
      <c r="Z24" s="89"/>
      <c r="AA24" s="89"/>
      <c r="AB24" s="89"/>
      <c r="AC24" s="89"/>
      <c r="AD24" s="96"/>
      <c r="AE24" s="89"/>
    </row>
    <row r="25" spans="1:31" s="97" customFormat="1" ht="24.95" customHeight="1" x14ac:dyDescent="0.2">
      <c r="A25" s="89"/>
      <c r="B25" s="89"/>
      <c r="C25" s="87">
        <v>800970</v>
      </c>
      <c r="D25" s="88"/>
      <c r="E25" s="88"/>
      <c r="F25" s="88"/>
      <c r="G25" s="88"/>
      <c r="H25" s="88"/>
      <c r="I25" s="87"/>
      <c r="J25" s="88"/>
      <c r="K25" s="88"/>
      <c r="L25" s="88"/>
      <c r="M25" s="88"/>
      <c r="N25" s="88"/>
      <c r="O25" s="88"/>
      <c r="P25" s="122"/>
      <c r="Q25" s="122"/>
      <c r="R25" s="122"/>
      <c r="S25" s="122"/>
      <c r="T25" s="122"/>
      <c r="U25" s="87"/>
      <c r="V25" s="89"/>
      <c r="W25" s="89"/>
      <c r="X25" s="89"/>
      <c r="Y25" s="89"/>
      <c r="Z25" s="89"/>
      <c r="AA25" s="89"/>
      <c r="AB25" s="89"/>
      <c r="AC25" s="89"/>
      <c r="AD25" s="96"/>
      <c r="AE25" s="89"/>
    </row>
    <row r="26" spans="1:31" s="97" customFormat="1" ht="24.95" customHeight="1" x14ac:dyDescent="0.2">
      <c r="A26" s="89"/>
      <c r="B26" s="89"/>
      <c r="C26" s="87">
        <v>801169</v>
      </c>
      <c r="D26" s="88"/>
      <c r="E26" s="88"/>
      <c r="F26" s="88"/>
      <c r="G26" s="88"/>
      <c r="H26" s="88"/>
      <c r="I26" s="87"/>
      <c r="J26" s="88"/>
      <c r="K26" s="88"/>
      <c r="L26" s="88"/>
      <c r="M26" s="88"/>
      <c r="N26" s="88"/>
      <c r="O26" s="88"/>
      <c r="P26" s="122"/>
      <c r="Q26" s="122"/>
      <c r="R26" s="122"/>
      <c r="S26" s="122"/>
      <c r="T26" s="122"/>
      <c r="U26" s="87"/>
      <c r="V26" s="89"/>
      <c r="W26" s="89"/>
      <c r="X26" s="89"/>
      <c r="Y26" s="89"/>
      <c r="Z26" s="89"/>
      <c r="AA26" s="89"/>
      <c r="AB26" s="89"/>
      <c r="AC26" s="89"/>
      <c r="AD26" s="96"/>
      <c r="AE26" s="89"/>
    </row>
    <row r="27" spans="1:31" s="97" customFormat="1" ht="24.95" customHeight="1" x14ac:dyDescent="0.2">
      <c r="A27" s="89"/>
      <c r="B27" s="89"/>
      <c r="C27" s="87">
        <v>801174</v>
      </c>
      <c r="D27" s="88"/>
      <c r="E27" s="88"/>
      <c r="F27" s="88"/>
      <c r="G27" s="88"/>
      <c r="H27" s="88"/>
      <c r="I27" s="87"/>
      <c r="J27" s="88"/>
      <c r="K27" s="88"/>
      <c r="L27" s="88"/>
      <c r="M27" s="88"/>
      <c r="N27" s="88"/>
      <c r="O27" s="88"/>
      <c r="P27" s="122"/>
      <c r="Q27" s="122"/>
      <c r="R27" s="122"/>
      <c r="S27" s="122"/>
      <c r="T27" s="122"/>
      <c r="U27" s="87"/>
      <c r="V27" s="89"/>
      <c r="W27" s="89"/>
      <c r="X27" s="89"/>
      <c r="Y27" s="89"/>
      <c r="Z27" s="89"/>
      <c r="AA27" s="89"/>
      <c r="AB27" s="89"/>
      <c r="AC27" s="89"/>
      <c r="AD27" s="96"/>
      <c r="AE27" s="89"/>
    </row>
    <row r="28" spans="1:31" s="97" customFormat="1" ht="24.95" customHeight="1" x14ac:dyDescent="0.2">
      <c r="A28" s="89"/>
      <c r="B28" s="89"/>
      <c r="C28" s="87">
        <v>801198</v>
      </c>
      <c r="D28" s="88"/>
      <c r="E28" s="88"/>
      <c r="F28" s="88"/>
      <c r="G28" s="88"/>
      <c r="H28" s="88"/>
      <c r="I28" s="87"/>
      <c r="J28" s="88"/>
      <c r="K28" s="88"/>
      <c r="L28" s="88"/>
      <c r="M28" s="88"/>
      <c r="N28" s="88"/>
      <c r="O28" s="88"/>
      <c r="P28" s="122"/>
      <c r="Q28" s="122"/>
      <c r="R28" s="122"/>
      <c r="S28" s="122"/>
      <c r="T28" s="122"/>
      <c r="U28" s="87"/>
      <c r="V28" s="89"/>
      <c r="W28" s="89"/>
      <c r="X28" s="89"/>
      <c r="Y28" s="89"/>
      <c r="Z28" s="89"/>
      <c r="AA28" s="89"/>
      <c r="AB28" s="89"/>
      <c r="AC28" s="89"/>
      <c r="AD28" s="96"/>
      <c r="AE28" s="89"/>
    </row>
    <row r="29" spans="1:31" s="97" customFormat="1" ht="24.95" customHeight="1" x14ac:dyDescent="0.2">
      <c r="A29" s="89"/>
      <c r="B29" s="89"/>
      <c r="C29" s="87">
        <v>801208</v>
      </c>
      <c r="D29" s="121" t="s">
        <v>1354</v>
      </c>
      <c r="E29" s="121" t="s">
        <v>1354</v>
      </c>
      <c r="F29" s="88"/>
      <c r="G29" s="88"/>
      <c r="H29" s="88"/>
      <c r="I29" s="88"/>
      <c r="J29" s="88"/>
      <c r="K29" s="121" t="s">
        <v>1354</v>
      </c>
      <c r="L29" s="121" t="s">
        <v>1354</v>
      </c>
      <c r="M29" s="121" t="s">
        <v>1354</v>
      </c>
      <c r="N29" s="121" t="s">
        <v>1354</v>
      </c>
      <c r="O29" s="121" t="s">
        <v>1354</v>
      </c>
      <c r="P29" s="121" t="s">
        <v>1354</v>
      </c>
      <c r="Q29" s="121" t="s">
        <v>1354</v>
      </c>
      <c r="R29" s="121" t="s">
        <v>1354</v>
      </c>
      <c r="S29" s="121" t="s">
        <v>1354</v>
      </c>
      <c r="T29" s="121" t="s">
        <v>1354</v>
      </c>
      <c r="U29" s="88"/>
      <c r="V29" s="89"/>
      <c r="W29" s="89"/>
      <c r="X29" s="89"/>
      <c r="Y29" s="89"/>
      <c r="Z29" s="89"/>
      <c r="AA29" s="89"/>
      <c r="AB29" s="89"/>
      <c r="AC29" s="89"/>
      <c r="AD29" s="96"/>
      <c r="AE29" s="89"/>
    </row>
    <row r="30" spans="1:31" s="97" customFormat="1" ht="24.95" customHeight="1" x14ac:dyDescent="0.2">
      <c r="A30" s="89"/>
      <c r="B30" s="89"/>
      <c r="C30" s="87">
        <v>801219</v>
      </c>
      <c r="D30" s="121" t="s">
        <v>1354</v>
      </c>
      <c r="E30" s="121" t="s">
        <v>1354</v>
      </c>
      <c r="F30" s="88"/>
      <c r="G30" s="88"/>
      <c r="H30" s="88"/>
      <c r="I30" s="87"/>
      <c r="J30" s="88"/>
      <c r="K30" s="121" t="s">
        <v>1354</v>
      </c>
      <c r="L30" s="121" t="s">
        <v>1354</v>
      </c>
      <c r="M30" s="121" t="s">
        <v>1354</v>
      </c>
      <c r="N30" s="121" t="s">
        <v>1354</v>
      </c>
      <c r="O30" s="121" t="s">
        <v>1354</v>
      </c>
      <c r="P30" s="121" t="s">
        <v>1354</v>
      </c>
      <c r="Q30" s="124" t="s">
        <v>1354</v>
      </c>
      <c r="R30" s="121" t="s">
        <v>1354</v>
      </c>
      <c r="S30" s="121" t="s">
        <v>1354</v>
      </c>
      <c r="T30" s="121" t="s">
        <v>1354</v>
      </c>
      <c r="U30" s="87"/>
      <c r="V30" s="89"/>
      <c r="W30" s="89"/>
      <c r="X30" s="89"/>
      <c r="Y30" s="89"/>
      <c r="Z30" s="89"/>
      <c r="AA30" s="89"/>
      <c r="AB30" s="89"/>
      <c r="AC30" s="89"/>
      <c r="AD30" s="96"/>
      <c r="AE30" s="89"/>
    </row>
    <row r="31" spans="1:31" s="97" customFormat="1" ht="24.95" customHeight="1" x14ac:dyDescent="0.2">
      <c r="A31" s="89"/>
      <c r="B31" s="89"/>
      <c r="C31" s="87">
        <v>974058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122"/>
      <c r="Q31" s="122"/>
      <c r="R31" s="122"/>
      <c r="S31" s="122"/>
      <c r="T31" s="122"/>
      <c r="U31" s="88"/>
      <c r="V31" s="89"/>
      <c r="W31" s="89"/>
      <c r="X31" s="89"/>
      <c r="Y31" s="89"/>
      <c r="Z31" s="89"/>
      <c r="AA31" s="89"/>
      <c r="AB31" s="89"/>
      <c r="AC31" s="89"/>
      <c r="AD31" s="96"/>
      <c r="AE31" s="89"/>
    </row>
    <row r="32" spans="1:31" s="97" customFormat="1" ht="24.95" customHeight="1" x14ac:dyDescent="0.2">
      <c r="A32" s="89"/>
      <c r="B32" s="89"/>
      <c r="C32" s="87">
        <v>974992</v>
      </c>
      <c r="D32" s="121" t="s">
        <v>1354</v>
      </c>
      <c r="E32" s="88"/>
      <c r="F32" s="88"/>
      <c r="G32" s="88"/>
      <c r="H32" s="88"/>
      <c r="I32" s="87"/>
      <c r="J32" s="88"/>
      <c r="K32" s="121" t="s">
        <v>1354</v>
      </c>
      <c r="L32" s="121" t="s">
        <v>1354</v>
      </c>
      <c r="M32" s="88"/>
      <c r="N32" s="121" t="s">
        <v>1354</v>
      </c>
      <c r="O32" s="88"/>
      <c r="P32" s="122"/>
      <c r="Q32" s="122"/>
      <c r="R32" s="121" t="s">
        <v>1354</v>
      </c>
      <c r="S32" s="122"/>
      <c r="T32" s="121" t="s">
        <v>1354</v>
      </c>
      <c r="U32" s="87"/>
      <c r="V32" s="89"/>
      <c r="W32" s="89"/>
      <c r="X32" s="89"/>
      <c r="Y32" s="89"/>
      <c r="Z32" s="89"/>
      <c r="AA32" s="89"/>
      <c r="AB32" s="89"/>
      <c r="AC32" s="89"/>
      <c r="AD32" s="96"/>
      <c r="AE32" s="89"/>
    </row>
    <row r="33" spans="1:31" s="97" customFormat="1" ht="24.95" customHeight="1" x14ac:dyDescent="0.2">
      <c r="A33" s="89"/>
      <c r="B33" s="89"/>
      <c r="C33" s="87">
        <v>975002</v>
      </c>
      <c r="D33" s="121" t="s">
        <v>1354</v>
      </c>
      <c r="E33" s="88"/>
      <c r="F33" s="88"/>
      <c r="G33" s="88"/>
      <c r="H33" s="88"/>
      <c r="I33" s="87"/>
      <c r="J33" s="88"/>
      <c r="K33" s="88"/>
      <c r="L33" s="88"/>
      <c r="M33" s="121" t="s">
        <v>1354</v>
      </c>
      <c r="N33" s="88"/>
      <c r="O33" s="121" t="s">
        <v>1354</v>
      </c>
      <c r="P33" s="124" t="s">
        <v>1354</v>
      </c>
      <c r="Q33" s="121" t="s">
        <v>1354</v>
      </c>
      <c r="R33" s="122"/>
      <c r="S33" s="121" t="s">
        <v>1354</v>
      </c>
      <c r="T33" s="122"/>
      <c r="U33" s="87"/>
      <c r="V33" s="89"/>
      <c r="W33" s="89"/>
      <c r="X33" s="89"/>
      <c r="Y33" s="89"/>
      <c r="Z33" s="89"/>
      <c r="AA33" s="89"/>
      <c r="AB33" s="89"/>
      <c r="AC33" s="89"/>
      <c r="AD33" s="96"/>
      <c r="AE33" s="89"/>
    </row>
    <row r="34" spans="1:31" s="97" customFormat="1" ht="24.95" customHeight="1" x14ac:dyDescent="0.2">
      <c r="A34" s="89"/>
      <c r="B34" s="89"/>
      <c r="C34" s="87"/>
      <c r="D34" s="88"/>
      <c r="E34" s="88"/>
      <c r="F34" s="88"/>
      <c r="G34" s="88"/>
      <c r="H34" s="88"/>
      <c r="I34" s="87"/>
      <c r="J34" s="88"/>
      <c r="K34" s="88"/>
      <c r="L34" s="88"/>
      <c r="M34" s="88"/>
      <c r="N34" s="88"/>
      <c r="O34" s="88"/>
      <c r="P34" s="122"/>
      <c r="Q34" s="122"/>
      <c r="R34" s="122"/>
      <c r="S34" s="122"/>
      <c r="T34" s="122"/>
      <c r="U34" s="87"/>
      <c r="V34" s="89"/>
      <c r="W34" s="89"/>
      <c r="X34" s="89"/>
      <c r="Y34" s="89"/>
      <c r="Z34" s="89"/>
      <c r="AA34" s="89"/>
      <c r="AB34" s="89"/>
      <c r="AC34" s="89"/>
      <c r="AD34" s="96"/>
      <c r="AE34" s="89"/>
    </row>
    <row r="35" spans="1:31" s="97" customFormat="1" ht="24.95" customHeight="1" x14ac:dyDescent="0.2">
      <c r="A35" s="89"/>
      <c r="B35" s="89"/>
      <c r="C35" s="123"/>
      <c r="D35" s="88"/>
      <c r="E35" s="88"/>
      <c r="F35" s="88"/>
      <c r="G35" s="88"/>
      <c r="H35" s="88"/>
      <c r="I35" s="87"/>
      <c r="J35" s="88"/>
      <c r="K35" s="88"/>
      <c r="L35" s="88"/>
      <c r="M35" s="88"/>
      <c r="N35" s="88"/>
      <c r="O35" s="88"/>
      <c r="P35" s="122"/>
      <c r="Q35" s="122"/>
      <c r="R35" s="122"/>
      <c r="S35" s="122"/>
      <c r="T35" s="122"/>
      <c r="U35" s="87"/>
      <c r="V35" s="89"/>
      <c r="W35" s="89"/>
      <c r="X35" s="89"/>
      <c r="Y35" s="89"/>
      <c r="Z35" s="89"/>
      <c r="AA35" s="89"/>
      <c r="AB35" s="89"/>
      <c r="AC35" s="89"/>
      <c r="AD35" s="96"/>
      <c r="AE35" s="89"/>
    </row>
    <row r="36" spans="1:31" s="97" customFormat="1" ht="24.95" customHeight="1" x14ac:dyDescent="0.2">
      <c r="A36" s="89"/>
      <c r="B36" s="89"/>
      <c r="C36" s="123"/>
      <c r="D36" s="88"/>
      <c r="E36" s="88"/>
      <c r="F36" s="88"/>
      <c r="G36" s="88"/>
      <c r="H36" s="88"/>
      <c r="I36" s="87"/>
      <c r="J36" s="88"/>
      <c r="K36" s="88"/>
      <c r="L36" s="88"/>
      <c r="M36" s="88"/>
      <c r="N36" s="88"/>
      <c r="O36" s="88"/>
      <c r="P36" s="122"/>
      <c r="Q36" s="122"/>
      <c r="R36" s="122"/>
      <c r="S36" s="122"/>
      <c r="T36" s="122"/>
      <c r="U36" s="87"/>
      <c r="V36" s="89"/>
      <c r="W36" s="89"/>
      <c r="X36" s="89"/>
      <c r="Y36" s="89"/>
      <c r="Z36" s="89"/>
      <c r="AA36" s="89"/>
      <c r="AB36" s="89"/>
      <c r="AC36" s="89"/>
      <c r="AD36" s="96"/>
      <c r="AE36" s="89"/>
    </row>
    <row r="37" spans="1:31" s="97" customFormat="1" ht="24.95" customHeight="1" x14ac:dyDescent="0.2">
      <c r="A37" s="89"/>
      <c r="B37" s="89"/>
      <c r="C37" s="123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122"/>
      <c r="Q37" s="122"/>
      <c r="R37" s="122"/>
      <c r="S37" s="122"/>
      <c r="T37" s="122"/>
      <c r="U37" s="88"/>
      <c r="V37" s="89"/>
      <c r="W37" s="89"/>
      <c r="X37" s="89"/>
      <c r="Y37" s="89"/>
      <c r="Z37" s="89"/>
      <c r="AA37" s="89"/>
      <c r="AB37" s="89"/>
      <c r="AC37" s="89"/>
      <c r="AD37" s="96"/>
      <c r="AE37" s="89"/>
    </row>
    <row r="38" spans="1:31" s="97" customFormat="1" ht="24.95" customHeight="1" x14ac:dyDescent="0.2">
      <c r="A38" s="89"/>
      <c r="B38" s="89"/>
      <c r="C38" s="123"/>
      <c r="D38" s="88"/>
      <c r="E38" s="88"/>
      <c r="F38" s="88"/>
      <c r="G38" s="88"/>
      <c r="H38" s="88"/>
      <c r="I38" s="87"/>
      <c r="J38" s="88"/>
      <c r="K38" s="88"/>
      <c r="L38" s="88"/>
      <c r="M38" s="88"/>
      <c r="N38" s="88"/>
      <c r="O38" s="88"/>
      <c r="P38" s="122"/>
      <c r="Q38" s="122"/>
      <c r="R38" s="122"/>
      <c r="S38" s="122"/>
      <c r="T38" s="122"/>
      <c r="U38" s="87"/>
      <c r="V38" s="89"/>
      <c r="W38" s="89"/>
      <c r="X38" s="89"/>
      <c r="Y38" s="89"/>
      <c r="Z38" s="89"/>
      <c r="AA38" s="89"/>
      <c r="AB38" s="89"/>
      <c r="AC38" s="89"/>
      <c r="AD38" s="96"/>
      <c r="AE38" s="89"/>
    </row>
    <row r="39" spans="1:31" s="97" customFormat="1" ht="24.95" customHeight="1" x14ac:dyDescent="0.2">
      <c r="A39" s="89"/>
      <c r="B39" s="89"/>
      <c r="C39" s="123"/>
      <c r="D39" s="88"/>
      <c r="E39" s="88"/>
      <c r="F39" s="88"/>
      <c r="G39" s="88"/>
      <c r="H39" s="88"/>
      <c r="I39" s="87"/>
      <c r="J39" s="88"/>
      <c r="K39" s="88"/>
      <c r="L39" s="88"/>
      <c r="M39" s="88"/>
      <c r="N39" s="88"/>
      <c r="O39" s="88"/>
      <c r="P39" s="122"/>
      <c r="Q39" s="122"/>
      <c r="R39" s="122"/>
      <c r="S39" s="122"/>
      <c r="T39" s="122"/>
      <c r="U39" s="87"/>
      <c r="V39" s="89"/>
      <c r="W39" s="89"/>
      <c r="X39" s="89"/>
      <c r="Y39" s="89"/>
      <c r="Z39" s="89"/>
      <c r="AA39" s="89"/>
      <c r="AB39" s="89"/>
      <c r="AC39" s="89"/>
      <c r="AD39" s="96"/>
      <c r="AE39" s="89"/>
    </row>
    <row r="40" spans="1:31" s="97" customFormat="1" ht="24.95" customHeight="1" x14ac:dyDescent="0.2">
      <c r="A40" s="89"/>
      <c r="B40" s="89"/>
      <c r="C40" s="123"/>
      <c r="D40" s="88"/>
      <c r="E40" s="88"/>
      <c r="F40" s="88"/>
      <c r="G40" s="88"/>
      <c r="H40" s="88"/>
      <c r="I40" s="87"/>
      <c r="J40" s="88"/>
      <c r="K40" s="88"/>
      <c r="L40" s="88"/>
      <c r="M40" s="88"/>
      <c r="N40" s="88"/>
      <c r="O40" s="88"/>
      <c r="P40" s="122"/>
      <c r="Q40" s="122"/>
      <c r="R40" s="122"/>
      <c r="S40" s="122"/>
      <c r="T40" s="122"/>
      <c r="U40" s="87"/>
      <c r="V40" s="89"/>
      <c r="W40" s="89"/>
      <c r="X40" s="89"/>
      <c r="Y40" s="89"/>
      <c r="Z40" s="89"/>
      <c r="AA40" s="89"/>
      <c r="AB40" s="89"/>
      <c r="AC40" s="89"/>
      <c r="AD40" s="96"/>
      <c r="AE40" s="89"/>
    </row>
    <row r="41" spans="1:31" s="97" customFormat="1" ht="24.95" customHeight="1" x14ac:dyDescent="0.2">
      <c r="A41" s="89"/>
      <c r="B41" s="89"/>
      <c r="C41" s="87"/>
      <c r="D41" s="88"/>
      <c r="E41" s="88"/>
      <c r="F41" s="88"/>
      <c r="G41" s="88"/>
      <c r="H41" s="88"/>
      <c r="I41" s="87"/>
      <c r="J41" s="88"/>
      <c r="K41" s="88"/>
      <c r="L41" s="88"/>
      <c r="M41" s="88"/>
      <c r="N41" s="88"/>
      <c r="O41" s="88"/>
      <c r="P41" s="122"/>
      <c r="Q41" s="122"/>
      <c r="R41" s="122"/>
      <c r="S41" s="122"/>
      <c r="T41" s="122"/>
      <c r="U41" s="87"/>
      <c r="V41" s="89"/>
      <c r="W41" s="89"/>
      <c r="X41" s="89"/>
      <c r="Y41" s="89"/>
      <c r="Z41" s="89"/>
      <c r="AA41" s="89"/>
      <c r="AB41" s="89"/>
      <c r="AC41" s="89"/>
      <c r="AD41" s="96"/>
      <c r="AE41" s="89"/>
    </row>
    <row r="42" spans="1:31" s="97" customFormat="1" ht="24.95" customHeight="1" x14ac:dyDescent="0.2">
      <c r="A42" s="89"/>
      <c r="B42" s="89"/>
      <c r="C42" s="87"/>
      <c r="D42" s="88"/>
      <c r="E42" s="88"/>
      <c r="F42" s="88"/>
      <c r="G42" s="88"/>
      <c r="H42" s="88"/>
      <c r="I42" s="87"/>
      <c r="J42" s="88"/>
      <c r="K42" s="88"/>
      <c r="L42" s="88"/>
      <c r="M42" s="88"/>
      <c r="N42" s="88"/>
      <c r="O42" s="88"/>
      <c r="P42" s="122"/>
      <c r="Q42" s="122"/>
      <c r="R42" s="122"/>
      <c r="S42" s="122"/>
      <c r="T42" s="122"/>
      <c r="U42" s="87"/>
      <c r="V42" s="89"/>
      <c r="W42" s="89"/>
      <c r="X42" s="89"/>
      <c r="Y42" s="89"/>
      <c r="Z42" s="89"/>
      <c r="AA42" s="89"/>
      <c r="AB42" s="89"/>
      <c r="AC42" s="89"/>
      <c r="AD42" s="96"/>
      <c r="AE42" s="89"/>
    </row>
    <row r="43" spans="1:31" s="97" customFormat="1" ht="24.95" customHeight="1" x14ac:dyDescent="0.2">
      <c r="A43" s="89"/>
      <c r="B43" s="89"/>
      <c r="C43" s="87"/>
      <c r="D43" s="88"/>
      <c r="E43" s="88"/>
      <c r="F43" s="88"/>
      <c r="G43" s="88"/>
      <c r="H43" s="88"/>
      <c r="I43" s="87"/>
      <c r="J43" s="88"/>
      <c r="K43" s="88"/>
      <c r="L43" s="88"/>
      <c r="M43" s="88"/>
      <c r="N43" s="88"/>
      <c r="O43" s="88"/>
      <c r="P43" s="122"/>
      <c r="Q43" s="122"/>
      <c r="R43" s="122"/>
      <c r="S43" s="122"/>
      <c r="T43" s="122"/>
      <c r="U43" s="87"/>
      <c r="V43" s="89"/>
      <c r="W43" s="89"/>
      <c r="X43" s="89"/>
      <c r="Y43" s="89"/>
      <c r="Z43" s="89"/>
      <c r="AA43" s="89"/>
      <c r="AB43" s="89"/>
      <c r="AC43" s="89"/>
      <c r="AD43" s="96"/>
      <c r="AE43" s="89"/>
    </row>
    <row r="44" spans="1:31" s="97" customFormat="1" ht="24.95" customHeight="1" x14ac:dyDescent="0.2">
      <c r="A44" s="89"/>
      <c r="B44" s="89"/>
      <c r="C44" s="87"/>
      <c r="D44" s="88"/>
      <c r="E44" s="88"/>
      <c r="F44" s="88"/>
      <c r="G44" s="88"/>
      <c r="H44" s="88"/>
      <c r="I44" s="87"/>
      <c r="J44" s="88"/>
      <c r="K44" s="88"/>
      <c r="L44" s="88"/>
      <c r="M44" s="88"/>
      <c r="N44" s="88"/>
      <c r="O44" s="88"/>
      <c r="P44" s="122"/>
      <c r="Q44" s="122"/>
      <c r="R44" s="122"/>
      <c r="S44" s="122"/>
      <c r="T44" s="122"/>
      <c r="U44" s="87"/>
      <c r="V44" s="89"/>
      <c r="W44" s="89"/>
      <c r="X44" s="89"/>
      <c r="Y44" s="89"/>
      <c r="Z44" s="89"/>
      <c r="AA44" s="89"/>
      <c r="AB44" s="89"/>
      <c r="AC44" s="89"/>
      <c r="AD44" s="96"/>
      <c r="AE44" s="89"/>
    </row>
    <row r="45" spans="1:31" s="97" customFormat="1" ht="24.95" customHeight="1" x14ac:dyDescent="0.2">
      <c r="A45" s="89"/>
      <c r="B45" s="89"/>
      <c r="C45" s="87"/>
      <c r="D45" s="88"/>
      <c r="E45" s="88"/>
      <c r="F45" s="88"/>
      <c r="G45" s="88"/>
      <c r="H45" s="88"/>
      <c r="I45" s="87"/>
      <c r="J45" s="88"/>
      <c r="K45" s="88"/>
      <c r="L45" s="88"/>
      <c r="M45" s="88"/>
      <c r="N45" s="88"/>
      <c r="O45" s="88"/>
      <c r="P45" s="122"/>
      <c r="Q45" s="122"/>
      <c r="R45" s="122"/>
      <c r="S45" s="122"/>
      <c r="T45" s="122"/>
      <c r="U45" s="87"/>
      <c r="V45" s="89"/>
      <c r="W45" s="89"/>
      <c r="X45" s="89"/>
      <c r="Y45" s="89"/>
      <c r="Z45" s="89"/>
      <c r="AA45" s="89"/>
      <c r="AB45" s="89"/>
      <c r="AC45" s="89"/>
      <c r="AD45" s="96"/>
      <c r="AE45" s="89"/>
    </row>
    <row r="46" spans="1:31" s="97" customFormat="1" ht="24.95" customHeight="1" x14ac:dyDescent="0.2">
      <c r="A46" s="89"/>
      <c r="B46" s="89"/>
      <c r="C46" s="87"/>
      <c r="D46" s="88"/>
      <c r="E46" s="88"/>
      <c r="F46" s="88"/>
      <c r="G46" s="88"/>
      <c r="H46" s="88"/>
      <c r="I46" s="87"/>
      <c r="J46" s="88"/>
      <c r="K46" s="88"/>
      <c r="L46" s="88"/>
      <c r="M46" s="88"/>
      <c r="N46" s="88"/>
      <c r="O46" s="88"/>
      <c r="P46" s="122"/>
      <c r="Q46" s="122"/>
      <c r="R46" s="122"/>
      <c r="S46" s="122"/>
      <c r="T46" s="122"/>
      <c r="U46" s="87"/>
      <c r="V46" s="89"/>
      <c r="W46" s="89"/>
      <c r="X46" s="89"/>
      <c r="Y46" s="89"/>
      <c r="Z46" s="89"/>
      <c r="AA46" s="89"/>
      <c r="AB46" s="89"/>
      <c r="AC46" s="89"/>
      <c r="AD46" s="96"/>
      <c r="AE46" s="89"/>
    </row>
    <row r="47" spans="1:31" s="97" customFormat="1" ht="24.95" customHeight="1" x14ac:dyDescent="0.2">
      <c r="A47" s="89"/>
      <c r="B47" s="89"/>
      <c r="C47" s="87"/>
      <c r="D47" s="88"/>
      <c r="E47" s="88"/>
      <c r="F47" s="88"/>
      <c r="G47" s="88"/>
      <c r="H47" s="88"/>
      <c r="I47" s="87"/>
      <c r="J47" s="88"/>
      <c r="K47" s="88"/>
      <c r="L47" s="88"/>
      <c r="M47" s="88"/>
      <c r="N47" s="88"/>
      <c r="O47" s="88"/>
      <c r="P47" s="122"/>
      <c r="Q47" s="122"/>
      <c r="R47" s="122"/>
      <c r="S47" s="122"/>
      <c r="T47" s="122"/>
      <c r="U47" s="87"/>
      <c r="V47" s="89"/>
      <c r="W47" s="89"/>
      <c r="X47" s="89"/>
      <c r="Y47" s="89"/>
      <c r="Z47" s="89"/>
      <c r="AA47" s="89"/>
      <c r="AB47" s="89"/>
      <c r="AC47" s="89"/>
      <c r="AD47" s="96"/>
      <c r="AE47" s="89"/>
    </row>
    <row r="48" spans="1:31" s="97" customFormat="1" ht="24.95" customHeight="1" x14ac:dyDescent="0.2">
      <c r="A48" s="89"/>
      <c r="B48" s="89"/>
      <c r="C48" s="87"/>
      <c r="D48" s="88"/>
      <c r="E48" s="88"/>
      <c r="F48" s="88"/>
      <c r="G48" s="88"/>
      <c r="H48" s="88"/>
      <c r="I48" s="87"/>
      <c r="J48" s="88"/>
      <c r="K48" s="88"/>
      <c r="L48" s="88"/>
      <c r="M48" s="88"/>
      <c r="N48" s="88"/>
      <c r="O48" s="88"/>
      <c r="P48" s="122"/>
      <c r="Q48" s="122"/>
      <c r="R48" s="122"/>
      <c r="S48" s="122"/>
      <c r="T48" s="122"/>
      <c r="U48" s="87"/>
      <c r="V48" s="89"/>
      <c r="W48" s="89"/>
      <c r="X48" s="89"/>
      <c r="Y48" s="89"/>
      <c r="Z48" s="89"/>
      <c r="AA48" s="89"/>
      <c r="AB48" s="89"/>
      <c r="AC48" s="89"/>
      <c r="AD48" s="96"/>
      <c r="AE48" s="89"/>
    </row>
    <row r="49" spans="1:31" s="97" customFormat="1" ht="24.95" customHeight="1" x14ac:dyDescent="0.2">
      <c r="A49" s="89"/>
      <c r="B49" s="89"/>
      <c r="C49" s="87"/>
      <c r="D49" s="88"/>
      <c r="E49" s="88"/>
      <c r="F49" s="88"/>
      <c r="G49" s="88"/>
      <c r="H49" s="88"/>
      <c r="I49" s="87"/>
      <c r="J49" s="88"/>
      <c r="K49" s="88"/>
      <c r="L49" s="88"/>
      <c r="M49" s="88"/>
      <c r="N49" s="88"/>
      <c r="O49" s="88"/>
      <c r="P49" s="122"/>
      <c r="Q49" s="122"/>
      <c r="R49" s="122"/>
      <c r="S49" s="122"/>
      <c r="T49" s="122"/>
      <c r="U49" s="87"/>
      <c r="V49" s="89"/>
      <c r="W49" s="89"/>
      <c r="X49" s="89"/>
      <c r="Y49" s="89"/>
      <c r="Z49" s="89"/>
      <c r="AA49" s="89"/>
      <c r="AB49" s="89"/>
      <c r="AC49" s="89"/>
      <c r="AD49" s="96"/>
      <c r="AE49" s="89"/>
    </row>
    <row r="50" spans="1:31" s="97" customFormat="1" ht="24.95" customHeight="1" x14ac:dyDescent="0.2">
      <c r="A50" s="89"/>
      <c r="B50" s="89"/>
      <c r="C50" s="87"/>
      <c r="D50" s="88"/>
      <c r="E50" s="88"/>
      <c r="F50" s="88"/>
      <c r="G50" s="88"/>
      <c r="H50" s="88"/>
      <c r="I50" s="87"/>
      <c r="J50" s="88"/>
      <c r="K50" s="88"/>
      <c r="L50" s="88"/>
      <c r="M50" s="88"/>
      <c r="N50" s="88"/>
      <c r="O50" s="88"/>
      <c r="P50" s="122"/>
      <c r="Q50" s="122"/>
      <c r="R50" s="122"/>
      <c r="S50" s="122"/>
      <c r="T50" s="122"/>
      <c r="U50" s="87"/>
      <c r="V50" s="89"/>
      <c r="W50" s="89"/>
      <c r="X50" s="89"/>
      <c r="Y50" s="89"/>
      <c r="Z50" s="89"/>
      <c r="AA50" s="89"/>
      <c r="AB50" s="89"/>
      <c r="AC50" s="89"/>
      <c r="AD50" s="96"/>
      <c r="AE50" s="89"/>
    </row>
    <row r="51" spans="1:31" s="97" customFormat="1" ht="24.95" customHeight="1" x14ac:dyDescent="0.2">
      <c r="A51" s="89"/>
      <c r="B51" s="89"/>
      <c r="C51" s="87"/>
      <c r="D51" s="88"/>
      <c r="E51" s="88"/>
      <c r="F51" s="88"/>
      <c r="G51" s="88"/>
      <c r="H51" s="88"/>
      <c r="I51" s="87"/>
      <c r="J51" s="88"/>
      <c r="K51" s="88"/>
      <c r="L51" s="88"/>
      <c r="M51" s="88"/>
      <c r="N51" s="88"/>
      <c r="O51" s="88"/>
      <c r="P51" s="122"/>
      <c r="Q51" s="122"/>
      <c r="R51" s="122"/>
      <c r="S51" s="122"/>
      <c r="T51" s="122"/>
      <c r="U51" s="87"/>
      <c r="V51" s="89"/>
      <c r="W51" s="89"/>
      <c r="X51" s="89"/>
      <c r="Y51" s="89"/>
      <c r="Z51" s="89"/>
      <c r="AA51" s="89"/>
      <c r="AB51" s="89"/>
      <c r="AC51" s="89"/>
      <c r="AD51" s="96"/>
      <c r="AE51" s="89"/>
    </row>
    <row r="52" spans="1:31" s="97" customFormat="1" ht="24.95" customHeight="1" x14ac:dyDescent="0.2">
      <c r="A52" s="89"/>
      <c r="B52" s="89"/>
      <c r="C52" s="87"/>
      <c r="D52" s="88"/>
      <c r="E52" s="88"/>
      <c r="F52" s="88"/>
      <c r="G52" s="88"/>
      <c r="H52" s="88"/>
      <c r="I52" s="87"/>
      <c r="J52" s="88"/>
      <c r="K52" s="88"/>
      <c r="L52" s="88"/>
      <c r="M52" s="88"/>
      <c r="N52" s="88"/>
      <c r="O52" s="88"/>
      <c r="P52" s="122"/>
      <c r="Q52" s="122"/>
      <c r="R52" s="122"/>
      <c r="S52" s="122"/>
      <c r="T52" s="122"/>
      <c r="U52" s="87"/>
      <c r="V52" s="89"/>
      <c r="W52" s="89"/>
      <c r="X52" s="89"/>
      <c r="Y52" s="89"/>
      <c r="Z52" s="89"/>
      <c r="AA52" s="89"/>
      <c r="AB52" s="89"/>
      <c r="AC52" s="89"/>
      <c r="AD52" s="96"/>
      <c r="AE52" s="89"/>
    </row>
    <row r="53" spans="1:31" s="97" customFormat="1" ht="24.95" customHeight="1" x14ac:dyDescent="0.2">
      <c r="A53" s="89"/>
      <c r="B53" s="89"/>
      <c r="C53" s="87"/>
      <c r="D53" s="88"/>
      <c r="E53" s="88"/>
      <c r="F53" s="88"/>
      <c r="G53" s="88"/>
      <c r="H53" s="88"/>
      <c r="I53" s="87"/>
      <c r="J53" s="88"/>
      <c r="K53" s="88"/>
      <c r="L53" s="88"/>
      <c r="M53" s="88"/>
      <c r="N53" s="88"/>
      <c r="O53" s="88"/>
      <c r="P53" s="122"/>
      <c r="Q53" s="122"/>
      <c r="R53" s="122"/>
      <c r="S53" s="122"/>
      <c r="T53" s="122"/>
      <c r="U53" s="87"/>
      <c r="V53" s="89"/>
      <c r="W53" s="89"/>
      <c r="X53" s="89"/>
      <c r="Y53" s="89"/>
      <c r="Z53" s="89"/>
      <c r="AA53" s="89"/>
      <c r="AB53" s="89"/>
      <c r="AC53" s="89"/>
      <c r="AD53" s="96"/>
      <c r="AE53" s="89"/>
    </row>
    <row r="54" spans="1:31" s="97" customFormat="1" ht="24.95" customHeight="1" x14ac:dyDescent="0.2">
      <c r="A54" s="89"/>
      <c r="B54" s="89"/>
      <c r="C54" s="87"/>
      <c r="D54" s="88"/>
      <c r="E54" s="88"/>
      <c r="F54" s="88"/>
      <c r="G54" s="88"/>
      <c r="H54" s="88"/>
      <c r="I54" s="87"/>
      <c r="J54" s="88"/>
      <c r="K54" s="88"/>
      <c r="L54" s="88"/>
      <c r="M54" s="88"/>
      <c r="N54" s="88"/>
      <c r="O54" s="88"/>
      <c r="P54" s="122"/>
      <c r="Q54" s="122"/>
      <c r="R54" s="122"/>
      <c r="S54" s="122"/>
      <c r="T54" s="122"/>
      <c r="U54" s="87"/>
      <c r="V54" s="89"/>
      <c r="W54" s="89"/>
      <c r="X54" s="89"/>
      <c r="Y54" s="89"/>
      <c r="Z54" s="89"/>
      <c r="AA54" s="89"/>
      <c r="AB54" s="89"/>
      <c r="AC54" s="89"/>
      <c r="AD54" s="96"/>
      <c r="AE54" s="89"/>
    </row>
    <row r="55" spans="1:31" s="97" customFormat="1" ht="24.95" customHeight="1" x14ac:dyDescent="0.2">
      <c r="A55" s="89"/>
      <c r="B55" s="89"/>
      <c r="C55" s="87"/>
      <c r="D55" s="88"/>
      <c r="E55" s="88"/>
      <c r="F55" s="88"/>
      <c r="G55" s="88"/>
      <c r="H55" s="88"/>
      <c r="I55" s="87"/>
      <c r="J55" s="88"/>
      <c r="K55" s="88"/>
      <c r="L55" s="88"/>
      <c r="M55" s="88"/>
      <c r="N55" s="88"/>
      <c r="O55" s="88"/>
      <c r="P55" s="122"/>
      <c r="Q55" s="122"/>
      <c r="R55" s="122"/>
      <c r="S55" s="122"/>
      <c r="T55" s="122"/>
      <c r="U55" s="87"/>
      <c r="V55" s="89"/>
      <c r="W55" s="89"/>
      <c r="X55" s="89"/>
      <c r="Y55" s="89"/>
      <c r="Z55" s="89"/>
      <c r="AA55" s="89"/>
      <c r="AB55" s="89"/>
      <c r="AC55" s="89"/>
      <c r="AD55" s="96"/>
      <c r="AE55" s="89"/>
    </row>
    <row r="56" spans="1:31" s="97" customFormat="1" ht="24.95" customHeight="1" x14ac:dyDescent="0.2">
      <c r="A56" s="89"/>
      <c r="B56" s="89"/>
      <c r="C56" s="87"/>
      <c r="D56" s="88"/>
      <c r="E56" s="88"/>
      <c r="F56" s="88"/>
      <c r="G56" s="88"/>
      <c r="H56" s="88"/>
      <c r="I56" s="87"/>
      <c r="J56" s="88"/>
      <c r="K56" s="88"/>
      <c r="L56" s="88"/>
      <c r="M56" s="88"/>
      <c r="N56" s="88"/>
      <c r="O56" s="88"/>
      <c r="P56" s="122"/>
      <c r="Q56" s="122"/>
      <c r="R56" s="122"/>
      <c r="S56" s="122"/>
      <c r="T56" s="122"/>
      <c r="U56" s="87"/>
      <c r="V56" s="89"/>
      <c r="W56" s="89"/>
      <c r="X56" s="89"/>
      <c r="Y56" s="89"/>
      <c r="Z56" s="89"/>
      <c r="AA56" s="89"/>
      <c r="AB56" s="89"/>
      <c r="AC56" s="89"/>
      <c r="AD56" s="96"/>
      <c r="AE56" s="89"/>
    </row>
    <row r="57" spans="1:31" s="97" customFormat="1" ht="24.95" customHeight="1" x14ac:dyDescent="0.2">
      <c r="A57" s="89"/>
      <c r="B57" s="89"/>
      <c r="C57" s="87"/>
      <c r="D57" s="88"/>
      <c r="E57" s="88"/>
      <c r="F57" s="88"/>
      <c r="G57" s="88"/>
      <c r="H57" s="88"/>
      <c r="I57" s="87"/>
      <c r="J57" s="88"/>
      <c r="K57" s="88"/>
      <c r="L57" s="88"/>
      <c r="M57" s="88"/>
      <c r="N57" s="88"/>
      <c r="O57" s="88"/>
      <c r="P57" s="122"/>
      <c r="Q57" s="122"/>
      <c r="R57" s="122"/>
      <c r="S57" s="122"/>
      <c r="T57" s="122"/>
      <c r="U57" s="87"/>
      <c r="V57" s="89"/>
      <c r="W57" s="89"/>
      <c r="X57" s="89"/>
      <c r="Y57" s="89"/>
      <c r="Z57" s="89"/>
      <c r="AA57" s="89"/>
      <c r="AB57" s="89"/>
      <c r="AC57" s="89"/>
      <c r="AD57" s="96"/>
      <c r="AE57" s="89"/>
    </row>
    <row r="58" spans="1:31" s="97" customFormat="1" ht="24.95" customHeight="1" x14ac:dyDescent="0.2">
      <c r="A58" s="89"/>
      <c r="B58" s="89"/>
      <c r="C58" s="87"/>
      <c r="D58" s="88"/>
      <c r="E58" s="88"/>
      <c r="F58" s="88"/>
      <c r="G58" s="88"/>
      <c r="H58" s="88"/>
      <c r="I58" s="87"/>
      <c r="J58" s="88"/>
      <c r="K58" s="88"/>
      <c r="L58" s="88"/>
      <c r="M58" s="88"/>
      <c r="N58" s="88"/>
      <c r="O58" s="88"/>
      <c r="P58" s="122"/>
      <c r="Q58" s="122"/>
      <c r="R58" s="122"/>
      <c r="S58" s="122"/>
      <c r="T58" s="122"/>
      <c r="U58" s="87"/>
      <c r="V58" s="89"/>
      <c r="W58" s="89"/>
      <c r="X58" s="89"/>
      <c r="Y58" s="89"/>
      <c r="Z58" s="89"/>
      <c r="AA58" s="89"/>
      <c r="AB58" s="89"/>
      <c r="AC58" s="89"/>
      <c r="AD58" s="96"/>
      <c r="AE58" s="89"/>
    </row>
    <row r="59" spans="1:31" s="97" customFormat="1" ht="24.95" customHeight="1" x14ac:dyDescent="0.2">
      <c r="A59" s="89"/>
      <c r="B59" s="89"/>
      <c r="C59" s="87"/>
      <c r="D59" s="88"/>
      <c r="E59" s="88"/>
      <c r="F59" s="88"/>
      <c r="G59" s="88"/>
      <c r="H59" s="88"/>
      <c r="I59" s="87"/>
      <c r="J59" s="88"/>
      <c r="K59" s="88"/>
      <c r="L59" s="88"/>
      <c r="M59" s="88"/>
      <c r="N59" s="88"/>
      <c r="O59" s="88"/>
      <c r="P59" s="122"/>
      <c r="Q59" s="122"/>
      <c r="R59" s="122"/>
      <c r="S59" s="122"/>
      <c r="T59" s="122"/>
      <c r="U59" s="87"/>
      <c r="V59" s="89"/>
      <c r="W59" s="89"/>
      <c r="X59" s="89"/>
      <c r="Y59" s="89"/>
      <c r="Z59" s="89"/>
      <c r="AA59" s="89"/>
      <c r="AB59" s="89"/>
      <c r="AC59" s="89"/>
      <c r="AD59" s="96"/>
      <c r="AE59" s="89"/>
    </row>
    <row r="60" spans="1:31" s="97" customFormat="1" ht="24.95" customHeight="1" x14ac:dyDescent="0.2">
      <c r="A60" s="89"/>
      <c r="B60" s="89"/>
      <c r="C60" s="87"/>
      <c r="D60" s="88"/>
      <c r="E60" s="88"/>
      <c r="F60" s="88"/>
      <c r="G60" s="88"/>
      <c r="H60" s="88"/>
      <c r="I60" s="87"/>
      <c r="J60" s="88"/>
      <c r="K60" s="88"/>
      <c r="L60" s="88"/>
      <c r="M60" s="88"/>
      <c r="N60" s="88"/>
      <c r="O60" s="88"/>
      <c r="P60" s="122"/>
      <c r="Q60" s="122"/>
      <c r="R60" s="122"/>
      <c r="S60" s="122"/>
      <c r="T60" s="122"/>
      <c r="U60" s="87"/>
      <c r="V60" s="89"/>
      <c r="W60" s="89"/>
      <c r="X60" s="89"/>
      <c r="Y60" s="89"/>
      <c r="Z60" s="89"/>
      <c r="AA60" s="89"/>
      <c r="AB60" s="89"/>
      <c r="AC60" s="89"/>
      <c r="AD60" s="96"/>
      <c r="AE60" s="89"/>
    </row>
    <row r="61" spans="1:31" s="97" customFormat="1" ht="24.95" customHeight="1" x14ac:dyDescent="0.2">
      <c r="A61" s="89"/>
      <c r="B61" s="89"/>
      <c r="C61" s="87"/>
      <c r="D61" s="88"/>
      <c r="E61" s="88"/>
      <c r="F61" s="88"/>
      <c r="G61" s="88"/>
      <c r="H61" s="88"/>
      <c r="I61" s="87"/>
      <c r="J61" s="88"/>
      <c r="K61" s="88"/>
      <c r="L61" s="88"/>
      <c r="M61" s="88"/>
      <c r="N61" s="88"/>
      <c r="O61" s="88"/>
      <c r="P61" s="122"/>
      <c r="Q61" s="122"/>
      <c r="R61" s="122"/>
      <c r="S61" s="122"/>
      <c r="T61" s="122"/>
      <c r="U61" s="87"/>
      <c r="V61" s="89"/>
      <c r="W61" s="89"/>
      <c r="X61" s="89"/>
      <c r="Y61" s="89"/>
      <c r="Z61" s="89"/>
      <c r="AA61" s="89"/>
      <c r="AB61" s="89"/>
      <c r="AC61" s="89"/>
      <c r="AD61" s="96"/>
      <c r="AE61" s="89"/>
    </row>
    <row r="62" spans="1:31" s="97" customFormat="1" ht="24.95" customHeight="1" x14ac:dyDescent="0.2">
      <c r="A62" s="89"/>
      <c r="B62" s="89"/>
      <c r="C62" s="87"/>
      <c r="D62" s="88"/>
      <c r="E62" s="88"/>
      <c r="F62" s="88"/>
      <c r="G62" s="88"/>
      <c r="H62" s="88"/>
      <c r="I62" s="87"/>
      <c r="J62" s="88"/>
      <c r="K62" s="88"/>
      <c r="L62" s="88"/>
      <c r="M62" s="88"/>
      <c r="N62" s="88"/>
      <c r="O62" s="88"/>
      <c r="P62" s="122"/>
      <c r="Q62" s="122"/>
      <c r="R62" s="122"/>
      <c r="S62" s="122"/>
      <c r="T62" s="122"/>
      <c r="U62" s="87"/>
      <c r="V62" s="89"/>
      <c r="W62" s="89"/>
      <c r="X62" s="89"/>
      <c r="Y62" s="89"/>
      <c r="Z62" s="89"/>
      <c r="AA62" s="89"/>
      <c r="AB62" s="89"/>
      <c r="AC62" s="89"/>
      <c r="AD62" s="96"/>
      <c r="AE62" s="89"/>
    </row>
    <row r="63" spans="1:31" s="97" customFormat="1" ht="24.95" customHeight="1" x14ac:dyDescent="0.2">
      <c r="A63" s="89"/>
      <c r="B63" s="89"/>
      <c r="C63" s="87"/>
      <c r="D63" s="88"/>
      <c r="E63" s="88"/>
      <c r="F63" s="88"/>
      <c r="G63" s="88"/>
      <c r="H63" s="88"/>
      <c r="I63" s="87"/>
      <c r="J63" s="88"/>
      <c r="K63" s="88"/>
      <c r="L63" s="88"/>
      <c r="M63" s="88"/>
      <c r="N63" s="88"/>
      <c r="O63" s="88"/>
      <c r="P63" s="122"/>
      <c r="Q63" s="122"/>
      <c r="R63" s="122"/>
      <c r="S63" s="122"/>
      <c r="T63" s="122"/>
      <c r="U63" s="87"/>
      <c r="V63" s="89"/>
      <c r="W63" s="89"/>
      <c r="X63" s="89"/>
      <c r="Y63" s="89"/>
      <c r="Z63" s="89"/>
      <c r="AA63" s="89"/>
      <c r="AB63" s="89"/>
      <c r="AC63" s="89"/>
      <c r="AD63" s="96"/>
      <c r="AE63" s="89"/>
    </row>
    <row r="64" spans="1:31" s="97" customFormat="1" ht="24.95" customHeight="1" x14ac:dyDescent="0.2">
      <c r="A64" s="89"/>
      <c r="B64" s="89"/>
      <c r="C64" s="87"/>
      <c r="D64" s="88"/>
      <c r="E64" s="88"/>
      <c r="F64" s="88"/>
      <c r="G64" s="88"/>
      <c r="H64" s="88"/>
      <c r="I64" s="87"/>
      <c r="J64" s="88"/>
      <c r="K64" s="88"/>
      <c r="L64" s="88"/>
      <c r="M64" s="88"/>
      <c r="N64" s="88"/>
      <c r="O64" s="88"/>
      <c r="P64" s="122"/>
      <c r="Q64" s="122"/>
      <c r="R64" s="122"/>
      <c r="S64" s="122"/>
      <c r="T64" s="122"/>
      <c r="U64" s="87"/>
      <c r="V64" s="89"/>
      <c r="W64" s="89"/>
      <c r="X64" s="89"/>
      <c r="Y64" s="89"/>
      <c r="Z64" s="89"/>
      <c r="AA64" s="89"/>
      <c r="AB64" s="89"/>
      <c r="AC64" s="89"/>
      <c r="AD64" s="96"/>
      <c r="AE64" s="89"/>
    </row>
    <row r="65" spans="1:31" s="97" customFormat="1" ht="24.95" customHeight="1" x14ac:dyDescent="0.2">
      <c r="A65" s="89"/>
      <c r="B65" s="89"/>
      <c r="C65" s="87"/>
      <c r="D65" s="88"/>
      <c r="E65" s="88"/>
      <c r="F65" s="88"/>
      <c r="G65" s="88"/>
      <c r="H65" s="88"/>
      <c r="I65" s="87"/>
      <c r="J65" s="88"/>
      <c r="K65" s="88"/>
      <c r="L65" s="88"/>
      <c r="M65" s="88"/>
      <c r="N65" s="88"/>
      <c r="O65" s="88"/>
      <c r="P65" s="122"/>
      <c r="Q65" s="122"/>
      <c r="R65" s="122"/>
      <c r="S65" s="122"/>
      <c r="T65" s="122"/>
      <c r="U65" s="87"/>
      <c r="V65" s="89"/>
      <c r="W65" s="89"/>
      <c r="X65" s="89"/>
      <c r="Y65" s="89"/>
      <c r="Z65" s="89"/>
      <c r="AA65" s="89"/>
      <c r="AB65" s="89"/>
      <c r="AC65" s="89"/>
      <c r="AD65" s="96"/>
      <c r="AE65" s="89"/>
    </row>
    <row r="66" spans="1:31" s="97" customFormat="1" ht="24.95" customHeight="1" x14ac:dyDescent="0.2">
      <c r="A66" s="89"/>
      <c r="B66" s="89"/>
      <c r="C66" s="87"/>
      <c r="D66" s="88"/>
      <c r="E66" s="88"/>
      <c r="F66" s="88"/>
      <c r="G66" s="88"/>
      <c r="H66" s="88"/>
      <c r="I66" s="87"/>
      <c r="J66" s="88"/>
      <c r="K66" s="88"/>
      <c r="L66" s="88"/>
      <c r="M66" s="88"/>
      <c r="N66" s="88"/>
      <c r="O66" s="88"/>
      <c r="P66" s="122"/>
      <c r="Q66" s="122"/>
      <c r="R66" s="122"/>
      <c r="S66" s="122"/>
      <c r="T66" s="122"/>
      <c r="U66" s="87"/>
      <c r="V66" s="89"/>
      <c r="W66" s="89"/>
      <c r="X66" s="89"/>
      <c r="Y66" s="89"/>
      <c r="Z66" s="89"/>
      <c r="AA66" s="89"/>
      <c r="AB66" s="89"/>
      <c r="AC66" s="89"/>
      <c r="AD66" s="96"/>
      <c r="AE66" s="89"/>
    </row>
    <row r="67" spans="1:31" s="97" customFormat="1" ht="24.95" customHeight="1" x14ac:dyDescent="0.2">
      <c r="A67" s="89"/>
      <c r="B67" s="89"/>
      <c r="C67" s="87"/>
      <c r="D67" s="88"/>
      <c r="E67" s="88"/>
      <c r="F67" s="88"/>
      <c r="G67" s="88"/>
      <c r="H67" s="88"/>
      <c r="I67" s="87"/>
      <c r="J67" s="88"/>
      <c r="K67" s="88"/>
      <c r="L67" s="88"/>
      <c r="M67" s="88"/>
      <c r="N67" s="88"/>
      <c r="O67" s="88"/>
      <c r="P67" s="122"/>
      <c r="Q67" s="122"/>
      <c r="R67" s="122"/>
      <c r="S67" s="122"/>
      <c r="T67" s="122"/>
      <c r="U67" s="87"/>
      <c r="V67" s="89"/>
      <c r="W67" s="89"/>
      <c r="X67" s="89"/>
      <c r="Y67" s="89"/>
      <c r="Z67" s="89"/>
      <c r="AA67" s="89"/>
      <c r="AB67" s="89"/>
      <c r="AC67" s="89"/>
      <c r="AD67" s="96"/>
      <c r="AE67" s="89"/>
    </row>
    <row r="68" spans="1:31" s="97" customFormat="1" ht="24.95" customHeight="1" x14ac:dyDescent="0.2">
      <c r="A68" s="89"/>
      <c r="B68" s="89"/>
      <c r="C68" s="87"/>
      <c r="D68" s="88"/>
      <c r="E68" s="88"/>
      <c r="F68" s="88"/>
      <c r="G68" s="88"/>
      <c r="H68" s="88"/>
      <c r="I68" s="87"/>
      <c r="J68" s="88"/>
      <c r="K68" s="88"/>
      <c r="L68" s="88"/>
      <c r="M68" s="88"/>
      <c r="N68" s="88"/>
      <c r="O68" s="88"/>
      <c r="P68" s="122"/>
      <c r="Q68" s="122"/>
      <c r="R68" s="122"/>
      <c r="S68" s="122"/>
      <c r="T68" s="122"/>
      <c r="U68" s="87"/>
      <c r="V68" s="89"/>
      <c r="W68" s="89"/>
      <c r="X68" s="89"/>
      <c r="Y68" s="89"/>
      <c r="Z68" s="89"/>
      <c r="AA68" s="89"/>
      <c r="AB68" s="89"/>
      <c r="AC68" s="89"/>
      <c r="AD68" s="96"/>
      <c r="AE68" s="89"/>
    </row>
    <row r="69" spans="1:31" s="97" customFormat="1" ht="24.95" customHeight="1" x14ac:dyDescent="0.2">
      <c r="A69" s="89"/>
      <c r="B69" s="89"/>
      <c r="C69" s="87"/>
      <c r="D69" s="88"/>
      <c r="E69" s="88"/>
      <c r="F69" s="88"/>
      <c r="G69" s="88"/>
      <c r="H69" s="88"/>
      <c r="I69" s="87"/>
      <c r="J69" s="88"/>
      <c r="K69" s="88"/>
      <c r="L69" s="88"/>
      <c r="M69" s="88"/>
      <c r="N69" s="88"/>
      <c r="O69" s="88"/>
      <c r="P69" s="122"/>
      <c r="Q69" s="122"/>
      <c r="R69" s="122"/>
      <c r="S69" s="122"/>
      <c r="T69" s="122"/>
      <c r="U69" s="87"/>
      <c r="V69" s="89"/>
      <c r="W69" s="89"/>
      <c r="X69" s="89"/>
      <c r="Y69" s="89"/>
      <c r="Z69" s="89"/>
      <c r="AA69" s="89"/>
      <c r="AB69" s="89"/>
      <c r="AC69" s="89"/>
      <c r="AD69" s="96"/>
      <c r="AE69" s="89"/>
    </row>
    <row r="70" spans="1:31" s="97" customFormat="1" ht="24.95" customHeight="1" x14ac:dyDescent="0.2">
      <c r="A70" s="89"/>
      <c r="B70" s="89"/>
      <c r="C70" s="87"/>
      <c r="D70" s="88"/>
      <c r="E70" s="88"/>
      <c r="F70" s="88"/>
      <c r="G70" s="88"/>
      <c r="H70" s="88"/>
      <c r="I70" s="87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7"/>
      <c r="V70" s="89"/>
      <c r="W70" s="89"/>
      <c r="X70" s="89"/>
      <c r="Y70" s="89"/>
      <c r="Z70" s="89"/>
      <c r="AA70" s="89"/>
      <c r="AB70" s="89"/>
      <c r="AC70" s="89"/>
      <c r="AD70" s="96"/>
      <c r="AE70" s="89"/>
    </row>
    <row r="71" spans="1:31" s="97" customFormat="1" ht="24.95" customHeight="1" x14ac:dyDescent="0.2">
      <c r="A71" s="89"/>
      <c r="B71" s="89"/>
      <c r="C71" s="87"/>
      <c r="D71" s="88"/>
      <c r="E71" s="88"/>
      <c r="F71" s="88"/>
      <c r="G71" s="88"/>
      <c r="H71" s="88"/>
      <c r="I71" s="87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7"/>
      <c r="V71" s="89"/>
      <c r="W71" s="89"/>
      <c r="X71" s="89"/>
      <c r="Y71" s="89"/>
      <c r="Z71" s="89"/>
      <c r="AA71" s="89"/>
      <c r="AB71" s="89"/>
      <c r="AC71" s="89"/>
      <c r="AD71" s="96"/>
      <c r="AE71" s="89"/>
    </row>
    <row r="72" spans="1:31" s="97" customFormat="1" ht="24.95" customHeight="1" x14ac:dyDescent="0.2">
      <c r="A72" s="89"/>
      <c r="B72" s="89"/>
      <c r="C72" s="87"/>
      <c r="D72" s="88"/>
      <c r="E72" s="88"/>
      <c r="F72" s="88"/>
      <c r="G72" s="88"/>
      <c r="H72" s="88"/>
      <c r="I72" s="87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7"/>
      <c r="V72" s="89"/>
      <c r="W72" s="89"/>
      <c r="X72" s="89"/>
      <c r="Y72" s="89"/>
      <c r="Z72" s="89"/>
      <c r="AA72" s="89"/>
      <c r="AB72" s="89"/>
      <c r="AC72" s="89"/>
      <c r="AD72" s="96"/>
      <c r="AE72" s="89"/>
    </row>
    <row r="73" spans="1:31" s="97" customFormat="1" ht="24.95" customHeight="1" x14ac:dyDescent="0.2">
      <c r="A73" s="89"/>
      <c r="B73" s="89"/>
      <c r="C73" s="87"/>
      <c r="D73" s="88"/>
      <c r="E73" s="88"/>
      <c r="F73" s="88"/>
      <c r="G73" s="88"/>
      <c r="H73" s="88"/>
      <c r="I73" s="87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7"/>
      <c r="V73" s="89"/>
      <c r="W73" s="89"/>
      <c r="X73" s="89"/>
      <c r="Y73" s="89"/>
      <c r="Z73" s="89"/>
      <c r="AA73" s="89"/>
      <c r="AB73" s="89"/>
      <c r="AC73" s="89"/>
      <c r="AD73" s="96"/>
      <c r="AE73" s="89"/>
    </row>
    <row r="74" spans="1:31" s="97" customFormat="1" ht="24.95" customHeight="1" x14ac:dyDescent="0.2">
      <c r="A74" s="89"/>
      <c r="B74" s="89"/>
      <c r="C74" s="87"/>
      <c r="D74" s="88"/>
      <c r="E74" s="88"/>
      <c r="F74" s="88"/>
      <c r="G74" s="88"/>
      <c r="H74" s="88"/>
      <c r="I74" s="87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7"/>
      <c r="V74" s="89"/>
      <c r="W74" s="89"/>
      <c r="X74" s="89"/>
      <c r="Y74" s="89"/>
      <c r="Z74" s="89"/>
      <c r="AA74" s="89"/>
      <c r="AB74" s="89"/>
      <c r="AC74" s="89"/>
      <c r="AD74" s="96"/>
      <c r="AE74" s="89"/>
    </row>
    <row r="75" spans="1:31" s="97" customFormat="1" ht="24.95" customHeight="1" x14ac:dyDescent="0.2">
      <c r="A75" s="89"/>
      <c r="B75" s="89"/>
      <c r="C75" s="87"/>
      <c r="D75" s="88"/>
      <c r="E75" s="88"/>
      <c r="F75" s="88"/>
      <c r="G75" s="88"/>
      <c r="H75" s="88"/>
      <c r="I75" s="87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7"/>
      <c r="V75" s="89"/>
      <c r="W75" s="89"/>
      <c r="X75" s="89"/>
      <c r="Y75" s="89"/>
      <c r="Z75" s="89"/>
      <c r="AA75" s="89"/>
      <c r="AB75" s="89"/>
      <c r="AC75" s="89"/>
      <c r="AD75" s="96"/>
      <c r="AE75" s="89"/>
    </row>
    <row r="76" spans="1:31" s="97" customFormat="1" ht="24.95" customHeight="1" x14ac:dyDescent="0.2">
      <c r="A76" s="89"/>
      <c r="B76" s="89"/>
      <c r="C76" s="87"/>
      <c r="D76" s="88"/>
      <c r="E76" s="88"/>
      <c r="F76" s="88"/>
      <c r="G76" s="88"/>
      <c r="H76" s="88"/>
      <c r="I76" s="87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7"/>
      <c r="V76" s="89"/>
      <c r="W76" s="89"/>
      <c r="X76" s="89"/>
      <c r="Y76" s="89"/>
      <c r="Z76" s="89"/>
      <c r="AA76" s="89"/>
      <c r="AB76" s="89"/>
      <c r="AC76" s="89"/>
      <c r="AD76" s="96"/>
      <c r="AE76" s="89"/>
    </row>
    <row r="77" spans="1:31" s="97" customFormat="1" ht="24.95" customHeight="1" x14ac:dyDescent="0.2">
      <c r="A77" s="89"/>
      <c r="B77" s="89"/>
      <c r="C77" s="87"/>
      <c r="D77" s="88"/>
      <c r="E77" s="88"/>
      <c r="F77" s="88"/>
      <c r="G77" s="88"/>
      <c r="H77" s="88"/>
      <c r="I77" s="87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7"/>
      <c r="V77" s="89"/>
      <c r="W77" s="89"/>
      <c r="X77" s="89"/>
      <c r="Y77" s="89"/>
      <c r="Z77" s="89"/>
      <c r="AA77" s="89"/>
      <c r="AB77" s="89"/>
      <c r="AC77" s="89"/>
      <c r="AD77" s="96"/>
      <c r="AE77" s="89"/>
    </row>
    <row r="78" spans="1:31" s="97" customFormat="1" ht="24.95" customHeight="1" x14ac:dyDescent="0.2">
      <c r="A78" s="89"/>
      <c r="B78" s="89"/>
      <c r="C78" s="87"/>
      <c r="D78" s="88"/>
      <c r="E78" s="88"/>
      <c r="F78" s="88"/>
      <c r="G78" s="88"/>
      <c r="H78" s="88"/>
      <c r="I78" s="87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7"/>
      <c r="V78" s="89"/>
      <c r="W78" s="89"/>
      <c r="X78" s="89"/>
      <c r="Y78" s="89"/>
      <c r="Z78" s="89"/>
      <c r="AA78" s="89"/>
      <c r="AB78" s="89"/>
      <c r="AC78" s="89"/>
      <c r="AD78" s="96"/>
      <c r="AE78" s="89"/>
    </row>
    <row r="79" spans="1:31" s="97" customFormat="1" ht="24.95" customHeight="1" x14ac:dyDescent="0.2">
      <c r="A79" s="89"/>
      <c r="B79" s="89"/>
      <c r="C79" s="87"/>
      <c r="D79" s="88"/>
      <c r="E79" s="88"/>
      <c r="F79" s="88"/>
      <c r="G79" s="88"/>
      <c r="H79" s="88"/>
      <c r="I79" s="87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7"/>
      <c r="V79" s="89"/>
      <c r="W79" s="89"/>
      <c r="X79" s="89"/>
      <c r="Y79" s="89"/>
      <c r="Z79" s="89"/>
      <c r="AA79" s="89"/>
      <c r="AB79" s="89"/>
      <c r="AC79" s="89"/>
      <c r="AD79" s="96"/>
      <c r="AE79" s="89"/>
    </row>
    <row r="80" spans="1:31" s="97" customFormat="1" ht="24.95" customHeight="1" x14ac:dyDescent="0.2">
      <c r="A80" s="89"/>
      <c r="B80" s="89"/>
      <c r="C80" s="87"/>
      <c r="D80" s="88"/>
      <c r="E80" s="88"/>
      <c r="F80" s="88"/>
      <c r="G80" s="88"/>
      <c r="H80" s="88"/>
      <c r="I80" s="87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7"/>
      <c r="V80" s="89"/>
      <c r="W80" s="89"/>
      <c r="X80" s="89"/>
      <c r="Y80" s="89"/>
      <c r="Z80" s="89"/>
      <c r="AA80" s="89"/>
      <c r="AB80" s="89"/>
      <c r="AC80" s="89"/>
      <c r="AD80" s="96"/>
      <c r="AE80" s="89"/>
    </row>
    <row r="81" spans="1:31" s="97" customFormat="1" ht="24.95" customHeight="1" x14ac:dyDescent="0.2">
      <c r="A81" s="89"/>
      <c r="B81" s="89"/>
      <c r="C81" s="87"/>
      <c r="D81" s="88"/>
      <c r="E81" s="88"/>
      <c r="F81" s="88"/>
      <c r="G81" s="88"/>
      <c r="H81" s="88"/>
      <c r="I81" s="87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7"/>
      <c r="V81" s="89"/>
      <c r="W81" s="89"/>
      <c r="X81" s="89"/>
      <c r="Y81" s="89"/>
      <c r="Z81" s="89"/>
      <c r="AA81" s="89"/>
      <c r="AB81" s="89"/>
      <c r="AC81" s="89"/>
      <c r="AD81" s="96"/>
      <c r="AE81" s="89"/>
    </row>
    <row r="82" spans="1:31" s="97" customFormat="1" ht="24.95" customHeight="1" x14ac:dyDescent="0.2">
      <c r="A82" s="89"/>
      <c r="B82" s="89"/>
      <c r="C82" s="87"/>
      <c r="D82" s="88"/>
      <c r="E82" s="88"/>
      <c r="F82" s="88"/>
      <c r="G82" s="88"/>
      <c r="H82" s="88"/>
      <c r="I82" s="87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7"/>
      <c r="V82" s="89"/>
      <c r="W82" s="89"/>
      <c r="X82" s="89"/>
      <c r="Y82" s="89"/>
      <c r="Z82" s="89"/>
      <c r="AA82" s="89"/>
      <c r="AB82" s="89"/>
      <c r="AC82" s="89"/>
      <c r="AD82" s="96"/>
      <c r="AE82" s="89"/>
    </row>
    <row r="83" spans="1:31" s="97" customFormat="1" ht="24.95" customHeight="1" x14ac:dyDescent="0.2">
      <c r="A83" s="89"/>
      <c r="B83" s="89"/>
      <c r="C83" s="87"/>
      <c r="D83" s="88"/>
      <c r="E83" s="88"/>
      <c r="F83" s="88"/>
      <c r="G83" s="88"/>
      <c r="H83" s="88"/>
      <c r="I83" s="87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7"/>
      <c r="V83" s="89"/>
      <c r="W83" s="89"/>
      <c r="X83" s="89"/>
      <c r="Y83" s="89"/>
      <c r="Z83" s="89"/>
      <c r="AA83" s="89"/>
      <c r="AB83" s="89"/>
      <c r="AC83" s="89"/>
      <c r="AD83" s="96"/>
      <c r="AE83" s="89"/>
    </row>
    <row r="84" spans="1:31" s="97" customFormat="1" ht="24.95" customHeight="1" x14ac:dyDescent="0.2">
      <c r="A84" s="89"/>
      <c r="B84" s="89"/>
      <c r="C84" s="87"/>
      <c r="D84" s="88"/>
      <c r="E84" s="88"/>
      <c r="F84" s="88"/>
      <c r="G84" s="88"/>
      <c r="H84" s="88"/>
      <c r="I84" s="87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7"/>
      <c r="V84" s="89"/>
      <c r="W84" s="89"/>
      <c r="X84" s="89"/>
      <c r="Y84" s="89"/>
      <c r="Z84" s="89"/>
      <c r="AA84" s="89"/>
      <c r="AB84" s="89"/>
      <c r="AC84" s="89"/>
      <c r="AD84" s="96"/>
      <c r="AE84" s="89"/>
    </row>
    <row r="85" spans="1:31" s="97" customFormat="1" ht="24.95" customHeight="1" x14ac:dyDescent="0.2">
      <c r="A85" s="89"/>
      <c r="B85" s="89"/>
      <c r="C85" s="87"/>
      <c r="D85" s="88"/>
      <c r="E85" s="88"/>
      <c r="F85" s="88"/>
      <c r="G85" s="88"/>
      <c r="H85" s="88"/>
      <c r="I85" s="87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7"/>
      <c r="V85" s="89"/>
      <c r="W85" s="89"/>
      <c r="X85" s="89"/>
      <c r="Y85" s="89"/>
      <c r="Z85" s="89"/>
      <c r="AA85" s="89"/>
      <c r="AB85" s="89"/>
      <c r="AC85" s="89"/>
      <c r="AD85" s="96"/>
      <c r="AE85" s="89"/>
    </row>
    <row r="86" spans="1:31" s="97" customFormat="1" ht="24.95" customHeight="1" x14ac:dyDescent="0.2">
      <c r="A86" s="89"/>
      <c r="B86" s="89"/>
      <c r="C86" s="87"/>
      <c r="D86" s="88"/>
      <c r="E86" s="88"/>
      <c r="F86" s="88"/>
      <c r="G86" s="88"/>
      <c r="H86" s="88"/>
      <c r="I86" s="87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7"/>
      <c r="V86" s="89"/>
      <c r="W86" s="89"/>
      <c r="X86" s="89"/>
      <c r="Y86" s="89"/>
      <c r="Z86" s="89"/>
      <c r="AA86" s="89"/>
      <c r="AB86" s="89"/>
      <c r="AC86" s="89"/>
      <c r="AD86" s="96"/>
      <c r="AE86" s="89"/>
    </row>
    <row r="87" spans="1:31" s="97" customFormat="1" ht="24.95" customHeight="1" x14ac:dyDescent="0.2">
      <c r="A87" s="89"/>
      <c r="B87" s="89"/>
      <c r="C87" s="87"/>
      <c r="D87" s="88"/>
      <c r="E87" s="88"/>
      <c r="F87" s="88"/>
      <c r="G87" s="88"/>
      <c r="H87" s="88"/>
      <c r="I87" s="87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7"/>
      <c r="V87" s="89"/>
      <c r="W87" s="89"/>
      <c r="X87" s="89"/>
      <c r="Y87" s="89"/>
      <c r="Z87" s="89"/>
      <c r="AA87" s="89"/>
      <c r="AB87" s="89"/>
      <c r="AC87" s="89"/>
      <c r="AD87" s="96"/>
      <c r="AE87" s="89"/>
    </row>
    <row r="88" spans="1:31" s="97" customFormat="1" ht="24.95" customHeight="1" x14ac:dyDescent="0.2">
      <c r="A88" s="89"/>
      <c r="B88" s="89"/>
      <c r="C88" s="87"/>
      <c r="D88" s="88"/>
      <c r="E88" s="88"/>
      <c r="F88" s="88"/>
      <c r="G88" s="88"/>
      <c r="H88" s="88"/>
      <c r="I88" s="87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7"/>
      <c r="V88" s="89"/>
      <c r="W88" s="89"/>
      <c r="X88" s="89"/>
      <c r="Y88" s="89"/>
      <c r="Z88" s="89"/>
      <c r="AA88" s="89"/>
      <c r="AB88" s="89"/>
      <c r="AC88" s="89"/>
      <c r="AD88" s="96"/>
      <c r="AE88" s="89"/>
    </row>
    <row r="89" spans="1:31" s="97" customFormat="1" ht="24.95" customHeight="1" x14ac:dyDescent="0.2">
      <c r="A89" s="89"/>
      <c r="B89" s="89"/>
      <c r="C89" s="87"/>
      <c r="D89" s="88"/>
      <c r="E89" s="88"/>
      <c r="F89" s="88"/>
      <c r="G89" s="88"/>
      <c r="H89" s="88"/>
      <c r="I89" s="87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7"/>
      <c r="V89" s="89"/>
      <c r="W89" s="89"/>
      <c r="X89" s="89"/>
      <c r="Y89" s="89"/>
      <c r="Z89" s="89"/>
      <c r="AA89" s="89"/>
      <c r="AB89" s="89"/>
      <c r="AC89" s="89"/>
      <c r="AD89" s="96"/>
      <c r="AE89" s="89"/>
    </row>
    <row r="90" spans="1:31" s="97" customFormat="1" ht="24.95" customHeight="1" x14ac:dyDescent="0.2">
      <c r="A90" s="89"/>
      <c r="B90" s="89"/>
      <c r="C90" s="87"/>
      <c r="D90" s="88"/>
      <c r="E90" s="88"/>
      <c r="F90" s="88"/>
      <c r="G90" s="88"/>
      <c r="H90" s="88"/>
      <c r="I90" s="87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7"/>
      <c r="V90" s="89"/>
      <c r="W90" s="89"/>
      <c r="X90" s="89"/>
      <c r="Y90" s="89"/>
      <c r="Z90" s="89"/>
      <c r="AA90" s="89"/>
      <c r="AB90" s="89"/>
      <c r="AC90" s="89"/>
      <c r="AD90" s="96"/>
      <c r="AE90" s="89"/>
    </row>
    <row r="91" spans="1:31" s="97" customFormat="1" ht="24.95" customHeight="1" x14ac:dyDescent="0.2">
      <c r="A91" s="89"/>
      <c r="B91" s="89"/>
      <c r="C91" s="87"/>
      <c r="D91" s="88"/>
      <c r="E91" s="88"/>
      <c r="F91" s="88"/>
      <c r="G91" s="88"/>
      <c r="H91" s="88"/>
      <c r="I91" s="87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7"/>
      <c r="V91" s="89"/>
      <c r="W91" s="89"/>
      <c r="X91" s="89"/>
      <c r="Y91" s="89"/>
      <c r="Z91" s="89"/>
      <c r="AA91" s="89"/>
      <c r="AB91" s="89"/>
      <c r="AC91" s="89"/>
      <c r="AD91" s="96"/>
      <c r="AE91" s="89"/>
    </row>
    <row r="92" spans="1:31" s="97" customFormat="1" ht="24.95" customHeight="1" x14ac:dyDescent="0.2">
      <c r="A92" s="89"/>
      <c r="B92" s="89"/>
      <c r="C92" s="87"/>
      <c r="D92" s="88"/>
      <c r="E92" s="88"/>
      <c r="F92" s="88"/>
      <c r="G92" s="88"/>
      <c r="H92" s="88"/>
      <c r="I92" s="87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7"/>
      <c r="V92" s="89"/>
      <c r="W92" s="89"/>
      <c r="X92" s="89"/>
      <c r="Y92" s="89"/>
      <c r="Z92" s="89"/>
      <c r="AA92" s="89"/>
      <c r="AB92" s="89"/>
      <c r="AC92" s="89"/>
      <c r="AD92" s="96"/>
      <c r="AE92" s="89"/>
    </row>
    <row r="93" spans="1:31" s="97" customFormat="1" ht="24.95" customHeight="1" x14ac:dyDescent="0.2">
      <c r="A93" s="89"/>
      <c r="B93" s="89"/>
      <c r="C93" s="87"/>
      <c r="D93" s="88"/>
      <c r="E93" s="88"/>
      <c r="F93" s="88"/>
      <c r="G93" s="88"/>
      <c r="H93" s="88"/>
      <c r="I93" s="87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7"/>
      <c r="V93" s="89"/>
      <c r="W93" s="89"/>
      <c r="X93" s="89"/>
      <c r="Y93" s="89"/>
      <c r="Z93" s="89"/>
      <c r="AA93" s="89"/>
      <c r="AB93" s="89"/>
      <c r="AC93" s="89"/>
      <c r="AD93" s="96"/>
      <c r="AE93" s="89"/>
    </row>
    <row r="94" spans="1:31" s="97" customFormat="1" ht="24.95" customHeight="1" x14ac:dyDescent="0.2">
      <c r="A94" s="89"/>
      <c r="B94" s="89"/>
      <c r="C94" s="87"/>
      <c r="D94" s="88"/>
      <c r="E94" s="88"/>
      <c r="F94" s="88"/>
      <c r="G94" s="88"/>
      <c r="H94" s="88"/>
      <c r="I94" s="87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7"/>
      <c r="V94" s="89"/>
      <c r="W94" s="89"/>
      <c r="X94" s="89"/>
      <c r="Y94" s="89"/>
      <c r="Z94" s="89"/>
      <c r="AA94" s="89"/>
      <c r="AB94" s="89"/>
      <c r="AC94" s="89"/>
      <c r="AD94" s="96"/>
      <c r="AE94" s="89"/>
    </row>
    <row r="95" spans="1:31" s="97" customFormat="1" ht="24.95" customHeight="1" x14ac:dyDescent="0.2">
      <c r="A95" s="89"/>
      <c r="B95" s="89"/>
      <c r="C95" s="87"/>
      <c r="D95" s="88"/>
      <c r="E95" s="88"/>
      <c r="F95" s="88"/>
      <c r="G95" s="88"/>
      <c r="H95" s="88"/>
      <c r="I95" s="87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7"/>
      <c r="V95" s="89"/>
      <c r="W95" s="89"/>
      <c r="X95" s="89"/>
      <c r="Y95" s="89"/>
      <c r="Z95" s="89"/>
      <c r="AA95" s="89"/>
      <c r="AB95" s="89"/>
      <c r="AC95" s="89"/>
      <c r="AD95" s="96"/>
      <c r="AE95" s="89"/>
    </row>
    <row r="96" spans="1:31" s="97" customFormat="1" ht="24.95" customHeight="1" x14ac:dyDescent="0.2">
      <c r="A96" s="89"/>
      <c r="B96" s="89"/>
      <c r="C96" s="87"/>
      <c r="D96" s="88"/>
      <c r="E96" s="88"/>
      <c r="F96" s="88"/>
      <c r="G96" s="88"/>
      <c r="H96" s="88"/>
      <c r="I96" s="87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7"/>
      <c r="V96" s="89"/>
      <c r="W96" s="89"/>
      <c r="X96" s="89"/>
      <c r="Y96" s="89"/>
      <c r="Z96" s="89"/>
      <c r="AA96" s="89"/>
      <c r="AB96" s="89"/>
      <c r="AC96" s="89"/>
      <c r="AD96" s="96"/>
      <c r="AE96" s="89"/>
    </row>
    <row r="97" spans="1:31" s="97" customFormat="1" ht="24.95" customHeight="1" x14ac:dyDescent="0.2">
      <c r="A97" s="89"/>
      <c r="B97" s="89"/>
      <c r="C97" s="87"/>
      <c r="D97" s="88"/>
      <c r="E97" s="88"/>
      <c r="F97" s="88"/>
      <c r="G97" s="88"/>
      <c r="H97" s="88"/>
      <c r="I97" s="87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7"/>
      <c r="V97" s="89"/>
      <c r="W97" s="89"/>
      <c r="X97" s="89"/>
      <c r="Y97" s="89"/>
      <c r="Z97" s="89"/>
      <c r="AA97" s="89"/>
      <c r="AB97" s="89"/>
      <c r="AC97" s="89"/>
      <c r="AD97" s="96"/>
      <c r="AE97" s="89"/>
    </row>
    <row r="98" spans="1:31" s="97" customFormat="1" ht="24.95" customHeight="1" x14ac:dyDescent="0.2">
      <c r="A98" s="89"/>
      <c r="B98" s="89"/>
      <c r="C98" s="87"/>
      <c r="D98" s="88"/>
      <c r="E98" s="88"/>
      <c r="F98" s="88"/>
      <c r="G98" s="88"/>
      <c r="H98" s="88"/>
      <c r="I98" s="87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7"/>
      <c r="V98" s="89"/>
      <c r="W98" s="89"/>
      <c r="X98" s="89"/>
      <c r="Y98" s="89"/>
      <c r="Z98" s="89"/>
      <c r="AA98" s="89"/>
      <c r="AB98" s="89"/>
      <c r="AC98" s="89"/>
      <c r="AD98" s="96"/>
      <c r="AE98" s="89"/>
    </row>
    <row r="99" spans="1:31" s="97" customFormat="1" ht="24.95" customHeight="1" x14ac:dyDescent="0.2">
      <c r="A99" s="89"/>
      <c r="B99" s="89"/>
      <c r="C99" s="87"/>
      <c r="D99" s="88"/>
      <c r="E99" s="88"/>
      <c r="F99" s="88"/>
      <c r="G99" s="88"/>
      <c r="H99" s="88"/>
      <c r="I99" s="87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7"/>
      <c r="V99" s="89"/>
      <c r="W99" s="89"/>
      <c r="X99" s="89"/>
      <c r="Y99" s="89"/>
      <c r="Z99" s="89"/>
      <c r="AA99" s="89"/>
      <c r="AB99" s="89"/>
      <c r="AC99" s="89"/>
      <c r="AD99" s="96"/>
      <c r="AE99" s="89"/>
    </row>
    <row r="100" spans="1:31" s="97" customFormat="1" ht="24.95" customHeight="1" x14ac:dyDescent="0.2">
      <c r="A100" s="89"/>
      <c r="B100" s="89"/>
      <c r="C100" s="87"/>
      <c r="D100" s="88"/>
      <c r="E100" s="88"/>
      <c r="F100" s="88"/>
      <c r="G100" s="88"/>
      <c r="H100" s="88"/>
      <c r="I100" s="87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7"/>
      <c r="V100" s="89"/>
      <c r="W100" s="89"/>
      <c r="X100" s="89"/>
      <c r="Y100" s="89"/>
      <c r="Z100" s="89"/>
      <c r="AA100" s="89"/>
      <c r="AB100" s="89"/>
      <c r="AC100" s="89"/>
      <c r="AD100" s="96"/>
      <c r="AE100" s="89"/>
    </row>
    <row r="101" spans="1:31" s="97" customFormat="1" ht="24.95" customHeight="1" x14ac:dyDescent="0.2">
      <c r="A101" s="89"/>
      <c r="B101" s="89"/>
      <c r="C101" s="87"/>
      <c r="D101" s="88"/>
      <c r="E101" s="88"/>
      <c r="F101" s="88"/>
      <c r="G101" s="88"/>
      <c r="H101" s="88"/>
      <c r="I101" s="87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7"/>
      <c r="V101" s="89"/>
      <c r="W101" s="89"/>
      <c r="X101" s="89"/>
      <c r="Y101" s="89"/>
      <c r="Z101" s="89"/>
      <c r="AA101" s="89"/>
      <c r="AB101" s="89"/>
      <c r="AC101" s="89"/>
      <c r="AD101" s="96"/>
      <c r="AE101" s="89"/>
    </row>
    <row r="102" spans="1:31" s="97" customFormat="1" ht="24.95" customHeight="1" x14ac:dyDescent="0.2">
      <c r="A102" s="89"/>
      <c r="B102" s="89"/>
      <c r="C102" s="87"/>
      <c r="D102" s="88"/>
      <c r="E102" s="88"/>
      <c r="F102" s="88"/>
      <c r="G102" s="88"/>
      <c r="H102" s="88"/>
      <c r="I102" s="87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7"/>
      <c r="V102" s="89"/>
      <c r="W102" s="89"/>
      <c r="X102" s="89"/>
      <c r="Y102" s="89"/>
      <c r="Z102" s="89"/>
      <c r="AA102" s="89"/>
      <c r="AB102" s="89"/>
      <c r="AC102" s="89"/>
      <c r="AD102" s="96"/>
      <c r="AE102" s="89"/>
    </row>
    <row r="103" spans="1:31" s="97" customFormat="1" ht="24.95" customHeight="1" x14ac:dyDescent="0.2">
      <c r="A103" s="89"/>
      <c r="B103" s="89"/>
      <c r="C103" s="87"/>
      <c r="D103" s="88"/>
      <c r="E103" s="88"/>
      <c r="F103" s="88"/>
      <c r="G103" s="88"/>
      <c r="H103" s="88"/>
      <c r="I103" s="87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7"/>
      <c r="V103" s="89"/>
      <c r="W103" s="89"/>
      <c r="X103" s="89"/>
      <c r="Y103" s="89"/>
      <c r="Z103" s="89"/>
      <c r="AA103" s="89"/>
      <c r="AB103" s="89"/>
      <c r="AC103" s="89"/>
      <c r="AD103" s="96"/>
      <c r="AE103" s="89"/>
    </row>
    <row r="104" spans="1:31" s="97" customFormat="1" ht="24.95" customHeight="1" x14ac:dyDescent="0.2">
      <c r="A104" s="89"/>
      <c r="B104" s="89"/>
      <c r="C104" s="87"/>
      <c r="D104" s="88"/>
      <c r="E104" s="88"/>
      <c r="F104" s="88"/>
      <c r="G104" s="88"/>
      <c r="H104" s="88"/>
      <c r="I104" s="87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7"/>
      <c r="V104" s="89"/>
      <c r="W104" s="89"/>
      <c r="X104" s="89"/>
      <c r="Y104" s="89"/>
      <c r="Z104" s="89"/>
      <c r="AA104" s="89"/>
      <c r="AB104" s="89"/>
      <c r="AC104" s="89"/>
      <c r="AD104" s="96"/>
      <c r="AE104" s="89"/>
    </row>
    <row r="105" spans="1:31" s="97" customFormat="1" ht="24.95" customHeight="1" x14ac:dyDescent="0.2">
      <c r="A105" s="89"/>
      <c r="B105" s="89"/>
      <c r="C105" s="87"/>
      <c r="D105" s="88"/>
      <c r="E105" s="88"/>
      <c r="F105" s="88"/>
      <c r="G105" s="88"/>
      <c r="H105" s="88"/>
      <c r="I105" s="87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7"/>
      <c r="V105" s="89"/>
      <c r="W105" s="89"/>
      <c r="X105" s="89"/>
      <c r="Y105" s="89"/>
      <c r="Z105" s="89"/>
      <c r="AA105" s="89"/>
      <c r="AB105" s="89"/>
      <c r="AC105" s="89"/>
      <c r="AD105" s="96"/>
      <c r="AE105" s="89"/>
    </row>
    <row r="106" spans="1:31" s="97" customFormat="1" ht="24.95" customHeight="1" x14ac:dyDescent="0.2">
      <c r="A106" s="89"/>
      <c r="B106" s="89"/>
      <c r="C106" s="87"/>
      <c r="D106" s="88"/>
      <c r="E106" s="88"/>
      <c r="F106" s="88"/>
      <c r="G106" s="88"/>
      <c r="H106" s="88"/>
      <c r="I106" s="87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7"/>
      <c r="V106" s="89"/>
      <c r="W106" s="89"/>
      <c r="X106" s="89"/>
      <c r="Y106" s="89"/>
      <c r="Z106" s="89"/>
      <c r="AA106" s="89"/>
      <c r="AB106" s="89"/>
      <c r="AC106" s="89"/>
      <c r="AD106" s="96"/>
      <c r="AE106" s="89"/>
    </row>
    <row r="107" spans="1:31" s="97" customFormat="1" ht="24.95" customHeight="1" x14ac:dyDescent="0.2">
      <c r="A107" s="89"/>
      <c r="B107" s="89"/>
      <c r="C107" s="87"/>
      <c r="D107" s="88"/>
      <c r="E107" s="88"/>
      <c r="F107" s="88"/>
      <c r="G107" s="88"/>
      <c r="H107" s="88"/>
      <c r="I107" s="87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7"/>
      <c r="V107" s="89"/>
      <c r="W107" s="89"/>
      <c r="X107" s="89"/>
      <c r="Y107" s="89"/>
      <c r="Z107" s="89"/>
      <c r="AA107" s="89"/>
      <c r="AB107" s="89"/>
      <c r="AC107" s="89"/>
      <c r="AD107" s="96"/>
      <c r="AE107" s="89"/>
    </row>
    <row r="108" spans="1:31" s="97" customFormat="1" ht="24.95" customHeight="1" x14ac:dyDescent="0.2">
      <c r="A108" s="89"/>
      <c r="B108" s="89"/>
      <c r="C108" s="87"/>
      <c r="D108" s="88"/>
      <c r="E108" s="88"/>
      <c r="F108" s="88"/>
      <c r="G108" s="88"/>
      <c r="H108" s="88"/>
      <c r="I108" s="87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7"/>
      <c r="V108" s="89"/>
      <c r="W108" s="89"/>
      <c r="X108" s="89"/>
      <c r="Y108" s="89"/>
      <c r="Z108" s="89"/>
      <c r="AA108" s="89"/>
      <c r="AB108" s="89"/>
      <c r="AC108" s="89"/>
      <c r="AD108" s="96"/>
      <c r="AE108" s="89"/>
    </row>
    <row r="109" spans="1:31" s="97" customFormat="1" ht="24.95" customHeight="1" x14ac:dyDescent="0.2">
      <c r="A109" s="89"/>
      <c r="B109" s="89"/>
      <c r="C109" s="87"/>
      <c r="D109" s="88"/>
      <c r="E109" s="88"/>
      <c r="F109" s="88"/>
      <c r="G109" s="88"/>
      <c r="H109" s="88"/>
      <c r="I109" s="87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7"/>
      <c r="V109" s="89"/>
      <c r="W109" s="89"/>
      <c r="X109" s="89"/>
      <c r="Y109" s="89"/>
      <c r="Z109" s="89"/>
      <c r="AA109" s="89"/>
      <c r="AB109" s="89"/>
      <c r="AC109" s="89"/>
      <c r="AD109" s="96"/>
      <c r="AE109" s="89"/>
    </row>
    <row r="110" spans="1:31" s="97" customFormat="1" ht="24.95" customHeight="1" x14ac:dyDescent="0.2">
      <c r="A110" s="89"/>
      <c r="B110" s="89"/>
      <c r="C110" s="87"/>
      <c r="D110" s="88"/>
      <c r="E110" s="88"/>
      <c r="F110" s="88"/>
      <c r="G110" s="88"/>
      <c r="H110" s="88"/>
      <c r="I110" s="87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7"/>
      <c r="V110" s="89"/>
      <c r="W110" s="89"/>
      <c r="X110" s="89"/>
      <c r="Y110" s="89"/>
      <c r="Z110" s="89"/>
      <c r="AA110" s="89"/>
      <c r="AB110" s="89"/>
      <c r="AC110" s="89"/>
      <c r="AD110" s="96"/>
      <c r="AE110" s="89"/>
    </row>
    <row r="111" spans="1:31" s="97" customFormat="1" ht="24.95" customHeight="1" x14ac:dyDescent="0.2">
      <c r="A111" s="89"/>
      <c r="B111" s="89"/>
      <c r="C111" s="87"/>
      <c r="D111" s="88"/>
      <c r="E111" s="88"/>
      <c r="F111" s="88"/>
      <c r="G111" s="88"/>
      <c r="H111" s="88"/>
      <c r="I111" s="87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7"/>
      <c r="V111" s="89"/>
      <c r="W111" s="89"/>
      <c r="X111" s="89"/>
      <c r="Y111" s="89"/>
      <c r="Z111" s="89"/>
      <c r="AA111" s="89"/>
      <c r="AB111" s="89"/>
      <c r="AC111" s="89"/>
      <c r="AD111" s="96"/>
      <c r="AE111" s="89"/>
    </row>
    <row r="112" spans="1:31" s="97" customFormat="1" ht="24.95" customHeight="1" x14ac:dyDescent="0.2">
      <c r="A112" s="89"/>
      <c r="B112" s="89"/>
      <c r="C112" s="87"/>
      <c r="D112" s="88"/>
      <c r="E112" s="88"/>
      <c r="F112" s="88"/>
      <c r="G112" s="88"/>
      <c r="H112" s="88"/>
      <c r="I112" s="87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7"/>
      <c r="V112" s="89"/>
      <c r="W112" s="89"/>
      <c r="X112" s="89"/>
      <c r="Y112" s="89"/>
      <c r="Z112" s="89"/>
      <c r="AA112" s="89"/>
      <c r="AB112" s="89"/>
      <c r="AC112" s="89"/>
      <c r="AD112" s="96"/>
      <c r="AE112" s="89"/>
    </row>
    <row r="113" spans="1:31" s="97" customFormat="1" ht="24.95" customHeight="1" x14ac:dyDescent="0.2">
      <c r="A113" s="89"/>
      <c r="B113" s="89"/>
      <c r="C113" s="87"/>
      <c r="D113" s="88"/>
      <c r="E113" s="88"/>
      <c r="F113" s="88"/>
      <c r="G113" s="88"/>
      <c r="H113" s="88"/>
      <c r="I113" s="87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7"/>
      <c r="V113" s="89"/>
      <c r="W113" s="89"/>
      <c r="X113" s="89"/>
      <c r="Y113" s="89"/>
      <c r="Z113" s="89"/>
      <c r="AA113" s="89"/>
      <c r="AB113" s="89"/>
      <c r="AC113" s="89"/>
      <c r="AD113" s="96"/>
      <c r="AE113" s="89"/>
    </row>
    <row r="114" spans="1:31" s="97" customFormat="1" ht="24.95" customHeight="1" x14ac:dyDescent="0.2">
      <c r="A114" s="89"/>
      <c r="B114" s="89"/>
      <c r="C114" s="87"/>
      <c r="D114" s="88"/>
      <c r="E114" s="88"/>
      <c r="F114" s="88"/>
      <c r="G114" s="88"/>
      <c r="H114" s="88"/>
      <c r="I114" s="87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7"/>
      <c r="V114" s="89"/>
      <c r="W114" s="89"/>
      <c r="X114" s="89"/>
      <c r="Y114" s="89"/>
      <c r="Z114" s="89"/>
      <c r="AA114" s="89"/>
      <c r="AB114" s="89"/>
      <c r="AC114" s="89"/>
      <c r="AD114" s="96"/>
      <c r="AE114" s="89"/>
    </row>
    <row r="115" spans="1:31" s="97" customFormat="1" ht="24.95" customHeight="1" x14ac:dyDescent="0.2">
      <c r="A115" s="89"/>
      <c r="B115" s="89"/>
      <c r="C115" s="87"/>
      <c r="D115" s="88"/>
      <c r="E115" s="88"/>
      <c r="F115" s="88"/>
      <c r="G115" s="88"/>
      <c r="H115" s="88"/>
      <c r="I115" s="87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7"/>
      <c r="V115" s="89"/>
      <c r="W115" s="89"/>
      <c r="X115" s="89"/>
      <c r="Y115" s="89"/>
      <c r="Z115" s="89"/>
      <c r="AA115" s="89"/>
      <c r="AB115" s="89"/>
      <c r="AC115" s="89"/>
      <c r="AD115" s="96"/>
      <c r="AE115" s="89"/>
    </row>
    <row r="116" spans="1:31" s="97" customFormat="1" ht="24.95" customHeight="1" x14ac:dyDescent="0.2">
      <c r="A116" s="89"/>
      <c r="B116" s="89"/>
      <c r="C116" s="87"/>
      <c r="D116" s="88"/>
      <c r="E116" s="88"/>
      <c r="F116" s="88"/>
      <c r="G116" s="88"/>
      <c r="H116" s="88"/>
      <c r="I116" s="87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7"/>
      <c r="V116" s="89"/>
      <c r="W116" s="89"/>
      <c r="X116" s="89"/>
      <c r="Y116" s="89"/>
      <c r="Z116" s="89"/>
      <c r="AA116" s="89"/>
      <c r="AB116" s="89"/>
      <c r="AC116" s="89"/>
      <c r="AD116" s="96"/>
      <c r="AE116" s="89"/>
    </row>
    <row r="117" spans="1:31" s="97" customFormat="1" ht="24.95" customHeight="1" x14ac:dyDescent="0.2">
      <c r="A117" s="89"/>
      <c r="B117" s="89"/>
      <c r="C117" s="87"/>
      <c r="D117" s="88"/>
      <c r="E117" s="88"/>
      <c r="F117" s="88"/>
      <c r="G117" s="88"/>
      <c r="H117" s="88"/>
      <c r="I117" s="87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7"/>
      <c r="V117" s="89"/>
      <c r="W117" s="89"/>
      <c r="X117" s="89"/>
      <c r="Y117" s="89"/>
      <c r="Z117" s="89"/>
      <c r="AA117" s="89"/>
      <c r="AB117" s="89"/>
      <c r="AC117" s="89"/>
      <c r="AD117" s="96"/>
      <c r="AE117" s="89"/>
    </row>
    <row r="118" spans="1:31" s="97" customFormat="1" ht="24.95" customHeight="1" x14ac:dyDescent="0.2">
      <c r="A118" s="89"/>
      <c r="B118" s="89"/>
      <c r="C118" s="87"/>
      <c r="D118" s="88"/>
      <c r="E118" s="88"/>
      <c r="F118" s="88"/>
      <c r="G118" s="88"/>
      <c r="H118" s="88"/>
      <c r="I118" s="87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7"/>
      <c r="V118" s="89"/>
      <c r="W118" s="89"/>
      <c r="X118" s="89"/>
      <c r="Y118" s="89"/>
      <c r="Z118" s="89"/>
      <c r="AA118" s="89"/>
      <c r="AB118" s="89"/>
      <c r="AC118" s="89"/>
      <c r="AD118" s="96"/>
      <c r="AE118" s="89"/>
    </row>
    <row r="119" spans="1:31" s="97" customFormat="1" ht="24.95" customHeight="1" x14ac:dyDescent="0.2">
      <c r="A119" s="89"/>
      <c r="B119" s="89"/>
      <c r="C119" s="87"/>
      <c r="D119" s="88"/>
      <c r="E119" s="88"/>
      <c r="F119" s="88"/>
      <c r="G119" s="88"/>
      <c r="H119" s="88"/>
      <c r="I119" s="87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7"/>
      <c r="V119" s="89"/>
      <c r="W119" s="89"/>
      <c r="X119" s="89"/>
      <c r="Y119" s="89"/>
      <c r="Z119" s="89"/>
      <c r="AA119" s="89"/>
      <c r="AB119" s="89"/>
      <c r="AC119" s="89"/>
      <c r="AD119" s="96"/>
      <c r="AE119" s="89"/>
    </row>
    <row r="120" spans="1:31" s="97" customFormat="1" ht="24.95" customHeight="1" x14ac:dyDescent="0.2">
      <c r="A120" s="89"/>
      <c r="B120" s="89"/>
      <c r="C120" s="87"/>
      <c r="D120" s="88"/>
      <c r="E120" s="88"/>
      <c r="F120" s="88"/>
      <c r="G120" s="88"/>
      <c r="H120" s="88"/>
      <c r="I120" s="87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7"/>
      <c r="V120" s="89"/>
      <c r="W120" s="89"/>
      <c r="X120" s="89"/>
      <c r="Y120" s="89"/>
      <c r="Z120" s="89"/>
      <c r="AA120" s="89"/>
      <c r="AB120" s="89"/>
      <c r="AC120" s="89"/>
      <c r="AD120" s="96"/>
      <c r="AE120" s="89"/>
    </row>
    <row r="121" spans="1:31" s="97" customFormat="1" ht="24.95" customHeight="1" x14ac:dyDescent="0.2">
      <c r="A121" s="89"/>
      <c r="B121" s="89"/>
      <c r="C121" s="87"/>
      <c r="D121" s="88"/>
      <c r="E121" s="88"/>
      <c r="F121" s="88"/>
      <c r="G121" s="88"/>
      <c r="H121" s="88"/>
      <c r="I121" s="87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7"/>
      <c r="V121" s="89"/>
      <c r="W121" s="89"/>
      <c r="X121" s="89"/>
      <c r="Y121" s="89"/>
      <c r="Z121" s="89"/>
      <c r="AA121" s="89"/>
      <c r="AB121" s="89"/>
      <c r="AC121" s="89"/>
      <c r="AD121" s="96"/>
      <c r="AE121" s="89"/>
    </row>
    <row r="122" spans="1:31" s="97" customFormat="1" ht="24.95" customHeight="1" x14ac:dyDescent="0.2">
      <c r="A122" s="89"/>
      <c r="B122" s="89"/>
      <c r="C122" s="87"/>
      <c r="D122" s="88"/>
      <c r="E122" s="88"/>
      <c r="F122" s="88"/>
      <c r="G122" s="88"/>
      <c r="H122" s="88"/>
      <c r="I122" s="87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7"/>
      <c r="V122" s="89"/>
      <c r="W122" s="89"/>
      <c r="X122" s="89"/>
      <c r="Y122" s="89"/>
      <c r="Z122" s="89"/>
      <c r="AA122" s="89"/>
      <c r="AB122" s="89"/>
      <c r="AC122" s="89"/>
      <c r="AD122" s="96"/>
      <c r="AE122" s="89"/>
    </row>
    <row r="123" spans="1:31" s="97" customFormat="1" ht="24.95" customHeight="1" x14ac:dyDescent="0.2">
      <c r="A123" s="89"/>
      <c r="B123" s="89"/>
      <c r="C123" s="87"/>
      <c r="D123" s="88"/>
      <c r="E123" s="88"/>
      <c r="F123" s="88"/>
      <c r="G123" s="88"/>
      <c r="H123" s="88"/>
      <c r="I123" s="87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7"/>
      <c r="V123" s="89"/>
      <c r="W123" s="89"/>
      <c r="X123" s="89"/>
      <c r="Y123" s="89"/>
      <c r="Z123" s="89"/>
      <c r="AA123" s="89"/>
      <c r="AB123" s="89"/>
      <c r="AC123" s="89"/>
      <c r="AD123" s="96"/>
      <c r="AE123" s="89"/>
    </row>
    <row r="124" spans="1:31" s="97" customFormat="1" ht="24.95" customHeight="1" x14ac:dyDescent="0.2">
      <c r="A124" s="89"/>
      <c r="B124" s="89"/>
      <c r="C124" s="87"/>
      <c r="D124" s="88"/>
      <c r="E124" s="88"/>
      <c r="F124" s="88"/>
      <c r="G124" s="88"/>
      <c r="H124" s="88"/>
      <c r="I124" s="87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7"/>
      <c r="V124" s="89"/>
      <c r="W124" s="89"/>
      <c r="X124" s="89"/>
      <c r="Y124" s="89"/>
      <c r="Z124" s="89"/>
      <c r="AA124" s="89"/>
      <c r="AB124" s="89"/>
      <c r="AC124" s="89"/>
      <c r="AD124" s="96"/>
      <c r="AE124" s="89"/>
    </row>
    <row r="125" spans="1:31" s="97" customFormat="1" ht="24.95" customHeight="1" x14ac:dyDescent="0.2">
      <c r="A125" s="89"/>
      <c r="B125" s="89"/>
      <c r="C125" s="87"/>
      <c r="D125" s="88"/>
      <c r="E125" s="88"/>
      <c r="F125" s="88"/>
      <c r="G125" s="88"/>
      <c r="H125" s="88"/>
      <c r="I125" s="87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7"/>
      <c r="V125" s="89"/>
      <c r="W125" s="89"/>
      <c r="X125" s="89"/>
      <c r="Y125" s="89"/>
      <c r="Z125" s="89"/>
      <c r="AA125" s="89"/>
      <c r="AB125" s="89"/>
      <c r="AC125" s="89"/>
      <c r="AD125" s="96"/>
      <c r="AE125" s="89"/>
    </row>
    <row r="126" spans="1:31" s="97" customFormat="1" ht="24.95" customHeight="1" x14ac:dyDescent="0.2">
      <c r="A126" s="89"/>
      <c r="B126" s="89"/>
      <c r="C126" s="87"/>
      <c r="D126" s="88"/>
      <c r="E126" s="88"/>
      <c r="F126" s="88"/>
      <c r="G126" s="88"/>
      <c r="H126" s="88"/>
      <c r="I126" s="87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7"/>
      <c r="V126" s="89"/>
      <c r="W126" s="89"/>
      <c r="X126" s="89"/>
      <c r="Y126" s="89"/>
      <c r="Z126" s="89"/>
      <c r="AA126" s="89"/>
      <c r="AB126" s="89"/>
      <c r="AC126" s="89"/>
      <c r="AD126" s="96"/>
      <c r="AE126" s="89"/>
    </row>
    <row r="127" spans="1:31" s="97" customFormat="1" ht="24.95" customHeight="1" x14ac:dyDescent="0.2">
      <c r="A127" s="89"/>
      <c r="B127" s="89"/>
      <c r="C127" s="87"/>
      <c r="D127" s="88"/>
      <c r="E127" s="88"/>
      <c r="F127" s="88"/>
      <c r="G127" s="88"/>
      <c r="H127" s="88"/>
      <c r="I127" s="87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7"/>
      <c r="V127" s="89"/>
      <c r="W127" s="89"/>
      <c r="X127" s="89"/>
      <c r="Y127" s="89"/>
      <c r="Z127" s="89"/>
      <c r="AA127" s="89"/>
      <c r="AB127" s="89"/>
      <c r="AC127" s="89"/>
      <c r="AD127" s="96"/>
      <c r="AE127" s="89"/>
    </row>
    <row r="128" spans="1:31" s="97" customFormat="1" ht="24.95" customHeight="1" x14ac:dyDescent="0.2">
      <c r="A128" s="89"/>
      <c r="B128" s="89"/>
      <c r="C128" s="87"/>
      <c r="D128" s="88"/>
      <c r="E128" s="88"/>
      <c r="F128" s="88"/>
      <c r="G128" s="88"/>
      <c r="H128" s="88"/>
      <c r="I128" s="87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7"/>
      <c r="V128" s="89"/>
      <c r="W128" s="89"/>
      <c r="X128" s="89"/>
      <c r="Y128" s="89"/>
      <c r="Z128" s="89"/>
      <c r="AA128" s="89"/>
      <c r="AB128" s="89"/>
      <c r="AC128" s="89"/>
      <c r="AD128" s="96"/>
      <c r="AE128" s="89"/>
    </row>
    <row r="129" spans="1:31" s="97" customFormat="1" ht="24.95" customHeight="1" x14ac:dyDescent="0.2">
      <c r="A129" s="89"/>
      <c r="B129" s="89"/>
      <c r="C129" s="87"/>
      <c r="D129" s="88"/>
      <c r="E129" s="88"/>
      <c r="F129" s="88"/>
      <c r="G129" s="88"/>
      <c r="H129" s="88"/>
      <c r="I129" s="87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7"/>
      <c r="V129" s="89"/>
      <c r="W129" s="89"/>
      <c r="X129" s="89"/>
      <c r="Y129" s="89"/>
      <c r="Z129" s="89"/>
      <c r="AA129" s="89"/>
      <c r="AB129" s="89"/>
      <c r="AC129" s="89"/>
      <c r="AD129" s="96"/>
      <c r="AE129" s="89"/>
    </row>
    <row r="130" spans="1:31" s="97" customFormat="1" ht="24.95" customHeight="1" x14ac:dyDescent="0.2">
      <c r="A130" s="89"/>
      <c r="B130" s="89"/>
      <c r="C130" s="87"/>
      <c r="D130" s="88"/>
      <c r="E130" s="88"/>
      <c r="F130" s="88"/>
      <c r="G130" s="88"/>
      <c r="H130" s="88"/>
      <c r="I130" s="87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7"/>
      <c r="V130" s="89"/>
      <c r="W130" s="89"/>
      <c r="X130" s="89"/>
      <c r="Y130" s="89"/>
      <c r="Z130" s="89"/>
      <c r="AA130" s="89"/>
      <c r="AB130" s="89"/>
      <c r="AC130" s="89"/>
      <c r="AD130" s="96"/>
      <c r="AE130" s="89"/>
    </row>
    <row r="131" spans="1:31" s="97" customFormat="1" ht="24.95" customHeight="1" x14ac:dyDescent="0.2">
      <c r="A131" s="89"/>
      <c r="B131" s="89"/>
      <c r="C131" s="87"/>
      <c r="D131" s="88"/>
      <c r="E131" s="88"/>
      <c r="F131" s="88"/>
      <c r="G131" s="88"/>
      <c r="H131" s="88"/>
      <c r="I131" s="87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7"/>
      <c r="V131" s="89"/>
      <c r="W131" s="89"/>
      <c r="X131" s="89"/>
      <c r="Y131" s="89"/>
      <c r="Z131" s="89"/>
      <c r="AA131" s="89"/>
      <c r="AB131" s="89"/>
      <c r="AC131" s="89"/>
      <c r="AD131" s="96"/>
      <c r="AE131" s="89"/>
    </row>
    <row r="132" spans="1:31" s="97" customFormat="1" ht="24.95" customHeight="1" x14ac:dyDescent="0.2">
      <c r="A132" s="89"/>
      <c r="B132" s="89"/>
      <c r="C132" s="87"/>
      <c r="D132" s="88"/>
      <c r="E132" s="88"/>
      <c r="F132" s="88"/>
      <c r="G132" s="88"/>
      <c r="H132" s="88"/>
      <c r="I132" s="87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7"/>
      <c r="V132" s="89"/>
      <c r="W132" s="89"/>
      <c r="X132" s="89"/>
      <c r="Y132" s="89"/>
      <c r="Z132" s="89"/>
      <c r="AA132" s="89"/>
      <c r="AB132" s="89"/>
      <c r="AC132" s="89"/>
      <c r="AD132" s="96"/>
      <c r="AE132" s="89"/>
    </row>
    <row r="133" spans="1:31" s="97" customFormat="1" ht="24.95" customHeight="1" x14ac:dyDescent="0.2">
      <c r="A133" s="89"/>
      <c r="B133" s="89"/>
      <c r="C133" s="87"/>
      <c r="D133" s="88"/>
      <c r="E133" s="88"/>
      <c r="F133" s="88"/>
      <c r="G133" s="88"/>
      <c r="H133" s="88"/>
      <c r="I133" s="87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7"/>
      <c r="V133" s="89"/>
      <c r="W133" s="89"/>
      <c r="X133" s="89"/>
      <c r="Y133" s="89"/>
      <c r="Z133" s="89"/>
      <c r="AA133" s="89"/>
      <c r="AB133" s="89"/>
      <c r="AC133" s="89"/>
      <c r="AD133" s="96"/>
      <c r="AE133" s="89"/>
    </row>
    <row r="134" spans="1:31" s="97" customFormat="1" ht="24.95" customHeight="1" x14ac:dyDescent="0.2">
      <c r="A134" s="89"/>
      <c r="B134" s="89"/>
      <c r="C134" s="87"/>
      <c r="D134" s="88"/>
      <c r="E134" s="88"/>
      <c r="F134" s="88"/>
      <c r="G134" s="88"/>
      <c r="H134" s="88"/>
      <c r="I134" s="87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7"/>
      <c r="V134" s="89"/>
      <c r="W134" s="89"/>
      <c r="X134" s="89"/>
      <c r="Y134" s="89"/>
      <c r="Z134" s="89"/>
      <c r="AA134" s="89"/>
      <c r="AB134" s="89"/>
      <c r="AC134" s="89"/>
      <c r="AD134" s="96"/>
      <c r="AE134" s="89"/>
    </row>
    <row r="135" spans="1:31" s="97" customFormat="1" ht="24.95" customHeight="1" x14ac:dyDescent="0.2">
      <c r="A135" s="89"/>
      <c r="B135" s="89"/>
      <c r="C135" s="87"/>
      <c r="D135" s="88"/>
      <c r="E135" s="88"/>
      <c r="F135" s="88"/>
      <c r="G135" s="88"/>
      <c r="H135" s="88"/>
      <c r="I135" s="87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7"/>
      <c r="V135" s="89"/>
      <c r="W135" s="89"/>
      <c r="X135" s="89"/>
      <c r="Y135" s="89"/>
      <c r="Z135" s="89"/>
      <c r="AA135" s="89"/>
      <c r="AB135" s="89"/>
      <c r="AC135" s="89"/>
      <c r="AD135" s="96"/>
      <c r="AE135" s="89"/>
    </row>
    <row r="136" spans="1:31" s="97" customFormat="1" ht="24.95" customHeight="1" x14ac:dyDescent="0.2">
      <c r="A136" s="89"/>
      <c r="B136" s="89"/>
      <c r="C136" s="87"/>
      <c r="D136" s="88"/>
      <c r="E136" s="88"/>
      <c r="F136" s="88"/>
      <c r="G136" s="88"/>
      <c r="H136" s="88"/>
      <c r="I136" s="87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7"/>
      <c r="V136" s="89"/>
      <c r="W136" s="89"/>
      <c r="X136" s="89"/>
      <c r="Y136" s="89"/>
      <c r="Z136" s="89"/>
      <c r="AA136" s="89"/>
      <c r="AB136" s="89"/>
      <c r="AC136" s="89"/>
      <c r="AD136" s="96"/>
      <c r="AE136" s="89"/>
    </row>
    <row r="137" spans="1:31" s="97" customFormat="1" ht="24.95" customHeight="1" x14ac:dyDescent="0.2">
      <c r="A137" s="89"/>
      <c r="B137" s="89"/>
      <c r="C137" s="87"/>
      <c r="D137" s="88"/>
      <c r="E137" s="88"/>
      <c r="F137" s="88"/>
      <c r="G137" s="88"/>
      <c r="H137" s="88"/>
      <c r="I137" s="87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7"/>
      <c r="V137" s="89"/>
      <c r="W137" s="89"/>
      <c r="X137" s="89"/>
      <c r="Y137" s="89"/>
      <c r="Z137" s="89"/>
      <c r="AA137" s="89"/>
      <c r="AB137" s="89"/>
      <c r="AC137" s="89"/>
      <c r="AD137" s="96"/>
      <c r="AE137" s="89"/>
    </row>
    <row r="138" spans="1:31" s="97" customFormat="1" ht="24.95" customHeight="1" x14ac:dyDescent="0.2">
      <c r="A138" s="89"/>
      <c r="B138" s="89"/>
      <c r="C138" s="87"/>
      <c r="D138" s="88"/>
      <c r="E138" s="88"/>
      <c r="F138" s="88"/>
      <c r="G138" s="88"/>
      <c r="H138" s="88"/>
      <c r="I138" s="87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7"/>
      <c r="V138" s="89"/>
      <c r="W138" s="89"/>
      <c r="X138" s="89"/>
      <c r="Y138" s="89"/>
      <c r="Z138" s="89"/>
      <c r="AA138" s="89"/>
      <c r="AB138" s="89"/>
      <c r="AC138" s="89"/>
      <c r="AD138" s="96"/>
      <c r="AE138" s="89"/>
    </row>
    <row r="139" spans="1:31" s="97" customFormat="1" ht="24.95" customHeight="1" x14ac:dyDescent="0.2">
      <c r="A139" s="89"/>
      <c r="B139" s="89"/>
      <c r="C139" s="87"/>
      <c r="D139" s="88"/>
      <c r="E139" s="88"/>
      <c r="F139" s="88"/>
      <c r="G139" s="88"/>
      <c r="H139" s="88"/>
      <c r="I139" s="87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7"/>
      <c r="V139" s="89"/>
      <c r="W139" s="89"/>
      <c r="X139" s="89"/>
      <c r="Y139" s="89"/>
      <c r="Z139" s="89"/>
      <c r="AA139" s="89"/>
      <c r="AB139" s="89"/>
      <c r="AC139" s="89"/>
      <c r="AD139" s="96"/>
      <c r="AE139" s="89"/>
    </row>
    <row r="140" spans="1:31" s="97" customFormat="1" ht="24.95" customHeight="1" x14ac:dyDescent="0.2">
      <c r="A140" s="89"/>
      <c r="B140" s="89"/>
      <c r="C140" s="87"/>
      <c r="D140" s="88"/>
      <c r="E140" s="88"/>
      <c r="F140" s="88"/>
      <c r="G140" s="88"/>
      <c r="H140" s="88"/>
      <c r="I140" s="87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7"/>
      <c r="V140" s="89"/>
      <c r="W140" s="89"/>
      <c r="X140" s="89"/>
      <c r="Y140" s="89"/>
      <c r="Z140" s="89"/>
      <c r="AA140" s="89"/>
      <c r="AB140" s="89"/>
      <c r="AC140" s="89"/>
      <c r="AD140" s="96"/>
      <c r="AE140" s="89"/>
    </row>
    <row r="141" spans="1:31" s="97" customFormat="1" ht="24.95" customHeight="1" x14ac:dyDescent="0.2">
      <c r="A141" s="89"/>
      <c r="B141" s="89"/>
      <c r="C141" s="87"/>
      <c r="D141" s="88"/>
      <c r="E141" s="88"/>
      <c r="F141" s="88"/>
      <c r="G141" s="88"/>
      <c r="H141" s="88"/>
      <c r="I141" s="87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7"/>
      <c r="V141" s="89"/>
      <c r="W141" s="89"/>
      <c r="X141" s="89"/>
      <c r="Y141" s="89"/>
      <c r="Z141" s="89"/>
      <c r="AA141" s="89"/>
      <c r="AB141" s="89"/>
      <c r="AC141" s="89"/>
      <c r="AD141" s="96"/>
      <c r="AE141" s="89"/>
    </row>
    <row r="142" spans="1:31" s="97" customFormat="1" ht="24.95" customHeight="1" x14ac:dyDescent="0.2">
      <c r="A142" s="89"/>
      <c r="B142" s="89"/>
      <c r="C142" s="87"/>
      <c r="D142" s="88"/>
      <c r="E142" s="88"/>
      <c r="F142" s="88"/>
      <c r="G142" s="88"/>
      <c r="H142" s="88"/>
      <c r="I142" s="87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7"/>
      <c r="V142" s="89"/>
      <c r="W142" s="89"/>
      <c r="X142" s="89"/>
      <c r="Y142" s="89"/>
      <c r="Z142" s="89"/>
      <c r="AA142" s="89"/>
      <c r="AB142" s="89"/>
      <c r="AC142" s="89"/>
      <c r="AD142" s="96"/>
      <c r="AE142" s="89"/>
    </row>
    <row r="143" spans="1:31" s="97" customFormat="1" ht="24.95" customHeight="1" x14ac:dyDescent="0.2">
      <c r="A143" s="89"/>
      <c r="B143" s="89"/>
      <c r="C143" s="87"/>
      <c r="D143" s="88"/>
      <c r="E143" s="88"/>
      <c r="F143" s="88"/>
      <c r="G143" s="88"/>
      <c r="H143" s="88"/>
      <c r="I143" s="87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7"/>
      <c r="V143" s="89"/>
      <c r="W143" s="89"/>
      <c r="X143" s="89"/>
      <c r="Y143" s="89"/>
      <c r="Z143" s="89"/>
      <c r="AA143" s="89"/>
      <c r="AB143" s="89"/>
      <c r="AC143" s="89"/>
      <c r="AD143" s="96"/>
      <c r="AE143" s="89"/>
    </row>
    <row r="144" spans="1:31" s="97" customFormat="1" ht="24.95" customHeight="1" x14ac:dyDescent="0.2">
      <c r="A144" s="89"/>
      <c r="B144" s="89"/>
      <c r="C144" s="87"/>
      <c r="D144" s="88"/>
      <c r="E144" s="88"/>
      <c r="F144" s="88"/>
      <c r="G144" s="88"/>
      <c r="H144" s="88"/>
      <c r="I144" s="87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7"/>
      <c r="V144" s="89"/>
      <c r="W144" s="89"/>
      <c r="X144" s="89"/>
      <c r="Y144" s="89"/>
      <c r="Z144" s="89"/>
      <c r="AA144" s="89"/>
      <c r="AB144" s="89"/>
      <c r="AC144" s="89"/>
      <c r="AD144" s="96"/>
      <c r="AE144" s="89"/>
    </row>
    <row r="145" spans="1:31" s="97" customFormat="1" ht="24.95" customHeight="1" x14ac:dyDescent="0.2">
      <c r="A145" s="89"/>
      <c r="B145" s="89"/>
      <c r="C145" s="87"/>
      <c r="D145" s="88"/>
      <c r="E145" s="88"/>
      <c r="F145" s="88"/>
      <c r="G145" s="88"/>
      <c r="H145" s="88"/>
      <c r="I145" s="87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7"/>
      <c r="V145" s="89"/>
      <c r="W145" s="89"/>
      <c r="X145" s="89"/>
      <c r="Y145" s="89"/>
      <c r="Z145" s="89"/>
      <c r="AA145" s="89"/>
      <c r="AB145" s="89"/>
      <c r="AC145" s="89"/>
      <c r="AD145" s="96"/>
      <c r="AE145" s="89"/>
    </row>
    <row r="146" spans="1:31" s="97" customFormat="1" ht="24.95" customHeight="1" x14ac:dyDescent="0.2">
      <c r="A146" s="89"/>
      <c r="B146" s="89"/>
      <c r="C146" s="87"/>
      <c r="D146" s="88"/>
      <c r="E146" s="88"/>
      <c r="F146" s="88"/>
      <c r="G146" s="88"/>
      <c r="H146" s="88"/>
      <c r="I146" s="87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7"/>
      <c r="V146" s="89"/>
      <c r="W146" s="89"/>
      <c r="X146" s="89"/>
      <c r="Y146" s="89"/>
      <c r="Z146" s="89"/>
      <c r="AA146" s="89"/>
      <c r="AB146" s="89"/>
      <c r="AC146" s="89"/>
      <c r="AD146" s="96"/>
      <c r="AE146" s="89"/>
    </row>
    <row r="147" spans="1:31" s="97" customFormat="1" ht="24.95" customHeight="1" x14ac:dyDescent="0.2">
      <c r="A147" s="89"/>
      <c r="B147" s="89"/>
      <c r="C147" s="87"/>
      <c r="D147" s="88"/>
      <c r="E147" s="88"/>
      <c r="F147" s="88"/>
      <c r="G147" s="88"/>
      <c r="H147" s="88"/>
      <c r="I147" s="87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7"/>
      <c r="V147" s="89"/>
      <c r="W147" s="89"/>
      <c r="X147" s="89"/>
      <c r="Y147" s="89"/>
      <c r="Z147" s="89"/>
      <c r="AA147" s="89"/>
      <c r="AB147" s="89"/>
      <c r="AC147" s="89"/>
      <c r="AD147" s="96"/>
      <c r="AE147" s="89"/>
    </row>
    <row r="148" spans="1:31" s="97" customFormat="1" ht="24.95" customHeight="1" x14ac:dyDescent="0.2">
      <c r="A148" s="89"/>
      <c r="B148" s="89"/>
      <c r="C148" s="87"/>
      <c r="D148" s="88"/>
      <c r="E148" s="88"/>
      <c r="F148" s="88"/>
      <c r="G148" s="88"/>
      <c r="H148" s="88"/>
      <c r="I148" s="87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7"/>
      <c r="V148" s="89"/>
      <c r="W148" s="89"/>
      <c r="X148" s="89"/>
      <c r="Y148" s="89"/>
      <c r="Z148" s="89"/>
      <c r="AA148" s="89"/>
      <c r="AB148" s="89"/>
      <c r="AC148" s="89"/>
      <c r="AD148" s="96"/>
      <c r="AE148" s="89"/>
    </row>
    <row r="149" spans="1:31" s="97" customFormat="1" ht="24.95" customHeight="1" x14ac:dyDescent="0.2">
      <c r="A149" s="89"/>
      <c r="B149" s="89"/>
      <c r="C149" s="87"/>
      <c r="D149" s="88"/>
      <c r="E149" s="88"/>
      <c r="F149" s="88"/>
      <c r="G149" s="88"/>
      <c r="H149" s="88"/>
      <c r="I149" s="87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7"/>
      <c r="V149" s="89"/>
      <c r="W149" s="89"/>
      <c r="X149" s="89"/>
      <c r="Y149" s="89"/>
      <c r="Z149" s="89"/>
      <c r="AA149" s="89"/>
      <c r="AB149" s="89"/>
      <c r="AC149" s="89"/>
      <c r="AD149" s="96"/>
      <c r="AE149" s="89"/>
    </row>
    <row r="150" spans="1:31" s="97" customFormat="1" ht="24.95" customHeight="1" x14ac:dyDescent="0.2">
      <c r="A150" s="89"/>
      <c r="B150" s="89"/>
      <c r="C150" s="87"/>
      <c r="D150" s="88"/>
      <c r="E150" s="88"/>
      <c r="F150" s="88"/>
      <c r="G150" s="88"/>
      <c r="H150" s="88"/>
      <c r="I150" s="87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7"/>
      <c r="V150" s="89"/>
      <c r="W150" s="89"/>
      <c r="X150" s="89"/>
      <c r="Y150" s="89"/>
      <c r="Z150" s="89"/>
      <c r="AA150" s="89"/>
      <c r="AB150" s="89"/>
      <c r="AC150" s="89"/>
      <c r="AD150" s="96"/>
      <c r="AE150" s="89"/>
    </row>
    <row r="151" spans="1:31" s="97" customFormat="1" ht="24.95" customHeight="1" x14ac:dyDescent="0.2">
      <c r="A151" s="89"/>
      <c r="B151" s="89"/>
      <c r="C151" s="87"/>
      <c r="D151" s="88"/>
      <c r="E151" s="88"/>
      <c r="F151" s="88"/>
      <c r="G151" s="88"/>
      <c r="H151" s="88"/>
      <c r="I151" s="87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7"/>
      <c r="V151" s="89"/>
      <c r="W151" s="89"/>
      <c r="X151" s="89"/>
      <c r="Y151" s="89"/>
      <c r="Z151" s="89"/>
      <c r="AA151" s="89"/>
      <c r="AB151" s="89"/>
      <c r="AC151" s="89"/>
      <c r="AD151" s="96"/>
      <c r="AE151" s="89"/>
    </row>
    <row r="152" spans="1:31" s="97" customFormat="1" ht="24.95" customHeight="1" x14ac:dyDescent="0.2">
      <c r="A152" s="89"/>
      <c r="B152" s="89"/>
      <c r="C152" s="87"/>
      <c r="D152" s="88"/>
      <c r="E152" s="88"/>
      <c r="F152" s="88"/>
      <c r="G152" s="88"/>
      <c r="H152" s="88"/>
      <c r="I152" s="87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7"/>
      <c r="V152" s="89"/>
      <c r="W152" s="89"/>
      <c r="X152" s="89"/>
      <c r="Y152" s="89"/>
      <c r="Z152" s="89"/>
      <c r="AA152" s="89"/>
      <c r="AB152" s="89"/>
      <c r="AC152" s="89"/>
      <c r="AD152" s="96"/>
      <c r="AE152" s="89"/>
    </row>
    <row r="153" spans="1:31" s="97" customFormat="1" ht="24.95" customHeight="1" x14ac:dyDescent="0.2">
      <c r="A153" s="89"/>
      <c r="B153" s="89"/>
      <c r="C153" s="87"/>
      <c r="D153" s="88"/>
      <c r="E153" s="88"/>
      <c r="F153" s="88"/>
      <c r="G153" s="88"/>
      <c r="H153" s="88"/>
      <c r="I153" s="87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7"/>
      <c r="V153" s="89"/>
      <c r="W153" s="89"/>
      <c r="X153" s="89"/>
      <c r="Y153" s="89"/>
      <c r="Z153" s="89"/>
      <c r="AA153" s="89"/>
      <c r="AB153" s="89"/>
      <c r="AC153" s="89"/>
      <c r="AD153" s="96"/>
      <c r="AE153" s="89"/>
    </row>
    <row r="154" spans="1:31" s="97" customFormat="1" ht="24.95" customHeight="1" x14ac:dyDescent="0.2">
      <c r="A154" s="89"/>
      <c r="B154" s="89"/>
      <c r="C154" s="87"/>
      <c r="D154" s="88"/>
      <c r="E154" s="88"/>
      <c r="F154" s="88"/>
      <c r="G154" s="88"/>
      <c r="H154" s="88"/>
      <c r="I154" s="87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7"/>
      <c r="V154" s="89"/>
      <c r="W154" s="89"/>
      <c r="X154" s="89"/>
      <c r="Y154" s="89"/>
      <c r="Z154" s="89"/>
      <c r="AA154" s="89"/>
      <c r="AB154" s="89"/>
      <c r="AC154" s="89"/>
      <c r="AD154" s="96"/>
      <c r="AE154" s="89"/>
    </row>
    <row r="155" spans="1:31" s="97" customFormat="1" ht="24.95" customHeight="1" x14ac:dyDescent="0.2">
      <c r="A155" s="89"/>
      <c r="B155" s="89"/>
      <c r="C155" s="87"/>
      <c r="D155" s="88"/>
      <c r="E155" s="88"/>
      <c r="F155" s="88"/>
      <c r="G155" s="88"/>
      <c r="H155" s="88"/>
      <c r="I155" s="87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7"/>
      <c r="V155" s="89"/>
      <c r="W155" s="89"/>
      <c r="X155" s="89"/>
      <c r="Y155" s="89"/>
      <c r="Z155" s="89"/>
      <c r="AA155" s="89"/>
      <c r="AB155" s="89"/>
      <c r="AC155" s="89"/>
      <c r="AD155" s="96"/>
      <c r="AE155" s="89"/>
    </row>
    <row r="156" spans="1:31" s="97" customFormat="1" ht="24.95" customHeight="1" x14ac:dyDescent="0.2">
      <c r="A156" s="89"/>
      <c r="B156" s="89"/>
      <c r="C156" s="87"/>
      <c r="D156" s="88"/>
      <c r="E156" s="88"/>
      <c r="F156" s="88"/>
      <c r="G156" s="88"/>
      <c r="H156" s="88"/>
      <c r="I156" s="87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7"/>
      <c r="V156" s="89"/>
      <c r="W156" s="89"/>
      <c r="X156" s="89"/>
      <c r="Y156" s="89"/>
      <c r="Z156" s="89"/>
      <c r="AA156" s="89"/>
      <c r="AB156" s="89"/>
      <c r="AC156" s="89"/>
      <c r="AD156" s="96"/>
      <c r="AE156" s="89"/>
    </row>
    <row r="157" spans="1:31" s="97" customFormat="1" ht="24.95" customHeight="1" x14ac:dyDescent="0.2">
      <c r="A157" s="89"/>
      <c r="B157" s="89"/>
      <c r="C157" s="87"/>
      <c r="D157" s="88"/>
      <c r="E157" s="88"/>
      <c r="F157" s="88"/>
      <c r="G157" s="88"/>
      <c r="H157" s="88"/>
      <c r="I157" s="87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7"/>
      <c r="V157" s="89"/>
      <c r="W157" s="89"/>
      <c r="X157" s="89"/>
      <c r="Y157" s="89"/>
      <c r="Z157" s="89"/>
      <c r="AA157" s="89"/>
      <c r="AB157" s="89"/>
      <c r="AC157" s="89"/>
      <c r="AD157" s="96"/>
      <c r="AE157" s="89"/>
    </row>
    <row r="158" spans="1:31" s="97" customFormat="1" ht="24.95" customHeight="1" x14ac:dyDescent="0.2">
      <c r="A158" s="89"/>
      <c r="B158" s="89"/>
      <c r="C158" s="87"/>
      <c r="D158" s="88"/>
      <c r="E158" s="88"/>
      <c r="F158" s="88"/>
      <c r="G158" s="88"/>
      <c r="H158" s="88"/>
      <c r="I158" s="87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7"/>
      <c r="V158" s="89"/>
      <c r="W158" s="89"/>
      <c r="X158" s="89"/>
      <c r="Y158" s="89"/>
      <c r="Z158" s="89"/>
      <c r="AA158" s="89"/>
      <c r="AB158" s="89"/>
      <c r="AC158" s="89"/>
      <c r="AD158" s="96"/>
      <c r="AE158" s="89"/>
    </row>
    <row r="159" spans="1:31" s="97" customFormat="1" ht="24.95" customHeight="1" x14ac:dyDescent="0.2">
      <c r="A159" s="89"/>
      <c r="B159" s="89"/>
      <c r="C159" s="87"/>
      <c r="D159" s="88"/>
      <c r="E159" s="88"/>
      <c r="F159" s="88"/>
      <c r="G159" s="88"/>
      <c r="H159" s="88"/>
      <c r="I159" s="87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7"/>
      <c r="V159" s="89"/>
      <c r="W159" s="89"/>
      <c r="X159" s="89"/>
      <c r="Y159" s="89"/>
      <c r="Z159" s="89"/>
      <c r="AA159" s="89"/>
      <c r="AB159" s="89"/>
      <c r="AC159" s="89"/>
      <c r="AD159" s="96"/>
      <c r="AE159" s="89"/>
    </row>
    <row r="160" spans="1:31" s="97" customFormat="1" ht="24.95" customHeight="1" x14ac:dyDescent="0.2">
      <c r="A160" s="89"/>
      <c r="B160" s="89"/>
      <c r="C160" s="87"/>
      <c r="D160" s="88"/>
      <c r="E160" s="88"/>
      <c r="F160" s="88"/>
      <c r="G160" s="88"/>
      <c r="H160" s="88"/>
      <c r="I160" s="87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7"/>
      <c r="V160" s="89"/>
      <c r="W160" s="89"/>
      <c r="X160" s="89"/>
      <c r="Y160" s="89"/>
      <c r="Z160" s="89"/>
      <c r="AA160" s="89"/>
      <c r="AB160" s="89"/>
      <c r="AC160" s="89"/>
      <c r="AD160" s="96"/>
      <c r="AE160" s="89"/>
    </row>
    <row r="161" spans="1:31" s="97" customFormat="1" ht="24.95" customHeight="1" x14ac:dyDescent="0.2">
      <c r="A161" s="89"/>
      <c r="B161" s="89"/>
      <c r="C161" s="87"/>
      <c r="D161" s="88"/>
      <c r="E161" s="88"/>
      <c r="F161" s="88"/>
      <c r="G161" s="88"/>
      <c r="H161" s="88"/>
      <c r="I161" s="87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7"/>
      <c r="V161" s="89"/>
      <c r="W161" s="89"/>
      <c r="X161" s="89"/>
      <c r="Y161" s="89"/>
      <c r="Z161" s="89"/>
      <c r="AA161" s="89"/>
      <c r="AB161" s="89"/>
      <c r="AC161" s="89"/>
      <c r="AD161" s="96"/>
      <c r="AE161" s="89"/>
    </row>
    <row r="162" spans="1:31" s="97" customFormat="1" ht="24.95" customHeight="1" x14ac:dyDescent="0.2">
      <c r="A162" s="89"/>
      <c r="B162" s="89"/>
      <c r="C162" s="87"/>
      <c r="D162" s="88"/>
      <c r="E162" s="88"/>
      <c r="F162" s="88"/>
      <c r="G162" s="88"/>
      <c r="H162" s="88"/>
      <c r="I162" s="87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7"/>
      <c r="V162" s="89"/>
      <c r="W162" s="89"/>
      <c r="X162" s="89"/>
      <c r="Y162" s="89"/>
      <c r="Z162" s="89"/>
      <c r="AA162" s="89"/>
      <c r="AB162" s="89"/>
      <c r="AC162" s="89"/>
      <c r="AD162" s="96"/>
      <c r="AE162" s="89"/>
    </row>
    <row r="163" spans="1:31" s="97" customFormat="1" ht="24.95" customHeight="1" x14ac:dyDescent="0.2">
      <c r="A163" s="89"/>
      <c r="B163" s="89"/>
      <c r="C163" s="87"/>
      <c r="D163" s="88"/>
      <c r="E163" s="88"/>
      <c r="F163" s="88"/>
      <c r="G163" s="88"/>
      <c r="H163" s="88"/>
      <c r="I163" s="87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7"/>
      <c r="V163" s="89"/>
      <c r="W163" s="89"/>
      <c r="X163" s="89"/>
      <c r="Y163" s="89"/>
      <c r="Z163" s="89"/>
      <c r="AA163" s="89"/>
      <c r="AB163" s="89"/>
      <c r="AC163" s="89"/>
      <c r="AD163" s="96"/>
      <c r="AE163" s="89"/>
    </row>
    <row r="164" spans="1:31" s="97" customFormat="1" ht="24.95" customHeight="1" x14ac:dyDescent="0.2">
      <c r="A164" s="89"/>
      <c r="B164" s="89"/>
      <c r="C164" s="87"/>
      <c r="D164" s="88"/>
      <c r="E164" s="88"/>
      <c r="F164" s="88"/>
      <c r="G164" s="88"/>
      <c r="H164" s="88"/>
      <c r="I164" s="87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7"/>
      <c r="V164" s="89"/>
      <c r="W164" s="89"/>
      <c r="X164" s="89"/>
      <c r="Y164" s="89"/>
      <c r="Z164" s="89"/>
      <c r="AA164" s="89"/>
      <c r="AB164" s="89"/>
      <c r="AC164" s="89"/>
      <c r="AD164" s="96"/>
      <c r="AE164" s="89"/>
    </row>
    <row r="165" spans="1:31" s="97" customFormat="1" ht="24.95" customHeight="1" x14ac:dyDescent="0.2">
      <c r="A165" s="89"/>
      <c r="B165" s="89"/>
      <c r="C165" s="87"/>
      <c r="D165" s="88"/>
      <c r="E165" s="88"/>
      <c r="F165" s="88"/>
      <c r="G165" s="88"/>
      <c r="H165" s="88"/>
      <c r="I165" s="87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7"/>
      <c r="V165" s="89"/>
      <c r="W165" s="89"/>
      <c r="X165" s="89"/>
      <c r="Y165" s="89"/>
      <c r="Z165" s="89"/>
      <c r="AA165" s="89"/>
      <c r="AB165" s="89"/>
      <c r="AC165" s="89"/>
      <c r="AD165" s="96"/>
      <c r="AE165" s="89"/>
    </row>
    <row r="166" spans="1:31" s="97" customFormat="1" ht="24.95" customHeight="1" x14ac:dyDescent="0.2">
      <c r="A166" s="89"/>
      <c r="B166" s="89"/>
      <c r="C166" s="87"/>
      <c r="D166" s="88"/>
      <c r="E166" s="88"/>
      <c r="F166" s="88"/>
      <c r="G166" s="88"/>
      <c r="H166" s="88"/>
      <c r="I166" s="87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7"/>
      <c r="V166" s="89"/>
      <c r="W166" s="89"/>
      <c r="X166" s="89"/>
      <c r="Y166" s="89"/>
      <c r="Z166" s="89"/>
      <c r="AA166" s="89"/>
      <c r="AB166" s="89"/>
      <c r="AC166" s="89"/>
      <c r="AD166" s="96"/>
      <c r="AE166" s="89"/>
    </row>
    <row r="167" spans="1:31" s="97" customFormat="1" ht="24.95" customHeight="1" x14ac:dyDescent="0.2">
      <c r="A167" s="89"/>
      <c r="B167" s="89"/>
      <c r="C167" s="87"/>
      <c r="D167" s="88"/>
      <c r="E167" s="88"/>
      <c r="F167" s="88"/>
      <c r="G167" s="88"/>
      <c r="H167" s="88"/>
      <c r="I167" s="87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7"/>
      <c r="V167" s="89"/>
      <c r="W167" s="89"/>
      <c r="X167" s="89"/>
      <c r="Y167" s="89"/>
      <c r="Z167" s="89"/>
      <c r="AA167" s="89"/>
      <c r="AB167" s="89"/>
      <c r="AC167" s="89"/>
      <c r="AD167" s="96"/>
      <c r="AE167" s="89"/>
    </row>
    <row r="168" spans="1:31" s="97" customFormat="1" ht="24.95" customHeight="1" x14ac:dyDescent="0.2">
      <c r="A168" s="89"/>
      <c r="B168" s="89"/>
      <c r="C168" s="87"/>
      <c r="D168" s="88"/>
      <c r="E168" s="88"/>
      <c r="F168" s="88"/>
      <c r="G168" s="88"/>
      <c r="H168" s="88"/>
      <c r="I168" s="87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7"/>
      <c r="V168" s="89"/>
      <c r="W168" s="89"/>
      <c r="X168" s="89"/>
      <c r="Y168" s="89"/>
      <c r="Z168" s="89"/>
      <c r="AA168" s="89"/>
      <c r="AB168" s="89"/>
      <c r="AC168" s="89"/>
      <c r="AD168" s="96"/>
      <c r="AE168" s="89"/>
    </row>
    <row r="169" spans="1:31" s="97" customFormat="1" ht="24.95" customHeight="1" x14ac:dyDescent="0.2">
      <c r="A169" s="89"/>
      <c r="B169" s="89"/>
      <c r="C169" s="87"/>
      <c r="D169" s="88"/>
      <c r="E169" s="88"/>
      <c r="F169" s="88"/>
      <c r="G169" s="88"/>
      <c r="H169" s="88"/>
      <c r="I169" s="87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7"/>
      <c r="V169" s="89"/>
      <c r="W169" s="89"/>
      <c r="X169" s="89"/>
      <c r="Y169" s="89"/>
      <c r="Z169" s="89"/>
      <c r="AA169" s="89"/>
      <c r="AB169" s="89"/>
      <c r="AC169" s="89"/>
      <c r="AD169" s="96"/>
      <c r="AE169" s="89"/>
    </row>
    <row r="170" spans="1:31" s="97" customFormat="1" ht="24.95" customHeight="1" x14ac:dyDescent="0.2">
      <c r="A170" s="89"/>
      <c r="B170" s="89"/>
      <c r="C170" s="87"/>
      <c r="D170" s="88"/>
      <c r="E170" s="88"/>
      <c r="F170" s="88"/>
      <c r="G170" s="88"/>
      <c r="H170" s="88"/>
      <c r="I170" s="87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7"/>
      <c r="V170" s="89"/>
      <c r="W170" s="89"/>
      <c r="X170" s="89"/>
      <c r="Y170" s="89"/>
      <c r="Z170" s="89"/>
      <c r="AA170" s="89"/>
      <c r="AB170" s="89"/>
      <c r="AC170" s="89"/>
      <c r="AD170" s="96"/>
      <c r="AE170" s="89"/>
    </row>
    <row r="171" spans="1:31" s="97" customFormat="1" ht="24.95" customHeight="1" x14ac:dyDescent="0.2">
      <c r="A171" s="89"/>
      <c r="B171" s="89"/>
      <c r="C171" s="87"/>
      <c r="D171" s="88"/>
      <c r="E171" s="88"/>
      <c r="F171" s="88"/>
      <c r="G171" s="88"/>
      <c r="H171" s="88"/>
      <c r="I171" s="87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7"/>
      <c r="V171" s="89"/>
      <c r="W171" s="89"/>
      <c r="X171" s="89"/>
      <c r="Y171" s="89"/>
      <c r="Z171" s="89"/>
      <c r="AA171" s="89"/>
      <c r="AB171" s="89"/>
      <c r="AC171" s="89"/>
      <c r="AD171" s="96"/>
      <c r="AE171" s="89"/>
    </row>
    <row r="172" spans="1:31" s="97" customFormat="1" ht="24.95" customHeight="1" x14ac:dyDescent="0.2">
      <c r="A172" s="89"/>
      <c r="B172" s="89"/>
      <c r="C172" s="87"/>
      <c r="D172" s="88"/>
      <c r="E172" s="88"/>
      <c r="F172" s="88"/>
      <c r="G172" s="88"/>
      <c r="H172" s="88"/>
      <c r="I172" s="87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7"/>
      <c r="V172" s="89"/>
      <c r="W172" s="89"/>
      <c r="X172" s="89"/>
      <c r="Y172" s="89"/>
      <c r="Z172" s="89"/>
      <c r="AA172" s="89"/>
      <c r="AB172" s="89"/>
      <c r="AC172" s="89"/>
      <c r="AD172" s="96"/>
      <c r="AE172" s="89"/>
    </row>
    <row r="173" spans="1:31" s="97" customFormat="1" ht="24.95" customHeight="1" x14ac:dyDescent="0.2">
      <c r="A173" s="89"/>
      <c r="B173" s="89"/>
      <c r="C173" s="87"/>
      <c r="D173" s="87"/>
      <c r="E173" s="88"/>
      <c r="F173" s="88"/>
      <c r="G173" s="88"/>
      <c r="H173" s="87"/>
      <c r="I173" s="87"/>
      <c r="J173" s="87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7"/>
      <c r="V173" s="89"/>
      <c r="W173" s="89"/>
      <c r="X173" s="89"/>
      <c r="Y173" s="89"/>
      <c r="Z173" s="89"/>
      <c r="AA173" s="89"/>
      <c r="AB173" s="89"/>
      <c r="AC173" s="89"/>
      <c r="AD173" s="96"/>
      <c r="AE173" s="89"/>
    </row>
    <row r="174" spans="1:31" s="97" customFormat="1" ht="24.95" customHeight="1" x14ac:dyDescent="0.2">
      <c r="A174" s="89"/>
      <c r="B174" s="89"/>
      <c r="C174" s="87"/>
      <c r="D174" s="88"/>
      <c r="E174" s="88"/>
      <c r="F174" s="88"/>
      <c r="G174" s="88"/>
      <c r="H174" s="88"/>
      <c r="I174" s="87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7"/>
      <c r="V174" s="89"/>
      <c r="W174" s="89"/>
      <c r="X174" s="89"/>
      <c r="Y174" s="89"/>
      <c r="Z174" s="89"/>
      <c r="AA174" s="89"/>
      <c r="AB174" s="89"/>
      <c r="AC174" s="89"/>
      <c r="AD174" s="96"/>
      <c r="AE174" s="89"/>
    </row>
    <row r="175" spans="1:31" s="97" customFormat="1" ht="24.95" customHeight="1" x14ac:dyDescent="0.2">
      <c r="A175" s="89"/>
      <c r="B175" s="89"/>
      <c r="C175" s="87"/>
      <c r="D175" s="88"/>
      <c r="E175" s="88"/>
      <c r="F175" s="88"/>
      <c r="G175" s="88"/>
      <c r="H175" s="88"/>
      <c r="I175" s="87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7"/>
      <c r="V175" s="89"/>
      <c r="W175" s="89"/>
      <c r="X175" s="89"/>
      <c r="Y175" s="89"/>
      <c r="Z175" s="89"/>
      <c r="AA175" s="89"/>
      <c r="AB175" s="89"/>
      <c r="AC175" s="89"/>
      <c r="AD175" s="96"/>
      <c r="AE175" s="89"/>
    </row>
    <row r="176" spans="1:31" s="97" customFormat="1" ht="24.95" customHeight="1" x14ac:dyDescent="0.2">
      <c r="A176" s="89"/>
      <c r="B176" s="89"/>
      <c r="C176" s="87"/>
      <c r="D176" s="88"/>
      <c r="E176" s="88"/>
      <c r="F176" s="88"/>
      <c r="G176" s="88"/>
      <c r="H176" s="88"/>
      <c r="I176" s="87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7"/>
      <c r="V176" s="89"/>
      <c r="W176" s="89"/>
      <c r="X176" s="89"/>
      <c r="Y176" s="89"/>
      <c r="Z176" s="89"/>
      <c r="AA176" s="89"/>
      <c r="AB176" s="89"/>
      <c r="AC176" s="89"/>
      <c r="AD176" s="96"/>
      <c r="AE176" s="89"/>
    </row>
    <row r="177" spans="1:31" s="97" customFormat="1" ht="24.95" customHeight="1" x14ac:dyDescent="0.2">
      <c r="A177" s="89"/>
      <c r="B177" s="89"/>
      <c r="C177" s="87"/>
      <c r="D177" s="88"/>
      <c r="E177" s="88"/>
      <c r="F177" s="88"/>
      <c r="G177" s="88"/>
      <c r="H177" s="88"/>
      <c r="I177" s="87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7"/>
      <c r="V177" s="89"/>
      <c r="W177" s="89"/>
      <c r="X177" s="89"/>
      <c r="Y177" s="89"/>
      <c r="Z177" s="89"/>
      <c r="AA177" s="89"/>
      <c r="AB177" s="89"/>
      <c r="AC177" s="89"/>
      <c r="AD177" s="96"/>
      <c r="AE177" s="89"/>
    </row>
    <row r="178" spans="1:31" s="97" customFormat="1" ht="24.95" customHeight="1" x14ac:dyDescent="0.2">
      <c r="A178" s="89"/>
      <c r="B178" s="89"/>
      <c r="C178" s="87"/>
      <c r="D178" s="88"/>
      <c r="E178" s="88"/>
      <c r="F178" s="88"/>
      <c r="G178" s="88"/>
      <c r="H178" s="88"/>
      <c r="I178" s="87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7"/>
      <c r="V178" s="89"/>
      <c r="W178" s="89"/>
      <c r="X178" s="89"/>
      <c r="Y178" s="89"/>
      <c r="Z178" s="89"/>
      <c r="AA178" s="89"/>
      <c r="AB178" s="89"/>
      <c r="AC178" s="89"/>
      <c r="AD178" s="96"/>
      <c r="AE178" s="89"/>
    </row>
    <row r="179" spans="1:31" s="97" customFormat="1" ht="24.95" customHeight="1" x14ac:dyDescent="0.2">
      <c r="A179" s="89"/>
      <c r="B179" s="89"/>
      <c r="C179" s="87"/>
      <c r="D179" s="88"/>
      <c r="E179" s="88"/>
      <c r="F179" s="88"/>
      <c r="G179" s="88"/>
      <c r="H179" s="88"/>
      <c r="I179" s="87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7"/>
      <c r="V179" s="89"/>
      <c r="W179" s="89"/>
      <c r="X179" s="89"/>
      <c r="Y179" s="89"/>
      <c r="Z179" s="89"/>
      <c r="AA179" s="89"/>
      <c r="AB179" s="89"/>
      <c r="AC179" s="89"/>
      <c r="AD179" s="96"/>
      <c r="AE179" s="89"/>
    </row>
    <row r="180" spans="1:31" s="97" customFormat="1" ht="24.95" customHeight="1" x14ac:dyDescent="0.2">
      <c r="A180" s="89"/>
      <c r="B180" s="89"/>
      <c r="C180" s="87"/>
      <c r="D180" s="88"/>
      <c r="E180" s="88"/>
      <c r="F180" s="88"/>
      <c r="G180" s="88"/>
      <c r="H180" s="88"/>
      <c r="I180" s="87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7"/>
      <c r="V180" s="89"/>
      <c r="W180" s="89"/>
      <c r="X180" s="89"/>
      <c r="Y180" s="89"/>
      <c r="Z180" s="89"/>
      <c r="AA180" s="89"/>
      <c r="AB180" s="89"/>
      <c r="AC180" s="89"/>
      <c r="AD180" s="96"/>
      <c r="AE180" s="89"/>
    </row>
    <row r="181" spans="1:31" s="97" customFormat="1" ht="24.95" customHeight="1" x14ac:dyDescent="0.2">
      <c r="A181" s="89"/>
      <c r="B181" s="89"/>
      <c r="C181" s="87"/>
      <c r="D181" s="88"/>
      <c r="E181" s="88"/>
      <c r="F181" s="88"/>
      <c r="G181" s="88"/>
      <c r="H181" s="88"/>
      <c r="I181" s="87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7"/>
      <c r="V181" s="89"/>
      <c r="W181" s="89"/>
      <c r="X181" s="89"/>
      <c r="Y181" s="89"/>
      <c r="Z181" s="89"/>
      <c r="AA181" s="89"/>
      <c r="AB181" s="89"/>
      <c r="AC181" s="89"/>
      <c r="AD181" s="96"/>
      <c r="AE181" s="89"/>
    </row>
    <row r="182" spans="1:31" s="97" customFormat="1" ht="24.95" customHeight="1" x14ac:dyDescent="0.2">
      <c r="A182" s="89"/>
      <c r="B182" s="89"/>
      <c r="C182" s="87"/>
      <c r="D182" s="88"/>
      <c r="E182" s="88"/>
      <c r="F182" s="88"/>
      <c r="G182" s="88"/>
      <c r="H182" s="88"/>
      <c r="I182" s="87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7"/>
      <c r="V182" s="89"/>
      <c r="W182" s="89"/>
      <c r="X182" s="89"/>
      <c r="Y182" s="89"/>
      <c r="Z182" s="89"/>
      <c r="AA182" s="89"/>
      <c r="AB182" s="89"/>
      <c r="AC182" s="89"/>
      <c r="AD182" s="96"/>
      <c r="AE182" s="89"/>
    </row>
    <row r="183" spans="1:31" s="97" customFormat="1" ht="24.95" customHeight="1" x14ac:dyDescent="0.2">
      <c r="A183" s="89"/>
      <c r="B183" s="89"/>
      <c r="C183" s="87"/>
      <c r="D183" s="88"/>
      <c r="E183" s="88"/>
      <c r="F183" s="88"/>
      <c r="G183" s="88"/>
      <c r="H183" s="88"/>
      <c r="I183" s="87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7"/>
      <c r="V183" s="89"/>
      <c r="W183" s="89"/>
      <c r="X183" s="89"/>
      <c r="Y183" s="89"/>
      <c r="Z183" s="89"/>
      <c r="AA183" s="89"/>
      <c r="AB183" s="89"/>
      <c r="AC183" s="89"/>
      <c r="AD183" s="96"/>
      <c r="AE183" s="89"/>
    </row>
    <row r="184" spans="1:31" s="97" customFormat="1" ht="24.95" customHeight="1" x14ac:dyDescent="0.2">
      <c r="A184" s="89"/>
      <c r="B184" s="89"/>
      <c r="C184" s="87"/>
      <c r="D184" s="88"/>
      <c r="E184" s="88"/>
      <c r="F184" s="88"/>
      <c r="G184" s="88"/>
      <c r="H184" s="88"/>
      <c r="I184" s="87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7"/>
      <c r="V184" s="89"/>
      <c r="W184" s="89"/>
      <c r="X184" s="89"/>
      <c r="Y184" s="89"/>
      <c r="Z184" s="89"/>
      <c r="AA184" s="89"/>
      <c r="AB184" s="89"/>
      <c r="AC184" s="89"/>
      <c r="AD184" s="96"/>
      <c r="AE184" s="89"/>
    </row>
    <row r="185" spans="1:31" s="97" customFormat="1" ht="24.95" customHeight="1" x14ac:dyDescent="0.2">
      <c r="A185" s="89"/>
      <c r="B185" s="89"/>
      <c r="C185" s="87"/>
      <c r="D185" s="88"/>
      <c r="E185" s="88"/>
      <c r="F185" s="88"/>
      <c r="G185" s="88"/>
      <c r="H185" s="88"/>
      <c r="I185" s="87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7"/>
      <c r="V185" s="89"/>
      <c r="W185" s="89"/>
      <c r="X185" s="89"/>
      <c r="Y185" s="89"/>
      <c r="Z185" s="89"/>
      <c r="AA185" s="89"/>
      <c r="AB185" s="89"/>
      <c r="AC185" s="89"/>
      <c r="AD185" s="96"/>
      <c r="AE185" s="89"/>
    </row>
    <row r="186" spans="1:31" s="97" customFormat="1" ht="24.95" customHeight="1" x14ac:dyDescent="0.2">
      <c r="A186" s="89"/>
      <c r="B186" s="89"/>
      <c r="C186" s="87"/>
      <c r="D186" s="88"/>
      <c r="E186" s="88"/>
      <c r="F186" s="88"/>
      <c r="G186" s="88"/>
      <c r="H186" s="88"/>
      <c r="I186" s="87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7"/>
      <c r="V186" s="89"/>
      <c r="W186" s="89"/>
      <c r="X186" s="89"/>
      <c r="Y186" s="89"/>
      <c r="Z186" s="89"/>
      <c r="AA186" s="89"/>
      <c r="AB186" s="89"/>
      <c r="AC186" s="89"/>
      <c r="AD186" s="96"/>
      <c r="AE186" s="89"/>
    </row>
    <row r="187" spans="1:31" s="97" customFormat="1" ht="24.95" customHeight="1" x14ac:dyDescent="0.2">
      <c r="A187" s="89"/>
      <c r="B187" s="89"/>
      <c r="C187" s="87"/>
      <c r="D187" s="88"/>
      <c r="E187" s="88"/>
      <c r="F187" s="88"/>
      <c r="G187" s="88"/>
      <c r="H187" s="88"/>
      <c r="I187" s="87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7"/>
      <c r="V187" s="89"/>
      <c r="W187" s="89"/>
      <c r="X187" s="89"/>
      <c r="Y187" s="89"/>
      <c r="Z187" s="89"/>
      <c r="AA187" s="89"/>
      <c r="AB187" s="89"/>
      <c r="AC187" s="89"/>
      <c r="AD187" s="96"/>
      <c r="AE187" s="89"/>
    </row>
    <row r="188" spans="1:31" s="97" customFormat="1" ht="24.95" customHeight="1" x14ac:dyDescent="0.2">
      <c r="A188" s="89"/>
      <c r="B188" s="89"/>
      <c r="C188" s="87"/>
      <c r="D188" s="88"/>
      <c r="E188" s="88"/>
      <c r="F188" s="88"/>
      <c r="G188" s="88"/>
      <c r="H188" s="88"/>
      <c r="I188" s="87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7"/>
      <c r="V188" s="89"/>
      <c r="W188" s="89"/>
      <c r="X188" s="89"/>
      <c r="Y188" s="89"/>
      <c r="Z188" s="89"/>
      <c r="AA188" s="89"/>
      <c r="AB188" s="89"/>
      <c r="AC188" s="89"/>
      <c r="AD188" s="96"/>
      <c r="AE188" s="89"/>
    </row>
    <row r="189" spans="1:31" s="97" customFormat="1" ht="24.95" customHeight="1" x14ac:dyDescent="0.2">
      <c r="A189" s="89"/>
      <c r="B189" s="89"/>
      <c r="C189" s="87"/>
      <c r="D189" s="88"/>
      <c r="E189" s="88"/>
      <c r="F189" s="88"/>
      <c r="G189" s="88"/>
      <c r="H189" s="88"/>
      <c r="I189" s="87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7"/>
      <c r="V189" s="89"/>
      <c r="W189" s="89"/>
      <c r="X189" s="89"/>
      <c r="Y189" s="89"/>
      <c r="Z189" s="89"/>
      <c r="AA189" s="89"/>
      <c r="AB189" s="89"/>
      <c r="AC189" s="89"/>
      <c r="AD189" s="96"/>
      <c r="AE189" s="89"/>
    </row>
    <row r="190" spans="1:31" s="97" customFormat="1" ht="24.95" customHeight="1" x14ac:dyDescent="0.2">
      <c r="A190" s="89"/>
      <c r="B190" s="89"/>
      <c r="C190" s="87"/>
      <c r="D190" s="88"/>
      <c r="E190" s="88"/>
      <c r="F190" s="88"/>
      <c r="G190" s="88"/>
      <c r="H190" s="88"/>
      <c r="I190" s="87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7"/>
      <c r="V190" s="89"/>
      <c r="W190" s="89"/>
      <c r="X190" s="89"/>
      <c r="Y190" s="89"/>
      <c r="Z190" s="89"/>
      <c r="AA190" s="89"/>
      <c r="AB190" s="89"/>
      <c r="AC190" s="89"/>
      <c r="AD190" s="96"/>
      <c r="AE190" s="89"/>
    </row>
    <row r="191" spans="1:31" s="97" customFormat="1" ht="24.95" customHeight="1" x14ac:dyDescent="0.2">
      <c r="A191" s="89"/>
      <c r="B191" s="89"/>
      <c r="C191" s="87"/>
      <c r="D191" s="88"/>
      <c r="E191" s="88"/>
      <c r="F191" s="88"/>
      <c r="G191" s="88"/>
      <c r="H191" s="88"/>
      <c r="I191" s="87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7"/>
      <c r="V191" s="89"/>
      <c r="W191" s="89"/>
      <c r="X191" s="89"/>
      <c r="Y191" s="89"/>
      <c r="Z191" s="89"/>
      <c r="AA191" s="89"/>
      <c r="AB191" s="89"/>
      <c r="AC191" s="89"/>
      <c r="AD191" s="96"/>
      <c r="AE191" s="89"/>
    </row>
    <row r="192" spans="1:31" s="97" customFormat="1" ht="24.95" customHeight="1" x14ac:dyDescent="0.2">
      <c r="A192" s="89"/>
      <c r="B192" s="89"/>
      <c r="C192" s="87"/>
      <c r="D192" s="88"/>
      <c r="E192" s="88"/>
      <c r="F192" s="88"/>
      <c r="G192" s="88"/>
      <c r="H192" s="88"/>
      <c r="I192" s="87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7"/>
      <c r="V192" s="89"/>
      <c r="W192" s="89"/>
      <c r="X192" s="89"/>
      <c r="Y192" s="89"/>
      <c r="Z192" s="89"/>
      <c r="AA192" s="89"/>
      <c r="AB192" s="89"/>
      <c r="AC192" s="89"/>
      <c r="AD192" s="96"/>
      <c r="AE192" s="89"/>
    </row>
    <row r="193" spans="1:31" s="97" customFormat="1" ht="24.95" customHeight="1" x14ac:dyDescent="0.2">
      <c r="A193" s="89"/>
      <c r="B193" s="89"/>
      <c r="C193" s="87"/>
      <c r="D193" s="88"/>
      <c r="E193" s="88"/>
      <c r="F193" s="88"/>
      <c r="G193" s="88"/>
      <c r="H193" s="88"/>
      <c r="I193" s="87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7"/>
      <c r="V193" s="89"/>
      <c r="W193" s="89"/>
      <c r="X193" s="89"/>
      <c r="Y193" s="89"/>
      <c r="Z193" s="89"/>
      <c r="AA193" s="89"/>
      <c r="AB193" s="89"/>
      <c r="AC193" s="89"/>
      <c r="AD193" s="96"/>
      <c r="AE193" s="89"/>
    </row>
    <row r="194" spans="1:31" s="97" customFormat="1" ht="24.95" customHeight="1" x14ac:dyDescent="0.2">
      <c r="A194" s="89"/>
      <c r="B194" s="89"/>
      <c r="C194" s="87"/>
      <c r="D194" s="88"/>
      <c r="E194" s="88"/>
      <c r="F194" s="88"/>
      <c r="G194" s="88"/>
      <c r="H194" s="88"/>
      <c r="I194" s="87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7"/>
      <c r="V194" s="89"/>
      <c r="W194" s="89"/>
      <c r="X194" s="89"/>
      <c r="Y194" s="89"/>
      <c r="Z194" s="89"/>
      <c r="AA194" s="89"/>
      <c r="AB194" s="89"/>
      <c r="AC194" s="89"/>
      <c r="AD194" s="96"/>
      <c r="AE194" s="89"/>
    </row>
    <row r="195" spans="1:31" s="97" customFormat="1" ht="24.95" customHeight="1" x14ac:dyDescent="0.2">
      <c r="A195" s="89"/>
      <c r="B195" s="89"/>
      <c r="C195" s="87"/>
      <c r="D195" s="88"/>
      <c r="E195" s="88"/>
      <c r="F195" s="88"/>
      <c r="G195" s="88"/>
      <c r="H195" s="88"/>
      <c r="I195" s="87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7"/>
      <c r="V195" s="89"/>
      <c r="W195" s="89"/>
      <c r="X195" s="89"/>
      <c r="Y195" s="89"/>
      <c r="Z195" s="89"/>
      <c r="AA195" s="89"/>
      <c r="AB195" s="89"/>
      <c r="AC195" s="89"/>
      <c r="AD195" s="96"/>
      <c r="AE195" s="89"/>
    </row>
    <row r="196" spans="1:31" s="97" customFormat="1" ht="24.95" customHeight="1" x14ac:dyDescent="0.2">
      <c r="A196" s="89"/>
      <c r="B196" s="89"/>
      <c r="C196" s="87"/>
      <c r="D196" s="88"/>
      <c r="E196" s="88"/>
      <c r="F196" s="88"/>
      <c r="G196" s="88"/>
      <c r="H196" s="88"/>
      <c r="I196" s="87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7"/>
      <c r="V196" s="89"/>
      <c r="W196" s="89"/>
      <c r="X196" s="89"/>
      <c r="Y196" s="89"/>
      <c r="Z196" s="89"/>
      <c r="AA196" s="89"/>
      <c r="AB196" s="89"/>
      <c r="AC196" s="89"/>
      <c r="AD196" s="96"/>
      <c r="AE196" s="89"/>
    </row>
    <row r="197" spans="1:31" s="97" customFormat="1" ht="24.95" customHeight="1" x14ac:dyDescent="0.2">
      <c r="A197" s="89"/>
      <c r="B197" s="89"/>
      <c r="C197" s="87"/>
      <c r="D197" s="88"/>
      <c r="E197" s="88"/>
      <c r="F197" s="88"/>
      <c r="G197" s="88"/>
      <c r="H197" s="88"/>
      <c r="I197" s="87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7"/>
      <c r="V197" s="89"/>
      <c r="W197" s="89"/>
      <c r="X197" s="89"/>
      <c r="Y197" s="89"/>
      <c r="Z197" s="89"/>
      <c r="AA197" s="89"/>
      <c r="AB197" s="89"/>
      <c r="AC197" s="89"/>
      <c r="AD197" s="96"/>
      <c r="AE197" s="89"/>
    </row>
    <row r="198" spans="1:31" s="97" customFormat="1" ht="24.95" customHeight="1" x14ac:dyDescent="0.2">
      <c r="A198" s="89"/>
      <c r="B198" s="89"/>
      <c r="C198" s="87"/>
      <c r="D198" s="88"/>
      <c r="E198" s="88"/>
      <c r="F198" s="88"/>
      <c r="G198" s="88"/>
      <c r="H198" s="88"/>
      <c r="I198" s="87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7"/>
      <c r="V198" s="89"/>
      <c r="W198" s="89"/>
      <c r="X198" s="89"/>
      <c r="Y198" s="89"/>
      <c r="Z198" s="89"/>
      <c r="AA198" s="89"/>
      <c r="AB198" s="89"/>
      <c r="AC198" s="89"/>
      <c r="AD198" s="96"/>
      <c r="AE198" s="89"/>
    </row>
    <row r="199" spans="1:31" s="97" customFormat="1" ht="24.95" customHeight="1" x14ac:dyDescent="0.2">
      <c r="A199" s="89"/>
      <c r="B199" s="89"/>
      <c r="C199" s="87"/>
      <c r="D199" s="88"/>
      <c r="E199" s="88"/>
      <c r="F199" s="88"/>
      <c r="G199" s="88"/>
      <c r="H199" s="88"/>
      <c r="I199" s="87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7"/>
      <c r="V199" s="89"/>
      <c r="W199" s="89"/>
      <c r="X199" s="89"/>
      <c r="Y199" s="89"/>
      <c r="Z199" s="89"/>
      <c r="AA199" s="89"/>
      <c r="AB199" s="89"/>
      <c r="AC199" s="89"/>
      <c r="AD199" s="96"/>
      <c r="AE199" s="89"/>
    </row>
    <row r="200" spans="1:31" s="97" customFormat="1" ht="24.95" customHeight="1" x14ac:dyDescent="0.2">
      <c r="A200" s="89"/>
      <c r="B200" s="89"/>
      <c r="C200" s="87"/>
      <c r="D200" s="88"/>
      <c r="E200" s="88"/>
      <c r="F200" s="88"/>
      <c r="G200" s="88"/>
      <c r="H200" s="88"/>
      <c r="I200" s="87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7"/>
      <c r="V200" s="89"/>
      <c r="W200" s="89"/>
      <c r="X200" s="89"/>
      <c r="Y200" s="89"/>
      <c r="Z200" s="89"/>
      <c r="AA200" s="89"/>
      <c r="AB200" s="89"/>
      <c r="AC200" s="89"/>
      <c r="AD200" s="96"/>
      <c r="AE200" s="89"/>
    </row>
    <row r="201" spans="1:31" s="97" customFormat="1" ht="24.95" customHeight="1" x14ac:dyDescent="0.2">
      <c r="A201" s="89"/>
      <c r="B201" s="89"/>
      <c r="C201" s="87"/>
      <c r="D201" s="88"/>
      <c r="E201" s="88"/>
      <c r="F201" s="88"/>
      <c r="G201" s="88"/>
      <c r="H201" s="88"/>
      <c r="I201" s="87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7"/>
      <c r="V201" s="89"/>
      <c r="W201" s="89"/>
      <c r="X201" s="89"/>
      <c r="Y201" s="89"/>
      <c r="Z201" s="89"/>
      <c r="AA201" s="89"/>
      <c r="AB201" s="89"/>
      <c r="AC201" s="89"/>
      <c r="AD201" s="96"/>
      <c r="AE201" s="89"/>
    </row>
    <row r="202" spans="1:31" s="97" customFormat="1" ht="24.95" customHeight="1" x14ac:dyDescent="0.2">
      <c r="A202" s="89"/>
      <c r="B202" s="89"/>
      <c r="C202" s="87"/>
      <c r="D202" s="88"/>
      <c r="E202" s="88"/>
      <c r="F202" s="88"/>
      <c r="G202" s="88"/>
      <c r="H202" s="88"/>
      <c r="I202" s="87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7"/>
      <c r="V202" s="89"/>
      <c r="W202" s="89"/>
      <c r="X202" s="89"/>
      <c r="Y202" s="89"/>
      <c r="Z202" s="89"/>
      <c r="AA202" s="89"/>
      <c r="AB202" s="89"/>
      <c r="AC202" s="89"/>
      <c r="AD202" s="96"/>
      <c r="AE202" s="89"/>
    </row>
    <row r="203" spans="1:31" s="97" customFormat="1" ht="24.95" customHeight="1" x14ac:dyDescent="0.2">
      <c r="A203" s="89"/>
      <c r="B203" s="89"/>
      <c r="C203" s="87"/>
      <c r="D203" s="88"/>
      <c r="E203" s="88"/>
      <c r="F203" s="88"/>
      <c r="G203" s="88"/>
      <c r="H203" s="88"/>
      <c r="I203" s="87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7"/>
      <c r="V203" s="89"/>
      <c r="W203" s="89"/>
      <c r="X203" s="89"/>
      <c r="Y203" s="89"/>
      <c r="Z203" s="89"/>
      <c r="AA203" s="89"/>
      <c r="AB203" s="89"/>
      <c r="AC203" s="89"/>
      <c r="AD203" s="96"/>
      <c r="AE203" s="89"/>
    </row>
    <row r="204" spans="1:31" s="97" customFormat="1" ht="24.95" customHeight="1" x14ac:dyDescent="0.2">
      <c r="A204" s="89"/>
      <c r="B204" s="89"/>
      <c r="C204" s="87"/>
      <c r="D204" s="88"/>
      <c r="E204" s="88"/>
      <c r="F204" s="88"/>
      <c r="G204" s="88"/>
      <c r="H204" s="88"/>
      <c r="I204" s="87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7"/>
      <c r="V204" s="89"/>
      <c r="W204" s="89"/>
      <c r="X204" s="89"/>
      <c r="Y204" s="89"/>
      <c r="Z204" s="89"/>
      <c r="AA204" s="89"/>
      <c r="AB204" s="89"/>
      <c r="AC204" s="89"/>
      <c r="AD204" s="96"/>
      <c r="AE204" s="89"/>
    </row>
    <row r="205" spans="1:31" s="97" customFormat="1" ht="24.95" customHeight="1" x14ac:dyDescent="0.2">
      <c r="A205" s="89"/>
      <c r="B205" s="89"/>
      <c r="C205" s="87"/>
      <c r="D205" s="88"/>
      <c r="E205" s="88"/>
      <c r="F205" s="88"/>
      <c r="G205" s="88"/>
      <c r="H205" s="88"/>
      <c r="I205" s="87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7"/>
      <c r="V205" s="89"/>
      <c r="W205" s="89"/>
      <c r="X205" s="89"/>
      <c r="Y205" s="89"/>
      <c r="Z205" s="89"/>
      <c r="AA205" s="89"/>
      <c r="AB205" s="89"/>
      <c r="AC205" s="89"/>
      <c r="AD205" s="96"/>
      <c r="AE205" s="89"/>
    </row>
    <row r="206" spans="1:31" s="97" customFormat="1" ht="24.95" customHeight="1" x14ac:dyDescent="0.2">
      <c r="A206" s="89"/>
      <c r="B206" s="89"/>
      <c r="C206" s="87"/>
      <c r="D206" s="88"/>
      <c r="E206" s="88"/>
      <c r="F206" s="88"/>
      <c r="G206" s="88"/>
      <c r="H206" s="88"/>
      <c r="I206" s="87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7"/>
      <c r="V206" s="89"/>
      <c r="W206" s="89"/>
      <c r="X206" s="89"/>
      <c r="Y206" s="89"/>
      <c r="Z206" s="89"/>
      <c r="AA206" s="89"/>
      <c r="AB206" s="89"/>
      <c r="AC206" s="89"/>
      <c r="AD206" s="96"/>
      <c r="AE206" s="89"/>
    </row>
    <row r="207" spans="1:31" s="97" customFormat="1" ht="24.95" customHeight="1" x14ac:dyDescent="0.2">
      <c r="A207" s="89"/>
      <c r="B207" s="89"/>
      <c r="C207" s="87"/>
      <c r="D207" s="88"/>
      <c r="E207" s="88"/>
      <c r="F207" s="88"/>
      <c r="G207" s="88"/>
      <c r="H207" s="88"/>
      <c r="I207" s="87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7"/>
      <c r="V207" s="89"/>
      <c r="W207" s="89"/>
      <c r="X207" s="89"/>
      <c r="Y207" s="89"/>
      <c r="Z207" s="89"/>
      <c r="AA207" s="89"/>
      <c r="AB207" s="89"/>
      <c r="AC207" s="89"/>
      <c r="AD207" s="96"/>
      <c r="AE207" s="89"/>
    </row>
    <row r="208" spans="1:31" s="97" customFormat="1" ht="24.95" customHeight="1" x14ac:dyDescent="0.2">
      <c r="A208" s="89"/>
      <c r="B208" s="89"/>
      <c r="C208" s="87"/>
      <c r="D208" s="88"/>
      <c r="E208" s="88"/>
      <c r="F208" s="88"/>
      <c r="G208" s="88"/>
      <c r="H208" s="88"/>
      <c r="I208" s="87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7"/>
      <c r="V208" s="89"/>
      <c r="W208" s="89"/>
      <c r="X208" s="89"/>
      <c r="Y208" s="89"/>
      <c r="Z208" s="89"/>
      <c r="AA208" s="89"/>
      <c r="AB208" s="89"/>
      <c r="AC208" s="89"/>
      <c r="AD208" s="96"/>
      <c r="AE208" s="89"/>
    </row>
    <row r="209" spans="1:31" s="97" customFormat="1" ht="24.95" customHeight="1" x14ac:dyDescent="0.2">
      <c r="A209" s="89"/>
      <c r="B209" s="89"/>
      <c r="C209" s="87"/>
      <c r="D209" s="88"/>
      <c r="E209" s="88"/>
      <c r="F209" s="88"/>
      <c r="G209" s="88"/>
      <c r="H209" s="88"/>
      <c r="I209" s="87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7"/>
      <c r="V209" s="89"/>
      <c r="W209" s="89"/>
      <c r="X209" s="89"/>
      <c r="Y209" s="89"/>
      <c r="Z209" s="89"/>
      <c r="AA209" s="89"/>
      <c r="AB209" s="89"/>
      <c r="AC209" s="89"/>
      <c r="AD209" s="96"/>
      <c r="AE209" s="89"/>
    </row>
    <row r="210" spans="1:31" s="97" customFormat="1" ht="24.95" customHeight="1" x14ac:dyDescent="0.2">
      <c r="A210" s="89"/>
      <c r="B210" s="89"/>
      <c r="C210" s="87"/>
      <c r="D210" s="88"/>
      <c r="E210" s="88"/>
      <c r="F210" s="88"/>
      <c r="G210" s="88"/>
      <c r="H210" s="88"/>
      <c r="I210" s="87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7"/>
      <c r="V210" s="89"/>
      <c r="W210" s="89"/>
      <c r="X210" s="89"/>
      <c r="Y210" s="89"/>
      <c r="Z210" s="89"/>
      <c r="AA210" s="89"/>
      <c r="AB210" s="89"/>
      <c r="AC210" s="89"/>
      <c r="AD210" s="96"/>
      <c r="AE210" s="89"/>
    </row>
    <row r="211" spans="1:31" s="97" customFormat="1" ht="24.95" customHeight="1" x14ac:dyDescent="0.2">
      <c r="A211" s="89"/>
      <c r="B211" s="89"/>
      <c r="C211" s="87"/>
      <c r="D211" s="88"/>
      <c r="E211" s="88"/>
      <c r="F211" s="88"/>
      <c r="G211" s="88"/>
      <c r="H211" s="88"/>
      <c r="I211" s="87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7"/>
      <c r="V211" s="89"/>
      <c r="W211" s="89"/>
      <c r="X211" s="89"/>
      <c r="Y211" s="89"/>
      <c r="Z211" s="89"/>
      <c r="AA211" s="89"/>
      <c r="AB211" s="89"/>
      <c r="AC211" s="89"/>
      <c r="AD211" s="96"/>
      <c r="AE211" s="89"/>
    </row>
    <row r="212" spans="1:31" s="97" customFormat="1" ht="24.95" customHeight="1" x14ac:dyDescent="0.2">
      <c r="A212" s="89"/>
      <c r="B212" s="89"/>
      <c r="C212" s="87"/>
      <c r="D212" s="88"/>
      <c r="E212" s="88"/>
      <c r="F212" s="88"/>
      <c r="G212" s="88"/>
      <c r="H212" s="88"/>
      <c r="I212" s="87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7"/>
      <c r="V212" s="89"/>
      <c r="W212" s="89"/>
      <c r="X212" s="89"/>
      <c r="Y212" s="89"/>
      <c r="Z212" s="89"/>
      <c r="AA212" s="89"/>
      <c r="AB212" s="89"/>
      <c r="AC212" s="89"/>
      <c r="AD212" s="96"/>
      <c r="AE212" s="89"/>
    </row>
    <row r="213" spans="1:31" s="97" customFormat="1" ht="24.95" customHeight="1" x14ac:dyDescent="0.2">
      <c r="A213" s="89"/>
      <c r="B213" s="89"/>
      <c r="C213" s="87"/>
      <c r="D213" s="88"/>
      <c r="E213" s="88"/>
      <c r="F213" s="88"/>
      <c r="G213" s="88"/>
      <c r="H213" s="88"/>
      <c r="I213" s="87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7"/>
      <c r="V213" s="89"/>
      <c r="W213" s="89"/>
      <c r="X213" s="89"/>
      <c r="Y213" s="89"/>
      <c r="Z213" s="89"/>
      <c r="AA213" s="89"/>
      <c r="AB213" s="89"/>
      <c r="AC213" s="89"/>
      <c r="AD213" s="96"/>
      <c r="AE213" s="89"/>
    </row>
    <row r="214" spans="1:31" s="97" customFormat="1" ht="24.95" customHeight="1" x14ac:dyDescent="0.2">
      <c r="A214" s="89"/>
      <c r="B214" s="89"/>
      <c r="C214" s="87"/>
      <c r="D214" s="88"/>
      <c r="E214" s="88"/>
      <c r="F214" s="88"/>
      <c r="G214" s="88"/>
      <c r="H214" s="88"/>
      <c r="I214" s="87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7"/>
      <c r="V214" s="89"/>
      <c r="W214" s="89"/>
      <c r="X214" s="89"/>
      <c r="Y214" s="89"/>
      <c r="Z214" s="89"/>
      <c r="AA214" s="89"/>
      <c r="AB214" s="89"/>
      <c r="AC214" s="89"/>
      <c r="AD214" s="96"/>
      <c r="AE214" s="89"/>
    </row>
    <row r="215" spans="1:31" s="97" customFormat="1" ht="24.95" customHeight="1" x14ac:dyDescent="0.2">
      <c r="A215" s="89"/>
      <c r="B215" s="89"/>
      <c r="C215" s="87"/>
      <c r="D215" s="88"/>
      <c r="E215" s="88"/>
      <c r="F215" s="88"/>
      <c r="G215" s="88"/>
      <c r="H215" s="88"/>
      <c r="I215" s="87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7"/>
      <c r="V215" s="89"/>
      <c r="W215" s="89"/>
      <c r="X215" s="89"/>
      <c r="Y215" s="89"/>
      <c r="Z215" s="89"/>
      <c r="AA215" s="89"/>
      <c r="AB215" s="89"/>
      <c r="AC215" s="89"/>
      <c r="AD215" s="96"/>
      <c r="AE215" s="89"/>
    </row>
    <row r="216" spans="1:31" s="97" customFormat="1" ht="24.95" customHeight="1" x14ac:dyDescent="0.2">
      <c r="A216" s="89"/>
      <c r="B216" s="89"/>
      <c r="C216" s="87"/>
      <c r="D216" s="88"/>
      <c r="E216" s="88"/>
      <c r="F216" s="88"/>
      <c r="G216" s="88"/>
      <c r="H216" s="88"/>
      <c r="I216" s="87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7"/>
      <c r="V216" s="89"/>
      <c r="W216" s="89"/>
      <c r="X216" s="89"/>
      <c r="Y216" s="89"/>
      <c r="Z216" s="89"/>
      <c r="AA216" s="89"/>
      <c r="AB216" s="89"/>
      <c r="AC216" s="89"/>
      <c r="AD216" s="96"/>
      <c r="AE216" s="89"/>
    </row>
    <row r="217" spans="1:31" s="97" customFormat="1" ht="24.95" customHeight="1" x14ac:dyDescent="0.2">
      <c r="A217" s="89"/>
      <c r="B217" s="89"/>
      <c r="C217" s="87"/>
      <c r="D217" s="88"/>
      <c r="E217" s="88"/>
      <c r="F217" s="88"/>
      <c r="G217" s="88"/>
      <c r="H217" s="88"/>
      <c r="I217" s="87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7"/>
      <c r="V217" s="89"/>
      <c r="W217" s="89"/>
      <c r="X217" s="89"/>
      <c r="Y217" s="89"/>
      <c r="Z217" s="89"/>
      <c r="AA217" s="89"/>
      <c r="AB217" s="89"/>
      <c r="AC217" s="89"/>
      <c r="AD217" s="96"/>
      <c r="AE217" s="89"/>
    </row>
    <row r="218" spans="1:31" s="97" customFormat="1" ht="24.95" customHeight="1" x14ac:dyDescent="0.2">
      <c r="A218" s="89"/>
      <c r="B218" s="89"/>
      <c r="C218" s="87"/>
      <c r="D218" s="88"/>
      <c r="E218" s="88"/>
      <c r="F218" s="88"/>
      <c r="G218" s="88"/>
      <c r="H218" s="88"/>
      <c r="I218" s="87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7"/>
      <c r="V218" s="89"/>
      <c r="W218" s="89"/>
      <c r="X218" s="89"/>
      <c r="Y218" s="89"/>
      <c r="Z218" s="89"/>
      <c r="AA218" s="89"/>
      <c r="AB218" s="89"/>
      <c r="AC218" s="89"/>
      <c r="AD218" s="96"/>
      <c r="AE218" s="89"/>
    </row>
    <row r="219" spans="1:31" s="97" customFormat="1" ht="24.95" customHeight="1" x14ac:dyDescent="0.2">
      <c r="A219" s="89"/>
      <c r="B219" s="89"/>
      <c r="C219" s="87"/>
      <c r="D219" s="88"/>
      <c r="E219" s="88"/>
      <c r="F219" s="88"/>
      <c r="G219" s="88"/>
      <c r="H219" s="88"/>
      <c r="I219" s="87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7"/>
      <c r="V219" s="89"/>
      <c r="W219" s="89"/>
      <c r="X219" s="89"/>
      <c r="Y219" s="89"/>
      <c r="Z219" s="89"/>
      <c r="AA219" s="89"/>
      <c r="AB219" s="89"/>
      <c r="AC219" s="89"/>
      <c r="AD219" s="96"/>
      <c r="AE219" s="89"/>
    </row>
    <row r="220" spans="1:31" s="97" customFormat="1" ht="24.95" customHeight="1" x14ac:dyDescent="0.2">
      <c r="A220" s="89"/>
      <c r="B220" s="89"/>
      <c r="C220" s="87"/>
      <c r="D220" s="88"/>
      <c r="E220" s="88"/>
      <c r="F220" s="88"/>
      <c r="G220" s="88"/>
      <c r="H220" s="88"/>
      <c r="I220" s="87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7"/>
      <c r="V220" s="89"/>
      <c r="W220" s="89"/>
      <c r="X220" s="89"/>
      <c r="Y220" s="89"/>
      <c r="Z220" s="89"/>
      <c r="AA220" s="89"/>
      <c r="AB220" s="89"/>
      <c r="AC220" s="89"/>
      <c r="AD220" s="96"/>
      <c r="AE220" s="89"/>
    </row>
    <row r="221" spans="1:31" s="97" customFormat="1" ht="24.95" customHeight="1" x14ac:dyDescent="0.2">
      <c r="A221" s="89"/>
      <c r="B221" s="89"/>
      <c r="C221" s="87"/>
      <c r="D221" s="88"/>
      <c r="E221" s="88"/>
      <c r="F221" s="88"/>
      <c r="G221" s="88"/>
      <c r="H221" s="88"/>
      <c r="I221" s="87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7"/>
      <c r="V221" s="89"/>
      <c r="W221" s="89"/>
      <c r="X221" s="89"/>
      <c r="Y221" s="89"/>
      <c r="Z221" s="89"/>
      <c r="AA221" s="89"/>
      <c r="AB221" s="89"/>
      <c r="AC221" s="89"/>
      <c r="AD221" s="96"/>
      <c r="AE221" s="89"/>
    </row>
    <row r="222" spans="1:31" s="97" customFormat="1" ht="24.95" customHeight="1" x14ac:dyDescent="0.2">
      <c r="A222" s="89"/>
      <c r="B222" s="89"/>
      <c r="C222" s="87"/>
      <c r="D222" s="88"/>
      <c r="E222" s="88"/>
      <c r="F222" s="88"/>
      <c r="G222" s="88"/>
      <c r="H222" s="88"/>
      <c r="I222" s="87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7"/>
      <c r="V222" s="89"/>
      <c r="W222" s="89"/>
      <c r="X222" s="89"/>
      <c r="Y222" s="89"/>
      <c r="Z222" s="89"/>
      <c r="AA222" s="89"/>
      <c r="AB222" s="89"/>
      <c r="AC222" s="89"/>
      <c r="AD222" s="96"/>
      <c r="AE222" s="89"/>
    </row>
    <row r="223" spans="1:31" s="97" customFormat="1" ht="24.95" customHeight="1" x14ac:dyDescent="0.2">
      <c r="A223" s="89"/>
      <c r="B223" s="89"/>
      <c r="C223" s="87"/>
      <c r="D223" s="88"/>
      <c r="E223" s="88"/>
      <c r="F223" s="88"/>
      <c r="G223" s="88"/>
      <c r="H223" s="88"/>
      <c r="I223" s="87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7"/>
      <c r="V223" s="89"/>
      <c r="W223" s="89"/>
      <c r="X223" s="89"/>
      <c r="Y223" s="89"/>
      <c r="Z223" s="89"/>
      <c r="AA223" s="89"/>
      <c r="AB223" s="89"/>
      <c r="AC223" s="89"/>
      <c r="AD223" s="96"/>
      <c r="AE223" s="89"/>
    </row>
    <row r="224" spans="1:31" s="97" customFormat="1" ht="24.95" customHeight="1" x14ac:dyDescent="0.2">
      <c r="A224" s="89"/>
      <c r="B224" s="89"/>
      <c r="C224" s="87"/>
      <c r="D224" s="88"/>
      <c r="E224" s="88"/>
      <c r="F224" s="88"/>
      <c r="G224" s="88"/>
      <c r="H224" s="88"/>
      <c r="I224" s="87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7"/>
      <c r="V224" s="89"/>
      <c r="W224" s="89"/>
      <c r="X224" s="89"/>
      <c r="Y224" s="89"/>
      <c r="Z224" s="89"/>
      <c r="AA224" s="89"/>
      <c r="AB224" s="89"/>
      <c r="AC224" s="89"/>
      <c r="AD224" s="96"/>
      <c r="AE224" s="89"/>
    </row>
    <row r="225" spans="1:31" s="97" customFormat="1" ht="24.95" customHeight="1" x14ac:dyDescent="0.2">
      <c r="A225" s="89"/>
      <c r="B225" s="89"/>
      <c r="C225" s="87"/>
      <c r="D225" s="88"/>
      <c r="E225" s="88"/>
      <c r="F225" s="88"/>
      <c r="G225" s="88"/>
      <c r="H225" s="88"/>
      <c r="I225" s="87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7"/>
      <c r="V225" s="89"/>
      <c r="W225" s="89"/>
      <c r="X225" s="89"/>
      <c r="Y225" s="89"/>
      <c r="Z225" s="89"/>
      <c r="AA225" s="89"/>
      <c r="AB225" s="89"/>
      <c r="AC225" s="89"/>
      <c r="AD225" s="96"/>
      <c r="AE225" s="89"/>
    </row>
    <row r="226" spans="1:31" s="97" customFormat="1" ht="24.95" customHeight="1" x14ac:dyDescent="0.2">
      <c r="A226" s="89"/>
      <c r="B226" s="89"/>
      <c r="C226" s="87"/>
      <c r="D226" s="88"/>
      <c r="E226" s="88"/>
      <c r="F226" s="88"/>
      <c r="G226" s="88"/>
      <c r="H226" s="88"/>
      <c r="I226" s="87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7"/>
      <c r="V226" s="89"/>
      <c r="W226" s="89"/>
      <c r="X226" s="89"/>
      <c r="Y226" s="89"/>
      <c r="Z226" s="89"/>
      <c r="AA226" s="89"/>
      <c r="AB226" s="89"/>
      <c r="AC226" s="89"/>
      <c r="AD226" s="96"/>
      <c r="AE226" s="89"/>
    </row>
    <row r="227" spans="1:31" s="97" customFormat="1" ht="24.95" customHeight="1" x14ac:dyDescent="0.2">
      <c r="A227" s="89"/>
      <c r="B227" s="89"/>
      <c r="C227" s="87"/>
      <c r="D227" s="88"/>
      <c r="E227" s="88"/>
      <c r="F227" s="88"/>
      <c r="G227" s="88"/>
      <c r="H227" s="88"/>
      <c r="I227" s="87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7"/>
      <c r="V227" s="89"/>
      <c r="W227" s="89"/>
      <c r="X227" s="89"/>
      <c r="Y227" s="89"/>
      <c r="Z227" s="89"/>
      <c r="AA227" s="89"/>
      <c r="AB227" s="89"/>
      <c r="AC227" s="89"/>
      <c r="AD227" s="96"/>
      <c r="AE227" s="89"/>
    </row>
    <row r="228" spans="1:31" s="97" customFormat="1" ht="24.95" customHeight="1" x14ac:dyDescent="0.2">
      <c r="A228" s="89"/>
      <c r="B228" s="89"/>
      <c r="C228" s="87"/>
      <c r="D228" s="88"/>
      <c r="E228" s="88"/>
      <c r="F228" s="88"/>
      <c r="G228" s="88"/>
      <c r="H228" s="88"/>
      <c r="I228" s="87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7"/>
      <c r="V228" s="89"/>
      <c r="W228" s="89"/>
      <c r="X228" s="89"/>
      <c r="Y228" s="89"/>
      <c r="Z228" s="89"/>
      <c r="AA228" s="89"/>
      <c r="AB228" s="89"/>
      <c r="AC228" s="89"/>
      <c r="AD228" s="96"/>
      <c r="AE228" s="89"/>
    </row>
    <row r="229" spans="1:31" s="97" customFormat="1" ht="24.95" customHeight="1" x14ac:dyDescent="0.2">
      <c r="A229" s="89"/>
      <c r="B229" s="89"/>
      <c r="C229" s="87"/>
      <c r="D229" s="88"/>
      <c r="E229" s="88"/>
      <c r="F229" s="88"/>
      <c r="G229" s="88"/>
      <c r="H229" s="88"/>
      <c r="I229" s="87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7"/>
      <c r="V229" s="89"/>
      <c r="W229" s="89"/>
      <c r="X229" s="89"/>
      <c r="Y229" s="89"/>
      <c r="Z229" s="89"/>
      <c r="AA229" s="89"/>
      <c r="AB229" s="89"/>
      <c r="AC229" s="89"/>
      <c r="AD229" s="96"/>
      <c r="AE229" s="89"/>
    </row>
    <row r="230" spans="1:31" s="97" customFormat="1" ht="24.95" customHeight="1" x14ac:dyDescent="0.2">
      <c r="A230" s="89"/>
      <c r="B230" s="89"/>
      <c r="C230" s="87"/>
      <c r="D230" s="88"/>
      <c r="E230" s="88"/>
      <c r="F230" s="88"/>
      <c r="G230" s="88"/>
      <c r="H230" s="88"/>
      <c r="I230" s="87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7"/>
      <c r="V230" s="89"/>
      <c r="W230" s="89"/>
      <c r="X230" s="89"/>
      <c r="Y230" s="89"/>
      <c r="Z230" s="89"/>
      <c r="AA230" s="89"/>
      <c r="AB230" s="89"/>
      <c r="AC230" s="89"/>
      <c r="AD230" s="96"/>
      <c r="AE230" s="89"/>
    </row>
    <row r="231" spans="1:31" s="97" customFormat="1" ht="24.95" customHeight="1" x14ac:dyDescent="0.2">
      <c r="A231" s="89"/>
      <c r="B231" s="89"/>
      <c r="C231" s="87"/>
      <c r="D231" s="88"/>
      <c r="E231" s="88"/>
      <c r="F231" s="88"/>
      <c r="G231" s="88"/>
      <c r="H231" s="88"/>
      <c r="I231" s="87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7"/>
      <c r="V231" s="89"/>
      <c r="W231" s="89"/>
      <c r="X231" s="89"/>
      <c r="Y231" s="89"/>
      <c r="Z231" s="89"/>
      <c r="AA231" s="89"/>
      <c r="AB231" s="89"/>
      <c r="AC231" s="89"/>
      <c r="AD231" s="96"/>
      <c r="AE231" s="89"/>
    </row>
    <row r="232" spans="1:31" s="97" customFormat="1" ht="24.95" customHeight="1" x14ac:dyDescent="0.2">
      <c r="A232" s="89"/>
      <c r="B232" s="89"/>
      <c r="C232" s="87"/>
      <c r="D232" s="88"/>
      <c r="E232" s="88"/>
      <c r="F232" s="88"/>
      <c r="G232" s="88"/>
      <c r="H232" s="88"/>
      <c r="I232" s="87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7"/>
      <c r="V232" s="89"/>
      <c r="W232" s="89"/>
      <c r="X232" s="89"/>
      <c r="Y232" s="89"/>
      <c r="Z232" s="89"/>
      <c r="AA232" s="89"/>
      <c r="AB232" s="89"/>
      <c r="AC232" s="89"/>
      <c r="AD232" s="96"/>
      <c r="AE232" s="89"/>
    </row>
    <row r="233" spans="1:31" s="97" customFormat="1" ht="24.95" customHeight="1" x14ac:dyDescent="0.2">
      <c r="A233" s="89"/>
      <c r="B233" s="89"/>
      <c r="C233" s="87"/>
      <c r="D233" s="88"/>
      <c r="E233" s="88"/>
      <c r="F233" s="88"/>
      <c r="G233" s="88"/>
      <c r="H233" s="88"/>
      <c r="I233" s="87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7"/>
      <c r="V233" s="89"/>
      <c r="W233" s="89"/>
      <c r="X233" s="89"/>
      <c r="Y233" s="89"/>
      <c r="Z233" s="89"/>
      <c r="AA233" s="89"/>
      <c r="AB233" s="89"/>
      <c r="AC233" s="89"/>
      <c r="AD233" s="96"/>
      <c r="AE233" s="89"/>
    </row>
    <row r="234" spans="1:31" s="97" customFormat="1" ht="24.95" customHeight="1" x14ac:dyDescent="0.2">
      <c r="A234" s="89"/>
      <c r="B234" s="89"/>
      <c r="C234" s="87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7"/>
      <c r="V234" s="89"/>
      <c r="W234" s="89"/>
      <c r="X234" s="89"/>
      <c r="Y234" s="89"/>
      <c r="Z234" s="89"/>
      <c r="AA234" s="89"/>
      <c r="AB234" s="89"/>
      <c r="AC234" s="89"/>
      <c r="AD234" s="96"/>
      <c r="AE234" s="89"/>
    </row>
    <row r="235" spans="1:31" s="97" customFormat="1" ht="24.95" customHeight="1" x14ac:dyDescent="0.2">
      <c r="A235" s="89"/>
      <c r="B235" s="89"/>
      <c r="C235" s="87"/>
      <c r="D235" s="88"/>
      <c r="E235" s="88"/>
      <c r="F235" s="88"/>
      <c r="G235" s="88"/>
      <c r="H235" s="88"/>
      <c r="I235" s="87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7"/>
      <c r="V235" s="89"/>
      <c r="W235" s="89"/>
      <c r="X235" s="89"/>
      <c r="Y235" s="89"/>
      <c r="Z235" s="89"/>
      <c r="AA235" s="89"/>
      <c r="AB235" s="89"/>
      <c r="AC235" s="89"/>
      <c r="AD235" s="96"/>
      <c r="AE235" s="89"/>
    </row>
    <row r="236" spans="1:31" s="97" customFormat="1" ht="24.95" customHeight="1" x14ac:dyDescent="0.2">
      <c r="A236" s="89"/>
      <c r="B236" s="89"/>
      <c r="C236" s="87"/>
      <c r="D236" s="88"/>
      <c r="E236" s="88"/>
      <c r="F236" s="88"/>
      <c r="G236" s="88"/>
      <c r="H236" s="88"/>
      <c r="I236" s="87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7"/>
      <c r="V236" s="89"/>
      <c r="W236" s="89"/>
      <c r="X236" s="89"/>
      <c r="Y236" s="89"/>
      <c r="Z236" s="89"/>
      <c r="AA236" s="89"/>
      <c r="AB236" s="89"/>
      <c r="AC236" s="89"/>
      <c r="AD236" s="96"/>
      <c r="AE236" s="89"/>
    </row>
    <row r="237" spans="1:31" s="97" customFormat="1" ht="24.95" customHeight="1" x14ac:dyDescent="0.2">
      <c r="A237" s="89"/>
      <c r="B237" s="89"/>
      <c r="C237" s="87"/>
      <c r="D237" s="88"/>
      <c r="E237" s="88"/>
      <c r="F237" s="88"/>
      <c r="G237" s="88"/>
      <c r="H237" s="88"/>
      <c r="I237" s="87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7"/>
      <c r="V237" s="89"/>
      <c r="W237" s="89"/>
      <c r="X237" s="89"/>
      <c r="Y237" s="89"/>
      <c r="Z237" s="89"/>
      <c r="AA237" s="89"/>
      <c r="AB237" s="89"/>
      <c r="AC237" s="89"/>
      <c r="AD237" s="96"/>
      <c r="AE237" s="89"/>
    </row>
    <row r="238" spans="1:31" s="97" customFormat="1" ht="24.95" customHeight="1" x14ac:dyDescent="0.2">
      <c r="A238" s="89"/>
      <c r="B238" s="89"/>
      <c r="C238" s="87"/>
      <c r="D238" s="88"/>
      <c r="E238" s="88"/>
      <c r="F238" s="88"/>
      <c r="G238" s="88"/>
      <c r="H238" s="88"/>
      <c r="I238" s="87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7"/>
      <c r="V238" s="89"/>
      <c r="W238" s="89"/>
      <c r="X238" s="89"/>
      <c r="Y238" s="89"/>
      <c r="Z238" s="89"/>
      <c r="AA238" s="89"/>
      <c r="AB238" s="89"/>
      <c r="AC238" s="89"/>
      <c r="AD238" s="96"/>
      <c r="AE238" s="89"/>
    </row>
    <row r="239" spans="1:31" s="97" customFormat="1" ht="24.95" customHeight="1" x14ac:dyDescent="0.2">
      <c r="A239" s="89"/>
      <c r="B239" s="89"/>
      <c r="C239" s="87"/>
      <c r="D239" s="88"/>
      <c r="E239" s="88"/>
      <c r="F239" s="88"/>
      <c r="G239" s="88"/>
      <c r="H239" s="88"/>
      <c r="I239" s="87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7"/>
      <c r="V239" s="89"/>
      <c r="W239" s="89"/>
      <c r="X239" s="89"/>
      <c r="Y239" s="89"/>
      <c r="Z239" s="89"/>
      <c r="AA239" s="89"/>
      <c r="AB239" s="89"/>
      <c r="AC239" s="89"/>
      <c r="AD239" s="96"/>
      <c r="AE239" s="89"/>
    </row>
    <row r="240" spans="1:31" s="97" customFormat="1" ht="24.95" customHeight="1" x14ac:dyDescent="0.2">
      <c r="A240" s="89"/>
      <c r="B240" s="89"/>
      <c r="C240" s="87"/>
      <c r="D240" s="88"/>
      <c r="E240" s="88"/>
      <c r="F240" s="88"/>
      <c r="G240" s="88"/>
      <c r="H240" s="88"/>
      <c r="I240" s="87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7"/>
      <c r="V240" s="89"/>
      <c r="W240" s="89"/>
      <c r="X240" s="89"/>
      <c r="Y240" s="89"/>
      <c r="Z240" s="89"/>
      <c r="AA240" s="89"/>
      <c r="AB240" s="89"/>
      <c r="AC240" s="89"/>
      <c r="AD240" s="96"/>
      <c r="AE240" s="89"/>
    </row>
    <row r="241" spans="1:31" s="97" customFormat="1" ht="24.95" customHeight="1" x14ac:dyDescent="0.2">
      <c r="A241" s="89"/>
      <c r="B241" s="89"/>
      <c r="C241" s="87"/>
      <c r="D241" s="88"/>
      <c r="E241" s="88"/>
      <c r="F241" s="88"/>
      <c r="G241" s="88"/>
      <c r="H241" s="88"/>
      <c r="I241" s="87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7"/>
      <c r="V241" s="89"/>
      <c r="W241" s="89"/>
      <c r="X241" s="89"/>
      <c r="Y241" s="89"/>
      <c r="Z241" s="89"/>
      <c r="AA241" s="89"/>
      <c r="AB241" s="89"/>
      <c r="AC241" s="89"/>
      <c r="AD241" s="96"/>
      <c r="AE241" s="89"/>
    </row>
    <row r="242" spans="1:31" s="97" customFormat="1" ht="24.95" customHeight="1" x14ac:dyDescent="0.2">
      <c r="A242" s="89"/>
      <c r="B242" s="89"/>
      <c r="C242" s="87"/>
      <c r="D242" s="88"/>
      <c r="E242" s="88"/>
      <c r="F242" s="88"/>
      <c r="G242" s="88"/>
      <c r="H242" s="88"/>
      <c r="I242" s="87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7"/>
      <c r="V242" s="89"/>
      <c r="W242" s="89"/>
      <c r="X242" s="89"/>
      <c r="Y242" s="89"/>
      <c r="Z242" s="89"/>
      <c r="AA242" s="89"/>
      <c r="AB242" s="89"/>
      <c r="AC242" s="89"/>
      <c r="AD242" s="96"/>
      <c r="AE242" s="89"/>
    </row>
    <row r="243" spans="1:31" s="97" customFormat="1" ht="24.95" customHeight="1" x14ac:dyDescent="0.2">
      <c r="A243" s="89"/>
      <c r="B243" s="89"/>
      <c r="C243" s="87"/>
      <c r="D243" s="88"/>
      <c r="E243" s="88"/>
      <c r="F243" s="88"/>
      <c r="G243" s="88"/>
      <c r="H243" s="88"/>
      <c r="I243" s="87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7"/>
      <c r="V243" s="89"/>
      <c r="W243" s="89"/>
      <c r="X243" s="89"/>
      <c r="Y243" s="89"/>
      <c r="Z243" s="89"/>
      <c r="AA243" s="89"/>
      <c r="AB243" s="89"/>
      <c r="AC243" s="89"/>
      <c r="AD243" s="96"/>
      <c r="AE243" s="89"/>
    </row>
    <row r="244" spans="1:31" s="97" customFormat="1" ht="24.95" customHeight="1" x14ac:dyDescent="0.2">
      <c r="A244" s="89"/>
      <c r="B244" s="89"/>
      <c r="C244" s="87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7"/>
      <c r="V244" s="89"/>
      <c r="W244" s="89"/>
      <c r="X244" s="89"/>
      <c r="Y244" s="89"/>
      <c r="Z244" s="89"/>
      <c r="AA244" s="89"/>
      <c r="AB244" s="89"/>
      <c r="AC244" s="89"/>
      <c r="AD244" s="96"/>
      <c r="AE244" s="89"/>
    </row>
    <row r="245" spans="1:31" s="97" customFormat="1" ht="24.95" customHeight="1" x14ac:dyDescent="0.2">
      <c r="A245" s="89"/>
      <c r="B245" s="89"/>
      <c r="C245" s="87"/>
      <c r="D245" s="88"/>
      <c r="E245" s="88"/>
      <c r="F245" s="88"/>
      <c r="G245" s="88"/>
      <c r="H245" s="88"/>
      <c r="I245" s="87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7"/>
      <c r="V245" s="89"/>
      <c r="W245" s="89"/>
      <c r="X245" s="89"/>
      <c r="Y245" s="89"/>
      <c r="Z245" s="89"/>
      <c r="AA245" s="89"/>
      <c r="AB245" s="89"/>
      <c r="AC245" s="89"/>
      <c r="AD245" s="96"/>
      <c r="AE245" s="89"/>
    </row>
    <row r="246" spans="1:31" s="97" customFormat="1" ht="24.95" customHeight="1" x14ac:dyDescent="0.2">
      <c r="A246" s="89"/>
      <c r="B246" s="89"/>
      <c r="C246" s="87"/>
      <c r="D246" s="88"/>
      <c r="E246" s="88"/>
      <c r="F246" s="88"/>
      <c r="G246" s="88"/>
      <c r="H246" s="88"/>
      <c r="I246" s="87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7"/>
      <c r="V246" s="89"/>
      <c r="W246" s="89"/>
      <c r="X246" s="89"/>
      <c r="Y246" s="89"/>
      <c r="Z246" s="89"/>
      <c r="AA246" s="89"/>
      <c r="AB246" s="89"/>
      <c r="AC246" s="89"/>
      <c r="AD246" s="96"/>
      <c r="AE246" s="89"/>
    </row>
    <row r="247" spans="1:31" s="97" customFormat="1" ht="24.95" customHeight="1" x14ac:dyDescent="0.2">
      <c r="A247" s="89"/>
      <c r="B247" s="89"/>
      <c r="C247" s="87"/>
      <c r="D247" s="88"/>
      <c r="E247" s="88"/>
      <c r="F247" s="88"/>
      <c r="G247" s="88"/>
      <c r="H247" s="88"/>
      <c r="I247" s="87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7"/>
      <c r="V247" s="89"/>
      <c r="W247" s="89"/>
      <c r="X247" s="89"/>
      <c r="Y247" s="89"/>
      <c r="Z247" s="89"/>
      <c r="AA247" s="89"/>
      <c r="AB247" s="89"/>
      <c r="AC247" s="89"/>
      <c r="AD247" s="96"/>
      <c r="AE247" s="89"/>
    </row>
    <row r="248" spans="1:31" s="97" customFormat="1" ht="24.95" customHeight="1" x14ac:dyDescent="0.2">
      <c r="A248" s="89"/>
      <c r="B248" s="89"/>
      <c r="C248" s="87"/>
      <c r="D248" s="88"/>
      <c r="E248" s="88"/>
      <c r="F248" s="88"/>
      <c r="G248" s="88"/>
      <c r="H248" s="88"/>
      <c r="I248" s="87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7"/>
      <c r="V248" s="89"/>
      <c r="W248" s="89"/>
      <c r="X248" s="89"/>
      <c r="Y248" s="89"/>
      <c r="Z248" s="89"/>
      <c r="AA248" s="89"/>
      <c r="AB248" s="89"/>
      <c r="AC248" s="89"/>
      <c r="AD248" s="96"/>
      <c r="AE248" s="89"/>
    </row>
    <row r="249" spans="1:31" s="97" customFormat="1" ht="24.95" customHeight="1" x14ac:dyDescent="0.2">
      <c r="A249" s="89"/>
      <c r="B249" s="89"/>
      <c r="C249" s="87"/>
      <c r="D249" s="88"/>
      <c r="E249" s="88"/>
      <c r="F249" s="88"/>
      <c r="G249" s="88"/>
      <c r="H249" s="88"/>
      <c r="I249" s="87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7"/>
      <c r="V249" s="89"/>
      <c r="W249" s="89"/>
      <c r="X249" s="89"/>
      <c r="Y249" s="89"/>
      <c r="Z249" s="89"/>
      <c r="AA249" s="89"/>
      <c r="AB249" s="89"/>
      <c r="AC249" s="89"/>
      <c r="AD249" s="96"/>
      <c r="AE249" s="89"/>
    </row>
    <row r="250" spans="1:31" s="97" customFormat="1" ht="24.95" customHeight="1" x14ac:dyDescent="0.2">
      <c r="A250" s="89"/>
      <c r="B250" s="89"/>
      <c r="C250" s="87"/>
      <c r="D250" s="88"/>
      <c r="E250" s="88"/>
      <c r="F250" s="88"/>
      <c r="G250" s="88"/>
      <c r="H250" s="88"/>
      <c r="I250" s="87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7"/>
      <c r="V250" s="89"/>
      <c r="W250" s="89"/>
      <c r="X250" s="89"/>
      <c r="Y250" s="89"/>
      <c r="Z250" s="89"/>
      <c r="AA250" s="89"/>
      <c r="AB250" s="89"/>
      <c r="AC250" s="89"/>
      <c r="AD250" s="96"/>
      <c r="AE250" s="89"/>
    </row>
    <row r="251" spans="1:31" s="97" customFormat="1" ht="24.95" customHeight="1" x14ac:dyDescent="0.2">
      <c r="A251" s="89"/>
      <c r="B251" s="89"/>
      <c r="C251" s="87"/>
      <c r="D251" s="88"/>
      <c r="E251" s="88"/>
      <c r="F251" s="88"/>
      <c r="G251" s="88"/>
      <c r="H251" s="88"/>
      <c r="I251" s="87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7"/>
      <c r="V251" s="89"/>
      <c r="W251" s="89"/>
      <c r="X251" s="89"/>
      <c r="Y251" s="89"/>
      <c r="Z251" s="89"/>
      <c r="AA251" s="89"/>
      <c r="AB251" s="89"/>
      <c r="AC251" s="89"/>
      <c r="AD251" s="96"/>
      <c r="AE251" s="89"/>
    </row>
    <row r="252" spans="1:31" s="97" customFormat="1" ht="24.95" customHeight="1" x14ac:dyDescent="0.2">
      <c r="A252" s="89"/>
      <c r="B252" s="89"/>
      <c r="C252" s="87"/>
      <c r="D252" s="88"/>
      <c r="E252" s="88"/>
      <c r="F252" s="88"/>
      <c r="G252" s="88"/>
      <c r="H252" s="88"/>
      <c r="I252" s="87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7"/>
      <c r="V252" s="89"/>
      <c r="W252" s="89"/>
      <c r="X252" s="89"/>
      <c r="Y252" s="89"/>
      <c r="Z252" s="89"/>
      <c r="AA252" s="89"/>
      <c r="AB252" s="89"/>
      <c r="AC252" s="89"/>
      <c r="AD252" s="96"/>
      <c r="AE252" s="89"/>
    </row>
    <row r="253" spans="1:31" s="97" customFormat="1" ht="24.95" customHeight="1" x14ac:dyDescent="0.2">
      <c r="A253" s="89"/>
      <c r="B253" s="89"/>
      <c r="C253" s="87"/>
      <c r="D253" s="88"/>
      <c r="E253" s="88"/>
      <c r="F253" s="88"/>
      <c r="G253" s="88"/>
      <c r="H253" s="88"/>
      <c r="I253" s="87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7"/>
      <c r="V253" s="89"/>
      <c r="W253" s="89"/>
      <c r="X253" s="89"/>
      <c r="Y253" s="89"/>
      <c r="Z253" s="89"/>
      <c r="AA253" s="89"/>
      <c r="AB253" s="89"/>
      <c r="AC253" s="89"/>
      <c r="AD253" s="96"/>
      <c r="AE253" s="89"/>
    </row>
    <row r="254" spans="1:31" s="97" customFormat="1" ht="24.95" customHeight="1" x14ac:dyDescent="0.2">
      <c r="A254" s="89"/>
      <c r="B254" s="89"/>
      <c r="C254" s="87"/>
      <c r="D254" s="88"/>
      <c r="E254" s="88"/>
      <c r="F254" s="88"/>
      <c r="G254" s="88"/>
      <c r="H254" s="88"/>
      <c r="I254" s="87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7"/>
      <c r="V254" s="89"/>
      <c r="W254" s="89"/>
      <c r="X254" s="89"/>
      <c r="Y254" s="89"/>
      <c r="Z254" s="89"/>
      <c r="AA254" s="89"/>
      <c r="AB254" s="89"/>
      <c r="AC254" s="89"/>
      <c r="AD254" s="96"/>
      <c r="AE254" s="89"/>
    </row>
    <row r="255" spans="1:31" s="97" customFormat="1" ht="24.95" customHeight="1" x14ac:dyDescent="0.2">
      <c r="A255" s="89"/>
      <c r="B255" s="89"/>
      <c r="C255" s="87"/>
      <c r="D255" s="88"/>
      <c r="E255" s="88"/>
      <c r="F255" s="88"/>
      <c r="G255" s="88"/>
      <c r="H255" s="88"/>
      <c r="I255" s="87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7"/>
      <c r="V255" s="89"/>
      <c r="W255" s="89"/>
      <c r="X255" s="89"/>
      <c r="Y255" s="89"/>
      <c r="Z255" s="89"/>
      <c r="AA255" s="89"/>
      <c r="AB255" s="89"/>
      <c r="AC255" s="89"/>
      <c r="AD255" s="96"/>
      <c r="AE255" s="89"/>
    </row>
    <row r="256" spans="1:31" s="97" customFormat="1" ht="24.95" customHeight="1" x14ac:dyDescent="0.2">
      <c r="A256" s="89"/>
      <c r="B256" s="89"/>
      <c r="C256" s="87"/>
      <c r="D256" s="88"/>
      <c r="E256" s="88"/>
      <c r="F256" s="88"/>
      <c r="G256" s="88"/>
      <c r="H256" s="88"/>
      <c r="I256" s="87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7"/>
      <c r="V256" s="89"/>
      <c r="W256" s="89"/>
      <c r="X256" s="89"/>
      <c r="Y256" s="89"/>
      <c r="Z256" s="89"/>
      <c r="AA256" s="89"/>
      <c r="AB256" s="89"/>
      <c r="AC256" s="89"/>
      <c r="AD256" s="96"/>
      <c r="AE256" s="89"/>
    </row>
    <row r="257" spans="1:31" s="97" customFormat="1" ht="24.95" customHeight="1" x14ac:dyDescent="0.2">
      <c r="A257" s="89"/>
      <c r="B257" s="89"/>
      <c r="C257" s="87"/>
      <c r="D257" s="88"/>
      <c r="E257" s="88"/>
      <c r="F257" s="88"/>
      <c r="G257" s="88"/>
      <c r="H257" s="88"/>
      <c r="I257" s="87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7"/>
      <c r="V257" s="89"/>
      <c r="W257" s="89"/>
      <c r="X257" s="89"/>
      <c r="Y257" s="89"/>
      <c r="Z257" s="89"/>
      <c r="AA257" s="89"/>
      <c r="AB257" s="89"/>
      <c r="AC257" s="89"/>
      <c r="AD257" s="96"/>
      <c r="AE257" s="89"/>
    </row>
    <row r="258" spans="1:31" s="97" customFormat="1" ht="24.95" customHeight="1" x14ac:dyDescent="0.2">
      <c r="A258" s="89"/>
      <c r="B258" s="89"/>
      <c r="C258" s="87"/>
      <c r="D258" s="88"/>
      <c r="E258" s="88"/>
      <c r="F258" s="88"/>
      <c r="G258" s="88"/>
      <c r="H258" s="88"/>
      <c r="I258" s="87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7"/>
      <c r="V258" s="89"/>
      <c r="W258" s="89"/>
      <c r="X258" s="89"/>
      <c r="Y258" s="89"/>
      <c r="Z258" s="89"/>
      <c r="AA258" s="89"/>
      <c r="AB258" s="89"/>
      <c r="AC258" s="89"/>
      <c r="AD258" s="96"/>
      <c r="AE258" s="89"/>
    </row>
    <row r="259" spans="1:31" s="97" customFormat="1" ht="24.95" customHeight="1" x14ac:dyDescent="0.2">
      <c r="A259" s="89"/>
      <c r="B259" s="89"/>
      <c r="C259" s="87"/>
      <c r="D259" s="88"/>
      <c r="E259" s="88"/>
      <c r="F259" s="88"/>
      <c r="G259" s="88"/>
      <c r="H259" s="88"/>
      <c r="I259" s="87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7"/>
      <c r="V259" s="89"/>
      <c r="W259" s="89"/>
      <c r="X259" s="89"/>
      <c r="Y259" s="89"/>
      <c r="Z259" s="89"/>
      <c r="AA259" s="89"/>
      <c r="AB259" s="89"/>
      <c r="AC259" s="89"/>
      <c r="AD259" s="96"/>
      <c r="AE259" s="89"/>
    </row>
    <row r="260" spans="1:31" s="97" customFormat="1" ht="24.95" customHeight="1" x14ac:dyDescent="0.2">
      <c r="A260" s="89"/>
      <c r="B260" s="89"/>
      <c r="C260" s="87"/>
      <c r="D260" s="88"/>
      <c r="E260" s="88"/>
      <c r="F260" s="88"/>
      <c r="G260" s="88"/>
      <c r="H260" s="88"/>
      <c r="I260" s="87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7"/>
      <c r="V260" s="89"/>
      <c r="W260" s="89"/>
      <c r="X260" s="89"/>
      <c r="Y260" s="89"/>
      <c r="Z260" s="89"/>
      <c r="AA260" s="89"/>
      <c r="AB260" s="89"/>
      <c r="AC260" s="89"/>
      <c r="AD260" s="96"/>
      <c r="AE260" s="89"/>
    </row>
    <row r="261" spans="1:31" s="97" customFormat="1" ht="24.95" customHeight="1" x14ac:dyDescent="0.2">
      <c r="A261" s="89"/>
      <c r="B261" s="89"/>
      <c r="C261" s="87"/>
      <c r="D261" s="88"/>
      <c r="E261" s="88"/>
      <c r="F261" s="88"/>
      <c r="G261" s="88"/>
      <c r="H261" s="88"/>
      <c r="I261" s="87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7"/>
      <c r="V261" s="89"/>
      <c r="W261" s="89"/>
      <c r="X261" s="89"/>
      <c r="Y261" s="89"/>
      <c r="Z261" s="89"/>
      <c r="AA261" s="89"/>
      <c r="AB261" s="89"/>
      <c r="AC261" s="89"/>
      <c r="AD261" s="96"/>
      <c r="AE261" s="89"/>
    </row>
    <row r="262" spans="1:31" s="97" customFormat="1" ht="24.95" customHeight="1" x14ac:dyDescent="0.2">
      <c r="A262" s="89"/>
      <c r="B262" s="89"/>
      <c r="C262" s="87"/>
      <c r="D262" s="88"/>
      <c r="E262" s="88"/>
      <c r="F262" s="88"/>
      <c r="G262" s="88"/>
      <c r="H262" s="88"/>
      <c r="I262" s="87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7"/>
      <c r="V262" s="89"/>
      <c r="W262" s="89"/>
      <c r="X262" s="89"/>
      <c r="Y262" s="89"/>
      <c r="Z262" s="89"/>
      <c r="AA262" s="89"/>
      <c r="AB262" s="89"/>
      <c r="AC262" s="89"/>
      <c r="AD262" s="96"/>
      <c r="AE262" s="89"/>
    </row>
    <row r="263" spans="1:31" s="97" customFormat="1" ht="24.95" customHeight="1" x14ac:dyDescent="0.2">
      <c r="A263" s="89"/>
      <c r="B263" s="89"/>
      <c r="C263" s="87"/>
      <c r="D263" s="88"/>
      <c r="E263" s="88"/>
      <c r="F263" s="88"/>
      <c r="G263" s="88"/>
      <c r="H263" s="88"/>
      <c r="I263" s="87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7"/>
      <c r="V263" s="89"/>
      <c r="W263" s="89"/>
      <c r="X263" s="89"/>
      <c r="Y263" s="89"/>
      <c r="Z263" s="89"/>
      <c r="AA263" s="89"/>
      <c r="AB263" s="89"/>
      <c r="AC263" s="89"/>
      <c r="AD263" s="96"/>
      <c r="AE263" s="89"/>
    </row>
    <row r="264" spans="1:31" s="97" customFormat="1" ht="24.95" customHeight="1" x14ac:dyDescent="0.2">
      <c r="A264" s="89"/>
      <c r="B264" s="89"/>
      <c r="C264" s="87"/>
      <c r="D264" s="88"/>
      <c r="E264" s="88"/>
      <c r="F264" s="88"/>
      <c r="G264" s="88"/>
      <c r="H264" s="88"/>
      <c r="I264" s="87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7"/>
      <c r="V264" s="89"/>
      <c r="W264" s="89"/>
      <c r="X264" s="89"/>
      <c r="Y264" s="89"/>
      <c r="Z264" s="89"/>
      <c r="AA264" s="89"/>
      <c r="AB264" s="89"/>
      <c r="AC264" s="89"/>
      <c r="AD264" s="96"/>
      <c r="AE264" s="89"/>
    </row>
    <row r="265" spans="1:31" s="97" customFormat="1" ht="24.95" customHeight="1" x14ac:dyDescent="0.2">
      <c r="A265" s="89"/>
      <c r="B265" s="89"/>
      <c r="C265" s="87"/>
      <c r="D265" s="88"/>
      <c r="E265" s="88"/>
      <c r="F265" s="88"/>
      <c r="G265" s="88"/>
      <c r="H265" s="88"/>
      <c r="I265" s="87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7"/>
      <c r="V265" s="89"/>
      <c r="W265" s="89"/>
      <c r="X265" s="89"/>
      <c r="Y265" s="89"/>
      <c r="Z265" s="89"/>
      <c r="AA265" s="89"/>
      <c r="AB265" s="89"/>
      <c r="AC265" s="89"/>
      <c r="AD265" s="96"/>
      <c r="AE265" s="89"/>
    </row>
    <row r="266" spans="1:31" s="97" customFormat="1" ht="24.95" customHeight="1" x14ac:dyDescent="0.2">
      <c r="A266" s="89"/>
      <c r="B266" s="89"/>
      <c r="C266" s="87"/>
      <c r="D266" s="88"/>
      <c r="E266" s="88"/>
      <c r="F266" s="88"/>
      <c r="G266" s="88"/>
      <c r="H266" s="88"/>
      <c r="I266" s="87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7"/>
      <c r="V266" s="89"/>
      <c r="W266" s="89"/>
      <c r="X266" s="89"/>
      <c r="Y266" s="89"/>
      <c r="Z266" s="89"/>
      <c r="AA266" s="89"/>
      <c r="AB266" s="89"/>
      <c r="AC266" s="89"/>
      <c r="AD266" s="96"/>
      <c r="AE266" s="89"/>
    </row>
    <row r="267" spans="1:31" s="97" customFormat="1" ht="24.95" customHeight="1" x14ac:dyDescent="0.2">
      <c r="A267" s="89"/>
      <c r="B267" s="89"/>
      <c r="C267" s="87"/>
      <c r="D267" s="88"/>
      <c r="E267" s="88"/>
      <c r="F267" s="88"/>
      <c r="G267" s="88"/>
      <c r="H267" s="88"/>
      <c r="I267" s="87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7"/>
      <c r="V267" s="89"/>
      <c r="W267" s="89"/>
      <c r="X267" s="89"/>
      <c r="Y267" s="89"/>
      <c r="Z267" s="89"/>
      <c r="AA267" s="89"/>
      <c r="AB267" s="89"/>
      <c r="AC267" s="89"/>
      <c r="AD267" s="96"/>
      <c r="AE267" s="89"/>
    </row>
    <row r="268" spans="1:31" s="97" customFormat="1" ht="24.95" customHeight="1" x14ac:dyDescent="0.2">
      <c r="A268" s="89"/>
      <c r="B268" s="89"/>
      <c r="C268" s="87"/>
      <c r="D268" s="88"/>
      <c r="E268" s="88"/>
      <c r="F268" s="88"/>
      <c r="G268" s="88"/>
      <c r="H268" s="88"/>
      <c r="I268" s="87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7"/>
      <c r="V268" s="89"/>
      <c r="W268" s="89"/>
      <c r="X268" s="89"/>
      <c r="Y268" s="89"/>
      <c r="Z268" s="89"/>
      <c r="AA268" s="89"/>
      <c r="AB268" s="89"/>
      <c r="AC268" s="89"/>
      <c r="AD268" s="96"/>
      <c r="AE268" s="89"/>
    </row>
    <row r="269" spans="1:31" s="97" customFormat="1" ht="24.95" customHeight="1" x14ac:dyDescent="0.2">
      <c r="A269" s="89"/>
      <c r="B269" s="89"/>
      <c r="C269" s="87"/>
      <c r="D269" s="88"/>
      <c r="E269" s="88"/>
      <c r="F269" s="88"/>
      <c r="G269" s="88"/>
      <c r="H269" s="88"/>
      <c r="I269" s="87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7"/>
      <c r="V269" s="89"/>
      <c r="W269" s="89"/>
      <c r="X269" s="89"/>
      <c r="Y269" s="89"/>
      <c r="Z269" s="89"/>
      <c r="AA269" s="89"/>
      <c r="AB269" s="89"/>
      <c r="AC269" s="89"/>
      <c r="AD269" s="96"/>
      <c r="AE269" s="89"/>
    </row>
    <row r="270" spans="1:31" s="97" customFormat="1" ht="24.95" customHeight="1" x14ac:dyDescent="0.2">
      <c r="A270" s="89"/>
      <c r="B270" s="89"/>
      <c r="C270" s="87"/>
      <c r="D270" s="88"/>
      <c r="E270" s="88"/>
      <c r="F270" s="88"/>
      <c r="G270" s="88"/>
      <c r="H270" s="88"/>
      <c r="I270" s="87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7"/>
      <c r="V270" s="89"/>
      <c r="W270" s="89"/>
      <c r="X270" s="89"/>
      <c r="Y270" s="89"/>
      <c r="Z270" s="89"/>
      <c r="AA270" s="89"/>
      <c r="AB270" s="89"/>
      <c r="AC270" s="89"/>
      <c r="AD270" s="96"/>
      <c r="AE270" s="89"/>
    </row>
    <row r="271" spans="1:31" s="97" customFormat="1" ht="24.95" customHeight="1" x14ac:dyDescent="0.2">
      <c r="A271" s="89"/>
      <c r="B271" s="89"/>
      <c r="C271" s="87"/>
      <c r="D271" s="88"/>
      <c r="E271" s="88"/>
      <c r="F271" s="88"/>
      <c r="G271" s="88"/>
      <c r="H271" s="88"/>
      <c r="I271" s="87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7"/>
      <c r="V271" s="89"/>
      <c r="W271" s="89"/>
      <c r="X271" s="89"/>
      <c r="Y271" s="89"/>
      <c r="Z271" s="89"/>
      <c r="AA271" s="89"/>
      <c r="AB271" s="89"/>
      <c r="AC271" s="89"/>
      <c r="AD271" s="96"/>
      <c r="AE271" s="89"/>
    </row>
    <row r="272" spans="1:31" s="97" customFormat="1" ht="24.95" customHeight="1" x14ac:dyDescent="0.2">
      <c r="A272" s="89"/>
      <c r="B272" s="89"/>
      <c r="C272" s="87"/>
      <c r="D272" s="88"/>
      <c r="E272" s="88"/>
      <c r="F272" s="88"/>
      <c r="G272" s="88"/>
      <c r="H272" s="88"/>
      <c r="I272" s="87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7"/>
      <c r="V272" s="89"/>
      <c r="W272" s="89"/>
      <c r="X272" s="89"/>
      <c r="Y272" s="89"/>
      <c r="Z272" s="89"/>
      <c r="AA272" s="89"/>
      <c r="AB272" s="89"/>
      <c r="AC272" s="89"/>
      <c r="AD272" s="96"/>
      <c r="AE272" s="89"/>
    </row>
    <row r="273" spans="1:31" s="97" customFormat="1" ht="24.95" customHeight="1" x14ac:dyDescent="0.2">
      <c r="A273" s="89"/>
      <c r="B273" s="89"/>
      <c r="C273" s="87"/>
      <c r="D273" s="88"/>
      <c r="E273" s="88"/>
      <c r="F273" s="88"/>
      <c r="G273" s="88"/>
      <c r="H273" s="88"/>
      <c r="I273" s="87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7"/>
      <c r="V273" s="89"/>
      <c r="W273" s="89"/>
      <c r="X273" s="89"/>
      <c r="Y273" s="89"/>
      <c r="Z273" s="89"/>
      <c r="AA273" s="89"/>
      <c r="AB273" s="89"/>
      <c r="AC273" s="89"/>
      <c r="AD273" s="96"/>
      <c r="AE273" s="89"/>
    </row>
    <row r="274" spans="1:31" s="97" customFormat="1" ht="24.95" customHeight="1" x14ac:dyDescent="0.2">
      <c r="A274" s="89"/>
      <c r="B274" s="89"/>
      <c r="C274" s="87"/>
      <c r="D274" s="88"/>
      <c r="E274" s="88"/>
      <c r="F274" s="88"/>
      <c r="G274" s="88"/>
      <c r="H274" s="88"/>
      <c r="I274" s="87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7"/>
      <c r="V274" s="89"/>
      <c r="W274" s="89"/>
      <c r="X274" s="89"/>
      <c r="Y274" s="89"/>
      <c r="Z274" s="89"/>
      <c r="AA274" s="89"/>
      <c r="AB274" s="89"/>
      <c r="AC274" s="89"/>
      <c r="AD274" s="96"/>
      <c r="AE274" s="89"/>
    </row>
    <row r="275" spans="1:31" s="97" customFormat="1" ht="24.95" customHeight="1" x14ac:dyDescent="0.2">
      <c r="A275" s="89"/>
      <c r="B275" s="89"/>
      <c r="C275" s="87"/>
      <c r="D275" s="88"/>
      <c r="E275" s="88"/>
      <c r="F275" s="88"/>
      <c r="G275" s="88"/>
      <c r="H275" s="88"/>
      <c r="I275" s="87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7"/>
      <c r="V275" s="89"/>
      <c r="W275" s="89"/>
      <c r="X275" s="89"/>
      <c r="Y275" s="89"/>
      <c r="Z275" s="89"/>
      <c r="AA275" s="89"/>
      <c r="AB275" s="89"/>
      <c r="AC275" s="89"/>
      <c r="AD275" s="96"/>
      <c r="AE275" s="89"/>
    </row>
    <row r="276" spans="1:31" s="97" customFormat="1" ht="24.95" customHeight="1" x14ac:dyDescent="0.2">
      <c r="A276" s="89"/>
      <c r="B276" s="89"/>
      <c r="C276" s="87"/>
      <c r="D276" s="88"/>
      <c r="E276" s="88"/>
      <c r="F276" s="88"/>
      <c r="G276" s="88"/>
      <c r="H276" s="88"/>
      <c r="I276" s="87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7"/>
      <c r="V276" s="89"/>
      <c r="W276" s="89"/>
      <c r="X276" s="89"/>
      <c r="Y276" s="89"/>
      <c r="Z276" s="89"/>
      <c r="AA276" s="89"/>
      <c r="AB276" s="89"/>
      <c r="AC276" s="89"/>
      <c r="AD276" s="96"/>
      <c r="AE276" s="89"/>
    </row>
    <row r="277" spans="1:31" s="97" customFormat="1" ht="24.95" customHeight="1" x14ac:dyDescent="0.2">
      <c r="A277" s="89"/>
      <c r="B277" s="89"/>
      <c r="C277" s="87"/>
      <c r="D277" s="88"/>
      <c r="E277" s="88"/>
      <c r="F277" s="88"/>
      <c r="G277" s="88"/>
      <c r="H277" s="88"/>
      <c r="I277" s="87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7"/>
      <c r="V277" s="89"/>
      <c r="W277" s="89"/>
      <c r="X277" s="89"/>
      <c r="Y277" s="89"/>
      <c r="Z277" s="89"/>
      <c r="AA277" s="89"/>
      <c r="AB277" s="89"/>
      <c r="AC277" s="89"/>
      <c r="AD277" s="96"/>
      <c r="AE277" s="89"/>
    </row>
    <row r="278" spans="1:31" s="97" customFormat="1" ht="24.95" customHeight="1" x14ac:dyDescent="0.2">
      <c r="A278" s="89"/>
      <c r="B278" s="89"/>
      <c r="C278" s="87"/>
      <c r="D278" s="88"/>
      <c r="E278" s="88"/>
      <c r="F278" s="88"/>
      <c r="G278" s="88"/>
      <c r="H278" s="88"/>
      <c r="I278" s="87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7"/>
      <c r="V278" s="89"/>
      <c r="W278" s="89"/>
      <c r="X278" s="89"/>
      <c r="Y278" s="89"/>
      <c r="Z278" s="89"/>
      <c r="AA278" s="89"/>
      <c r="AB278" s="89"/>
      <c r="AC278" s="89"/>
      <c r="AD278" s="96"/>
      <c r="AE278" s="89"/>
    </row>
    <row r="279" spans="1:31" s="97" customFormat="1" ht="24.95" customHeight="1" x14ac:dyDescent="0.2">
      <c r="A279" s="89"/>
      <c r="B279" s="89"/>
      <c r="C279" s="87"/>
      <c r="D279" s="88"/>
      <c r="E279" s="88"/>
      <c r="F279" s="88"/>
      <c r="G279" s="88"/>
      <c r="H279" s="88"/>
      <c r="I279" s="87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7"/>
      <c r="V279" s="89"/>
      <c r="W279" s="89"/>
      <c r="X279" s="89"/>
      <c r="Y279" s="89"/>
      <c r="Z279" s="89"/>
      <c r="AA279" s="89"/>
      <c r="AB279" s="89"/>
      <c r="AC279" s="89"/>
      <c r="AD279" s="96"/>
      <c r="AE279" s="89"/>
    </row>
    <row r="280" spans="1:31" s="97" customFormat="1" ht="24.95" customHeight="1" x14ac:dyDescent="0.2">
      <c r="A280" s="89"/>
      <c r="B280" s="89"/>
      <c r="C280" s="87"/>
      <c r="D280" s="88"/>
      <c r="E280" s="88"/>
      <c r="F280" s="88"/>
      <c r="G280" s="88"/>
      <c r="H280" s="88"/>
      <c r="I280" s="87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7"/>
      <c r="V280" s="89"/>
      <c r="W280" s="89"/>
      <c r="X280" s="89"/>
      <c r="Y280" s="89"/>
      <c r="Z280" s="89"/>
      <c r="AA280" s="89"/>
      <c r="AB280" s="89"/>
      <c r="AC280" s="89"/>
      <c r="AD280" s="96"/>
      <c r="AE280" s="89"/>
    </row>
    <row r="281" spans="1:31" s="97" customFormat="1" ht="24.95" customHeight="1" x14ac:dyDescent="0.2">
      <c r="A281" s="89"/>
      <c r="B281" s="89"/>
      <c r="C281" s="87"/>
      <c r="D281" s="88"/>
      <c r="E281" s="88"/>
      <c r="F281" s="88"/>
      <c r="G281" s="88"/>
      <c r="H281" s="88"/>
      <c r="I281" s="87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7"/>
      <c r="V281" s="89"/>
      <c r="W281" s="89"/>
      <c r="X281" s="89"/>
      <c r="Y281" s="89"/>
      <c r="Z281" s="89"/>
      <c r="AA281" s="89"/>
      <c r="AB281" s="89"/>
      <c r="AC281" s="89"/>
      <c r="AD281" s="96"/>
      <c r="AE281" s="89"/>
    </row>
    <row r="282" spans="1:31" s="97" customFormat="1" ht="24.95" customHeight="1" x14ac:dyDescent="0.2">
      <c r="A282" s="89"/>
      <c r="B282" s="89"/>
      <c r="C282" s="87"/>
      <c r="D282" s="88"/>
      <c r="E282" s="88"/>
      <c r="F282" s="88"/>
      <c r="G282" s="88"/>
      <c r="H282" s="88"/>
      <c r="I282" s="87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7"/>
      <c r="V282" s="89"/>
      <c r="W282" s="89"/>
      <c r="X282" s="89"/>
      <c r="Y282" s="89"/>
      <c r="Z282" s="89"/>
      <c r="AA282" s="89"/>
      <c r="AB282" s="89"/>
      <c r="AC282" s="89"/>
      <c r="AD282" s="96"/>
      <c r="AE282" s="89"/>
    </row>
    <row r="283" spans="1:31" s="97" customFormat="1" ht="24.95" customHeight="1" x14ac:dyDescent="0.2">
      <c r="A283" s="89"/>
      <c r="B283" s="89"/>
      <c r="C283" s="87"/>
      <c r="D283" s="88"/>
      <c r="E283" s="88"/>
      <c r="F283" s="88"/>
      <c r="G283" s="88"/>
      <c r="H283" s="88"/>
      <c r="I283" s="87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7"/>
      <c r="V283" s="89"/>
      <c r="W283" s="89"/>
      <c r="X283" s="89"/>
      <c r="Y283" s="89"/>
      <c r="Z283" s="89"/>
      <c r="AA283" s="89"/>
      <c r="AB283" s="89"/>
      <c r="AC283" s="89"/>
      <c r="AD283" s="96"/>
      <c r="AE283" s="89"/>
    </row>
    <row r="284" spans="1:31" s="97" customFormat="1" ht="24.95" customHeight="1" x14ac:dyDescent="0.2">
      <c r="A284" s="89"/>
      <c r="B284" s="89"/>
      <c r="C284" s="87"/>
      <c r="D284" s="88"/>
      <c r="E284" s="88"/>
      <c r="F284" s="88"/>
      <c r="G284" s="88"/>
      <c r="H284" s="88"/>
      <c r="I284" s="87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7"/>
      <c r="V284" s="89"/>
      <c r="W284" s="89"/>
      <c r="X284" s="89"/>
      <c r="Y284" s="89"/>
      <c r="Z284" s="89"/>
      <c r="AA284" s="89"/>
      <c r="AB284" s="89"/>
      <c r="AC284" s="89"/>
      <c r="AD284" s="96"/>
      <c r="AE284" s="89"/>
    </row>
    <row r="285" spans="1:31" s="97" customFormat="1" ht="24.95" customHeight="1" x14ac:dyDescent="0.2">
      <c r="A285" s="89"/>
      <c r="B285" s="89"/>
      <c r="C285" s="87"/>
      <c r="D285" s="88"/>
      <c r="E285" s="88"/>
      <c r="F285" s="88"/>
      <c r="G285" s="88"/>
      <c r="H285" s="88"/>
      <c r="I285" s="87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7"/>
      <c r="V285" s="89"/>
      <c r="W285" s="89"/>
      <c r="X285" s="89"/>
      <c r="Y285" s="89"/>
      <c r="Z285" s="89"/>
      <c r="AA285" s="89"/>
      <c r="AB285" s="89"/>
      <c r="AC285" s="89"/>
      <c r="AD285" s="96"/>
      <c r="AE285" s="89"/>
    </row>
    <row r="286" spans="1:31" s="97" customFormat="1" ht="24.95" customHeight="1" x14ac:dyDescent="0.2">
      <c r="A286" s="89"/>
      <c r="B286" s="89"/>
      <c r="C286" s="87"/>
      <c r="D286" s="88"/>
      <c r="E286" s="88"/>
      <c r="F286" s="88"/>
      <c r="G286" s="88"/>
      <c r="H286" s="88"/>
      <c r="I286" s="87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7"/>
      <c r="V286" s="89"/>
      <c r="W286" s="89"/>
      <c r="X286" s="89"/>
      <c r="Y286" s="89"/>
      <c r="Z286" s="89"/>
      <c r="AA286" s="89"/>
      <c r="AB286" s="89"/>
      <c r="AC286" s="89"/>
      <c r="AD286" s="96"/>
      <c r="AE286" s="89"/>
    </row>
    <row r="287" spans="1:31" s="97" customFormat="1" ht="24.95" customHeight="1" x14ac:dyDescent="0.2">
      <c r="A287" s="89"/>
      <c r="B287" s="89"/>
      <c r="C287" s="87"/>
      <c r="D287" s="88"/>
      <c r="E287" s="88"/>
      <c r="F287" s="88"/>
      <c r="G287" s="88"/>
      <c r="H287" s="88"/>
      <c r="I287" s="87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7"/>
      <c r="V287" s="89"/>
      <c r="W287" s="89"/>
      <c r="X287" s="89"/>
      <c r="Y287" s="89"/>
      <c r="Z287" s="89"/>
      <c r="AA287" s="89"/>
      <c r="AB287" s="89"/>
      <c r="AC287" s="89"/>
      <c r="AD287" s="96"/>
      <c r="AE287" s="89"/>
    </row>
    <row r="288" spans="1:31" s="97" customFormat="1" ht="24.95" customHeight="1" x14ac:dyDescent="0.2">
      <c r="A288" s="89"/>
      <c r="B288" s="89"/>
      <c r="C288" s="87"/>
      <c r="D288" s="88"/>
      <c r="E288" s="88"/>
      <c r="F288" s="88"/>
      <c r="G288" s="88"/>
      <c r="H288" s="88"/>
      <c r="I288" s="87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7"/>
      <c r="V288" s="89"/>
      <c r="W288" s="89"/>
      <c r="X288" s="89"/>
      <c r="Y288" s="89"/>
      <c r="Z288" s="89"/>
      <c r="AA288" s="89"/>
      <c r="AB288" s="89"/>
      <c r="AC288" s="89"/>
      <c r="AD288" s="96"/>
      <c r="AE288" s="89"/>
    </row>
    <row r="289" spans="1:31" s="97" customFormat="1" ht="24.95" customHeight="1" x14ac:dyDescent="0.2">
      <c r="A289" s="89"/>
      <c r="B289" s="89"/>
      <c r="C289" s="87"/>
      <c r="D289" s="88"/>
      <c r="E289" s="88"/>
      <c r="F289" s="88"/>
      <c r="G289" s="88"/>
      <c r="H289" s="88"/>
      <c r="I289" s="87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7"/>
      <c r="V289" s="89"/>
      <c r="W289" s="89"/>
      <c r="X289" s="89"/>
      <c r="Y289" s="89"/>
      <c r="Z289" s="89"/>
      <c r="AA289" s="89"/>
      <c r="AB289" s="89"/>
      <c r="AC289" s="89"/>
      <c r="AD289" s="96"/>
      <c r="AE289" s="89"/>
    </row>
    <row r="290" spans="1:31" s="97" customFormat="1" ht="24.95" customHeight="1" x14ac:dyDescent="0.2">
      <c r="A290" s="89"/>
      <c r="B290" s="89"/>
      <c r="C290" s="87"/>
      <c r="D290" s="88"/>
      <c r="E290" s="88"/>
      <c r="F290" s="88"/>
      <c r="G290" s="88"/>
      <c r="H290" s="88"/>
      <c r="I290" s="87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7"/>
      <c r="V290" s="89"/>
      <c r="W290" s="89"/>
      <c r="X290" s="89"/>
      <c r="Y290" s="89"/>
      <c r="Z290" s="89"/>
      <c r="AA290" s="89"/>
      <c r="AB290" s="89"/>
      <c r="AC290" s="89"/>
      <c r="AD290" s="96"/>
      <c r="AE290" s="89"/>
    </row>
    <row r="291" spans="1:31" s="97" customFormat="1" ht="24.95" customHeight="1" x14ac:dyDescent="0.2">
      <c r="A291" s="89"/>
      <c r="B291" s="89"/>
      <c r="C291" s="87"/>
      <c r="D291" s="88"/>
      <c r="E291" s="88"/>
      <c r="F291" s="88"/>
      <c r="G291" s="88"/>
      <c r="H291" s="88"/>
      <c r="I291" s="87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7"/>
      <c r="V291" s="89"/>
      <c r="W291" s="89"/>
      <c r="X291" s="89"/>
      <c r="Y291" s="89"/>
      <c r="Z291" s="89"/>
      <c r="AA291" s="89"/>
      <c r="AB291" s="89"/>
      <c r="AC291" s="89"/>
      <c r="AD291" s="96"/>
      <c r="AE291" s="89"/>
    </row>
    <row r="292" spans="1:31" s="97" customFormat="1" ht="24.95" customHeight="1" x14ac:dyDescent="0.2">
      <c r="A292" s="89"/>
      <c r="B292" s="89"/>
      <c r="C292" s="87"/>
      <c r="D292" s="88"/>
      <c r="E292" s="88"/>
      <c r="F292" s="88"/>
      <c r="G292" s="88"/>
      <c r="H292" s="88"/>
      <c r="I292" s="87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7"/>
      <c r="V292" s="89"/>
      <c r="W292" s="89"/>
      <c r="X292" s="89"/>
      <c r="Y292" s="89"/>
      <c r="Z292" s="89"/>
      <c r="AA292" s="89"/>
      <c r="AB292" s="89"/>
      <c r="AC292" s="89"/>
      <c r="AD292" s="96"/>
      <c r="AE292" s="89"/>
    </row>
    <row r="293" spans="1:31" s="97" customFormat="1" ht="24.95" customHeight="1" x14ac:dyDescent="0.2">
      <c r="A293" s="89"/>
      <c r="B293" s="89"/>
      <c r="C293" s="87"/>
      <c r="D293" s="88"/>
      <c r="E293" s="88"/>
      <c r="F293" s="88"/>
      <c r="G293" s="88"/>
      <c r="H293" s="88"/>
      <c r="I293" s="87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7"/>
      <c r="V293" s="89"/>
      <c r="W293" s="89"/>
      <c r="X293" s="89"/>
      <c r="Y293" s="89"/>
      <c r="Z293" s="89"/>
      <c r="AA293" s="89"/>
      <c r="AB293" s="89"/>
      <c r="AC293" s="89"/>
      <c r="AD293" s="96"/>
      <c r="AE293" s="89"/>
    </row>
    <row r="294" spans="1:31" s="97" customFormat="1" ht="24.95" customHeight="1" x14ac:dyDescent="0.2">
      <c r="A294" s="89"/>
      <c r="B294" s="89"/>
      <c r="C294" s="87"/>
      <c r="D294" s="88"/>
      <c r="E294" s="88"/>
      <c r="F294" s="88"/>
      <c r="G294" s="88"/>
      <c r="H294" s="88"/>
      <c r="I294" s="87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7"/>
      <c r="V294" s="89"/>
      <c r="W294" s="89"/>
      <c r="X294" s="89"/>
      <c r="Y294" s="89"/>
      <c r="Z294" s="89"/>
      <c r="AA294" s="89"/>
      <c r="AB294" s="89"/>
      <c r="AC294" s="89"/>
      <c r="AD294" s="96"/>
      <c r="AE294" s="89"/>
    </row>
    <row r="295" spans="1:31" s="97" customFormat="1" ht="24.95" customHeight="1" x14ac:dyDescent="0.2">
      <c r="A295" s="89"/>
      <c r="B295" s="89"/>
      <c r="C295" s="87"/>
      <c r="D295" s="88"/>
      <c r="E295" s="88"/>
      <c r="F295" s="88"/>
      <c r="G295" s="88"/>
      <c r="H295" s="88"/>
      <c r="I295" s="87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7"/>
      <c r="V295" s="89"/>
      <c r="W295" s="89"/>
      <c r="X295" s="89"/>
      <c r="Y295" s="89"/>
      <c r="Z295" s="89"/>
      <c r="AA295" s="89"/>
      <c r="AB295" s="89"/>
      <c r="AC295" s="89"/>
      <c r="AD295" s="96"/>
      <c r="AE295" s="89"/>
    </row>
    <row r="296" spans="1:31" s="97" customFormat="1" ht="24.95" customHeight="1" x14ac:dyDescent="0.2">
      <c r="A296" s="89"/>
      <c r="B296" s="89"/>
      <c r="C296" s="87"/>
      <c r="D296" s="88"/>
      <c r="E296" s="88"/>
      <c r="F296" s="88"/>
      <c r="G296" s="88"/>
      <c r="H296" s="88"/>
      <c r="I296" s="87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7"/>
      <c r="V296" s="89"/>
      <c r="W296" s="89"/>
      <c r="X296" s="89"/>
      <c r="Y296" s="89"/>
      <c r="Z296" s="89"/>
      <c r="AA296" s="89"/>
      <c r="AB296" s="89"/>
      <c r="AC296" s="89"/>
      <c r="AD296" s="96"/>
      <c r="AE296" s="89"/>
    </row>
    <row r="297" spans="1:31" s="97" customFormat="1" ht="24.95" customHeight="1" x14ac:dyDescent="0.2">
      <c r="A297" s="89"/>
      <c r="B297" s="89"/>
      <c r="C297" s="87"/>
      <c r="D297" s="88"/>
      <c r="E297" s="88"/>
      <c r="F297" s="88"/>
      <c r="G297" s="88"/>
      <c r="H297" s="88"/>
      <c r="I297" s="87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7"/>
      <c r="V297" s="89"/>
      <c r="W297" s="89"/>
      <c r="X297" s="89"/>
      <c r="Y297" s="89"/>
      <c r="Z297" s="89"/>
      <c r="AA297" s="89"/>
      <c r="AB297" s="89"/>
      <c r="AC297" s="89"/>
      <c r="AD297" s="96"/>
      <c r="AE297" s="89"/>
    </row>
    <row r="298" spans="1:31" s="97" customFormat="1" ht="24.95" customHeight="1" x14ac:dyDescent="0.2">
      <c r="A298" s="89"/>
      <c r="B298" s="89"/>
      <c r="C298" s="87"/>
      <c r="D298" s="88"/>
      <c r="E298" s="88"/>
      <c r="F298" s="88"/>
      <c r="G298" s="88"/>
      <c r="H298" s="88"/>
      <c r="I298" s="87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7"/>
      <c r="V298" s="89"/>
      <c r="W298" s="89"/>
      <c r="X298" s="89"/>
      <c r="Y298" s="89"/>
      <c r="Z298" s="89"/>
      <c r="AA298" s="89"/>
      <c r="AB298" s="89"/>
      <c r="AC298" s="89"/>
      <c r="AD298" s="96"/>
      <c r="AE298" s="89"/>
    </row>
    <row r="299" spans="1:31" s="97" customFormat="1" ht="24.95" customHeight="1" x14ac:dyDescent="0.2">
      <c r="A299" s="89"/>
      <c r="B299" s="89"/>
      <c r="C299" s="87"/>
      <c r="D299" s="88"/>
      <c r="E299" s="88"/>
      <c r="F299" s="88"/>
      <c r="G299" s="88"/>
      <c r="H299" s="88"/>
      <c r="I299" s="87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7"/>
      <c r="V299" s="89"/>
      <c r="W299" s="89"/>
      <c r="X299" s="89"/>
      <c r="Y299" s="89"/>
      <c r="Z299" s="89"/>
      <c r="AA299" s="89"/>
      <c r="AB299" s="89"/>
      <c r="AC299" s="89"/>
      <c r="AD299" s="96"/>
      <c r="AE299" s="89"/>
    </row>
    <row r="300" spans="1:31" s="97" customFormat="1" ht="24.95" customHeight="1" x14ac:dyDescent="0.2">
      <c r="A300" s="89"/>
      <c r="B300" s="89"/>
      <c r="C300" s="87"/>
      <c r="D300" s="88"/>
      <c r="E300" s="88"/>
      <c r="F300" s="88"/>
      <c r="G300" s="88"/>
      <c r="H300" s="88"/>
      <c r="I300" s="87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7"/>
      <c r="V300" s="89"/>
      <c r="W300" s="89"/>
      <c r="X300" s="89"/>
      <c r="Y300" s="89"/>
      <c r="Z300" s="89"/>
      <c r="AA300" s="89"/>
      <c r="AB300" s="89"/>
      <c r="AC300" s="89"/>
      <c r="AD300" s="96"/>
      <c r="AE300" s="89"/>
    </row>
    <row r="301" spans="1:31" s="97" customFormat="1" ht="24.95" customHeight="1" x14ac:dyDescent="0.2">
      <c r="A301" s="89"/>
      <c r="B301" s="89"/>
      <c r="C301" s="87"/>
      <c r="D301" s="88"/>
      <c r="E301" s="88"/>
      <c r="F301" s="88"/>
      <c r="G301" s="88"/>
      <c r="H301" s="88"/>
      <c r="I301" s="87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7"/>
      <c r="V301" s="89"/>
      <c r="W301" s="89"/>
      <c r="X301" s="89"/>
      <c r="Y301" s="89"/>
      <c r="Z301" s="89"/>
      <c r="AA301" s="89"/>
      <c r="AB301" s="89"/>
      <c r="AC301" s="89"/>
      <c r="AD301" s="96"/>
      <c r="AE301" s="89"/>
    </row>
    <row r="302" spans="1:31" s="97" customFormat="1" ht="24.95" customHeight="1" x14ac:dyDescent="0.2">
      <c r="A302" s="89"/>
      <c r="B302" s="89"/>
      <c r="C302" s="87"/>
      <c r="D302" s="88"/>
      <c r="E302" s="88"/>
      <c r="F302" s="88"/>
      <c r="G302" s="88"/>
      <c r="H302" s="88"/>
      <c r="I302" s="87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7"/>
      <c r="V302" s="89"/>
      <c r="W302" s="89"/>
      <c r="X302" s="89"/>
      <c r="Y302" s="89"/>
      <c r="Z302" s="89"/>
      <c r="AA302" s="89"/>
      <c r="AB302" s="89"/>
      <c r="AC302" s="89"/>
      <c r="AD302" s="96"/>
      <c r="AE302" s="89"/>
    </row>
    <row r="303" spans="1:31" s="97" customFormat="1" ht="24.95" customHeight="1" x14ac:dyDescent="0.2">
      <c r="A303" s="89"/>
      <c r="B303" s="89"/>
      <c r="C303" s="87"/>
      <c r="D303" s="88"/>
      <c r="E303" s="88"/>
      <c r="F303" s="88"/>
      <c r="G303" s="88"/>
      <c r="H303" s="88"/>
      <c r="I303" s="87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7"/>
      <c r="V303" s="89"/>
      <c r="W303" s="89"/>
      <c r="X303" s="89"/>
      <c r="Y303" s="89"/>
      <c r="Z303" s="89"/>
      <c r="AA303" s="89"/>
      <c r="AB303" s="89"/>
      <c r="AC303" s="89"/>
      <c r="AD303" s="96"/>
      <c r="AE303" s="89"/>
    </row>
    <row r="304" spans="1:31" s="97" customFormat="1" ht="24.95" customHeight="1" x14ac:dyDescent="0.2">
      <c r="A304" s="89"/>
      <c r="B304" s="89"/>
      <c r="C304" s="87"/>
      <c r="D304" s="88"/>
      <c r="E304" s="88"/>
      <c r="F304" s="88"/>
      <c r="G304" s="88"/>
      <c r="H304" s="88"/>
      <c r="I304" s="87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7"/>
      <c r="V304" s="89"/>
      <c r="W304" s="89"/>
      <c r="X304" s="89"/>
      <c r="Y304" s="89"/>
      <c r="Z304" s="89"/>
      <c r="AA304" s="89"/>
      <c r="AB304" s="89"/>
      <c r="AC304" s="89"/>
      <c r="AD304" s="96"/>
      <c r="AE304" s="89"/>
    </row>
    <row r="305" spans="1:31" s="97" customFormat="1" ht="24.95" customHeight="1" x14ac:dyDescent="0.2">
      <c r="A305" s="89"/>
      <c r="B305" s="89"/>
      <c r="C305" s="87"/>
      <c r="D305" s="88"/>
      <c r="E305" s="88"/>
      <c r="F305" s="88"/>
      <c r="G305" s="88"/>
      <c r="H305" s="88"/>
      <c r="I305" s="87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7"/>
      <c r="V305" s="89"/>
      <c r="W305" s="89"/>
      <c r="X305" s="89"/>
      <c r="Y305" s="89"/>
      <c r="Z305" s="89"/>
      <c r="AA305" s="89"/>
      <c r="AB305" s="89"/>
      <c r="AC305" s="89"/>
      <c r="AD305" s="96"/>
      <c r="AE305" s="89"/>
    </row>
    <row r="306" spans="1:31" s="97" customFormat="1" ht="24.95" customHeight="1" x14ac:dyDescent="0.2">
      <c r="A306" s="89"/>
      <c r="B306" s="89"/>
      <c r="C306" s="87"/>
      <c r="D306" s="88"/>
      <c r="E306" s="88"/>
      <c r="F306" s="88"/>
      <c r="G306" s="88"/>
      <c r="H306" s="88"/>
      <c r="I306" s="87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7"/>
      <c r="V306" s="89"/>
      <c r="W306" s="89"/>
      <c r="X306" s="89"/>
      <c r="Y306" s="89"/>
      <c r="Z306" s="89"/>
      <c r="AA306" s="89"/>
      <c r="AB306" s="89"/>
      <c r="AC306" s="89"/>
      <c r="AD306" s="96"/>
      <c r="AE306" s="89"/>
    </row>
    <row r="307" spans="1:31" s="97" customFormat="1" ht="24.95" customHeight="1" x14ac:dyDescent="0.2">
      <c r="A307" s="89"/>
      <c r="B307" s="89"/>
      <c r="C307" s="87"/>
      <c r="D307" s="88"/>
      <c r="E307" s="88"/>
      <c r="F307" s="88"/>
      <c r="G307" s="88"/>
      <c r="H307" s="88"/>
      <c r="I307" s="87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7"/>
      <c r="V307" s="89"/>
      <c r="W307" s="89"/>
      <c r="X307" s="89"/>
      <c r="Y307" s="89"/>
      <c r="Z307" s="89"/>
      <c r="AA307" s="89"/>
      <c r="AB307" s="89"/>
      <c r="AC307" s="89"/>
      <c r="AD307" s="96"/>
      <c r="AE307" s="89"/>
    </row>
    <row r="308" spans="1:31" s="97" customFormat="1" ht="24.95" customHeight="1" x14ac:dyDescent="0.2">
      <c r="A308" s="89"/>
      <c r="B308" s="89"/>
      <c r="C308" s="87"/>
      <c r="D308" s="88"/>
      <c r="E308" s="88"/>
      <c r="F308" s="88"/>
      <c r="G308" s="88"/>
      <c r="H308" s="88"/>
      <c r="I308" s="87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7"/>
      <c r="V308" s="89"/>
      <c r="W308" s="89"/>
      <c r="X308" s="89"/>
      <c r="Y308" s="89"/>
      <c r="Z308" s="89"/>
      <c r="AA308" s="89"/>
      <c r="AB308" s="89"/>
      <c r="AC308" s="89"/>
      <c r="AD308" s="96"/>
      <c r="AE308" s="89"/>
    </row>
    <row r="309" spans="1:31" s="97" customFormat="1" ht="24.95" customHeight="1" x14ac:dyDescent="0.2">
      <c r="A309" s="89"/>
      <c r="B309" s="89"/>
      <c r="C309" s="87"/>
      <c r="D309" s="88"/>
      <c r="E309" s="88"/>
      <c r="F309" s="88"/>
      <c r="G309" s="88"/>
      <c r="H309" s="88"/>
      <c r="I309" s="87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7"/>
      <c r="V309" s="89"/>
      <c r="W309" s="89"/>
      <c r="X309" s="89"/>
      <c r="Y309" s="89"/>
      <c r="Z309" s="89"/>
      <c r="AA309" s="89"/>
      <c r="AB309" s="89"/>
      <c r="AC309" s="89"/>
      <c r="AD309" s="96"/>
      <c r="AE309" s="89"/>
    </row>
    <row r="310" spans="1:31" s="97" customFormat="1" ht="24.95" customHeight="1" x14ac:dyDescent="0.2">
      <c r="A310" s="89"/>
      <c r="B310" s="89"/>
      <c r="C310" s="87"/>
      <c r="D310" s="88"/>
      <c r="E310" s="88"/>
      <c r="F310" s="88"/>
      <c r="G310" s="88"/>
      <c r="H310" s="88"/>
      <c r="I310" s="87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7"/>
      <c r="V310" s="89"/>
      <c r="W310" s="89"/>
      <c r="X310" s="89"/>
      <c r="Y310" s="89"/>
      <c r="Z310" s="89"/>
      <c r="AA310" s="89"/>
      <c r="AB310" s="89"/>
      <c r="AC310" s="89"/>
      <c r="AD310" s="96"/>
      <c r="AE310" s="89"/>
    </row>
    <row r="311" spans="1:31" s="97" customFormat="1" ht="24.95" customHeight="1" x14ac:dyDescent="0.2">
      <c r="A311" s="89"/>
      <c r="B311" s="89"/>
      <c r="C311" s="87"/>
      <c r="D311" s="88"/>
      <c r="E311" s="88"/>
      <c r="F311" s="88"/>
      <c r="G311" s="88"/>
      <c r="H311" s="88"/>
      <c r="I311" s="87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7"/>
      <c r="V311" s="89"/>
      <c r="W311" s="89"/>
      <c r="X311" s="89"/>
      <c r="Y311" s="89"/>
      <c r="Z311" s="89"/>
      <c r="AA311" s="89"/>
      <c r="AB311" s="89"/>
      <c r="AC311" s="89"/>
      <c r="AD311" s="96"/>
      <c r="AE311" s="89"/>
    </row>
    <row r="312" spans="1:31" s="97" customFormat="1" ht="24.95" customHeight="1" x14ac:dyDescent="0.2">
      <c r="A312" s="89"/>
      <c r="B312" s="89"/>
      <c r="C312" s="87"/>
      <c r="D312" s="88"/>
      <c r="E312" s="88"/>
      <c r="F312" s="88"/>
      <c r="G312" s="88"/>
      <c r="H312" s="88"/>
      <c r="I312" s="87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7"/>
      <c r="V312" s="89"/>
      <c r="W312" s="89"/>
      <c r="X312" s="89"/>
      <c r="Y312" s="89"/>
      <c r="Z312" s="89"/>
      <c r="AA312" s="89"/>
      <c r="AB312" s="89"/>
      <c r="AC312" s="89"/>
      <c r="AD312" s="96"/>
      <c r="AE312" s="89"/>
    </row>
    <row r="313" spans="1:31" s="97" customFormat="1" ht="24.95" customHeight="1" x14ac:dyDescent="0.2">
      <c r="A313" s="89"/>
      <c r="B313" s="89"/>
      <c r="C313" s="87"/>
      <c r="D313" s="88"/>
      <c r="E313" s="88"/>
      <c r="F313" s="88"/>
      <c r="G313" s="88"/>
      <c r="H313" s="88"/>
      <c r="I313" s="87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7"/>
      <c r="V313" s="89"/>
      <c r="W313" s="89"/>
      <c r="X313" s="89"/>
      <c r="Y313" s="89"/>
      <c r="Z313" s="89"/>
      <c r="AA313" s="89"/>
      <c r="AB313" s="89"/>
      <c r="AC313" s="89"/>
      <c r="AD313" s="96"/>
      <c r="AE313" s="89"/>
    </row>
    <row r="314" spans="1:31" s="97" customFormat="1" ht="24.95" customHeight="1" x14ac:dyDescent="0.2">
      <c r="A314" s="89"/>
      <c r="B314" s="89"/>
      <c r="C314" s="87"/>
      <c r="D314" s="88"/>
      <c r="E314" s="88"/>
      <c r="F314" s="88"/>
      <c r="G314" s="88"/>
      <c r="H314" s="88"/>
      <c r="I314" s="87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7"/>
      <c r="V314" s="89"/>
      <c r="W314" s="89"/>
      <c r="X314" s="89"/>
      <c r="Y314" s="89"/>
      <c r="Z314" s="89"/>
      <c r="AA314" s="89"/>
      <c r="AB314" s="89"/>
      <c r="AC314" s="89"/>
      <c r="AD314" s="96"/>
      <c r="AE314" s="89"/>
    </row>
    <row r="315" spans="1:31" s="97" customFormat="1" ht="24.95" customHeight="1" x14ac:dyDescent="0.2">
      <c r="A315" s="89"/>
      <c r="B315" s="89"/>
      <c r="C315" s="87"/>
      <c r="D315" s="88"/>
      <c r="E315" s="88"/>
      <c r="F315" s="88"/>
      <c r="G315" s="88"/>
      <c r="H315" s="88"/>
      <c r="I315" s="87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7"/>
      <c r="V315" s="89"/>
      <c r="W315" s="89"/>
      <c r="X315" s="89"/>
      <c r="Y315" s="89"/>
      <c r="Z315" s="89"/>
      <c r="AA315" s="89"/>
      <c r="AB315" s="89"/>
      <c r="AC315" s="89"/>
      <c r="AD315" s="96"/>
      <c r="AE315" s="89"/>
    </row>
    <row r="316" spans="1:31" s="97" customFormat="1" ht="24.95" customHeight="1" x14ac:dyDescent="0.2">
      <c r="A316" s="89"/>
      <c r="B316" s="89"/>
      <c r="C316" s="87"/>
      <c r="D316" s="88"/>
      <c r="E316" s="88"/>
      <c r="F316" s="88"/>
      <c r="G316" s="88"/>
      <c r="H316" s="88"/>
      <c r="I316" s="87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7"/>
      <c r="V316" s="89"/>
      <c r="W316" s="89"/>
      <c r="X316" s="89"/>
      <c r="Y316" s="89"/>
      <c r="Z316" s="89"/>
      <c r="AA316" s="89"/>
      <c r="AB316" s="89"/>
      <c r="AC316" s="89"/>
      <c r="AD316" s="96"/>
      <c r="AE316" s="89"/>
    </row>
    <row r="317" spans="1:31" s="97" customFormat="1" ht="24.95" customHeight="1" x14ac:dyDescent="0.2">
      <c r="A317" s="89"/>
      <c r="B317" s="89"/>
      <c r="C317" s="87"/>
      <c r="D317" s="88"/>
      <c r="E317" s="88"/>
      <c r="F317" s="88"/>
      <c r="G317" s="88"/>
      <c r="H317" s="88"/>
      <c r="I317" s="87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7"/>
      <c r="V317" s="89"/>
      <c r="W317" s="89"/>
      <c r="X317" s="89"/>
      <c r="Y317" s="89"/>
      <c r="Z317" s="89"/>
      <c r="AA317" s="89"/>
      <c r="AB317" s="89"/>
      <c r="AC317" s="89"/>
      <c r="AD317" s="96"/>
      <c r="AE317" s="89"/>
    </row>
    <row r="318" spans="1:31" s="97" customFormat="1" ht="24.95" customHeight="1" x14ac:dyDescent="0.2">
      <c r="A318" s="89"/>
      <c r="B318" s="89"/>
      <c r="C318" s="87"/>
      <c r="D318" s="88"/>
      <c r="E318" s="88"/>
      <c r="F318" s="88"/>
      <c r="G318" s="88"/>
      <c r="H318" s="88"/>
      <c r="I318" s="87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7"/>
      <c r="V318" s="89"/>
      <c r="W318" s="89"/>
      <c r="X318" s="89"/>
      <c r="Y318" s="89"/>
      <c r="Z318" s="89"/>
      <c r="AA318" s="89"/>
      <c r="AB318" s="89"/>
      <c r="AC318" s="89"/>
      <c r="AD318" s="96"/>
      <c r="AE318" s="89"/>
    </row>
    <row r="319" spans="1:31" s="97" customFormat="1" ht="24.95" customHeight="1" x14ac:dyDescent="0.2">
      <c r="A319" s="89"/>
      <c r="B319" s="89"/>
      <c r="C319" s="87"/>
      <c r="D319" s="88"/>
      <c r="E319" s="88"/>
      <c r="F319" s="88"/>
      <c r="G319" s="88"/>
      <c r="H319" s="88"/>
      <c r="I319" s="87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7"/>
      <c r="V319" s="89"/>
      <c r="W319" s="89"/>
      <c r="X319" s="89"/>
      <c r="Y319" s="89"/>
      <c r="Z319" s="89"/>
      <c r="AA319" s="89"/>
      <c r="AB319" s="89"/>
      <c r="AC319" s="89"/>
      <c r="AD319" s="96"/>
      <c r="AE319" s="89"/>
    </row>
    <row r="320" spans="1:31" s="97" customFormat="1" ht="24.95" customHeight="1" x14ac:dyDescent="0.2">
      <c r="A320" s="89"/>
      <c r="B320" s="89"/>
      <c r="C320" s="87"/>
      <c r="D320" s="88"/>
      <c r="E320" s="88"/>
      <c r="F320" s="88"/>
      <c r="G320" s="88"/>
      <c r="H320" s="88"/>
      <c r="I320" s="87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7"/>
      <c r="V320" s="89"/>
      <c r="W320" s="89"/>
      <c r="X320" s="89"/>
      <c r="Y320" s="89"/>
      <c r="Z320" s="89"/>
      <c r="AA320" s="89"/>
      <c r="AB320" s="89"/>
      <c r="AC320" s="89"/>
      <c r="AD320" s="96"/>
      <c r="AE320" s="89"/>
    </row>
    <row r="321" spans="1:31" s="97" customFormat="1" ht="24.95" customHeight="1" x14ac:dyDescent="0.2">
      <c r="A321" s="89"/>
      <c r="B321" s="89"/>
      <c r="C321" s="87"/>
      <c r="D321" s="88"/>
      <c r="E321" s="88"/>
      <c r="F321" s="88"/>
      <c r="G321" s="88"/>
      <c r="H321" s="88"/>
      <c r="I321" s="87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7"/>
      <c r="V321" s="89"/>
      <c r="W321" s="89"/>
      <c r="X321" s="89"/>
      <c r="Y321" s="89"/>
      <c r="Z321" s="89"/>
      <c r="AA321" s="89"/>
      <c r="AB321" s="89"/>
      <c r="AC321" s="89"/>
      <c r="AD321" s="96"/>
      <c r="AE321" s="89"/>
    </row>
    <row r="322" spans="1:31" s="97" customFormat="1" ht="24.95" customHeight="1" x14ac:dyDescent="0.2">
      <c r="A322" s="89"/>
      <c r="B322" s="89"/>
      <c r="C322" s="87"/>
      <c r="D322" s="88"/>
      <c r="E322" s="88"/>
      <c r="F322" s="88"/>
      <c r="G322" s="88"/>
      <c r="H322" s="88"/>
      <c r="I322" s="87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7"/>
      <c r="V322" s="89"/>
      <c r="W322" s="89"/>
      <c r="X322" s="89"/>
      <c r="Y322" s="89"/>
      <c r="Z322" s="89"/>
      <c r="AA322" s="89"/>
      <c r="AB322" s="89"/>
      <c r="AC322" s="89"/>
      <c r="AD322" s="96"/>
      <c r="AE322" s="89"/>
    </row>
    <row r="323" spans="1:31" s="97" customFormat="1" ht="24.95" customHeight="1" x14ac:dyDescent="0.2">
      <c r="A323" s="89"/>
      <c r="B323" s="89"/>
      <c r="C323" s="87"/>
      <c r="D323" s="88"/>
      <c r="E323" s="88"/>
      <c r="F323" s="88"/>
      <c r="G323" s="88"/>
      <c r="H323" s="88"/>
      <c r="I323" s="87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7"/>
      <c r="V323" s="89"/>
      <c r="W323" s="89"/>
      <c r="X323" s="89"/>
      <c r="Y323" s="89"/>
      <c r="Z323" s="89"/>
      <c r="AA323" s="89"/>
      <c r="AB323" s="89"/>
      <c r="AC323" s="89"/>
      <c r="AD323" s="96"/>
      <c r="AE323" s="89"/>
    </row>
    <row r="324" spans="1:31" s="97" customFormat="1" ht="24.95" customHeight="1" x14ac:dyDescent="0.2">
      <c r="A324" s="89"/>
      <c r="B324" s="89"/>
      <c r="C324" s="87"/>
      <c r="D324" s="88"/>
      <c r="E324" s="88"/>
      <c r="F324" s="88"/>
      <c r="G324" s="88"/>
      <c r="H324" s="88"/>
      <c r="I324" s="87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7"/>
      <c r="V324" s="89"/>
      <c r="W324" s="89"/>
      <c r="X324" s="89"/>
      <c r="Y324" s="89"/>
      <c r="Z324" s="89"/>
      <c r="AA324" s="89"/>
      <c r="AB324" s="89"/>
      <c r="AC324" s="89"/>
      <c r="AD324" s="96"/>
      <c r="AE324" s="89"/>
    </row>
    <row r="325" spans="1:31" s="97" customFormat="1" ht="24.95" customHeight="1" x14ac:dyDescent="0.2">
      <c r="A325" s="89"/>
      <c r="B325" s="89"/>
      <c r="C325" s="87"/>
      <c r="D325" s="88"/>
      <c r="E325" s="88"/>
      <c r="F325" s="88"/>
      <c r="G325" s="88"/>
      <c r="H325" s="88"/>
      <c r="I325" s="87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7"/>
      <c r="V325" s="89"/>
      <c r="W325" s="89"/>
      <c r="X325" s="89"/>
      <c r="Y325" s="89"/>
      <c r="Z325" s="89"/>
      <c r="AA325" s="89"/>
      <c r="AB325" s="89"/>
      <c r="AC325" s="89"/>
      <c r="AD325" s="96"/>
      <c r="AE325" s="89"/>
    </row>
    <row r="326" spans="1:31" s="97" customFormat="1" ht="24.95" customHeight="1" x14ac:dyDescent="0.2">
      <c r="A326" s="89"/>
      <c r="B326" s="89"/>
      <c r="C326" s="87"/>
      <c r="D326" s="88"/>
      <c r="E326" s="88"/>
      <c r="F326" s="88"/>
      <c r="G326" s="88"/>
      <c r="H326" s="88"/>
      <c r="I326" s="87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7"/>
      <c r="V326" s="89"/>
      <c r="W326" s="89"/>
      <c r="X326" s="89"/>
      <c r="Y326" s="89"/>
      <c r="Z326" s="89"/>
      <c r="AA326" s="89"/>
      <c r="AB326" s="89"/>
      <c r="AC326" s="89"/>
      <c r="AD326" s="96"/>
      <c r="AE326" s="89"/>
    </row>
    <row r="327" spans="1:31" s="97" customFormat="1" ht="24.95" customHeight="1" x14ac:dyDescent="0.2">
      <c r="A327" s="89"/>
      <c r="B327" s="89"/>
      <c r="C327" s="87"/>
      <c r="D327" s="88"/>
      <c r="E327" s="88"/>
      <c r="F327" s="88"/>
      <c r="G327" s="88"/>
      <c r="H327" s="88"/>
      <c r="I327" s="87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7"/>
      <c r="V327" s="89"/>
      <c r="W327" s="89"/>
      <c r="X327" s="89"/>
      <c r="Y327" s="89"/>
      <c r="Z327" s="89"/>
      <c r="AA327" s="89"/>
      <c r="AB327" s="89"/>
      <c r="AC327" s="89"/>
      <c r="AD327" s="96"/>
      <c r="AE327" s="89"/>
    </row>
    <row r="328" spans="1:31" s="97" customFormat="1" ht="24.95" customHeight="1" x14ac:dyDescent="0.2">
      <c r="A328" s="89"/>
      <c r="B328" s="89"/>
      <c r="C328" s="87"/>
      <c r="D328" s="88"/>
      <c r="E328" s="88"/>
      <c r="F328" s="88"/>
      <c r="G328" s="88"/>
      <c r="H328" s="88"/>
      <c r="I328" s="87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7"/>
      <c r="V328" s="89"/>
      <c r="W328" s="89"/>
      <c r="X328" s="89"/>
      <c r="Y328" s="89"/>
      <c r="Z328" s="89"/>
      <c r="AA328" s="89"/>
      <c r="AB328" s="89"/>
      <c r="AC328" s="89"/>
      <c r="AD328" s="96"/>
      <c r="AE328" s="89"/>
    </row>
    <row r="329" spans="1:31" s="97" customFormat="1" ht="24.95" customHeight="1" x14ac:dyDescent="0.2">
      <c r="A329" s="89"/>
      <c r="B329" s="89"/>
      <c r="C329" s="87"/>
      <c r="D329" s="88"/>
      <c r="E329" s="88"/>
      <c r="F329" s="88"/>
      <c r="G329" s="88"/>
      <c r="H329" s="88"/>
      <c r="I329" s="87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7"/>
      <c r="V329" s="89"/>
      <c r="W329" s="89"/>
      <c r="X329" s="89"/>
      <c r="Y329" s="89"/>
      <c r="Z329" s="89"/>
      <c r="AA329" s="89"/>
      <c r="AB329" s="89"/>
      <c r="AC329" s="89"/>
      <c r="AD329" s="96"/>
      <c r="AE329" s="89"/>
    </row>
    <row r="330" spans="1:31" s="97" customFormat="1" ht="24.95" customHeight="1" x14ac:dyDescent="0.2">
      <c r="A330" s="89"/>
      <c r="B330" s="89"/>
      <c r="C330" s="87"/>
      <c r="D330" s="88"/>
      <c r="E330" s="88"/>
      <c r="F330" s="88"/>
      <c r="G330" s="88"/>
      <c r="H330" s="88"/>
      <c r="I330" s="87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7"/>
      <c r="V330" s="89"/>
      <c r="W330" s="89"/>
      <c r="X330" s="89"/>
      <c r="Y330" s="89"/>
      <c r="Z330" s="89"/>
      <c r="AA330" s="89"/>
      <c r="AB330" s="89"/>
      <c r="AC330" s="89"/>
      <c r="AD330" s="96"/>
      <c r="AE330" s="89"/>
    </row>
    <row r="331" spans="1:31" s="97" customFormat="1" ht="24.95" customHeight="1" x14ac:dyDescent="0.2">
      <c r="A331" s="89"/>
      <c r="B331" s="89"/>
      <c r="C331" s="87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7"/>
      <c r="V331" s="89"/>
      <c r="W331" s="89"/>
      <c r="X331" s="89"/>
      <c r="Y331" s="89"/>
      <c r="Z331" s="89"/>
      <c r="AA331" s="89"/>
      <c r="AB331" s="89"/>
      <c r="AC331" s="89"/>
      <c r="AD331" s="96"/>
      <c r="AE331" s="89"/>
    </row>
    <row r="332" spans="1:31" s="97" customFormat="1" ht="24.95" customHeight="1" x14ac:dyDescent="0.2">
      <c r="A332" s="89"/>
      <c r="B332" s="89"/>
      <c r="C332" s="87"/>
      <c r="D332" s="88"/>
      <c r="E332" s="88"/>
      <c r="F332" s="88"/>
      <c r="G332" s="88"/>
      <c r="H332" s="88"/>
      <c r="I332" s="87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7"/>
      <c r="V332" s="89"/>
      <c r="W332" s="89"/>
      <c r="X332" s="89"/>
      <c r="Y332" s="89"/>
      <c r="Z332" s="89"/>
      <c r="AA332" s="89"/>
      <c r="AB332" s="89"/>
      <c r="AC332" s="89"/>
      <c r="AD332" s="96"/>
      <c r="AE332" s="89"/>
    </row>
    <row r="333" spans="1:31" s="97" customFormat="1" ht="24.95" customHeight="1" x14ac:dyDescent="0.2">
      <c r="A333" s="89"/>
      <c r="B333" s="89"/>
      <c r="C333" s="87"/>
      <c r="D333" s="88"/>
      <c r="E333" s="88"/>
      <c r="F333" s="88"/>
      <c r="G333" s="88"/>
      <c r="H333" s="88"/>
      <c r="I333" s="87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7"/>
      <c r="V333" s="89"/>
      <c r="W333" s="89"/>
      <c r="X333" s="89"/>
      <c r="Y333" s="89"/>
      <c r="Z333" s="89"/>
      <c r="AA333" s="89"/>
      <c r="AB333" s="89"/>
      <c r="AC333" s="89"/>
      <c r="AD333" s="96"/>
      <c r="AE333" s="89"/>
    </row>
    <row r="334" spans="1:31" s="97" customFormat="1" ht="24.95" customHeight="1" x14ac:dyDescent="0.2">
      <c r="A334" s="89"/>
      <c r="B334" s="89"/>
      <c r="C334" s="87"/>
      <c r="D334" s="88"/>
      <c r="E334" s="88"/>
      <c r="F334" s="88"/>
      <c r="G334" s="88"/>
      <c r="H334" s="88"/>
      <c r="I334" s="87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7"/>
      <c r="V334" s="89"/>
      <c r="W334" s="89"/>
      <c r="X334" s="89"/>
      <c r="Y334" s="89"/>
      <c r="Z334" s="89"/>
      <c r="AA334" s="89"/>
      <c r="AB334" s="89"/>
      <c r="AC334" s="89"/>
      <c r="AD334" s="96"/>
      <c r="AE334" s="89"/>
    </row>
    <row r="335" spans="1:31" s="97" customFormat="1" ht="24.95" customHeight="1" x14ac:dyDescent="0.2">
      <c r="A335" s="89"/>
      <c r="B335" s="89"/>
      <c r="C335" s="87"/>
      <c r="D335" s="88"/>
      <c r="E335" s="88"/>
      <c r="F335" s="88"/>
      <c r="G335" s="88"/>
      <c r="H335" s="88"/>
      <c r="I335" s="87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7"/>
      <c r="V335" s="89"/>
      <c r="W335" s="89"/>
      <c r="X335" s="89"/>
      <c r="Y335" s="89"/>
      <c r="Z335" s="89"/>
      <c r="AA335" s="89"/>
      <c r="AB335" s="89"/>
      <c r="AC335" s="89"/>
      <c r="AD335" s="96"/>
      <c r="AE335" s="89"/>
    </row>
    <row r="336" spans="1:31" s="97" customFormat="1" ht="24.95" customHeight="1" x14ac:dyDescent="0.2">
      <c r="A336" s="89"/>
      <c r="B336" s="89"/>
      <c r="C336" s="87"/>
      <c r="D336" s="88"/>
      <c r="E336" s="88"/>
      <c r="F336" s="88"/>
      <c r="G336" s="88"/>
      <c r="H336" s="88"/>
      <c r="I336" s="87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7"/>
      <c r="V336" s="89"/>
      <c r="W336" s="89"/>
      <c r="X336" s="89"/>
      <c r="Y336" s="89"/>
      <c r="Z336" s="89"/>
      <c r="AA336" s="89"/>
      <c r="AB336" s="89"/>
      <c r="AC336" s="89"/>
      <c r="AD336" s="96"/>
      <c r="AE336" s="89"/>
    </row>
    <row r="337" spans="1:31" s="97" customFormat="1" ht="24.95" customHeight="1" x14ac:dyDescent="0.2">
      <c r="A337" s="89"/>
      <c r="B337" s="89"/>
      <c r="C337" s="87"/>
      <c r="D337" s="88"/>
      <c r="E337" s="88"/>
      <c r="F337" s="88"/>
      <c r="G337" s="88"/>
      <c r="H337" s="88"/>
      <c r="I337" s="87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7"/>
      <c r="V337" s="89"/>
      <c r="W337" s="89"/>
      <c r="X337" s="89"/>
      <c r="Y337" s="89"/>
      <c r="Z337" s="89"/>
      <c r="AA337" s="89"/>
      <c r="AB337" s="89"/>
      <c r="AC337" s="89"/>
      <c r="AD337" s="96"/>
      <c r="AE337" s="89"/>
    </row>
    <row r="338" spans="1:31" s="97" customFormat="1" ht="24.95" customHeight="1" x14ac:dyDescent="0.2">
      <c r="A338" s="89"/>
      <c r="B338" s="89"/>
      <c r="C338" s="87"/>
      <c r="D338" s="88"/>
      <c r="E338" s="88"/>
      <c r="F338" s="88"/>
      <c r="G338" s="88"/>
      <c r="H338" s="88"/>
      <c r="I338" s="87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7"/>
      <c r="V338" s="89"/>
      <c r="W338" s="89"/>
      <c r="X338" s="89"/>
      <c r="Y338" s="89"/>
      <c r="Z338" s="89"/>
      <c r="AA338" s="89"/>
      <c r="AB338" s="89"/>
      <c r="AC338" s="89"/>
      <c r="AD338" s="96"/>
      <c r="AE338" s="89"/>
    </row>
    <row r="339" spans="1:31" s="97" customFormat="1" ht="24.95" customHeight="1" x14ac:dyDescent="0.2">
      <c r="A339" s="89"/>
      <c r="B339" s="89"/>
      <c r="C339" s="87"/>
      <c r="D339" s="88"/>
      <c r="E339" s="88"/>
      <c r="F339" s="88"/>
      <c r="G339" s="88"/>
      <c r="H339" s="88"/>
      <c r="I339" s="87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7"/>
      <c r="V339" s="89"/>
      <c r="W339" s="89"/>
      <c r="X339" s="89"/>
      <c r="Y339" s="89"/>
      <c r="Z339" s="89"/>
      <c r="AA339" s="89"/>
      <c r="AB339" s="89"/>
      <c r="AC339" s="89"/>
      <c r="AD339" s="96"/>
      <c r="AE339" s="89"/>
    </row>
    <row r="340" spans="1:31" s="97" customFormat="1" ht="24.95" customHeight="1" x14ac:dyDescent="0.2">
      <c r="A340" s="89"/>
      <c r="B340" s="89"/>
      <c r="C340" s="87"/>
      <c r="D340" s="88"/>
      <c r="E340" s="88"/>
      <c r="F340" s="88"/>
      <c r="G340" s="88"/>
      <c r="H340" s="88"/>
      <c r="I340" s="87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7"/>
      <c r="V340" s="89"/>
      <c r="W340" s="89"/>
      <c r="X340" s="89"/>
      <c r="Y340" s="89"/>
      <c r="Z340" s="89"/>
      <c r="AA340" s="89"/>
      <c r="AB340" s="89"/>
      <c r="AC340" s="89"/>
      <c r="AD340" s="96"/>
      <c r="AE340" s="89"/>
    </row>
    <row r="341" spans="1:31" s="97" customFormat="1" ht="24.95" customHeight="1" x14ac:dyDescent="0.2">
      <c r="A341" s="89"/>
      <c r="B341" s="89"/>
      <c r="C341" s="87"/>
      <c r="D341" s="88"/>
      <c r="E341" s="88"/>
      <c r="F341" s="88"/>
      <c r="G341" s="88"/>
      <c r="H341" s="88"/>
      <c r="I341" s="87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7"/>
      <c r="V341" s="89"/>
      <c r="W341" s="89"/>
      <c r="X341" s="89"/>
      <c r="Y341" s="89"/>
      <c r="Z341" s="89"/>
      <c r="AA341" s="89"/>
      <c r="AB341" s="89"/>
      <c r="AC341" s="89"/>
      <c r="AD341" s="96"/>
      <c r="AE341" s="89"/>
    </row>
    <row r="342" spans="1:31" s="97" customFormat="1" ht="24.95" customHeight="1" x14ac:dyDescent="0.2">
      <c r="A342" s="89"/>
      <c r="B342" s="89"/>
      <c r="C342" s="87"/>
      <c r="D342" s="87"/>
      <c r="E342" s="88"/>
      <c r="F342" s="88"/>
      <c r="G342" s="88"/>
      <c r="H342" s="87"/>
      <c r="I342" s="87"/>
      <c r="J342" s="87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7"/>
      <c r="V342" s="89"/>
      <c r="W342" s="89"/>
      <c r="X342" s="89"/>
      <c r="Y342" s="89"/>
      <c r="Z342" s="89"/>
      <c r="AA342" s="89"/>
      <c r="AB342" s="89"/>
      <c r="AC342" s="89"/>
      <c r="AD342" s="96"/>
      <c r="AE342" s="89"/>
    </row>
    <row r="343" spans="1:31" s="97" customFormat="1" ht="24.95" customHeight="1" x14ac:dyDescent="0.2">
      <c r="A343" s="89"/>
      <c r="B343" s="89"/>
      <c r="C343" s="87"/>
      <c r="D343" s="88"/>
      <c r="E343" s="88"/>
      <c r="F343" s="88"/>
      <c r="G343" s="88"/>
      <c r="H343" s="88"/>
      <c r="I343" s="87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7"/>
      <c r="V343" s="89"/>
      <c r="W343" s="89"/>
      <c r="X343" s="89"/>
      <c r="Y343" s="89"/>
      <c r="Z343" s="89"/>
      <c r="AA343" s="89"/>
      <c r="AB343" s="89"/>
      <c r="AC343" s="89"/>
      <c r="AD343" s="96"/>
      <c r="AE343" s="89"/>
    </row>
    <row r="344" spans="1:31" s="97" customFormat="1" ht="24.95" customHeight="1" x14ac:dyDescent="0.2">
      <c r="A344" s="89"/>
      <c r="B344" s="89"/>
      <c r="C344" s="87"/>
      <c r="D344" s="88"/>
      <c r="E344" s="88"/>
      <c r="F344" s="88"/>
      <c r="G344" s="88"/>
      <c r="H344" s="88"/>
      <c r="I344" s="87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7"/>
      <c r="V344" s="89"/>
      <c r="W344" s="89"/>
      <c r="X344" s="89"/>
      <c r="Y344" s="89"/>
      <c r="Z344" s="89"/>
      <c r="AA344" s="89"/>
      <c r="AB344" s="89"/>
      <c r="AC344" s="89"/>
      <c r="AD344" s="96"/>
      <c r="AE344" s="89"/>
    </row>
    <row r="345" spans="1:31" s="97" customFormat="1" ht="24.95" customHeight="1" x14ac:dyDescent="0.2">
      <c r="A345" s="89"/>
      <c r="B345" s="89"/>
      <c r="C345" s="87"/>
      <c r="D345" s="88"/>
      <c r="E345" s="88"/>
      <c r="F345" s="88"/>
      <c r="G345" s="88"/>
      <c r="H345" s="88"/>
      <c r="I345" s="87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7"/>
      <c r="V345" s="89"/>
      <c r="W345" s="89"/>
      <c r="X345" s="89"/>
      <c r="Y345" s="89"/>
      <c r="Z345" s="89"/>
      <c r="AA345" s="89"/>
      <c r="AB345" s="89"/>
      <c r="AC345" s="89"/>
      <c r="AD345" s="96"/>
      <c r="AE345" s="89"/>
    </row>
    <row r="346" spans="1:31" s="97" customFormat="1" ht="24.95" customHeight="1" x14ac:dyDescent="0.2">
      <c r="A346" s="89"/>
      <c r="B346" s="89"/>
      <c r="C346" s="87"/>
      <c r="D346" s="88"/>
      <c r="E346" s="88"/>
      <c r="F346" s="88"/>
      <c r="G346" s="88"/>
      <c r="H346" s="88"/>
      <c r="I346" s="87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7"/>
      <c r="V346" s="89"/>
      <c r="W346" s="89"/>
      <c r="X346" s="89"/>
      <c r="Y346" s="89"/>
      <c r="Z346" s="89"/>
      <c r="AA346" s="89"/>
      <c r="AB346" s="89"/>
      <c r="AC346" s="89"/>
      <c r="AD346" s="96"/>
      <c r="AE346" s="89"/>
    </row>
    <row r="347" spans="1:31" s="97" customFormat="1" ht="24.95" customHeight="1" x14ac:dyDescent="0.2">
      <c r="A347" s="89"/>
      <c r="B347" s="89"/>
      <c r="C347" s="87"/>
      <c r="D347" s="88"/>
      <c r="E347" s="88"/>
      <c r="F347" s="88"/>
      <c r="G347" s="88"/>
      <c r="H347" s="88"/>
      <c r="I347" s="87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7"/>
      <c r="V347" s="89"/>
      <c r="W347" s="89"/>
      <c r="X347" s="89"/>
      <c r="Y347" s="89"/>
      <c r="Z347" s="89"/>
      <c r="AA347" s="89"/>
      <c r="AB347" s="89"/>
      <c r="AC347" s="89"/>
      <c r="AD347" s="96"/>
      <c r="AE347" s="89"/>
    </row>
    <row r="348" spans="1:31" s="97" customFormat="1" ht="24.95" customHeight="1" x14ac:dyDescent="0.2">
      <c r="A348" s="89"/>
      <c r="B348" s="89"/>
      <c r="C348" s="87"/>
      <c r="D348" s="88"/>
      <c r="E348" s="88"/>
      <c r="F348" s="88"/>
      <c r="G348" s="88"/>
      <c r="H348" s="88"/>
      <c r="I348" s="87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7"/>
      <c r="V348" s="89"/>
      <c r="W348" s="89"/>
      <c r="X348" s="89"/>
      <c r="Y348" s="89"/>
      <c r="Z348" s="89"/>
      <c r="AA348" s="89"/>
      <c r="AB348" s="89"/>
      <c r="AC348" s="89"/>
      <c r="AD348" s="96"/>
      <c r="AE348" s="89"/>
    </row>
    <row r="349" spans="1:31" s="97" customFormat="1" ht="24.95" customHeight="1" x14ac:dyDescent="0.2">
      <c r="A349" s="89"/>
      <c r="B349" s="89"/>
      <c r="C349" s="87"/>
      <c r="D349" s="88"/>
      <c r="E349" s="88"/>
      <c r="F349" s="88"/>
      <c r="G349" s="88"/>
      <c r="H349" s="88"/>
      <c r="I349" s="87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7"/>
      <c r="V349" s="89"/>
      <c r="W349" s="89"/>
      <c r="X349" s="89"/>
      <c r="Y349" s="89"/>
      <c r="Z349" s="89"/>
      <c r="AA349" s="89"/>
      <c r="AB349" s="89"/>
      <c r="AC349" s="89"/>
      <c r="AD349" s="96"/>
      <c r="AE349" s="89"/>
    </row>
    <row r="350" spans="1:31" s="97" customFormat="1" ht="24.95" customHeight="1" x14ac:dyDescent="0.2">
      <c r="A350" s="89"/>
      <c r="B350" s="89"/>
      <c r="C350" s="87"/>
      <c r="D350" s="88"/>
      <c r="E350" s="88"/>
      <c r="F350" s="88"/>
      <c r="G350" s="88"/>
      <c r="H350" s="88"/>
      <c r="I350" s="87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7"/>
      <c r="V350" s="89"/>
      <c r="W350" s="89"/>
      <c r="X350" s="89"/>
      <c r="Y350" s="89"/>
      <c r="Z350" s="89"/>
      <c r="AA350" s="89"/>
      <c r="AB350" s="89"/>
      <c r="AC350" s="89"/>
      <c r="AD350" s="96"/>
      <c r="AE350" s="89"/>
    </row>
    <row r="351" spans="1:31" s="97" customFormat="1" ht="24.95" customHeight="1" x14ac:dyDescent="0.2">
      <c r="A351" s="89"/>
      <c r="B351" s="89"/>
      <c r="C351" s="87"/>
      <c r="D351" s="88"/>
      <c r="E351" s="88"/>
      <c r="F351" s="88"/>
      <c r="G351" s="88"/>
      <c r="H351" s="88"/>
      <c r="I351" s="87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7"/>
      <c r="V351" s="89"/>
      <c r="W351" s="89"/>
      <c r="X351" s="89"/>
      <c r="Y351" s="89"/>
      <c r="Z351" s="89"/>
      <c r="AA351" s="89"/>
      <c r="AB351" s="89"/>
      <c r="AC351" s="89"/>
      <c r="AD351" s="96"/>
      <c r="AE351" s="89"/>
    </row>
    <row r="352" spans="1:31" s="97" customFormat="1" ht="24.95" customHeight="1" x14ac:dyDescent="0.2">
      <c r="A352" s="89"/>
      <c r="B352" s="89"/>
      <c r="C352" s="87"/>
      <c r="D352" s="88"/>
      <c r="E352" s="88"/>
      <c r="F352" s="88"/>
      <c r="G352" s="88"/>
      <c r="H352" s="88"/>
      <c r="I352" s="87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7"/>
      <c r="V352" s="89"/>
      <c r="W352" s="89"/>
      <c r="X352" s="89"/>
      <c r="Y352" s="89"/>
      <c r="Z352" s="89"/>
      <c r="AA352" s="89"/>
      <c r="AB352" s="89"/>
      <c r="AC352" s="89"/>
      <c r="AD352" s="96"/>
      <c r="AE352" s="89"/>
    </row>
    <row r="353" spans="1:31" s="97" customFormat="1" ht="24.95" customHeight="1" x14ac:dyDescent="0.2">
      <c r="A353" s="89"/>
      <c r="B353" s="89"/>
      <c r="C353" s="87"/>
      <c r="D353" s="88"/>
      <c r="E353" s="88"/>
      <c r="F353" s="88"/>
      <c r="G353" s="88"/>
      <c r="H353" s="88"/>
      <c r="I353" s="87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7"/>
      <c r="V353" s="89"/>
      <c r="W353" s="89"/>
      <c r="X353" s="89"/>
      <c r="Y353" s="89"/>
      <c r="Z353" s="89"/>
      <c r="AA353" s="89"/>
      <c r="AB353" s="89"/>
      <c r="AC353" s="89"/>
      <c r="AD353" s="96"/>
      <c r="AE353" s="89"/>
    </row>
    <row r="354" spans="1:31" s="97" customFormat="1" ht="24.95" customHeight="1" x14ac:dyDescent="0.2">
      <c r="A354" s="89"/>
      <c r="B354" s="89"/>
      <c r="C354" s="87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7"/>
      <c r="V354" s="89"/>
      <c r="W354" s="89"/>
      <c r="X354" s="89"/>
      <c r="Y354" s="89"/>
      <c r="Z354" s="89"/>
      <c r="AA354" s="89"/>
      <c r="AB354" s="89"/>
      <c r="AC354" s="89"/>
      <c r="AD354" s="96"/>
      <c r="AE354" s="89"/>
    </row>
    <row r="355" spans="1:31" s="97" customFormat="1" ht="24.95" customHeight="1" x14ac:dyDescent="0.2">
      <c r="A355" s="89"/>
      <c r="B355" s="89"/>
      <c r="C355" s="87"/>
      <c r="D355" s="88"/>
      <c r="E355" s="88"/>
      <c r="F355" s="88"/>
      <c r="G355" s="88"/>
      <c r="H355" s="88"/>
      <c r="I355" s="87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7"/>
      <c r="V355" s="89"/>
      <c r="W355" s="89"/>
      <c r="X355" s="89"/>
      <c r="Y355" s="89"/>
      <c r="Z355" s="89"/>
      <c r="AA355" s="89"/>
      <c r="AB355" s="89"/>
      <c r="AC355" s="89"/>
      <c r="AD355" s="96"/>
      <c r="AE355" s="89"/>
    </row>
    <row r="356" spans="1:31" s="97" customFormat="1" ht="24.95" customHeight="1" x14ac:dyDescent="0.2">
      <c r="A356" s="89"/>
      <c r="B356" s="89"/>
      <c r="C356" s="87"/>
      <c r="D356" s="88"/>
      <c r="E356" s="88"/>
      <c r="F356" s="88"/>
      <c r="G356" s="88"/>
      <c r="H356" s="88"/>
      <c r="I356" s="87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7"/>
      <c r="V356" s="89"/>
      <c r="W356" s="89"/>
      <c r="X356" s="89"/>
      <c r="Y356" s="89"/>
      <c r="Z356" s="89"/>
      <c r="AA356" s="89"/>
      <c r="AB356" s="89"/>
      <c r="AC356" s="89"/>
      <c r="AD356" s="96"/>
      <c r="AE356" s="89"/>
    </row>
    <row r="357" spans="1:31" s="97" customFormat="1" ht="24.95" customHeight="1" x14ac:dyDescent="0.2">
      <c r="A357" s="89"/>
      <c r="B357" s="89"/>
      <c r="C357" s="87"/>
      <c r="D357" s="88"/>
      <c r="E357" s="88"/>
      <c r="F357" s="88"/>
      <c r="G357" s="88"/>
      <c r="H357" s="88"/>
      <c r="I357" s="87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7"/>
      <c r="V357" s="89"/>
      <c r="W357" s="89"/>
      <c r="X357" s="89"/>
      <c r="Y357" s="89"/>
      <c r="Z357" s="89"/>
      <c r="AA357" s="89"/>
      <c r="AB357" s="89"/>
      <c r="AC357" s="89"/>
      <c r="AD357" s="96"/>
      <c r="AE357" s="89"/>
    </row>
    <row r="358" spans="1:31" s="97" customFormat="1" ht="24.95" customHeight="1" x14ac:dyDescent="0.2">
      <c r="A358" s="89"/>
      <c r="B358" s="89"/>
      <c r="C358" s="87"/>
      <c r="D358" s="88"/>
      <c r="E358" s="88"/>
      <c r="F358" s="88"/>
      <c r="G358" s="88"/>
      <c r="H358" s="88"/>
      <c r="I358" s="87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7"/>
      <c r="V358" s="89"/>
      <c r="W358" s="89"/>
      <c r="X358" s="89"/>
      <c r="Y358" s="89"/>
      <c r="Z358" s="89"/>
      <c r="AA358" s="89"/>
      <c r="AB358" s="89"/>
      <c r="AC358" s="89"/>
      <c r="AD358" s="96"/>
      <c r="AE358" s="89"/>
    </row>
  </sheetData>
  <autoFilter ref="C1:C617" xr:uid="{00000000-0009-0000-0000-000002000000}"/>
  <sortState xmlns:xlrd2="http://schemas.microsoft.com/office/spreadsheetml/2017/richdata2" ref="C6:AF18">
    <sortCondition ref="C6:C18"/>
  </sortState>
  <mergeCells count="18">
    <mergeCell ref="A3:A4"/>
    <mergeCell ref="L3:T3"/>
    <mergeCell ref="B3:B4"/>
    <mergeCell ref="C3:C5"/>
    <mergeCell ref="A1:AE1"/>
    <mergeCell ref="A2:AE2"/>
    <mergeCell ref="AE3:AE5"/>
    <mergeCell ref="AC3:AD3"/>
    <mergeCell ref="L5:O5"/>
    <mergeCell ref="W5:X5"/>
    <mergeCell ref="Y5:AA5"/>
    <mergeCell ref="AC5:AD5"/>
    <mergeCell ref="V3:V4"/>
    <mergeCell ref="W3:X3"/>
    <mergeCell ref="Y3:AA3"/>
    <mergeCell ref="D3:E3"/>
    <mergeCell ref="F3:I3"/>
    <mergeCell ref="D5:E5"/>
  </mergeCells>
  <conditionalFormatting sqref="C3:C7">
    <cfRule type="duplicateValues" dxfId="134" priority="17"/>
    <cfRule type="duplicateValues" dxfId="133" priority="18"/>
    <cfRule type="duplicateValues" dxfId="132" priority="19"/>
    <cfRule type="duplicateValues" dxfId="131" priority="20"/>
    <cfRule type="duplicateValues" dxfId="130" priority="21"/>
    <cfRule type="duplicateValues" dxfId="129" priority="22"/>
  </conditionalFormatting>
  <conditionalFormatting sqref="C3:C9 C12:C1048576">
    <cfRule type="duplicateValues" dxfId="128" priority="39"/>
    <cfRule type="duplicateValues" dxfId="127" priority="40"/>
    <cfRule type="duplicateValues" dxfId="126" priority="41"/>
    <cfRule type="duplicateValues" dxfId="125" priority="42"/>
    <cfRule type="duplicateValues" dxfId="124" priority="43"/>
    <cfRule type="duplicateValues" dxfId="123" priority="44"/>
    <cfRule type="duplicateValues" dxfId="122" priority="45"/>
    <cfRule type="duplicateValues" dxfId="121" priority="46"/>
    <cfRule type="duplicateValues" dxfId="120" priority="47"/>
    <cfRule type="duplicateValues" dxfId="119" priority="48"/>
  </conditionalFormatting>
  <conditionalFormatting sqref="C3:C1048576">
    <cfRule type="duplicateValues" dxfId="118" priority="1"/>
    <cfRule type="duplicateValues" dxfId="117" priority="2"/>
    <cfRule type="duplicateValues" dxfId="116" priority="29"/>
    <cfRule type="duplicateValues" dxfId="115" priority="30"/>
    <cfRule type="duplicateValues" dxfId="114" priority="31"/>
    <cfRule type="duplicateValues" dxfId="113" priority="32"/>
    <cfRule type="duplicateValues" dxfId="112" priority="33"/>
    <cfRule type="duplicateValues" dxfId="111" priority="34"/>
    <cfRule type="duplicateValues" dxfId="110" priority="35"/>
    <cfRule type="duplicateValues" dxfId="109" priority="36"/>
    <cfRule type="duplicateValues" dxfId="108" priority="37"/>
    <cfRule type="duplicateValues" dxfId="107" priority="49"/>
    <cfRule type="duplicateValues" dxfId="106" priority="50"/>
    <cfRule type="duplicateValues" dxfId="105" priority="51"/>
    <cfRule type="duplicateValues" dxfId="104" priority="52"/>
  </conditionalFormatting>
  <conditionalFormatting sqref="C8:C9 C12:C1048576">
    <cfRule type="duplicateValues" dxfId="103" priority="38"/>
  </conditionalFormatting>
  <conditionalFormatting sqref="C10:C11">
    <cfRule type="duplicateValues" dxfId="102" priority="14"/>
    <cfRule type="duplicateValues" dxfId="101" priority="15"/>
    <cfRule type="duplicateValues" dxfId="100" priority="16"/>
  </conditionalFormatting>
  <conditionalFormatting sqref="C11">
    <cfRule type="duplicateValues" dxfId="99" priority="3"/>
    <cfRule type="duplicateValues" dxfId="98" priority="4"/>
    <cfRule type="duplicateValues" dxfId="97" priority="5"/>
    <cfRule type="duplicateValues" dxfId="96" priority="6"/>
    <cfRule type="duplicateValues" dxfId="95" priority="7"/>
    <cfRule type="duplicateValues" dxfId="94" priority="8"/>
    <cfRule type="duplicateValues" dxfId="93" priority="9"/>
    <cfRule type="duplicateValues" dxfId="92" priority="10"/>
    <cfRule type="duplicateValues" dxfId="91" priority="11"/>
    <cfRule type="duplicateValues" dxfId="90" priority="12"/>
    <cfRule type="duplicateValues" dxfId="89" priority="13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J917"/>
  <sheetViews>
    <sheetView topLeftCell="J1" workbookViewId="0">
      <pane xSplit="5" ySplit="2" topLeftCell="AB3" activePane="bottomRight" state="frozen"/>
      <selection activeCell="J1" sqref="J1"/>
      <selection pane="topRight" activeCell="O1" sqref="O1"/>
      <selection pane="bottomLeft" activeCell="J3" sqref="J3"/>
      <selection pane="bottomRight" activeCell="M6" sqref="M6"/>
    </sheetView>
  </sheetViews>
  <sheetFormatPr defaultRowHeight="12.75" outlineLevelCol="1" x14ac:dyDescent="0.2"/>
  <cols>
    <col min="1" max="1" width="11.42578125" style="1" hidden="1" customWidth="1" outlineLevel="1"/>
    <col min="2" max="2" width="14.85546875" style="1" hidden="1" customWidth="1" outlineLevel="1"/>
    <col min="3" max="3" width="20.5703125" style="1" hidden="1" customWidth="1" outlineLevel="1"/>
    <col min="4" max="4" width="28.28515625" style="1" hidden="1" customWidth="1" outlineLevel="1"/>
    <col min="5" max="5" width="13.85546875" style="1" hidden="1" customWidth="1" outlineLevel="1"/>
    <col min="6" max="6" width="14" style="1" hidden="1" customWidth="1" outlineLevel="1"/>
    <col min="7" max="7" width="14.42578125" style="1" hidden="1" customWidth="1" outlineLevel="1"/>
    <col min="8" max="9" width="12.42578125" style="1" hidden="1" customWidth="1" outlineLevel="1"/>
    <col min="10" max="14" width="12.42578125" style="1" customWidth="1" outlineLevel="1"/>
    <col min="15" max="15" width="15.42578125" style="1" customWidth="1"/>
    <col min="16" max="16" width="14.140625" style="1" customWidth="1"/>
    <col min="17" max="17" width="14.42578125" style="1" customWidth="1"/>
    <col min="18" max="18" width="10.28515625" style="1" customWidth="1"/>
    <col min="19" max="19" width="11.28515625" style="1" customWidth="1"/>
    <col min="20" max="20" width="15.5703125" style="1" customWidth="1"/>
    <col min="21" max="21" width="22.140625" style="1" customWidth="1"/>
    <col min="22" max="22" width="8.42578125" style="1" customWidth="1"/>
    <col min="23" max="24" width="10.42578125" style="1" bestFit="1" customWidth="1"/>
    <col min="25" max="25" width="20.7109375" style="1" customWidth="1"/>
    <col min="26" max="26" width="17.140625" style="1" customWidth="1"/>
    <col min="27" max="27" width="13.28515625" style="1" customWidth="1"/>
    <col min="28" max="28" width="7.42578125" style="1" bestFit="1" customWidth="1"/>
    <col min="29" max="29" width="13.42578125" style="1" customWidth="1"/>
    <col min="30" max="30" width="7.85546875" style="1" customWidth="1"/>
    <col min="31" max="31" width="15.85546875" style="1" customWidth="1"/>
    <col min="32" max="33" width="14.85546875" style="1" customWidth="1"/>
    <col min="34" max="34" width="8.5703125" style="1" bestFit="1" customWidth="1"/>
    <col min="35" max="35" width="27.28515625" style="1" bestFit="1" customWidth="1"/>
    <col min="36" max="36" width="11.28515625" style="1" bestFit="1" customWidth="1"/>
    <col min="37" max="256" width="8.7109375" style="1"/>
    <col min="257" max="266" width="0" style="1" hidden="1" customWidth="1"/>
    <col min="267" max="267" width="14.140625" style="1" customWidth="1"/>
    <col min="268" max="268" width="14.42578125" style="1" customWidth="1"/>
    <col min="269" max="269" width="15.140625" style="1" customWidth="1"/>
    <col min="270" max="270" width="10.28515625" style="1" customWidth="1"/>
    <col min="271" max="271" width="11.28515625" style="1" customWidth="1"/>
    <col min="272" max="272" width="15.5703125" style="1" customWidth="1"/>
    <col min="273" max="273" width="22.140625" style="1" customWidth="1"/>
    <col min="274" max="276" width="8.42578125" style="1" customWidth="1"/>
    <col min="277" max="277" width="21.5703125" style="1" customWidth="1"/>
    <col min="278" max="278" width="20.7109375" style="1" customWidth="1"/>
    <col min="279" max="279" width="17.140625" style="1" customWidth="1"/>
    <col min="280" max="280" width="15.5703125" style="1" customWidth="1"/>
    <col min="281" max="281" width="13.28515625" style="1" customWidth="1"/>
    <col min="282" max="282" width="7.42578125" style="1" bestFit="1" customWidth="1"/>
    <col min="283" max="283" width="13.42578125" style="1" customWidth="1"/>
    <col min="284" max="284" width="7.85546875" style="1" customWidth="1"/>
    <col min="285" max="285" width="15.85546875" style="1" customWidth="1"/>
    <col min="286" max="287" width="14.85546875" style="1" customWidth="1"/>
    <col min="288" max="288" width="6" style="1" customWidth="1"/>
    <col min="289" max="289" width="9.5703125" style="1" customWidth="1"/>
    <col min="290" max="290" width="27.28515625" style="1" bestFit="1" customWidth="1"/>
    <col min="291" max="291" width="8.42578125" style="1" customWidth="1"/>
    <col min="292" max="512" width="8.7109375" style="1"/>
    <col min="513" max="522" width="0" style="1" hidden="1" customWidth="1"/>
    <col min="523" max="523" width="14.140625" style="1" customWidth="1"/>
    <col min="524" max="524" width="14.42578125" style="1" customWidth="1"/>
    <col min="525" max="525" width="15.140625" style="1" customWidth="1"/>
    <col min="526" max="526" width="10.28515625" style="1" customWidth="1"/>
    <col min="527" max="527" width="11.28515625" style="1" customWidth="1"/>
    <col min="528" max="528" width="15.5703125" style="1" customWidth="1"/>
    <col min="529" max="529" width="22.140625" style="1" customWidth="1"/>
    <col min="530" max="532" width="8.42578125" style="1" customWidth="1"/>
    <col min="533" max="533" width="21.5703125" style="1" customWidth="1"/>
    <col min="534" max="534" width="20.7109375" style="1" customWidth="1"/>
    <col min="535" max="535" width="17.140625" style="1" customWidth="1"/>
    <col min="536" max="536" width="15.5703125" style="1" customWidth="1"/>
    <col min="537" max="537" width="13.28515625" style="1" customWidth="1"/>
    <col min="538" max="538" width="7.42578125" style="1" bestFit="1" customWidth="1"/>
    <col min="539" max="539" width="13.42578125" style="1" customWidth="1"/>
    <col min="540" max="540" width="7.85546875" style="1" customWidth="1"/>
    <col min="541" max="541" width="15.85546875" style="1" customWidth="1"/>
    <col min="542" max="543" width="14.85546875" style="1" customWidth="1"/>
    <col min="544" max="544" width="6" style="1" customWidth="1"/>
    <col min="545" max="545" width="9.5703125" style="1" customWidth="1"/>
    <col min="546" max="546" width="27.28515625" style="1" bestFit="1" customWidth="1"/>
    <col min="547" max="547" width="8.42578125" style="1" customWidth="1"/>
    <col min="548" max="768" width="8.7109375" style="1"/>
    <col min="769" max="778" width="0" style="1" hidden="1" customWidth="1"/>
    <col min="779" max="779" width="14.140625" style="1" customWidth="1"/>
    <col min="780" max="780" width="14.42578125" style="1" customWidth="1"/>
    <col min="781" max="781" width="15.140625" style="1" customWidth="1"/>
    <col min="782" max="782" width="10.28515625" style="1" customWidth="1"/>
    <col min="783" max="783" width="11.28515625" style="1" customWidth="1"/>
    <col min="784" max="784" width="15.5703125" style="1" customWidth="1"/>
    <col min="785" max="785" width="22.140625" style="1" customWidth="1"/>
    <col min="786" max="788" width="8.42578125" style="1" customWidth="1"/>
    <col min="789" max="789" width="21.5703125" style="1" customWidth="1"/>
    <col min="790" max="790" width="20.7109375" style="1" customWidth="1"/>
    <col min="791" max="791" width="17.140625" style="1" customWidth="1"/>
    <col min="792" max="792" width="15.5703125" style="1" customWidth="1"/>
    <col min="793" max="793" width="13.28515625" style="1" customWidth="1"/>
    <col min="794" max="794" width="7.42578125" style="1" bestFit="1" customWidth="1"/>
    <col min="795" max="795" width="13.42578125" style="1" customWidth="1"/>
    <col min="796" max="796" width="7.85546875" style="1" customWidth="1"/>
    <col min="797" max="797" width="15.85546875" style="1" customWidth="1"/>
    <col min="798" max="799" width="14.85546875" style="1" customWidth="1"/>
    <col min="800" max="800" width="6" style="1" customWidth="1"/>
    <col min="801" max="801" width="9.5703125" style="1" customWidth="1"/>
    <col min="802" max="802" width="27.28515625" style="1" bestFit="1" customWidth="1"/>
    <col min="803" max="803" width="8.42578125" style="1" customWidth="1"/>
    <col min="804" max="1024" width="8.7109375" style="1"/>
    <col min="1025" max="1034" width="0" style="1" hidden="1" customWidth="1"/>
    <col min="1035" max="1035" width="14.140625" style="1" customWidth="1"/>
    <col min="1036" max="1036" width="14.42578125" style="1" customWidth="1"/>
    <col min="1037" max="1037" width="15.140625" style="1" customWidth="1"/>
    <col min="1038" max="1038" width="10.28515625" style="1" customWidth="1"/>
    <col min="1039" max="1039" width="11.28515625" style="1" customWidth="1"/>
    <col min="1040" max="1040" width="15.5703125" style="1" customWidth="1"/>
    <col min="1041" max="1041" width="22.140625" style="1" customWidth="1"/>
    <col min="1042" max="1044" width="8.42578125" style="1" customWidth="1"/>
    <col min="1045" max="1045" width="21.5703125" style="1" customWidth="1"/>
    <col min="1046" max="1046" width="20.7109375" style="1" customWidth="1"/>
    <col min="1047" max="1047" width="17.140625" style="1" customWidth="1"/>
    <col min="1048" max="1048" width="15.5703125" style="1" customWidth="1"/>
    <col min="1049" max="1049" width="13.28515625" style="1" customWidth="1"/>
    <col min="1050" max="1050" width="7.42578125" style="1" bestFit="1" customWidth="1"/>
    <col min="1051" max="1051" width="13.42578125" style="1" customWidth="1"/>
    <col min="1052" max="1052" width="7.85546875" style="1" customWidth="1"/>
    <col min="1053" max="1053" width="15.85546875" style="1" customWidth="1"/>
    <col min="1054" max="1055" width="14.85546875" style="1" customWidth="1"/>
    <col min="1056" max="1056" width="6" style="1" customWidth="1"/>
    <col min="1057" max="1057" width="9.5703125" style="1" customWidth="1"/>
    <col min="1058" max="1058" width="27.28515625" style="1" bestFit="1" customWidth="1"/>
    <col min="1059" max="1059" width="8.42578125" style="1" customWidth="1"/>
    <col min="1060" max="1280" width="8.7109375" style="1"/>
    <col min="1281" max="1290" width="0" style="1" hidden="1" customWidth="1"/>
    <col min="1291" max="1291" width="14.140625" style="1" customWidth="1"/>
    <col min="1292" max="1292" width="14.42578125" style="1" customWidth="1"/>
    <col min="1293" max="1293" width="15.140625" style="1" customWidth="1"/>
    <col min="1294" max="1294" width="10.28515625" style="1" customWidth="1"/>
    <col min="1295" max="1295" width="11.28515625" style="1" customWidth="1"/>
    <col min="1296" max="1296" width="15.5703125" style="1" customWidth="1"/>
    <col min="1297" max="1297" width="22.140625" style="1" customWidth="1"/>
    <col min="1298" max="1300" width="8.42578125" style="1" customWidth="1"/>
    <col min="1301" max="1301" width="21.5703125" style="1" customWidth="1"/>
    <col min="1302" max="1302" width="20.7109375" style="1" customWidth="1"/>
    <col min="1303" max="1303" width="17.140625" style="1" customWidth="1"/>
    <col min="1304" max="1304" width="15.5703125" style="1" customWidth="1"/>
    <col min="1305" max="1305" width="13.28515625" style="1" customWidth="1"/>
    <col min="1306" max="1306" width="7.42578125" style="1" bestFit="1" customWidth="1"/>
    <col min="1307" max="1307" width="13.42578125" style="1" customWidth="1"/>
    <col min="1308" max="1308" width="7.85546875" style="1" customWidth="1"/>
    <col min="1309" max="1309" width="15.85546875" style="1" customWidth="1"/>
    <col min="1310" max="1311" width="14.85546875" style="1" customWidth="1"/>
    <col min="1312" max="1312" width="6" style="1" customWidth="1"/>
    <col min="1313" max="1313" width="9.5703125" style="1" customWidth="1"/>
    <col min="1314" max="1314" width="27.28515625" style="1" bestFit="1" customWidth="1"/>
    <col min="1315" max="1315" width="8.42578125" style="1" customWidth="1"/>
    <col min="1316" max="1536" width="8.7109375" style="1"/>
    <col min="1537" max="1546" width="0" style="1" hidden="1" customWidth="1"/>
    <col min="1547" max="1547" width="14.140625" style="1" customWidth="1"/>
    <col min="1548" max="1548" width="14.42578125" style="1" customWidth="1"/>
    <col min="1549" max="1549" width="15.140625" style="1" customWidth="1"/>
    <col min="1550" max="1550" width="10.28515625" style="1" customWidth="1"/>
    <col min="1551" max="1551" width="11.28515625" style="1" customWidth="1"/>
    <col min="1552" max="1552" width="15.5703125" style="1" customWidth="1"/>
    <col min="1553" max="1553" width="22.140625" style="1" customWidth="1"/>
    <col min="1554" max="1556" width="8.42578125" style="1" customWidth="1"/>
    <col min="1557" max="1557" width="21.5703125" style="1" customWidth="1"/>
    <col min="1558" max="1558" width="20.7109375" style="1" customWidth="1"/>
    <col min="1559" max="1559" width="17.140625" style="1" customWidth="1"/>
    <col min="1560" max="1560" width="15.5703125" style="1" customWidth="1"/>
    <col min="1561" max="1561" width="13.28515625" style="1" customWidth="1"/>
    <col min="1562" max="1562" width="7.42578125" style="1" bestFit="1" customWidth="1"/>
    <col min="1563" max="1563" width="13.42578125" style="1" customWidth="1"/>
    <col min="1564" max="1564" width="7.85546875" style="1" customWidth="1"/>
    <col min="1565" max="1565" width="15.85546875" style="1" customWidth="1"/>
    <col min="1566" max="1567" width="14.85546875" style="1" customWidth="1"/>
    <col min="1568" max="1568" width="6" style="1" customWidth="1"/>
    <col min="1569" max="1569" width="9.5703125" style="1" customWidth="1"/>
    <col min="1570" max="1570" width="27.28515625" style="1" bestFit="1" customWidth="1"/>
    <col min="1571" max="1571" width="8.42578125" style="1" customWidth="1"/>
    <col min="1572" max="1792" width="8.7109375" style="1"/>
    <col min="1793" max="1802" width="0" style="1" hidden="1" customWidth="1"/>
    <col min="1803" max="1803" width="14.140625" style="1" customWidth="1"/>
    <col min="1804" max="1804" width="14.42578125" style="1" customWidth="1"/>
    <col min="1805" max="1805" width="15.140625" style="1" customWidth="1"/>
    <col min="1806" max="1806" width="10.28515625" style="1" customWidth="1"/>
    <col min="1807" max="1807" width="11.28515625" style="1" customWidth="1"/>
    <col min="1808" max="1808" width="15.5703125" style="1" customWidth="1"/>
    <col min="1809" max="1809" width="22.140625" style="1" customWidth="1"/>
    <col min="1810" max="1812" width="8.42578125" style="1" customWidth="1"/>
    <col min="1813" max="1813" width="21.5703125" style="1" customWidth="1"/>
    <col min="1814" max="1814" width="20.7109375" style="1" customWidth="1"/>
    <col min="1815" max="1815" width="17.140625" style="1" customWidth="1"/>
    <col min="1816" max="1816" width="15.5703125" style="1" customWidth="1"/>
    <col min="1817" max="1817" width="13.28515625" style="1" customWidth="1"/>
    <col min="1818" max="1818" width="7.42578125" style="1" bestFit="1" customWidth="1"/>
    <col min="1819" max="1819" width="13.42578125" style="1" customWidth="1"/>
    <col min="1820" max="1820" width="7.85546875" style="1" customWidth="1"/>
    <col min="1821" max="1821" width="15.85546875" style="1" customWidth="1"/>
    <col min="1822" max="1823" width="14.85546875" style="1" customWidth="1"/>
    <col min="1824" max="1824" width="6" style="1" customWidth="1"/>
    <col min="1825" max="1825" width="9.5703125" style="1" customWidth="1"/>
    <col min="1826" max="1826" width="27.28515625" style="1" bestFit="1" customWidth="1"/>
    <col min="1827" max="1827" width="8.42578125" style="1" customWidth="1"/>
    <col min="1828" max="2048" width="8.7109375" style="1"/>
    <col min="2049" max="2058" width="0" style="1" hidden="1" customWidth="1"/>
    <col min="2059" max="2059" width="14.140625" style="1" customWidth="1"/>
    <col min="2060" max="2060" width="14.42578125" style="1" customWidth="1"/>
    <col min="2061" max="2061" width="15.140625" style="1" customWidth="1"/>
    <col min="2062" max="2062" width="10.28515625" style="1" customWidth="1"/>
    <col min="2063" max="2063" width="11.28515625" style="1" customWidth="1"/>
    <col min="2064" max="2064" width="15.5703125" style="1" customWidth="1"/>
    <col min="2065" max="2065" width="22.140625" style="1" customWidth="1"/>
    <col min="2066" max="2068" width="8.42578125" style="1" customWidth="1"/>
    <col min="2069" max="2069" width="21.5703125" style="1" customWidth="1"/>
    <col min="2070" max="2070" width="20.7109375" style="1" customWidth="1"/>
    <col min="2071" max="2071" width="17.140625" style="1" customWidth="1"/>
    <col min="2072" max="2072" width="15.5703125" style="1" customWidth="1"/>
    <col min="2073" max="2073" width="13.28515625" style="1" customWidth="1"/>
    <col min="2074" max="2074" width="7.42578125" style="1" bestFit="1" customWidth="1"/>
    <col min="2075" max="2075" width="13.42578125" style="1" customWidth="1"/>
    <col min="2076" max="2076" width="7.85546875" style="1" customWidth="1"/>
    <col min="2077" max="2077" width="15.85546875" style="1" customWidth="1"/>
    <col min="2078" max="2079" width="14.85546875" style="1" customWidth="1"/>
    <col min="2080" max="2080" width="6" style="1" customWidth="1"/>
    <col min="2081" max="2081" width="9.5703125" style="1" customWidth="1"/>
    <col min="2082" max="2082" width="27.28515625" style="1" bestFit="1" customWidth="1"/>
    <col min="2083" max="2083" width="8.42578125" style="1" customWidth="1"/>
    <col min="2084" max="2304" width="8.7109375" style="1"/>
    <col min="2305" max="2314" width="0" style="1" hidden="1" customWidth="1"/>
    <col min="2315" max="2315" width="14.140625" style="1" customWidth="1"/>
    <col min="2316" max="2316" width="14.42578125" style="1" customWidth="1"/>
    <col min="2317" max="2317" width="15.140625" style="1" customWidth="1"/>
    <col min="2318" max="2318" width="10.28515625" style="1" customWidth="1"/>
    <col min="2319" max="2319" width="11.28515625" style="1" customWidth="1"/>
    <col min="2320" max="2320" width="15.5703125" style="1" customWidth="1"/>
    <col min="2321" max="2321" width="22.140625" style="1" customWidth="1"/>
    <col min="2322" max="2324" width="8.42578125" style="1" customWidth="1"/>
    <col min="2325" max="2325" width="21.5703125" style="1" customWidth="1"/>
    <col min="2326" max="2326" width="20.7109375" style="1" customWidth="1"/>
    <col min="2327" max="2327" width="17.140625" style="1" customWidth="1"/>
    <col min="2328" max="2328" width="15.5703125" style="1" customWidth="1"/>
    <col min="2329" max="2329" width="13.28515625" style="1" customWidth="1"/>
    <col min="2330" max="2330" width="7.42578125" style="1" bestFit="1" customWidth="1"/>
    <col min="2331" max="2331" width="13.42578125" style="1" customWidth="1"/>
    <col min="2332" max="2332" width="7.85546875" style="1" customWidth="1"/>
    <col min="2333" max="2333" width="15.85546875" style="1" customWidth="1"/>
    <col min="2334" max="2335" width="14.85546875" style="1" customWidth="1"/>
    <col min="2336" max="2336" width="6" style="1" customWidth="1"/>
    <col min="2337" max="2337" width="9.5703125" style="1" customWidth="1"/>
    <col min="2338" max="2338" width="27.28515625" style="1" bestFit="1" customWidth="1"/>
    <col min="2339" max="2339" width="8.42578125" style="1" customWidth="1"/>
    <col min="2340" max="2560" width="8.7109375" style="1"/>
    <col min="2561" max="2570" width="0" style="1" hidden="1" customWidth="1"/>
    <col min="2571" max="2571" width="14.140625" style="1" customWidth="1"/>
    <col min="2572" max="2572" width="14.42578125" style="1" customWidth="1"/>
    <col min="2573" max="2573" width="15.140625" style="1" customWidth="1"/>
    <col min="2574" max="2574" width="10.28515625" style="1" customWidth="1"/>
    <col min="2575" max="2575" width="11.28515625" style="1" customWidth="1"/>
    <col min="2576" max="2576" width="15.5703125" style="1" customWidth="1"/>
    <col min="2577" max="2577" width="22.140625" style="1" customWidth="1"/>
    <col min="2578" max="2580" width="8.42578125" style="1" customWidth="1"/>
    <col min="2581" max="2581" width="21.5703125" style="1" customWidth="1"/>
    <col min="2582" max="2582" width="20.7109375" style="1" customWidth="1"/>
    <col min="2583" max="2583" width="17.140625" style="1" customWidth="1"/>
    <col min="2584" max="2584" width="15.5703125" style="1" customWidth="1"/>
    <col min="2585" max="2585" width="13.28515625" style="1" customWidth="1"/>
    <col min="2586" max="2586" width="7.42578125" style="1" bestFit="1" customWidth="1"/>
    <col min="2587" max="2587" width="13.42578125" style="1" customWidth="1"/>
    <col min="2588" max="2588" width="7.85546875" style="1" customWidth="1"/>
    <col min="2589" max="2589" width="15.85546875" style="1" customWidth="1"/>
    <col min="2590" max="2591" width="14.85546875" style="1" customWidth="1"/>
    <col min="2592" max="2592" width="6" style="1" customWidth="1"/>
    <col min="2593" max="2593" width="9.5703125" style="1" customWidth="1"/>
    <col min="2594" max="2594" width="27.28515625" style="1" bestFit="1" customWidth="1"/>
    <col min="2595" max="2595" width="8.42578125" style="1" customWidth="1"/>
    <col min="2596" max="2816" width="8.7109375" style="1"/>
    <col min="2817" max="2826" width="0" style="1" hidden="1" customWidth="1"/>
    <col min="2827" max="2827" width="14.140625" style="1" customWidth="1"/>
    <col min="2828" max="2828" width="14.42578125" style="1" customWidth="1"/>
    <col min="2829" max="2829" width="15.140625" style="1" customWidth="1"/>
    <col min="2830" max="2830" width="10.28515625" style="1" customWidth="1"/>
    <col min="2831" max="2831" width="11.28515625" style="1" customWidth="1"/>
    <col min="2832" max="2832" width="15.5703125" style="1" customWidth="1"/>
    <col min="2833" max="2833" width="22.140625" style="1" customWidth="1"/>
    <col min="2834" max="2836" width="8.42578125" style="1" customWidth="1"/>
    <col min="2837" max="2837" width="21.5703125" style="1" customWidth="1"/>
    <col min="2838" max="2838" width="20.7109375" style="1" customWidth="1"/>
    <col min="2839" max="2839" width="17.140625" style="1" customWidth="1"/>
    <col min="2840" max="2840" width="15.5703125" style="1" customWidth="1"/>
    <col min="2841" max="2841" width="13.28515625" style="1" customWidth="1"/>
    <col min="2842" max="2842" width="7.42578125" style="1" bestFit="1" customWidth="1"/>
    <col min="2843" max="2843" width="13.42578125" style="1" customWidth="1"/>
    <col min="2844" max="2844" width="7.85546875" style="1" customWidth="1"/>
    <col min="2845" max="2845" width="15.85546875" style="1" customWidth="1"/>
    <col min="2846" max="2847" width="14.85546875" style="1" customWidth="1"/>
    <col min="2848" max="2848" width="6" style="1" customWidth="1"/>
    <col min="2849" max="2849" width="9.5703125" style="1" customWidth="1"/>
    <col min="2850" max="2850" width="27.28515625" style="1" bestFit="1" customWidth="1"/>
    <col min="2851" max="2851" width="8.42578125" style="1" customWidth="1"/>
    <col min="2852" max="3072" width="8.7109375" style="1"/>
    <col min="3073" max="3082" width="0" style="1" hidden="1" customWidth="1"/>
    <col min="3083" max="3083" width="14.140625" style="1" customWidth="1"/>
    <col min="3084" max="3084" width="14.42578125" style="1" customWidth="1"/>
    <col min="3085" max="3085" width="15.140625" style="1" customWidth="1"/>
    <col min="3086" max="3086" width="10.28515625" style="1" customWidth="1"/>
    <col min="3087" max="3087" width="11.28515625" style="1" customWidth="1"/>
    <col min="3088" max="3088" width="15.5703125" style="1" customWidth="1"/>
    <col min="3089" max="3089" width="22.140625" style="1" customWidth="1"/>
    <col min="3090" max="3092" width="8.42578125" style="1" customWidth="1"/>
    <col min="3093" max="3093" width="21.5703125" style="1" customWidth="1"/>
    <col min="3094" max="3094" width="20.7109375" style="1" customWidth="1"/>
    <col min="3095" max="3095" width="17.140625" style="1" customWidth="1"/>
    <col min="3096" max="3096" width="15.5703125" style="1" customWidth="1"/>
    <col min="3097" max="3097" width="13.28515625" style="1" customWidth="1"/>
    <col min="3098" max="3098" width="7.42578125" style="1" bestFit="1" customWidth="1"/>
    <col min="3099" max="3099" width="13.42578125" style="1" customWidth="1"/>
    <col min="3100" max="3100" width="7.85546875" style="1" customWidth="1"/>
    <col min="3101" max="3101" width="15.85546875" style="1" customWidth="1"/>
    <col min="3102" max="3103" width="14.85546875" style="1" customWidth="1"/>
    <col min="3104" max="3104" width="6" style="1" customWidth="1"/>
    <col min="3105" max="3105" width="9.5703125" style="1" customWidth="1"/>
    <col min="3106" max="3106" width="27.28515625" style="1" bestFit="1" customWidth="1"/>
    <col min="3107" max="3107" width="8.42578125" style="1" customWidth="1"/>
    <col min="3108" max="3328" width="8.7109375" style="1"/>
    <col min="3329" max="3338" width="0" style="1" hidden="1" customWidth="1"/>
    <col min="3339" max="3339" width="14.140625" style="1" customWidth="1"/>
    <col min="3340" max="3340" width="14.42578125" style="1" customWidth="1"/>
    <col min="3341" max="3341" width="15.140625" style="1" customWidth="1"/>
    <col min="3342" max="3342" width="10.28515625" style="1" customWidth="1"/>
    <col min="3343" max="3343" width="11.28515625" style="1" customWidth="1"/>
    <col min="3344" max="3344" width="15.5703125" style="1" customWidth="1"/>
    <col min="3345" max="3345" width="22.140625" style="1" customWidth="1"/>
    <col min="3346" max="3348" width="8.42578125" style="1" customWidth="1"/>
    <col min="3349" max="3349" width="21.5703125" style="1" customWidth="1"/>
    <col min="3350" max="3350" width="20.7109375" style="1" customWidth="1"/>
    <col min="3351" max="3351" width="17.140625" style="1" customWidth="1"/>
    <col min="3352" max="3352" width="15.5703125" style="1" customWidth="1"/>
    <col min="3353" max="3353" width="13.28515625" style="1" customWidth="1"/>
    <col min="3354" max="3354" width="7.42578125" style="1" bestFit="1" customWidth="1"/>
    <col min="3355" max="3355" width="13.42578125" style="1" customWidth="1"/>
    <col min="3356" max="3356" width="7.85546875" style="1" customWidth="1"/>
    <col min="3357" max="3357" width="15.85546875" style="1" customWidth="1"/>
    <col min="3358" max="3359" width="14.85546875" style="1" customWidth="1"/>
    <col min="3360" max="3360" width="6" style="1" customWidth="1"/>
    <col min="3361" max="3361" width="9.5703125" style="1" customWidth="1"/>
    <col min="3362" max="3362" width="27.28515625" style="1" bestFit="1" customWidth="1"/>
    <col min="3363" max="3363" width="8.42578125" style="1" customWidth="1"/>
    <col min="3364" max="3584" width="8.7109375" style="1"/>
    <col min="3585" max="3594" width="0" style="1" hidden="1" customWidth="1"/>
    <col min="3595" max="3595" width="14.140625" style="1" customWidth="1"/>
    <col min="3596" max="3596" width="14.42578125" style="1" customWidth="1"/>
    <col min="3597" max="3597" width="15.140625" style="1" customWidth="1"/>
    <col min="3598" max="3598" width="10.28515625" style="1" customWidth="1"/>
    <col min="3599" max="3599" width="11.28515625" style="1" customWidth="1"/>
    <col min="3600" max="3600" width="15.5703125" style="1" customWidth="1"/>
    <col min="3601" max="3601" width="22.140625" style="1" customWidth="1"/>
    <col min="3602" max="3604" width="8.42578125" style="1" customWidth="1"/>
    <col min="3605" max="3605" width="21.5703125" style="1" customWidth="1"/>
    <col min="3606" max="3606" width="20.7109375" style="1" customWidth="1"/>
    <col min="3607" max="3607" width="17.140625" style="1" customWidth="1"/>
    <col min="3608" max="3608" width="15.5703125" style="1" customWidth="1"/>
    <col min="3609" max="3609" width="13.28515625" style="1" customWidth="1"/>
    <col min="3610" max="3610" width="7.42578125" style="1" bestFit="1" customWidth="1"/>
    <col min="3611" max="3611" width="13.42578125" style="1" customWidth="1"/>
    <col min="3612" max="3612" width="7.85546875" style="1" customWidth="1"/>
    <col min="3613" max="3613" width="15.85546875" style="1" customWidth="1"/>
    <col min="3614" max="3615" width="14.85546875" style="1" customWidth="1"/>
    <col min="3616" max="3616" width="6" style="1" customWidth="1"/>
    <col min="3617" max="3617" width="9.5703125" style="1" customWidth="1"/>
    <col min="3618" max="3618" width="27.28515625" style="1" bestFit="1" customWidth="1"/>
    <col min="3619" max="3619" width="8.42578125" style="1" customWidth="1"/>
    <col min="3620" max="3840" width="8.7109375" style="1"/>
    <col min="3841" max="3850" width="0" style="1" hidden="1" customWidth="1"/>
    <col min="3851" max="3851" width="14.140625" style="1" customWidth="1"/>
    <col min="3852" max="3852" width="14.42578125" style="1" customWidth="1"/>
    <col min="3853" max="3853" width="15.140625" style="1" customWidth="1"/>
    <col min="3854" max="3854" width="10.28515625" style="1" customWidth="1"/>
    <col min="3855" max="3855" width="11.28515625" style="1" customWidth="1"/>
    <col min="3856" max="3856" width="15.5703125" style="1" customWidth="1"/>
    <col min="3857" max="3857" width="22.140625" style="1" customWidth="1"/>
    <col min="3858" max="3860" width="8.42578125" style="1" customWidth="1"/>
    <col min="3861" max="3861" width="21.5703125" style="1" customWidth="1"/>
    <col min="3862" max="3862" width="20.7109375" style="1" customWidth="1"/>
    <col min="3863" max="3863" width="17.140625" style="1" customWidth="1"/>
    <col min="3864" max="3864" width="15.5703125" style="1" customWidth="1"/>
    <col min="3865" max="3865" width="13.28515625" style="1" customWidth="1"/>
    <col min="3866" max="3866" width="7.42578125" style="1" bestFit="1" customWidth="1"/>
    <col min="3867" max="3867" width="13.42578125" style="1" customWidth="1"/>
    <col min="3868" max="3868" width="7.85546875" style="1" customWidth="1"/>
    <col min="3869" max="3869" width="15.85546875" style="1" customWidth="1"/>
    <col min="3870" max="3871" width="14.85546875" style="1" customWidth="1"/>
    <col min="3872" max="3872" width="6" style="1" customWidth="1"/>
    <col min="3873" max="3873" width="9.5703125" style="1" customWidth="1"/>
    <col min="3874" max="3874" width="27.28515625" style="1" bestFit="1" customWidth="1"/>
    <col min="3875" max="3875" width="8.42578125" style="1" customWidth="1"/>
    <col min="3876" max="4096" width="8.7109375" style="1"/>
    <col min="4097" max="4106" width="0" style="1" hidden="1" customWidth="1"/>
    <col min="4107" max="4107" width="14.140625" style="1" customWidth="1"/>
    <col min="4108" max="4108" width="14.42578125" style="1" customWidth="1"/>
    <col min="4109" max="4109" width="15.140625" style="1" customWidth="1"/>
    <col min="4110" max="4110" width="10.28515625" style="1" customWidth="1"/>
    <col min="4111" max="4111" width="11.28515625" style="1" customWidth="1"/>
    <col min="4112" max="4112" width="15.5703125" style="1" customWidth="1"/>
    <col min="4113" max="4113" width="22.140625" style="1" customWidth="1"/>
    <col min="4114" max="4116" width="8.42578125" style="1" customWidth="1"/>
    <col min="4117" max="4117" width="21.5703125" style="1" customWidth="1"/>
    <col min="4118" max="4118" width="20.7109375" style="1" customWidth="1"/>
    <col min="4119" max="4119" width="17.140625" style="1" customWidth="1"/>
    <col min="4120" max="4120" width="15.5703125" style="1" customWidth="1"/>
    <col min="4121" max="4121" width="13.28515625" style="1" customWidth="1"/>
    <col min="4122" max="4122" width="7.42578125" style="1" bestFit="1" customWidth="1"/>
    <col min="4123" max="4123" width="13.42578125" style="1" customWidth="1"/>
    <col min="4124" max="4124" width="7.85546875" style="1" customWidth="1"/>
    <col min="4125" max="4125" width="15.85546875" style="1" customWidth="1"/>
    <col min="4126" max="4127" width="14.85546875" style="1" customWidth="1"/>
    <col min="4128" max="4128" width="6" style="1" customWidth="1"/>
    <col min="4129" max="4129" width="9.5703125" style="1" customWidth="1"/>
    <col min="4130" max="4130" width="27.28515625" style="1" bestFit="1" customWidth="1"/>
    <col min="4131" max="4131" width="8.42578125" style="1" customWidth="1"/>
    <col min="4132" max="4352" width="8.7109375" style="1"/>
    <col min="4353" max="4362" width="0" style="1" hidden="1" customWidth="1"/>
    <col min="4363" max="4363" width="14.140625" style="1" customWidth="1"/>
    <col min="4364" max="4364" width="14.42578125" style="1" customWidth="1"/>
    <col min="4365" max="4365" width="15.140625" style="1" customWidth="1"/>
    <col min="4366" max="4366" width="10.28515625" style="1" customWidth="1"/>
    <col min="4367" max="4367" width="11.28515625" style="1" customWidth="1"/>
    <col min="4368" max="4368" width="15.5703125" style="1" customWidth="1"/>
    <col min="4369" max="4369" width="22.140625" style="1" customWidth="1"/>
    <col min="4370" max="4372" width="8.42578125" style="1" customWidth="1"/>
    <col min="4373" max="4373" width="21.5703125" style="1" customWidth="1"/>
    <col min="4374" max="4374" width="20.7109375" style="1" customWidth="1"/>
    <col min="4375" max="4375" width="17.140625" style="1" customWidth="1"/>
    <col min="4376" max="4376" width="15.5703125" style="1" customWidth="1"/>
    <col min="4377" max="4377" width="13.28515625" style="1" customWidth="1"/>
    <col min="4378" max="4378" width="7.42578125" style="1" bestFit="1" customWidth="1"/>
    <col min="4379" max="4379" width="13.42578125" style="1" customWidth="1"/>
    <col min="4380" max="4380" width="7.85546875" style="1" customWidth="1"/>
    <col min="4381" max="4381" width="15.85546875" style="1" customWidth="1"/>
    <col min="4382" max="4383" width="14.85546875" style="1" customWidth="1"/>
    <col min="4384" max="4384" width="6" style="1" customWidth="1"/>
    <col min="4385" max="4385" width="9.5703125" style="1" customWidth="1"/>
    <col min="4386" max="4386" width="27.28515625" style="1" bestFit="1" customWidth="1"/>
    <col min="4387" max="4387" width="8.42578125" style="1" customWidth="1"/>
    <col min="4388" max="4608" width="8.7109375" style="1"/>
    <col min="4609" max="4618" width="0" style="1" hidden="1" customWidth="1"/>
    <col min="4619" max="4619" width="14.140625" style="1" customWidth="1"/>
    <col min="4620" max="4620" width="14.42578125" style="1" customWidth="1"/>
    <col min="4621" max="4621" width="15.140625" style="1" customWidth="1"/>
    <col min="4622" max="4622" width="10.28515625" style="1" customWidth="1"/>
    <col min="4623" max="4623" width="11.28515625" style="1" customWidth="1"/>
    <col min="4624" max="4624" width="15.5703125" style="1" customWidth="1"/>
    <col min="4625" max="4625" width="22.140625" style="1" customWidth="1"/>
    <col min="4626" max="4628" width="8.42578125" style="1" customWidth="1"/>
    <col min="4629" max="4629" width="21.5703125" style="1" customWidth="1"/>
    <col min="4630" max="4630" width="20.7109375" style="1" customWidth="1"/>
    <col min="4631" max="4631" width="17.140625" style="1" customWidth="1"/>
    <col min="4632" max="4632" width="15.5703125" style="1" customWidth="1"/>
    <col min="4633" max="4633" width="13.28515625" style="1" customWidth="1"/>
    <col min="4634" max="4634" width="7.42578125" style="1" bestFit="1" customWidth="1"/>
    <col min="4635" max="4635" width="13.42578125" style="1" customWidth="1"/>
    <col min="4636" max="4636" width="7.85546875" style="1" customWidth="1"/>
    <col min="4637" max="4637" width="15.85546875" style="1" customWidth="1"/>
    <col min="4638" max="4639" width="14.85546875" style="1" customWidth="1"/>
    <col min="4640" max="4640" width="6" style="1" customWidth="1"/>
    <col min="4641" max="4641" width="9.5703125" style="1" customWidth="1"/>
    <col min="4642" max="4642" width="27.28515625" style="1" bestFit="1" customWidth="1"/>
    <col min="4643" max="4643" width="8.42578125" style="1" customWidth="1"/>
    <col min="4644" max="4864" width="8.7109375" style="1"/>
    <col min="4865" max="4874" width="0" style="1" hidden="1" customWidth="1"/>
    <col min="4875" max="4875" width="14.140625" style="1" customWidth="1"/>
    <col min="4876" max="4876" width="14.42578125" style="1" customWidth="1"/>
    <col min="4877" max="4877" width="15.140625" style="1" customWidth="1"/>
    <col min="4878" max="4878" width="10.28515625" style="1" customWidth="1"/>
    <col min="4879" max="4879" width="11.28515625" style="1" customWidth="1"/>
    <col min="4880" max="4880" width="15.5703125" style="1" customWidth="1"/>
    <col min="4881" max="4881" width="22.140625" style="1" customWidth="1"/>
    <col min="4882" max="4884" width="8.42578125" style="1" customWidth="1"/>
    <col min="4885" max="4885" width="21.5703125" style="1" customWidth="1"/>
    <col min="4886" max="4886" width="20.7109375" style="1" customWidth="1"/>
    <col min="4887" max="4887" width="17.140625" style="1" customWidth="1"/>
    <col min="4888" max="4888" width="15.5703125" style="1" customWidth="1"/>
    <col min="4889" max="4889" width="13.28515625" style="1" customWidth="1"/>
    <col min="4890" max="4890" width="7.42578125" style="1" bestFit="1" customWidth="1"/>
    <col min="4891" max="4891" width="13.42578125" style="1" customWidth="1"/>
    <col min="4892" max="4892" width="7.85546875" style="1" customWidth="1"/>
    <col min="4893" max="4893" width="15.85546875" style="1" customWidth="1"/>
    <col min="4894" max="4895" width="14.85546875" style="1" customWidth="1"/>
    <col min="4896" max="4896" width="6" style="1" customWidth="1"/>
    <col min="4897" max="4897" width="9.5703125" style="1" customWidth="1"/>
    <col min="4898" max="4898" width="27.28515625" style="1" bestFit="1" customWidth="1"/>
    <col min="4899" max="4899" width="8.42578125" style="1" customWidth="1"/>
    <col min="4900" max="5120" width="8.7109375" style="1"/>
    <col min="5121" max="5130" width="0" style="1" hidden="1" customWidth="1"/>
    <col min="5131" max="5131" width="14.140625" style="1" customWidth="1"/>
    <col min="5132" max="5132" width="14.42578125" style="1" customWidth="1"/>
    <col min="5133" max="5133" width="15.140625" style="1" customWidth="1"/>
    <col min="5134" max="5134" width="10.28515625" style="1" customWidth="1"/>
    <col min="5135" max="5135" width="11.28515625" style="1" customWidth="1"/>
    <col min="5136" max="5136" width="15.5703125" style="1" customWidth="1"/>
    <col min="5137" max="5137" width="22.140625" style="1" customWidth="1"/>
    <col min="5138" max="5140" width="8.42578125" style="1" customWidth="1"/>
    <col min="5141" max="5141" width="21.5703125" style="1" customWidth="1"/>
    <col min="5142" max="5142" width="20.7109375" style="1" customWidth="1"/>
    <col min="5143" max="5143" width="17.140625" style="1" customWidth="1"/>
    <col min="5144" max="5144" width="15.5703125" style="1" customWidth="1"/>
    <col min="5145" max="5145" width="13.28515625" style="1" customWidth="1"/>
    <col min="5146" max="5146" width="7.42578125" style="1" bestFit="1" customWidth="1"/>
    <col min="5147" max="5147" width="13.42578125" style="1" customWidth="1"/>
    <col min="5148" max="5148" width="7.85546875" style="1" customWidth="1"/>
    <col min="5149" max="5149" width="15.85546875" style="1" customWidth="1"/>
    <col min="5150" max="5151" width="14.85546875" style="1" customWidth="1"/>
    <col min="5152" max="5152" width="6" style="1" customWidth="1"/>
    <col min="5153" max="5153" width="9.5703125" style="1" customWidth="1"/>
    <col min="5154" max="5154" width="27.28515625" style="1" bestFit="1" customWidth="1"/>
    <col min="5155" max="5155" width="8.42578125" style="1" customWidth="1"/>
    <col min="5156" max="5376" width="8.7109375" style="1"/>
    <col min="5377" max="5386" width="0" style="1" hidden="1" customWidth="1"/>
    <col min="5387" max="5387" width="14.140625" style="1" customWidth="1"/>
    <col min="5388" max="5388" width="14.42578125" style="1" customWidth="1"/>
    <col min="5389" max="5389" width="15.140625" style="1" customWidth="1"/>
    <col min="5390" max="5390" width="10.28515625" style="1" customWidth="1"/>
    <col min="5391" max="5391" width="11.28515625" style="1" customWidth="1"/>
    <col min="5392" max="5392" width="15.5703125" style="1" customWidth="1"/>
    <col min="5393" max="5393" width="22.140625" style="1" customWidth="1"/>
    <col min="5394" max="5396" width="8.42578125" style="1" customWidth="1"/>
    <col min="5397" max="5397" width="21.5703125" style="1" customWidth="1"/>
    <col min="5398" max="5398" width="20.7109375" style="1" customWidth="1"/>
    <col min="5399" max="5399" width="17.140625" style="1" customWidth="1"/>
    <col min="5400" max="5400" width="15.5703125" style="1" customWidth="1"/>
    <col min="5401" max="5401" width="13.28515625" style="1" customWidth="1"/>
    <col min="5402" max="5402" width="7.42578125" style="1" bestFit="1" customWidth="1"/>
    <col min="5403" max="5403" width="13.42578125" style="1" customWidth="1"/>
    <col min="5404" max="5404" width="7.85546875" style="1" customWidth="1"/>
    <col min="5405" max="5405" width="15.85546875" style="1" customWidth="1"/>
    <col min="5406" max="5407" width="14.85546875" style="1" customWidth="1"/>
    <col min="5408" max="5408" width="6" style="1" customWidth="1"/>
    <col min="5409" max="5409" width="9.5703125" style="1" customWidth="1"/>
    <col min="5410" max="5410" width="27.28515625" style="1" bestFit="1" customWidth="1"/>
    <col min="5411" max="5411" width="8.42578125" style="1" customWidth="1"/>
    <col min="5412" max="5632" width="8.7109375" style="1"/>
    <col min="5633" max="5642" width="0" style="1" hidden="1" customWidth="1"/>
    <col min="5643" max="5643" width="14.140625" style="1" customWidth="1"/>
    <col min="5644" max="5644" width="14.42578125" style="1" customWidth="1"/>
    <col min="5645" max="5645" width="15.140625" style="1" customWidth="1"/>
    <col min="5646" max="5646" width="10.28515625" style="1" customWidth="1"/>
    <col min="5647" max="5647" width="11.28515625" style="1" customWidth="1"/>
    <col min="5648" max="5648" width="15.5703125" style="1" customWidth="1"/>
    <col min="5649" max="5649" width="22.140625" style="1" customWidth="1"/>
    <col min="5650" max="5652" width="8.42578125" style="1" customWidth="1"/>
    <col min="5653" max="5653" width="21.5703125" style="1" customWidth="1"/>
    <col min="5654" max="5654" width="20.7109375" style="1" customWidth="1"/>
    <col min="5655" max="5655" width="17.140625" style="1" customWidth="1"/>
    <col min="5656" max="5656" width="15.5703125" style="1" customWidth="1"/>
    <col min="5657" max="5657" width="13.28515625" style="1" customWidth="1"/>
    <col min="5658" max="5658" width="7.42578125" style="1" bestFit="1" customWidth="1"/>
    <col min="5659" max="5659" width="13.42578125" style="1" customWidth="1"/>
    <col min="5660" max="5660" width="7.85546875" style="1" customWidth="1"/>
    <col min="5661" max="5661" width="15.85546875" style="1" customWidth="1"/>
    <col min="5662" max="5663" width="14.85546875" style="1" customWidth="1"/>
    <col min="5664" max="5664" width="6" style="1" customWidth="1"/>
    <col min="5665" max="5665" width="9.5703125" style="1" customWidth="1"/>
    <col min="5666" max="5666" width="27.28515625" style="1" bestFit="1" customWidth="1"/>
    <col min="5667" max="5667" width="8.42578125" style="1" customWidth="1"/>
    <col min="5668" max="5888" width="8.7109375" style="1"/>
    <col min="5889" max="5898" width="0" style="1" hidden="1" customWidth="1"/>
    <col min="5899" max="5899" width="14.140625" style="1" customWidth="1"/>
    <col min="5900" max="5900" width="14.42578125" style="1" customWidth="1"/>
    <col min="5901" max="5901" width="15.140625" style="1" customWidth="1"/>
    <col min="5902" max="5902" width="10.28515625" style="1" customWidth="1"/>
    <col min="5903" max="5903" width="11.28515625" style="1" customWidth="1"/>
    <col min="5904" max="5904" width="15.5703125" style="1" customWidth="1"/>
    <col min="5905" max="5905" width="22.140625" style="1" customWidth="1"/>
    <col min="5906" max="5908" width="8.42578125" style="1" customWidth="1"/>
    <col min="5909" max="5909" width="21.5703125" style="1" customWidth="1"/>
    <col min="5910" max="5910" width="20.7109375" style="1" customWidth="1"/>
    <col min="5911" max="5911" width="17.140625" style="1" customWidth="1"/>
    <col min="5912" max="5912" width="15.5703125" style="1" customWidth="1"/>
    <col min="5913" max="5913" width="13.28515625" style="1" customWidth="1"/>
    <col min="5914" max="5914" width="7.42578125" style="1" bestFit="1" customWidth="1"/>
    <col min="5915" max="5915" width="13.42578125" style="1" customWidth="1"/>
    <col min="5916" max="5916" width="7.85546875" style="1" customWidth="1"/>
    <col min="5917" max="5917" width="15.85546875" style="1" customWidth="1"/>
    <col min="5918" max="5919" width="14.85546875" style="1" customWidth="1"/>
    <col min="5920" max="5920" width="6" style="1" customWidth="1"/>
    <col min="5921" max="5921" width="9.5703125" style="1" customWidth="1"/>
    <col min="5922" max="5922" width="27.28515625" style="1" bestFit="1" customWidth="1"/>
    <col min="5923" max="5923" width="8.42578125" style="1" customWidth="1"/>
    <col min="5924" max="6144" width="8.7109375" style="1"/>
    <col min="6145" max="6154" width="0" style="1" hidden="1" customWidth="1"/>
    <col min="6155" max="6155" width="14.140625" style="1" customWidth="1"/>
    <col min="6156" max="6156" width="14.42578125" style="1" customWidth="1"/>
    <col min="6157" max="6157" width="15.140625" style="1" customWidth="1"/>
    <col min="6158" max="6158" width="10.28515625" style="1" customWidth="1"/>
    <col min="6159" max="6159" width="11.28515625" style="1" customWidth="1"/>
    <col min="6160" max="6160" width="15.5703125" style="1" customWidth="1"/>
    <col min="6161" max="6161" width="22.140625" style="1" customWidth="1"/>
    <col min="6162" max="6164" width="8.42578125" style="1" customWidth="1"/>
    <col min="6165" max="6165" width="21.5703125" style="1" customWidth="1"/>
    <col min="6166" max="6166" width="20.7109375" style="1" customWidth="1"/>
    <col min="6167" max="6167" width="17.140625" style="1" customWidth="1"/>
    <col min="6168" max="6168" width="15.5703125" style="1" customWidth="1"/>
    <col min="6169" max="6169" width="13.28515625" style="1" customWidth="1"/>
    <col min="6170" max="6170" width="7.42578125" style="1" bestFit="1" customWidth="1"/>
    <col min="6171" max="6171" width="13.42578125" style="1" customWidth="1"/>
    <col min="6172" max="6172" width="7.85546875" style="1" customWidth="1"/>
    <col min="6173" max="6173" width="15.85546875" style="1" customWidth="1"/>
    <col min="6174" max="6175" width="14.85546875" style="1" customWidth="1"/>
    <col min="6176" max="6176" width="6" style="1" customWidth="1"/>
    <col min="6177" max="6177" width="9.5703125" style="1" customWidth="1"/>
    <col min="6178" max="6178" width="27.28515625" style="1" bestFit="1" customWidth="1"/>
    <col min="6179" max="6179" width="8.42578125" style="1" customWidth="1"/>
    <col min="6180" max="6400" width="8.7109375" style="1"/>
    <col min="6401" max="6410" width="0" style="1" hidden="1" customWidth="1"/>
    <col min="6411" max="6411" width="14.140625" style="1" customWidth="1"/>
    <col min="6412" max="6412" width="14.42578125" style="1" customWidth="1"/>
    <col min="6413" max="6413" width="15.140625" style="1" customWidth="1"/>
    <col min="6414" max="6414" width="10.28515625" style="1" customWidth="1"/>
    <col min="6415" max="6415" width="11.28515625" style="1" customWidth="1"/>
    <col min="6416" max="6416" width="15.5703125" style="1" customWidth="1"/>
    <col min="6417" max="6417" width="22.140625" style="1" customWidth="1"/>
    <col min="6418" max="6420" width="8.42578125" style="1" customWidth="1"/>
    <col min="6421" max="6421" width="21.5703125" style="1" customWidth="1"/>
    <col min="6422" max="6422" width="20.7109375" style="1" customWidth="1"/>
    <col min="6423" max="6423" width="17.140625" style="1" customWidth="1"/>
    <col min="6424" max="6424" width="15.5703125" style="1" customWidth="1"/>
    <col min="6425" max="6425" width="13.28515625" style="1" customWidth="1"/>
    <col min="6426" max="6426" width="7.42578125" style="1" bestFit="1" customWidth="1"/>
    <col min="6427" max="6427" width="13.42578125" style="1" customWidth="1"/>
    <col min="6428" max="6428" width="7.85546875" style="1" customWidth="1"/>
    <col min="6429" max="6429" width="15.85546875" style="1" customWidth="1"/>
    <col min="6430" max="6431" width="14.85546875" style="1" customWidth="1"/>
    <col min="6432" max="6432" width="6" style="1" customWidth="1"/>
    <col min="6433" max="6433" width="9.5703125" style="1" customWidth="1"/>
    <col min="6434" max="6434" width="27.28515625" style="1" bestFit="1" customWidth="1"/>
    <col min="6435" max="6435" width="8.42578125" style="1" customWidth="1"/>
    <col min="6436" max="6656" width="8.7109375" style="1"/>
    <col min="6657" max="6666" width="0" style="1" hidden="1" customWidth="1"/>
    <col min="6667" max="6667" width="14.140625" style="1" customWidth="1"/>
    <col min="6668" max="6668" width="14.42578125" style="1" customWidth="1"/>
    <col min="6669" max="6669" width="15.140625" style="1" customWidth="1"/>
    <col min="6670" max="6670" width="10.28515625" style="1" customWidth="1"/>
    <col min="6671" max="6671" width="11.28515625" style="1" customWidth="1"/>
    <col min="6672" max="6672" width="15.5703125" style="1" customWidth="1"/>
    <col min="6673" max="6673" width="22.140625" style="1" customWidth="1"/>
    <col min="6674" max="6676" width="8.42578125" style="1" customWidth="1"/>
    <col min="6677" max="6677" width="21.5703125" style="1" customWidth="1"/>
    <col min="6678" max="6678" width="20.7109375" style="1" customWidth="1"/>
    <col min="6679" max="6679" width="17.140625" style="1" customWidth="1"/>
    <col min="6680" max="6680" width="15.5703125" style="1" customWidth="1"/>
    <col min="6681" max="6681" width="13.28515625" style="1" customWidth="1"/>
    <col min="6682" max="6682" width="7.42578125" style="1" bestFit="1" customWidth="1"/>
    <col min="6683" max="6683" width="13.42578125" style="1" customWidth="1"/>
    <col min="6684" max="6684" width="7.85546875" style="1" customWidth="1"/>
    <col min="6685" max="6685" width="15.85546875" style="1" customWidth="1"/>
    <col min="6686" max="6687" width="14.85546875" style="1" customWidth="1"/>
    <col min="6688" max="6688" width="6" style="1" customWidth="1"/>
    <col min="6689" max="6689" width="9.5703125" style="1" customWidth="1"/>
    <col min="6690" max="6690" width="27.28515625" style="1" bestFit="1" customWidth="1"/>
    <col min="6691" max="6691" width="8.42578125" style="1" customWidth="1"/>
    <col min="6692" max="6912" width="8.7109375" style="1"/>
    <col min="6913" max="6922" width="0" style="1" hidden="1" customWidth="1"/>
    <col min="6923" max="6923" width="14.140625" style="1" customWidth="1"/>
    <col min="6924" max="6924" width="14.42578125" style="1" customWidth="1"/>
    <col min="6925" max="6925" width="15.140625" style="1" customWidth="1"/>
    <col min="6926" max="6926" width="10.28515625" style="1" customWidth="1"/>
    <col min="6927" max="6927" width="11.28515625" style="1" customWidth="1"/>
    <col min="6928" max="6928" width="15.5703125" style="1" customWidth="1"/>
    <col min="6929" max="6929" width="22.140625" style="1" customWidth="1"/>
    <col min="6930" max="6932" width="8.42578125" style="1" customWidth="1"/>
    <col min="6933" max="6933" width="21.5703125" style="1" customWidth="1"/>
    <col min="6934" max="6934" width="20.7109375" style="1" customWidth="1"/>
    <col min="6935" max="6935" width="17.140625" style="1" customWidth="1"/>
    <col min="6936" max="6936" width="15.5703125" style="1" customWidth="1"/>
    <col min="6937" max="6937" width="13.28515625" style="1" customWidth="1"/>
    <col min="6938" max="6938" width="7.42578125" style="1" bestFit="1" customWidth="1"/>
    <col min="6939" max="6939" width="13.42578125" style="1" customWidth="1"/>
    <col min="6940" max="6940" width="7.85546875" style="1" customWidth="1"/>
    <col min="6941" max="6941" width="15.85546875" style="1" customWidth="1"/>
    <col min="6942" max="6943" width="14.85546875" style="1" customWidth="1"/>
    <col min="6944" max="6944" width="6" style="1" customWidth="1"/>
    <col min="6945" max="6945" width="9.5703125" style="1" customWidth="1"/>
    <col min="6946" max="6946" width="27.28515625" style="1" bestFit="1" customWidth="1"/>
    <col min="6947" max="6947" width="8.42578125" style="1" customWidth="1"/>
    <col min="6948" max="7168" width="8.7109375" style="1"/>
    <col min="7169" max="7178" width="0" style="1" hidden="1" customWidth="1"/>
    <col min="7179" max="7179" width="14.140625" style="1" customWidth="1"/>
    <col min="7180" max="7180" width="14.42578125" style="1" customWidth="1"/>
    <col min="7181" max="7181" width="15.140625" style="1" customWidth="1"/>
    <col min="7182" max="7182" width="10.28515625" style="1" customWidth="1"/>
    <col min="7183" max="7183" width="11.28515625" style="1" customWidth="1"/>
    <col min="7184" max="7184" width="15.5703125" style="1" customWidth="1"/>
    <col min="7185" max="7185" width="22.140625" style="1" customWidth="1"/>
    <col min="7186" max="7188" width="8.42578125" style="1" customWidth="1"/>
    <col min="7189" max="7189" width="21.5703125" style="1" customWidth="1"/>
    <col min="7190" max="7190" width="20.7109375" style="1" customWidth="1"/>
    <col min="7191" max="7191" width="17.140625" style="1" customWidth="1"/>
    <col min="7192" max="7192" width="15.5703125" style="1" customWidth="1"/>
    <col min="7193" max="7193" width="13.28515625" style="1" customWidth="1"/>
    <col min="7194" max="7194" width="7.42578125" style="1" bestFit="1" customWidth="1"/>
    <col min="7195" max="7195" width="13.42578125" style="1" customWidth="1"/>
    <col min="7196" max="7196" width="7.85546875" style="1" customWidth="1"/>
    <col min="7197" max="7197" width="15.85546875" style="1" customWidth="1"/>
    <col min="7198" max="7199" width="14.85546875" style="1" customWidth="1"/>
    <col min="7200" max="7200" width="6" style="1" customWidth="1"/>
    <col min="7201" max="7201" width="9.5703125" style="1" customWidth="1"/>
    <col min="7202" max="7202" width="27.28515625" style="1" bestFit="1" customWidth="1"/>
    <col min="7203" max="7203" width="8.42578125" style="1" customWidth="1"/>
    <col min="7204" max="7424" width="8.7109375" style="1"/>
    <col min="7425" max="7434" width="0" style="1" hidden="1" customWidth="1"/>
    <col min="7435" max="7435" width="14.140625" style="1" customWidth="1"/>
    <col min="7436" max="7436" width="14.42578125" style="1" customWidth="1"/>
    <col min="7437" max="7437" width="15.140625" style="1" customWidth="1"/>
    <col min="7438" max="7438" width="10.28515625" style="1" customWidth="1"/>
    <col min="7439" max="7439" width="11.28515625" style="1" customWidth="1"/>
    <col min="7440" max="7440" width="15.5703125" style="1" customWidth="1"/>
    <col min="7441" max="7441" width="22.140625" style="1" customWidth="1"/>
    <col min="7442" max="7444" width="8.42578125" style="1" customWidth="1"/>
    <col min="7445" max="7445" width="21.5703125" style="1" customWidth="1"/>
    <col min="7446" max="7446" width="20.7109375" style="1" customWidth="1"/>
    <col min="7447" max="7447" width="17.140625" style="1" customWidth="1"/>
    <col min="7448" max="7448" width="15.5703125" style="1" customWidth="1"/>
    <col min="7449" max="7449" width="13.28515625" style="1" customWidth="1"/>
    <col min="7450" max="7450" width="7.42578125" style="1" bestFit="1" customWidth="1"/>
    <col min="7451" max="7451" width="13.42578125" style="1" customWidth="1"/>
    <col min="7452" max="7452" width="7.85546875" style="1" customWidth="1"/>
    <col min="7453" max="7453" width="15.85546875" style="1" customWidth="1"/>
    <col min="7454" max="7455" width="14.85546875" style="1" customWidth="1"/>
    <col min="7456" max="7456" width="6" style="1" customWidth="1"/>
    <col min="7457" max="7457" width="9.5703125" style="1" customWidth="1"/>
    <col min="7458" max="7458" width="27.28515625" style="1" bestFit="1" customWidth="1"/>
    <col min="7459" max="7459" width="8.42578125" style="1" customWidth="1"/>
    <col min="7460" max="7680" width="8.7109375" style="1"/>
    <col min="7681" max="7690" width="0" style="1" hidden="1" customWidth="1"/>
    <col min="7691" max="7691" width="14.140625" style="1" customWidth="1"/>
    <col min="7692" max="7692" width="14.42578125" style="1" customWidth="1"/>
    <col min="7693" max="7693" width="15.140625" style="1" customWidth="1"/>
    <col min="7694" max="7694" width="10.28515625" style="1" customWidth="1"/>
    <col min="7695" max="7695" width="11.28515625" style="1" customWidth="1"/>
    <col min="7696" max="7696" width="15.5703125" style="1" customWidth="1"/>
    <col min="7697" max="7697" width="22.140625" style="1" customWidth="1"/>
    <col min="7698" max="7700" width="8.42578125" style="1" customWidth="1"/>
    <col min="7701" max="7701" width="21.5703125" style="1" customWidth="1"/>
    <col min="7702" max="7702" width="20.7109375" style="1" customWidth="1"/>
    <col min="7703" max="7703" width="17.140625" style="1" customWidth="1"/>
    <col min="7704" max="7704" width="15.5703125" style="1" customWidth="1"/>
    <col min="7705" max="7705" width="13.28515625" style="1" customWidth="1"/>
    <col min="7706" max="7706" width="7.42578125" style="1" bestFit="1" customWidth="1"/>
    <col min="7707" max="7707" width="13.42578125" style="1" customWidth="1"/>
    <col min="7708" max="7708" width="7.85546875" style="1" customWidth="1"/>
    <col min="7709" max="7709" width="15.85546875" style="1" customWidth="1"/>
    <col min="7710" max="7711" width="14.85546875" style="1" customWidth="1"/>
    <col min="7712" max="7712" width="6" style="1" customWidth="1"/>
    <col min="7713" max="7713" width="9.5703125" style="1" customWidth="1"/>
    <col min="7714" max="7714" width="27.28515625" style="1" bestFit="1" customWidth="1"/>
    <col min="7715" max="7715" width="8.42578125" style="1" customWidth="1"/>
    <col min="7716" max="7936" width="8.7109375" style="1"/>
    <col min="7937" max="7946" width="0" style="1" hidden="1" customWidth="1"/>
    <col min="7947" max="7947" width="14.140625" style="1" customWidth="1"/>
    <col min="7948" max="7948" width="14.42578125" style="1" customWidth="1"/>
    <col min="7949" max="7949" width="15.140625" style="1" customWidth="1"/>
    <col min="7950" max="7950" width="10.28515625" style="1" customWidth="1"/>
    <col min="7951" max="7951" width="11.28515625" style="1" customWidth="1"/>
    <col min="7952" max="7952" width="15.5703125" style="1" customWidth="1"/>
    <col min="7953" max="7953" width="22.140625" style="1" customWidth="1"/>
    <col min="7954" max="7956" width="8.42578125" style="1" customWidth="1"/>
    <col min="7957" max="7957" width="21.5703125" style="1" customWidth="1"/>
    <col min="7958" max="7958" width="20.7109375" style="1" customWidth="1"/>
    <col min="7959" max="7959" width="17.140625" style="1" customWidth="1"/>
    <col min="7960" max="7960" width="15.5703125" style="1" customWidth="1"/>
    <col min="7961" max="7961" width="13.28515625" style="1" customWidth="1"/>
    <col min="7962" max="7962" width="7.42578125" style="1" bestFit="1" customWidth="1"/>
    <col min="7963" max="7963" width="13.42578125" style="1" customWidth="1"/>
    <col min="7964" max="7964" width="7.85546875" style="1" customWidth="1"/>
    <col min="7965" max="7965" width="15.85546875" style="1" customWidth="1"/>
    <col min="7966" max="7967" width="14.85546875" style="1" customWidth="1"/>
    <col min="7968" max="7968" width="6" style="1" customWidth="1"/>
    <col min="7969" max="7969" width="9.5703125" style="1" customWidth="1"/>
    <col min="7970" max="7970" width="27.28515625" style="1" bestFit="1" customWidth="1"/>
    <col min="7971" max="7971" width="8.42578125" style="1" customWidth="1"/>
    <col min="7972" max="8192" width="8.7109375" style="1"/>
    <col min="8193" max="8202" width="0" style="1" hidden="1" customWidth="1"/>
    <col min="8203" max="8203" width="14.140625" style="1" customWidth="1"/>
    <col min="8204" max="8204" width="14.42578125" style="1" customWidth="1"/>
    <col min="8205" max="8205" width="15.140625" style="1" customWidth="1"/>
    <col min="8206" max="8206" width="10.28515625" style="1" customWidth="1"/>
    <col min="8207" max="8207" width="11.28515625" style="1" customWidth="1"/>
    <col min="8208" max="8208" width="15.5703125" style="1" customWidth="1"/>
    <col min="8209" max="8209" width="22.140625" style="1" customWidth="1"/>
    <col min="8210" max="8212" width="8.42578125" style="1" customWidth="1"/>
    <col min="8213" max="8213" width="21.5703125" style="1" customWidth="1"/>
    <col min="8214" max="8214" width="20.7109375" style="1" customWidth="1"/>
    <col min="8215" max="8215" width="17.140625" style="1" customWidth="1"/>
    <col min="8216" max="8216" width="15.5703125" style="1" customWidth="1"/>
    <col min="8217" max="8217" width="13.28515625" style="1" customWidth="1"/>
    <col min="8218" max="8218" width="7.42578125" style="1" bestFit="1" customWidth="1"/>
    <col min="8219" max="8219" width="13.42578125" style="1" customWidth="1"/>
    <col min="8220" max="8220" width="7.85546875" style="1" customWidth="1"/>
    <col min="8221" max="8221" width="15.85546875" style="1" customWidth="1"/>
    <col min="8222" max="8223" width="14.85546875" style="1" customWidth="1"/>
    <col min="8224" max="8224" width="6" style="1" customWidth="1"/>
    <col min="8225" max="8225" width="9.5703125" style="1" customWidth="1"/>
    <col min="8226" max="8226" width="27.28515625" style="1" bestFit="1" customWidth="1"/>
    <col min="8227" max="8227" width="8.42578125" style="1" customWidth="1"/>
    <col min="8228" max="8448" width="8.7109375" style="1"/>
    <col min="8449" max="8458" width="0" style="1" hidden="1" customWidth="1"/>
    <col min="8459" max="8459" width="14.140625" style="1" customWidth="1"/>
    <col min="8460" max="8460" width="14.42578125" style="1" customWidth="1"/>
    <col min="8461" max="8461" width="15.140625" style="1" customWidth="1"/>
    <col min="8462" max="8462" width="10.28515625" style="1" customWidth="1"/>
    <col min="8463" max="8463" width="11.28515625" style="1" customWidth="1"/>
    <col min="8464" max="8464" width="15.5703125" style="1" customWidth="1"/>
    <col min="8465" max="8465" width="22.140625" style="1" customWidth="1"/>
    <col min="8466" max="8468" width="8.42578125" style="1" customWidth="1"/>
    <col min="8469" max="8469" width="21.5703125" style="1" customWidth="1"/>
    <col min="8470" max="8470" width="20.7109375" style="1" customWidth="1"/>
    <col min="8471" max="8471" width="17.140625" style="1" customWidth="1"/>
    <col min="8472" max="8472" width="15.5703125" style="1" customWidth="1"/>
    <col min="8473" max="8473" width="13.28515625" style="1" customWidth="1"/>
    <col min="8474" max="8474" width="7.42578125" style="1" bestFit="1" customWidth="1"/>
    <col min="8475" max="8475" width="13.42578125" style="1" customWidth="1"/>
    <col min="8476" max="8476" width="7.85546875" style="1" customWidth="1"/>
    <col min="8477" max="8477" width="15.85546875" style="1" customWidth="1"/>
    <col min="8478" max="8479" width="14.85546875" style="1" customWidth="1"/>
    <col min="8480" max="8480" width="6" style="1" customWidth="1"/>
    <col min="8481" max="8481" width="9.5703125" style="1" customWidth="1"/>
    <col min="8482" max="8482" width="27.28515625" style="1" bestFit="1" customWidth="1"/>
    <col min="8483" max="8483" width="8.42578125" style="1" customWidth="1"/>
    <col min="8484" max="8704" width="8.7109375" style="1"/>
    <col min="8705" max="8714" width="0" style="1" hidden="1" customWidth="1"/>
    <col min="8715" max="8715" width="14.140625" style="1" customWidth="1"/>
    <col min="8716" max="8716" width="14.42578125" style="1" customWidth="1"/>
    <col min="8717" max="8717" width="15.140625" style="1" customWidth="1"/>
    <col min="8718" max="8718" width="10.28515625" style="1" customWidth="1"/>
    <col min="8719" max="8719" width="11.28515625" style="1" customWidth="1"/>
    <col min="8720" max="8720" width="15.5703125" style="1" customWidth="1"/>
    <col min="8721" max="8721" width="22.140625" style="1" customWidth="1"/>
    <col min="8722" max="8724" width="8.42578125" style="1" customWidth="1"/>
    <col min="8725" max="8725" width="21.5703125" style="1" customWidth="1"/>
    <col min="8726" max="8726" width="20.7109375" style="1" customWidth="1"/>
    <col min="8727" max="8727" width="17.140625" style="1" customWidth="1"/>
    <col min="8728" max="8728" width="15.5703125" style="1" customWidth="1"/>
    <col min="8729" max="8729" width="13.28515625" style="1" customWidth="1"/>
    <col min="8730" max="8730" width="7.42578125" style="1" bestFit="1" customWidth="1"/>
    <col min="8731" max="8731" width="13.42578125" style="1" customWidth="1"/>
    <col min="8732" max="8732" width="7.85546875" style="1" customWidth="1"/>
    <col min="8733" max="8733" width="15.85546875" style="1" customWidth="1"/>
    <col min="8734" max="8735" width="14.85546875" style="1" customWidth="1"/>
    <col min="8736" max="8736" width="6" style="1" customWidth="1"/>
    <col min="8737" max="8737" width="9.5703125" style="1" customWidth="1"/>
    <col min="8738" max="8738" width="27.28515625" style="1" bestFit="1" customWidth="1"/>
    <col min="8739" max="8739" width="8.42578125" style="1" customWidth="1"/>
    <col min="8740" max="8960" width="8.7109375" style="1"/>
    <col min="8961" max="8970" width="0" style="1" hidden="1" customWidth="1"/>
    <col min="8971" max="8971" width="14.140625" style="1" customWidth="1"/>
    <col min="8972" max="8972" width="14.42578125" style="1" customWidth="1"/>
    <col min="8973" max="8973" width="15.140625" style="1" customWidth="1"/>
    <col min="8974" max="8974" width="10.28515625" style="1" customWidth="1"/>
    <col min="8975" max="8975" width="11.28515625" style="1" customWidth="1"/>
    <col min="8976" max="8976" width="15.5703125" style="1" customWidth="1"/>
    <col min="8977" max="8977" width="22.140625" style="1" customWidth="1"/>
    <col min="8978" max="8980" width="8.42578125" style="1" customWidth="1"/>
    <col min="8981" max="8981" width="21.5703125" style="1" customWidth="1"/>
    <col min="8982" max="8982" width="20.7109375" style="1" customWidth="1"/>
    <col min="8983" max="8983" width="17.140625" style="1" customWidth="1"/>
    <col min="8984" max="8984" width="15.5703125" style="1" customWidth="1"/>
    <col min="8985" max="8985" width="13.28515625" style="1" customWidth="1"/>
    <col min="8986" max="8986" width="7.42578125" style="1" bestFit="1" customWidth="1"/>
    <col min="8987" max="8987" width="13.42578125" style="1" customWidth="1"/>
    <col min="8988" max="8988" width="7.85546875" style="1" customWidth="1"/>
    <col min="8989" max="8989" width="15.85546875" style="1" customWidth="1"/>
    <col min="8990" max="8991" width="14.85546875" style="1" customWidth="1"/>
    <col min="8992" max="8992" width="6" style="1" customWidth="1"/>
    <col min="8993" max="8993" width="9.5703125" style="1" customWidth="1"/>
    <col min="8994" max="8994" width="27.28515625" style="1" bestFit="1" customWidth="1"/>
    <col min="8995" max="8995" width="8.42578125" style="1" customWidth="1"/>
    <col min="8996" max="9216" width="8.7109375" style="1"/>
    <col min="9217" max="9226" width="0" style="1" hidden="1" customWidth="1"/>
    <col min="9227" max="9227" width="14.140625" style="1" customWidth="1"/>
    <col min="9228" max="9228" width="14.42578125" style="1" customWidth="1"/>
    <col min="9229" max="9229" width="15.140625" style="1" customWidth="1"/>
    <col min="9230" max="9230" width="10.28515625" style="1" customWidth="1"/>
    <col min="9231" max="9231" width="11.28515625" style="1" customWidth="1"/>
    <col min="9232" max="9232" width="15.5703125" style="1" customWidth="1"/>
    <col min="9233" max="9233" width="22.140625" style="1" customWidth="1"/>
    <col min="9234" max="9236" width="8.42578125" style="1" customWidth="1"/>
    <col min="9237" max="9237" width="21.5703125" style="1" customWidth="1"/>
    <col min="9238" max="9238" width="20.7109375" style="1" customWidth="1"/>
    <col min="9239" max="9239" width="17.140625" style="1" customWidth="1"/>
    <col min="9240" max="9240" width="15.5703125" style="1" customWidth="1"/>
    <col min="9241" max="9241" width="13.28515625" style="1" customWidth="1"/>
    <col min="9242" max="9242" width="7.42578125" style="1" bestFit="1" customWidth="1"/>
    <col min="9243" max="9243" width="13.42578125" style="1" customWidth="1"/>
    <col min="9244" max="9244" width="7.85546875" style="1" customWidth="1"/>
    <col min="9245" max="9245" width="15.85546875" style="1" customWidth="1"/>
    <col min="9246" max="9247" width="14.85546875" style="1" customWidth="1"/>
    <col min="9248" max="9248" width="6" style="1" customWidth="1"/>
    <col min="9249" max="9249" width="9.5703125" style="1" customWidth="1"/>
    <col min="9250" max="9250" width="27.28515625" style="1" bestFit="1" customWidth="1"/>
    <col min="9251" max="9251" width="8.42578125" style="1" customWidth="1"/>
    <col min="9252" max="9472" width="8.7109375" style="1"/>
    <col min="9473" max="9482" width="0" style="1" hidden="1" customWidth="1"/>
    <col min="9483" max="9483" width="14.140625" style="1" customWidth="1"/>
    <col min="9484" max="9484" width="14.42578125" style="1" customWidth="1"/>
    <col min="9485" max="9485" width="15.140625" style="1" customWidth="1"/>
    <col min="9486" max="9486" width="10.28515625" style="1" customWidth="1"/>
    <col min="9487" max="9487" width="11.28515625" style="1" customWidth="1"/>
    <col min="9488" max="9488" width="15.5703125" style="1" customWidth="1"/>
    <col min="9489" max="9489" width="22.140625" style="1" customWidth="1"/>
    <col min="9490" max="9492" width="8.42578125" style="1" customWidth="1"/>
    <col min="9493" max="9493" width="21.5703125" style="1" customWidth="1"/>
    <col min="9494" max="9494" width="20.7109375" style="1" customWidth="1"/>
    <col min="9495" max="9495" width="17.140625" style="1" customWidth="1"/>
    <col min="9496" max="9496" width="15.5703125" style="1" customWidth="1"/>
    <col min="9497" max="9497" width="13.28515625" style="1" customWidth="1"/>
    <col min="9498" max="9498" width="7.42578125" style="1" bestFit="1" customWidth="1"/>
    <col min="9499" max="9499" width="13.42578125" style="1" customWidth="1"/>
    <col min="9500" max="9500" width="7.85546875" style="1" customWidth="1"/>
    <col min="9501" max="9501" width="15.85546875" style="1" customWidth="1"/>
    <col min="9502" max="9503" width="14.85546875" style="1" customWidth="1"/>
    <col min="9504" max="9504" width="6" style="1" customWidth="1"/>
    <col min="9505" max="9505" width="9.5703125" style="1" customWidth="1"/>
    <col min="9506" max="9506" width="27.28515625" style="1" bestFit="1" customWidth="1"/>
    <col min="9507" max="9507" width="8.42578125" style="1" customWidth="1"/>
    <col min="9508" max="9728" width="8.7109375" style="1"/>
    <col min="9729" max="9738" width="0" style="1" hidden="1" customWidth="1"/>
    <col min="9739" max="9739" width="14.140625" style="1" customWidth="1"/>
    <col min="9740" max="9740" width="14.42578125" style="1" customWidth="1"/>
    <col min="9741" max="9741" width="15.140625" style="1" customWidth="1"/>
    <col min="9742" max="9742" width="10.28515625" style="1" customWidth="1"/>
    <col min="9743" max="9743" width="11.28515625" style="1" customWidth="1"/>
    <col min="9744" max="9744" width="15.5703125" style="1" customWidth="1"/>
    <col min="9745" max="9745" width="22.140625" style="1" customWidth="1"/>
    <col min="9746" max="9748" width="8.42578125" style="1" customWidth="1"/>
    <col min="9749" max="9749" width="21.5703125" style="1" customWidth="1"/>
    <col min="9750" max="9750" width="20.7109375" style="1" customWidth="1"/>
    <col min="9751" max="9751" width="17.140625" style="1" customWidth="1"/>
    <col min="9752" max="9752" width="15.5703125" style="1" customWidth="1"/>
    <col min="9753" max="9753" width="13.28515625" style="1" customWidth="1"/>
    <col min="9754" max="9754" width="7.42578125" style="1" bestFit="1" customWidth="1"/>
    <col min="9755" max="9755" width="13.42578125" style="1" customWidth="1"/>
    <col min="9756" max="9756" width="7.85546875" style="1" customWidth="1"/>
    <col min="9757" max="9757" width="15.85546875" style="1" customWidth="1"/>
    <col min="9758" max="9759" width="14.85546875" style="1" customWidth="1"/>
    <col min="9760" max="9760" width="6" style="1" customWidth="1"/>
    <col min="9761" max="9761" width="9.5703125" style="1" customWidth="1"/>
    <col min="9762" max="9762" width="27.28515625" style="1" bestFit="1" customWidth="1"/>
    <col min="9763" max="9763" width="8.42578125" style="1" customWidth="1"/>
    <col min="9764" max="9984" width="8.7109375" style="1"/>
    <col min="9985" max="9994" width="0" style="1" hidden="1" customWidth="1"/>
    <col min="9995" max="9995" width="14.140625" style="1" customWidth="1"/>
    <col min="9996" max="9996" width="14.42578125" style="1" customWidth="1"/>
    <col min="9997" max="9997" width="15.140625" style="1" customWidth="1"/>
    <col min="9998" max="9998" width="10.28515625" style="1" customWidth="1"/>
    <col min="9999" max="9999" width="11.28515625" style="1" customWidth="1"/>
    <col min="10000" max="10000" width="15.5703125" style="1" customWidth="1"/>
    <col min="10001" max="10001" width="22.140625" style="1" customWidth="1"/>
    <col min="10002" max="10004" width="8.42578125" style="1" customWidth="1"/>
    <col min="10005" max="10005" width="21.5703125" style="1" customWidth="1"/>
    <col min="10006" max="10006" width="20.7109375" style="1" customWidth="1"/>
    <col min="10007" max="10007" width="17.140625" style="1" customWidth="1"/>
    <col min="10008" max="10008" width="15.5703125" style="1" customWidth="1"/>
    <col min="10009" max="10009" width="13.28515625" style="1" customWidth="1"/>
    <col min="10010" max="10010" width="7.42578125" style="1" bestFit="1" customWidth="1"/>
    <col min="10011" max="10011" width="13.42578125" style="1" customWidth="1"/>
    <col min="10012" max="10012" width="7.85546875" style="1" customWidth="1"/>
    <col min="10013" max="10013" width="15.85546875" style="1" customWidth="1"/>
    <col min="10014" max="10015" width="14.85546875" style="1" customWidth="1"/>
    <col min="10016" max="10016" width="6" style="1" customWidth="1"/>
    <col min="10017" max="10017" width="9.5703125" style="1" customWidth="1"/>
    <col min="10018" max="10018" width="27.28515625" style="1" bestFit="1" customWidth="1"/>
    <col min="10019" max="10019" width="8.42578125" style="1" customWidth="1"/>
    <col min="10020" max="10240" width="8.7109375" style="1"/>
    <col min="10241" max="10250" width="0" style="1" hidden="1" customWidth="1"/>
    <col min="10251" max="10251" width="14.140625" style="1" customWidth="1"/>
    <col min="10252" max="10252" width="14.42578125" style="1" customWidth="1"/>
    <col min="10253" max="10253" width="15.140625" style="1" customWidth="1"/>
    <col min="10254" max="10254" width="10.28515625" style="1" customWidth="1"/>
    <col min="10255" max="10255" width="11.28515625" style="1" customWidth="1"/>
    <col min="10256" max="10256" width="15.5703125" style="1" customWidth="1"/>
    <col min="10257" max="10257" width="22.140625" style="1" customWidth="1"/>
    <col min="10258" max="10260" width="8.42578125" style="1" customWidth="1"/>
    <col min="10261" max="10261" width="21.5703125" style="1" customWidth="1"/>
    <col min="10262" max="10262" width="20.7109375" style="1" customWidth="1"/>
    <col min="10263" max="10263" width="17.140625" style="1" customWidth="1"/>
    <col min="10264" max="10264" width="15.5703125" style="1" customWidth="1"/>
    <col min="10265" max="10265" width="13.28515625" style="1" customWidth="1"/>
    <col min="10266" max="10266" width="7.42578125" style="1" bestFit="1" customWidth="1"/>
    <col min="10267" max="10267" width="13.42578125" style="1" customWidth="1"/>
    <col min="10268" max="10268" width="7.85546875" style="1" customWidth="1"/>
    <col min="10269" max="10269" width="15.85546875" style="1" customWidth="1"/>
    <col min="10270" max="10271" width="14.85546875" style="1" customWidth="1"/>
    <col min="10272" max="10272" width="6" style="1" customWidth="1"/>
    <col min="10273" max="10273" width="9.5703125" style="1" customWidth="1"/>
    <col min="10274" max="10274" width="27.28515625" style="1" bestFit="1" customWidth="1"/>
    <col min="10275" max="10275" width="8.42578125" style="1" customWidth="1"/>
    <col min="10276" max="10496" width="8.7109375" style="1"/>
    <col min="10497" max="10506" width="0" style="1" hidden="1" customWidth="1"/>
    <col min="10507" max="10507" width="14.140625" style="1" customWidth="1"/>
    <col min="10508" max="10508" width="14.42578125" style="1" customWidth="1"/>
    <col min="10509" max="10509" width="15.140625" style="1" customWidth="1"/>
    <col min="10510" max="10510" width="10.28515625" style="1" customWidth="1"/>
    <col min="10511" max="10511" width="11.28515625" style="1" customWidth="1"/>
    <col min="10512" max="10512" width="15.5703125" style="1" customWidth="1"/>
    <col min="10513" max="10513" width="22.140625" style="1" customWidth="1"/>
    <col min="10514" max="10516" width="8.42578125" style="1" customWidth="1"/>
    <col min="10517" max="10517" width="21.5703125" style="1" customWidth="1"/>
    <col min="10518" max="10518" width="20.7109375" style="1" customWidth="1"/>
    <col min="10519" max="10519" width="17.140625" style="1" customWidth="1"/>
    <col min="10520" max="10520" width="15.5703125" style="1" customWidth="1"/>
    <col min="10521" max="10521" width="13.28515625" style="1" customWidth="1"/>
    <col min="10522" max="10522" width="7.42578125" style="1" bestFit="1" customWidth="1"/>
    <col min="10523" max="10523" width="13.42578125" style="1" customWidth="1"/>
    <col min="10524" max="10524" width="7.85546875" style="1" customWidth="1"/>
    <col min="10525" max="10525" width="15.85546875" style="1" customWidth="1"/>
    <col min="10526" max="10527" width="14.85546875" style="1" customWidth="1"/>
    <col min="10528" max="10528" width="6" style="1" customWidth="1"/>
    <col min="10529" max="10529" width="9.5703125" style="1" customWidth="1"/>
    <col min="10530" max="10530" width="27.28515625" style="1" bestFit="1" customWidth="1"/>
    <col min="10531" max="10531" width="8.42578125" style="1" customWidth="1"/>
    <col min="10532" max="10752" width="8.7109375" style="1"/>
    <col min="10753" max="10762" width="0" style="1" hidden="1" customWidth="1"/>
    <col min="10763" max="10763" width="14.140625" style="1" customWidth="1"/>
    <col min="10764" max="10764" width="14.42578125" style="1" customWidth="1"/>
    <col min="10765" max="10765" width="15.140625" style="1" customWidth="1"/>
    <col min="10766" max="10766" width="10.28515625" style="1" customWidth="1"/>
    <col min="10767" max="10767" width="11.28515625" style="1" customWidth="1"/>
    <col min="10768" max="10768" width="15.5703125" style="1" customWidth="1"/>
    <col min="10769" max="10769" width="22.140625" style="1" customWidth="1"/>
    <col min="10770" max="10772" width="8.42578125" style="1" customWidth="1"/>
    <col min="10773" max="10773" width="21.5703125" style="1" customWidth="1"/>
    <col min="10774" max="10774" width="20.7109375" style="1" customWidth="1"/>
    <col min="10775" max="10775" width="17.140625" style="1" customWidth="1"/>
    <col min="10776" max="10776" width="15.5703125" style="1" customWidth="1"/>
    <col min="10777" max="10777" width="13.28515625" style="1" customWidth="1"/>
    <col min="10778" max="10778" width="7.42578125" style="1" bestFit="1" customWidth="1"/>
    <col min="10779" max="10779" width="13.42578125" style="1" customWidth="1"/>
    <col min="10780" max="10780" width="7.85546875" style="1" customWidth="1"/>
    <col min="10781" max="10781" width="15.85546875" style="1" customWidth="1"/>
    <col min="10782" max="10783" width="14.85546875" style="1" customWidth="1"/>
    <col min="10784" max="10784" width="6" style="1" customWidth="1"/>
    <col min="10785" max="10785" width="9.5703125" style="1" customWidth="1"/>
    <col min="10786" max="10786" width="27.28515625" style="1" bestFit="1" customWidth="1"/>
    <col min="10787" max="10787" width="8.42578125" style="1" customWidth="1"/>
    <col min="10788" max="11008" width="8.7109375" style="1"/>
    <col min="11009" max="11018" width="0" style="1" hidden="1" customWidth="1"/>
    <col min="11019" max="11019" width="14.140625" style="1" customWidth="1"/>
    <col min="11020" max="11020" width="14.42578125" style="1" customWidth="1"/>
    <col min="11021" max="11021" width="15.140625" style="1" customWidth="1"/>
    <col min="11022" max="11022" width="10.28515625" style="1" customWidth="1"/>
    <col min="11023" max="11023" width="11.28515625" style="1" customWidth="1"/>
    <col min="11024" max="11024" width="15.5703125" style="1" customWidth="1"/>
    <col min="11025" max="11025" width="22.140625" style="1" customWidth="1"/>
    <col min="11026" max="11028" width="8.42578125" style="1" customWidth="1"/>
    <col min="11029" max="11029" width="21.5703125" style="1" customWidth="1"/>
    <col min="11030" max="11030" width="20.7109375" style="1" customWidth="1"/>
    <col min="11031" max="11031" width="17.140625" style="1" customWidth="1"/>
    <col min="11032" max="11032" width="15.5703125" style="1" customWidth="1"/>
    <col min="11033" max="11033" width="13.28515625" style="1" customWidth="1"/>
    <col min="11034" max="11034" width="7.42578125" style="1" bestFit="1" customWidth="1"/>
    <col min="11035" max="11035" width="13.42578125" style="1" customWidth="1"/>
    <col min="11036" max="11036" width="7.85546875" style="1" customWidth="1"/>
    <col min="11037" max="11037" width="15.85546875" style="1" customWidth="1"/>
    <col min="11038" max="11039" width="14.85546875" style="1" customWidth="1"/>
    <col min="11040" max="11040" width="6" style="1" customWidth="1"/>
    <col min="11041" max="11041" width="9.5703125" style="1" customWidth="1"/>
    <col min="11042" max="11042" width="27.28515625" style="1" bestFit="1" customWidth="1"/>
    <col min="11043" max="11043" width="8.42578125" style="1" customWidth="1"/>
    <col min="11044" max="11264" width="8.7109375" style="1"/>
    <col min="11265" max="11274" width="0" style="1" hidden="1" customWidth="1"/>
    <col min="11275" max="11275" width="14.140625" style="1" customWidth="1"/>
    <col min="11276" max="11276" width="14.42578125" style="1" customWidth="1"/>
    <col min="11277" max="11277" width="15.140625" style="1" customWidth="1"/>
    <col min="11278" max="11278" width="10.28515625" style="1" customWidth="1"/>
    <col min="11279" max="11279" width="11.28515625" style="1" customWidth="1"/>
    <col min="11280" max="11280" width="15.5703125" style="1" customWidth="1"/>
    <col min="11281" max="11281" width="22.140625" style="1" customWidth="1"/>
    <col min="11282" max="11284" width="8.42578125" style="1" customWidth="1"/>
    <col min="11285" max="11285" width="21.5703125" style="1" customWidth="1"/>
    <col min="11286" max="11286" width="20.7109375" style="1" customWidth="1"/>
    <col min="11287" max="11287" width="17.140625" style="1" customWidth="1"/>
    <col min="11288" max="11288" width="15.5703125" style="1" customWidth="1"/>
    <col min="11289" max="11289" width="13.28515625" style="1" customWidth="1"/>
    <col min="11290" max="11290" width="7.42578125" style="1" bestFit="1" customWidth="1"/>
    <col min="11291" max="11291" width="13.42578125" style="1" customWidth="1"/>
    <col min="11292" max="11292" width="7.85546875" style="1" customWidth="1"/>
    <col min="11293" max="11293" width="15.85546875" style="1" customWidth="1"/>
    <col min="11294" max="11295" width="14.85546875" style="1" customWidth="1"/>
    <col min="11296" max="11296" width="6" style="1" customWidth="1"/>
    <col min="11297" max="11297" width="9.5703125" style="1" customWidth="1"/>
    <col min="11298" max="11298" width="27.28515625" style="1" bestFit="1" customWidth="1"/>
    <col min="11299" max="11299" width="8.42578125" style="1" customWidth="1"/>
    <col min="11300" max="11520" width="8.7109375" style="1"/>
    <col min="11521" max="11530" width="0" style="1" hidden="1" customWidth="1"/>
    <col min="11531" max="11531" width="14.140625" style="1" customWidth="1"/>
    <col min="11532" max="11532" width="14.42578125" style="1" customWidth="1"/>
    <col min="11533" max="11533" width="15.140625" style="1" customWidth="1"/>
    <col min="11534" max="11534" width="10.28515625" style="1" customWidth="1"/>
    <col min="11535" max="11535" width="11.28515625" style="1" customWidth="1"/>
    <col min="11536" max="11536" width="15.5703125" style="1" customWidth="1"/>
    <col min="11537" max="11537" width="22.140625" style="1" customWidth="1"/>
    <col min="11538" max="11540" width="8.42578125" style="1" customWidth="1"/>
    <col min="11541" max="11541" width="21.5703125" style="1" customWidth="1"/>
    <col min="11542" max="11542" width="20.7109375" style="1" customWidth="1"/>
    <col min="11543" max="11543" width="17.140625" style="1" customWidth="1"/>
    <col min="11544" max="11544" width="15.5703125" style="1" customWidth="1"/>
    <col min="11545" max="11545" width="13.28515625" style="1" customWidth="1"/>
    <col min="11546" max="11546" width="7.42578125" style="1" bestFit="1" customWidth="1"/>
    <col min="11547" max="11547" width="13.42578125" style="1" customWidth="1"/>
    <col min="11548" max="11548" width="7.85546875" style="1" customWidth="1"/>
    <col min="11549" max="11549" width="15.85546875" style="1" customWidth="1"/>
    <col min="11550" max="11551" width="14.85546875" style="1" customWidth="1"/>
    <col min="11552" max="11552" width="6" style="1" customWidth="1"/>
    <col min="11553" max="11553" width="9.5703125" style="1" customWidth="1"/>
    <col min="11554" max="11554" width="27.28515625" style="1" bestFit="1" customWidth="1"/>
    <col min="11555" max="11555" width="8.42578125" style="1" customWidth="1"/>
    <col min="11556" max="11776" width="8.7109375" style="1"/>
    <col min="11777" max="11786" width="0" style="1" hidden="1" customWidth="1"/>
    <col min="11787" max="11787" width="14.140625" style="1" customWidth="1"/>
    <col min="11788" max="11788" width="14.42578125" style="1" customWidth="1"/>
    <col min="11789" max="11789" width="15.140625" style="1" customWidth="1"/>
    <col min="11790" max="11790" width="10.28515625" style="1" customWidth="1"/>
    <col min="11791" max="11791" width="11.28515625" style="1" customWidth="1"/>
    <col min="11792" max="11792" width="15.5703125" style="1" customWidth="1"/>
    <col min="11793" max="11793" width="22.140625" style="1" customWidth="1"/>
    <col min="11794" max="11796" width="8.42578125" style="1" customWidth="1"/>
    <col min="11797" max="11797" width="21.5703125" style="1" customWidth="1"/>
    <col min="11798" max="11798" width="20.7109375" style="1" customWidth="1"/>
    <col min="11799" max="11799" width="17.140625" style="1" customWidth="1"/>
    <col min="11800" max="11800" width="15.5703125" style="1" customWidth="1"/>
    <col min="11801" max="11801" width="13.28515625" style="1" customWidth="1"/>
    <col min="11802" max="11802" width="7.42578125" style="1" bestFit="1" customWidth="1"/>
    <col min="11803" max="11803" width="13.42578125" style="1" customWidth="1"/>
    <col min="11804" max="11804" width="7.85546875" style="1" customWidth="1"/>
    <col min="11805" max="11805" width="15.85546875" style="1" customWidth="1"/>
    <col min="11806" max="11807" width="14.85546875" style="1" customWidth="1"/>
    <col min="11808" max="11808" width="6" style="1" customWidth="1"/>
    <col min="11809" max="11809" width="9.5703125" style="1" customWidth="1"/>
    <col min="11810" max="11810" width="27.28515625" style="1" bestFit="1" customWidth="1"/>
    <col min="11811" max="11811" width="8.42578125" style="1" customWidth="1"/>
    <col min="11812" max="12032" width="8.7109375" style="1"/>
    <col min="12033" max="12042" width="0" style="1" hidden="1" customWidth="1"/>
    <col min="12043" max="12043" width="14.140625" style="1" customWidth="1"/>
    <col min="12044" max="12044" width="14.42578125" style="1" customWidth="1"/>
    <col min="12045" max="12045" width="15.140625" style="1" customWidth="1"/>
    <col min="12046" max="12046" width="10.28515625" style="1" customWidth="1"/>
    <col min="12047" max="12047" width="11.28515625" style="1" customWidth="1"/>
    <col min="12048" max="12048" width="15.5703125" style="1" customWidth="1"/>
    <col min="12049" max="12049" width="22.140625" style="1" customWidth="1"/>
    <col min="12050" max="12052" width="8.42578125" style="1" customWidth="1"/>
    <col min="12053" max="12053" width="21.5703125" style="1" customWidth="1"/>
    <col min="12054" max="12054" width="20.7109375" style="1" customWidth="1"/>
    <col min="12055" max="12055" width="17.140625" style="1" customWidth="1"/>
    <col min="12056" max="12056" width="15.5703125" style="1" customWidth="1"/>
    <col min="12057" max="12057" width="13.28515625" style="1" customWidth="1"/>
    <col min="12058" max="12058" width="7.42578125" style="1" bestFit="1" customWidth="1"/>
    <col min="12059" max="12059" width="13.42578125" style="1" customWidth="1"/>
    <col min="12060" max="12060" width="7.85546875" style="1" customWidth="1"/>
    <col min="12061" max="12061" width="15.85546875" style="1" customWidth="1"/>
    <col min="12062" max="12063" width="14.85546875" style="1" customWidth="1"/>
    <col min="12064" max="12064" width="6" style="1" customWidth="1"/>
    <col min="12065" max="12065" width="9.5703125" style="1" customWidth="1"/>
    <col min="12066" max="12066" width="27.28515625" style="1" bestFit="1" customWidth="1"/>
    <col min="12067" max="12067" width="8.42578125" style="1" customWidth="1"/>
    <col min="12068" max="12288" width="8.7109375" style="1"/>
    <col min="12289" max="12298" width="0" style="1" hidden="1" customWidth="1"/>
    <col min="12299" max="12299" width="14.140625" style="1" customWidth="1"/>
    <col min="12300" max="12300" width="14.42578125" style="1" customWidth="1"/>
    <col min="12301" max="12301" width="15.140625" style="1" customWidth="1"/>
    <col min="12302" max="12302" width="10.28515625" style="1" customWidth="1"/>
    <col min="12303" max="12303" width="11.28515625" style="1" customWidth="1"/>
    <col min="12304" max="12304" width="15.5703125" style="1" customWidth="1"/>
    <col min="12305" max="12305" width="22.140625" style="1" customWidth="1"/>
    <col min="12306" max="12308" width="8.42578125" style="1" customWidth="1"/>
    <col min="12309" max="12309" width="21.5703125" style="1" customWidth="1"/>
    <col min="12310" max="12310" width="20.7109375" style="1" customWidth="1"/>
    <col min="12311" max="12311" width="17.140625" style="1" customWidth="1"/>
    <col min="12312" max="12312" width="15.5703125" style="1" customWidth="1"/>
    <col min="12313" max="12313" width="13.28515625" style="1" customWidth="1"/>
    <col min="12314" max="12314" width="7.42578125" style="1" bestFit="1" customWidth="1"/>
    <col min="12315" max="12315" width="13.42578125" style="1" customWidth="1"/>
    <col min="12316" max="12316" width="7.85546875" style="1" customWidth="1"/>
    <col min="12317" max="12317" width="15.85546875" style="1" customWidth="1"/>
    <col min="12318" max="12319" width="14.85546875" style="1" customWidth="1"/>
    <col min="12320" max="12320" width="6" style="1" customWidth="1"/>
    <col min="12321" max="12321" width="9.5703125" style="1" customWidth="1"/>
    <col min="12322" max="12322" width="27.28515625" style="1" bestFit="1" customWidth="1"/>
    <col min="12323" max="12323" width="8.42578125" style="1" customWidth="1"/>
    <col min="12324" max="12544" width="8.7109375" style="1"/>
    <col min="12545" max="12554" width="0" style="1" hidden="1" customWidth="1"/>
    <col min="12555" max="12555" width="14.140625" style="1" customWidth="1"/>
    <col min="12556" max="12556" width="14.42578125" style="1" customWidth="1"/>
    <col min="12557" max="12557" width="15.140625" style="1" customWidth="1"/>
    <col min="12558" max="12558" width="10.28515625" style="1" customWidth="1"/>
    <col min="12559" max="12559" width="11.28515625" style="1" customWidth="1"/>
    <col min="12560" max="12560" width="15.5703125" style="1" customWidth="1"/>
    <col min="12561" max="12561" width="22.140625" style="1" customWidth="1"/>
    <col min="12562" max="12564" width="8.42578125" style="1" customWidth="1"/>
    <col min="12565" max="12565" width="21.5703125" style="1" customWidth="1"/>
    <col min="12566" max="12566" width="20.7109375" style="1" customWidth="1"/>
    <col min="12567" max="12567" width="17.140625" style="1" customWidth="1"/>
    <col min="12568" max="12568" width="15.5703125" style="1" customWidth="1"/>
    <col min="12569" max="12569" width="13.28515625" style="1" customWidth="1"/>
    <col min="12570" max="12570" width="7.42578125" style="1" bestFit="1" customWidth="1"/>
    <col min="12571" max="12571" width="13.42578125" style="1" customWidth="1"/>
    <col min="12572" max="12572" width="7.85546875" style="1" customWidth="1"/>
    <col min="12573" max="12573" width="15.85546875" style="1" customWidth="1"/>
    <col min="12574" max="12575" width="14.85546875" style="1" customWidth="1"/>
    <col min="12576" max="12576" width="6" style="1" customWidth="1"/>
    <col min="12577" max="12577" width="9.5703125" style="1" customWidth="1"/>
    <col min="12578" max="12578" width="27.28515625" style="1" bestFit="1" customWidth="1"/>
    <col min="12579" max="12579" width="8.42578125" style="1" customWidth="1"/>
    <col min="12580" max="12800" width="8.7109375" style="1"/>
    <col min="12801" max="12810" width="0" style="1" hidden="1" customWidth="1"/>
    <col min="12811" max="12811" width="14.140625" style="1" customWidth="1"/>
    <col min="12812" max="12812" width="14.42578125" style="1" customWidth="1"/>
    <col min="12813" max="12813" width="15.140625" style="1" customWidth="1"/>
    <col min="12814" max="12814" width="10.28515625" style="1" customWidth="1"/>
    <col min="12815" max="12815" width="11.28515625" style="1" customWidth="1"/>
    <col min="12816" max="12816" width="15.5703125" style="1" customWidth="1"/>
    <col min="12817" max="12817" width="22.140625" style="1" customWidth="1"/>
    <col min="12818" max="12820" width="8.42578125" style="1" customWidth="1"/>
    <col min="12821" max="12821" width="21.5703125" style="1" customWidth="1"/>
    <col min="12822" max="12822" width="20.7109375" style="1" customWidth="1"/>
    <col min="12823" max="12823" width="17.140625" style="1" customWidth="1"/>
    <col min="12824" max="12824" width="15.5703125" style="1" customWidth="1"/>
    <col min="12825" max="12825" width="13.28515625" style="1" customWidth="1"/>
    <col min="12826" max="12826" width="7.42578125" style="1" bestFit="1" customWidth="1"/>
    <col min="12827" max="12827" width="13.42578125" style="1" customWidth="1"/>
    <col min="12828" max="12828" width="7.85546875" style="1" customWidth="1"/>
    <col min="12829" max="12829" width="15.85546875" style="1" customWidth="1"/>
    <col min="12830" max="12831" width="14.85546875" style="1" customWidth="1"/>
    <col min="12832" max="12832" width="6" style="1" customWidth="1"/>
    <col min="12833" max="12833" width="9.5703125" style="1" customWidth="1"/>
    <col min="12834" max="12834" width="27.28515625" style="1" bestFit="1" customWidth="1"/>
    <col min="12835" max="12835" width="8.42578125" style="1" customWidth="1"/>
    <col min="12836" max="13056" width="8.7109375" style="1"/>
    <col min="13057" max="13066" width="0" style="1" hidden="1" customWidth="1"/>
    <col min="13067" max="13067" width="14.140625" style="1" customWidth="1"/>
    <col min="13068" max="13068" width="14.42578125" style="1" customWidth="1"/>
    <col min="13069" max="13069" width="15.140625" style="1" customWidth="1"/>
    <col min="13070" max="13070" width="10.28515625" style="1" customWidth="1"/>
    <col min="13071" max="13071" width="11.28515625" style="1" customWidth="1"/>
    <col min="13072" max="13072" width="15.5703125" style="1" customWidth="1"/>
    <col min="13073" max="13073" width="22.140625" style="1" customWidth="1"/>
    <col min="13074" max="13076" width="8.42578125" style="1" customWidth="1"/>
    <col min="13077" max="13077" width="21.5703125" style="1" customWidth="1"/>
    <col min="13078" max="13078" width="20.7109375" style="1" customWidth="1"/>
    <col min="13079" max="13079" width="17.140625" style="1" customWidth="1"/>
    <col min="13080" max="13080" width="15.5703125" style="1" customWidth="1"/>
    <col min="13081" max="13081" width="13.28515625" style="1" customWidth="1"/>
    <col min="13082" max="13082" width="7.42578125" style="1" bestFit="1" customWidth="1"/>
    <col min="13083" max="13083" width="13.42578125" style="1" customWidth="1"/>
    <col min="13084" max="13084" width="7.85546875" style="1" customWidth="1"/>
    <col min="13085" max="13085" width="15.85546875" style="1" customWidth="1"/>
    <col min="13086" max="13087" width="14.85546875" style="1" customWidth="1"/>
    <col min="13088" max="13088" width="6" style="1" customWidth="1"/>
    <col min="13089" max="13089" width="9.5703125" style="1" customWidth="1"/>
    <col min="13090" max="13090" width="27.28515625" style="1" bestFit="1" customWidth="1"/>
    <col min="13091" max="13091" width="8.42578125" style="1" customWidth="1"/>
    <col min="13092" max="13312" width="8.7109375" style="1"/>
    <col min="13313" max="13322" width="0" style="1" hidden="1" customWidth="1"/>
    <col min="13323" max="13323" width="14.140625" style="1" customWidth="1"/>
    <col min="13324" max="13324" width="14.42578125" style="1" customWidth="1"/>
    <col min="13325" max="13325" width="15.140625" style="1" customWidth="1"/>
    <col min="13326" max="13326" width="10.28515625" style="1" customWidth="1"/>
    <col min="13327" max="13327" width="11.28515625" style="1" customWidth="1"/>
    <col min="13328" max="13328" width="15.5703125" style="1" customWidth="1"/>
    <col min="13329" max="13329" width="22.140625" style="1" customWidth="1"/>
    <col min="13330" max="13332" width="8.42578125" style="1" customWidth="1"/>
    <col min="13333" max="13333" width="21.5703125" style="1" customWidth="1"/>
    <col min="13334" max="13334" width="20.7109375" style="1" customWidth="1"/>
    <col min="13335" max="13335" width="17.140625" style="1" customWidth="1"/>
    <col min="13336" max="13336" width="15.5703125" style="1" customWidth="1"/>
    <col min="13337" max="13337" width="13.28515625" style="1" customWidth="1"/>
    <col min="13338" max="13338" width="7.42578125" style="1" bestFit="1" customWidth="1"/>
    <col min="13339" max="13339" width="13.42578125" style="1" customWidth="1"/>
    <col min="13340" max="13340" width="7.85546875" style="1" customWidth="1"/>
    <col min="13341" max="13341" width="15.85546875" style="1" customWidth="1"/>
    <col min="13342" max="13343" width="14.85546875" style="1" customWidth="1"/>
    <col min="13344" max="13344" width="6" style="1" customWidth="1"/>
    <col min="13345" max="13345" width="9.5703125" style="1" customWidth="1"/>
    <col min="13346" max="13346" width="27.28515625" style="1" bestFit="1" customWidth="1"/>
    <col min="13347" max="13347" width="8.42578125" style="1" customWidth="1"/>
    <col min="13348" max="13568" width="8.7109375" style="1"/>
    <col min="13569" max="13578" width="0" style="1" hidden="1" customWidth="1"/>
    <col min="13579" max="13579" width="14.140625" style="1" customWidth="1"/>
    <col min="13580" max="13580" width="14.42578125" style="1" customWidth="1"/>
    <col min="13581" max="13581" width="15.140625" style="1" customWidth="1"/>
    <col min="13582" max="13582" width="10.28515625" style="1" customWidth="1"/>
    <col min="13583" max="13583" width="11.28515625" style="1" customWidth="1"/>
    <col min="13584" max="13584" width="15.5703125" style="1" customWidth="1"/>
    <col min="13585" max="13585" width="22.140625" style="1" customWidth="1"/>
    <col min="13586" max="13588" width="8.42578125" style="1" customWidth="1"/>
    <col min="13589" max="13589" width="21.5703125" style="1" customWidth="1"/>
    <col min="13590" max="13590" width="20.7109375" style="1" customWidth="1"/>
    <col min="13591" max="13591" width="17.140625" style="1" customWidth="1"/>
    <col min="13592" max="13592" width="15.5703125" style="1" customWidth="1"/>
    <col min="13593" max="13593" width="13.28515625" style="1" customWidth="1"/>
    <col min="13594" max="13594" width="7.42578125" style="1" bestFit="1" customWidth="1"/>
    <col min="13595" max="13595" width="13.42578125" style="1" customWidth="1"/>
    <col min="13596" max="13596" width="7.85546875" style="1" customWidth="1"/>
    <col min="13597" max="13597" width="15.85546875" style="1" customWidth="1"/>
    <col min="13598" max="13599" width="14.85546875" style="1" customWidth="1"/>
    <col min="13600" max="13600" width="6" style="1" customWidth="1"/>
    <col min="13601" max="13601" width="9.5703125" style="1" customWidth="1"/>
    <col min="13602" max="13602" width="27.28515625" style="1" bestFit="1" customWidth="1"/>
    <col min="13603" max="13603" width="8.42578125" style="1" customWidth="1"/>
    <col min="13604" max="13824" width="8.7109375" style="1"/>
    <col min="13825" max="13834" width="0" style="1" hidden="1" customWidth="1"/>
    <col min="13835" max="13835" width="14.140625" style="1" customWidth="1"/>
    <col min="13836" max="13836" width="14.42578125" style="1" customWidth="1"/>
    <col min="13837" max="13837" width="15.140625" style="1" customWidth="1"/>
    <col min="13838" max="13838" width="10.28515625" style="1" customWidth="1"/>
    <col min="13839" max="13839" width="11.28515625" style="1" customWidth="1"/>
    <col min="13840" max="13840" width="15.5703125" style="1" customWidth="1"/>
    <col min="13841" max="13841" width="22.140625" style="1" customWidth="1"/>
    <col min="13842" max="13844" width="8.42578125" style="1" customWidth="1"/>
    <col min="13845" max="13845" width="21.5703125" style="1" customWidth="1"/>
    <col min="13846" max="13846" width="20.7109375" style="1" customWidth="1"/>
    <col min="13847" max="13847" width="17.140625" style="1" customWidth="1"/>
    <col min="13848" max="13848" width="15.5703125" style="1" customWidth="1"/>
    <col min="13849" max="13849" width="13.28515625" style="1" customWidth="1"/>
    <col min="13850" max="13850" width="7.42578125" style="1" bestFit="1" customWidth="1"/>
    <col min="13851" max="13851" width="13.42578125" style="1" customWidth="1"/>
    <col min="13852" max="13852" width="7.85546875" style="1" customWidth="1"/>
    <col min="13853" max="13853" width="15.85546875" style="1" customWidth="1"/>
    <col min="13854" max="13855" width="14.85546875" style="1" customWidth="1"/>
    <col min="13856" max="13856" width="6" style="1" customWidth="1"/>
    <col min="13857" max="13857" width="9.5703125" style="1" customWidth="1"/>
    <col min="13858" max="13858" width="27.28515625" style="1" bestFit="1" customWidth="1"/>
    <col min="13859" max="13859" width="8.42578125" style="1" customWidth="1"/>
    <col min="13860" max="14080" width="8.7109375" style="1"/>
    <col min="14081" max="14090" width="0" style="1" hidden="1" customWidth="1"/>
    <col min="14091" max="14091" width="14.140625" style="1" customWidth="1"/>
    <col min="14092" max="14092" width="14.42578125" style="1" customWidth="1"/>
    <col min="14093" max="14093" width="15.140625" style="1" customWidth="1"/>
    <col min="14094" max="14094" width="10.28515625" style="1" customWidth="1"/>
    <col min="14095" max="14095" width="11.28515625" style="1" customWidth="1"/>
    <col min="14096" max="14096" width="15.5703125" style="1" customWidth="1"/>
    <col min="14097" max="14097" width="22.140625" style="1" customWidth="1"/>
    <col min="14098" max="14100" width="8.42578125" style="1" customWidth="1"/>
    <col min="14101" max="14101" width="21.5703125" style="1" customWidth="1"/>
    <col min="14102" max="14102" width="20.7109375" style="1" customWidth="1"/>
    <col min="14103" max="14103" width="17.140625" style="1" customWidth="1"/>
    <col min="14104" max="14104" width="15.5703125" style="1" customWidth="1"/>
    <col min="14105" max="14105" width="13.28515625" style="1" customWidth="1"/>
    <col min="14106" max="14106" width="7.42578125" style="1" bestFit="1" customWidth="1"/>
    <col min="14107" max="14107" width="13.42578125" style="1" customWidth="1"/>
    <col min="14108" max="14108" width="7.85546875" style="1" customWidth="1"/>
    <col min="14109" max="14109" width="15.85546875" style="1" customWidth="1"/>
    <col min="14110" max="14111" width="14.85546875" style="1" customWidth="1"/>
    <col min="14112" max="14112" width="6" style="1" customWidth="1"/>
    <col min="14113" max="14113" width="9.5703125" style="1" customWidth="1"/>
    <col min="14114" max="14114" width="27.28515625" style="1" bestFit="1" customWidth="1"/>
    <col min="14115" max="14115" width="8.42578125" style="1" customWidth="1"/>
    <col min="14116" max="14336" width="8.7109375" style="1"/>
    <col min="14337" max="14346" width="0" style="1" hidden="1" customWidth="1"/>
    <col min="14347" max="14347" width="14.140625" style="1" customWidth="1"/>
    <col min="14348" max="14348" width="14.42578125" style="1" customWidth="1"/>
    <col min="14349" max="14349" width="15.140625" style="1" customWidth="1"/>
    <col min="14350" max="14350" width="10.28515625" style="1" customWidth="1"/>
    <col min="14351" max="14351" width="11.28515625" style="1" customWidth="1"/>
    <col min="14352" max="14352" width="15.5703125" style="1" customWidth="1"/>
    <col min="14353" max="14353" width="22.140625" style="1" customWidth="1"/>
    <col min="14354" max="14356" width="8.42578125" style="1" customWidth="1"/>
    <col min="14357" max="14357" width="21.5703125" style="1" customWidth="1"/>
    <col min="14358" max="14358" width="20.7109375" style="1" customWidth="1"/>
    <col min="14359" max="14359" width="17.140625" style="1" customWidth="1"/>
    <col min="14360" max="14360" width="15.5703125" style="1" customWidth="1"/>
    <col min="14361" max="14361" width="13.28515625" style="1" customWidth="1"/>
    <col min="14362" max="14362" width="7.42578125" style="1" bestFit="1" customWidth="1"/>
    <col min="14363" max="14363" width="13.42578125" style="1" customWidth="1"/>
    <col min="14364" max="14364" width="7.85546875" style="1" customWidth="1"/>
    <col min="14365" max="14365" width="15.85546875" style="1" customWidth="1"/>
    <col min="14366" max="14367" width="14.85546875" style="1" customWidth="1"/>
    <col min="14368" max="14368" width="6" style="1" customWidth="1"/>
    <col min="14369" max="14369" width="9.5703125" style="1" customWidth="1"/>
    <col min="14370" max="14370" width="27.28515625" style="1" bestFit="1" customWidth="1"/>
    <col min="14371" max="14371" width="8.42578125" style="1" customWidth="1"/>
    <col min="14372" max="14592" width="8.7109375" style="1"/>
    <col min="14593" max="14602" width="0" style="1" hidden="1" customWidth="1"/>
    <col min="14603" max="14603" width="14.140625" style="1" customWidth="1"/>
    <col min="14604" max="14604" width="14.42578125" style="1" customWidth="1"/>
    <col min="14605" max="14605" width="15.140625" style="1" customWidth="1"/>
    <col min="14606" max="14606" width="10.28515625" style="1" customWidth="1"/>
    <col min="14607" max="14607" width="11.28515625" style="1" customWidth="1"/>
    <col min="14608" max="14608" width="15.5703125" style="1" customWidth="1"/>
    <col min="14609" max="14609" width="22.140625" style="1" customWidth="1"/>
    <col min="14610" max="14612" width="8.42578125" style="1" customWidth="1"/>
    <col min="14613" max="14613" width="21.5703125" style="1" customWidth="1"/>
    <col min="14614" max="14614" width="20.7109375" style="1" customWidth="1"/>
    <col min="14615" max="14615" width="17.140625" style="1" customWidth="1"/>
    <col min="14616" max="14616" width="15.5703125" style="1" customWidth="1"/>
    <col min="14617" max="14617" width="13.28515625" style="1" customWidth="1"/>
    <col min="14618" max="14618" width="7.42578125" style="1" bestFit="1" customWidth="1"/>
    <col min="14619" max="14619" width="13.42578125" style="1" customWidth="1"/>
    <col min="14620" max="14620" width="7.85546875" style="1" customWidth="1"/>
    <col min="14621" max="14621" width="15.85546875" style="1" customWidth="1"/>
    <col min="14622" max="14623" width="14.85546875" style="1" customWidth="1"/>
    <col min="14624" max="14624" width="6" style="1" customWidth="1"/>
    <col min="14625" max="14625" width="9.5703125" style="1" customWidth="1"/>
    <col min="14626" max="14626" width="27.28515625" style="1" bestFit="1" customWidth="1"/>
    <col min="14627" max="14627" width="8.42578125" style="1" customWidth="1"/>
    <col min="14628" max="14848" width="8.7109375" style="1"/>
    <col min="14849" max="14858" width="0" style="1" hidden="1" customWidth="1"/>
    <col min="14859" max="14859" width="14.140625" style="1" customWidth="1"/>
    <col min="14860" max="14860" width="14.42578125" style="1" customWidth="1"/>
    <col min="14861" max="14861" width="15.140625" style="1" customWidth="1"/>
    <col min="14862" max="14862" width="10.28515625" style="1" customWidth="1"/>
    <col min="14863" max="14863" width="11.28515625" style="1" customWidth="1"/>
    <col min="14864" max="14864" width="15.5703125" style="1" customWidth="1"/>
    <col min="14865" max="14865" width="22.140625" style="1" customWidth="1"/>
    <col min="14866" max="14868" width="8.42578125" style="1" customWidth="1"/>
    <col min="14869" max="14869" width="21.5703125" style="1" customWidth="1"/>
    <col min="14870" max="14870" width="20.7109375" style="1" customWidth="1"/>
    <col min="14871" max="14871" width="17.140625" style="1" customWidth="1"/>
    <col min="14872" max="14872" width="15.5703125" style="1" customWidth="1"/>
    <col min="14873" max="14873" width="13.28515625" style="1" customWidth="1"/>
    <col min="14874" max="14874" width="7.42578125" style="1" bestFit="1" customWidth="1"/>
    <col min="14875" max="14875" width="13.42578125" style="1" customWidth="1"/>
    <col min="14876" max="14876" width="7.85546875" style="1" customWidth="1"/>
    <col min="14877" max="14877" width="15.85546875" style="1" customWidth="1"/>
    <col min="14878" max="14879" width="14.85546875" style="1" customWidth="1"/>
    <col min="14880" max="14880" width="6" style="1" customWidth="1"/>
    <col min="14881" max="14881" width="9.5703125" style="1" customWidth="1"/>
    <col min="14882" max="14882" width="27.28515625" style="1" bestFit="1" customWidth="1"/>
    <col min="14883" max="14883" width="8.42578125" style="1" customWidth="1"/>
    <col min="14884" max="15104" width="8.7109375" style="1"/>
    <col min="15105" max="15114" width="0" style="1" hidden="1" customWidth="1"/>
    <col min="15115" max="15115" width="14.140625" style="1" customWidth="1"/>
    <col min="15116" max="15116" width="14.42578125" style="1" customWidth="1"/>
    <col min="15117" max="15117" width="15.140625" style="1" customWidth="1"/>
    <col min="15118" max="15118" width="10.28515625" style="1" customWidth="1"/>
    <col min="15119" max="15119" width="11.28515625" style="1" customWidth="1"/>
    <col min="15120" max="15120" width="15.5703125" style="1" customWidth="1"/>
    <col min="15121" max="15121" width="22.140625" style="1" customWidth="1"/>
    <col min="15122" max="15124" width="8.42578125" style="1" customWidth="1"/>
    <col min="15125" max="15125" width="21.5703125" style="1" customWidth="1"/>
    <col min="15126" max="15126" width="20.7109375" style="1" customWidth="1"/>
    <col min="15127" max="15127" width="17.140625" style="1" customWidth="1"/>
    <col min="15128" max="15128" width="15.5703125" style="1" customWidth="1"/>
    <col min="15129" max="15129" width="13.28515625" style="1" customWidth="1"/>
    <col min="15130" max="15130" width="7.42578125" style="1" bestFit="1" customWidth="1"/>
    <col min="15131" max="15131" width="13.42578125" style="1" customWidth="1"/>
    <col min="15132" max="15132" width="7.85546875" style="1" customWidth="1"/>
    <col min="15133" max="15133" width="15.85546875" style="1" customWidth="1"/>
    <col min="15134" max="15135" width="14.85546875" style="1" customWidth="1"/>
    <col min="15136" max="15136" width="6" style="1" customWidth="1"/>
    <col min="15137" max="15137" width="9.5703125" style="1" customWidth="1"/>
    <col min="15138" max="15138" width="27.28515625" style="1" bestFit="1" customWidth="1"/>
    <col min="15139" max="15139" width="8.42578125" style="1" customWidth="1"/>
    <col min="15140" max="15360" width="8.7109375" style="1"/>
    <col min="15361" max="15370" width="0" style="1" hidden="1" customWidth="1"/>
    <col min="15371" max="15371" width="14.140625" style="1" customWidth="1"/>
    <col min="15372" max="15372" width="14.42578125" style="1" customWidth="1"/>
    <col min="15373" max="15373" width="15.140625" style="1" customWidth="1"/>
    <col min="15374" max="15374" width="10.28515625" style="1" customWidth="1"/>
    <col min="15375" max="15375" width="11.28515625" style="1" customWidth="1"/>
    <col min="15376" max="15376" width="15.5703125" style="1" customWidth="1"/>
    <col min="15377" max="15377" width="22.140625" style="1" customWidth="1"/>
    <col min="15378" max="15380" width="8.42578125" style="1" customWidth="1"/>
    <col min="15381" max="15381" width="21.5703125" style="1" customWidth="1"/>
    <col min="15382" max="15382" width="20.7109375" style="1" customWidth="1"/>
    <col min="15383" max="15383" width="17.140625" style="1" customWidth="1"/>
    <col min="15384" max="15384" width="15.5703125" style="1" customWidth="1"/>
    <col min="15385" max="15385" width="13.28515625" style="1" customWidth="1"/>
    <col min="15386" max="15386" width="7.42578125" style="1" bestFit="1" customWidth="1"/>
    <col min="15387" max="15387" width="13.42578125" style="1" customWidth="1"/>
    <col min="15388" max="15388" width="7.85546875" style="1" customWidth="1"/>
    <col min="15389" max="15389" width="15.85546875" style="1" customWidth="1"/>
    <col min="15390" max="15391" width="14.85546875" style="1" customWidth="1"/>
    <col min="15392" max="15392" width="6" style="1" customWidth="1"/>
    <col min="15393" max="15393" width="9.5703125" style="1" customWidth="1"/>
    <col min="15394" max="15394" width="27.28515625" style="1" bestFit="1" customWidth="1"/>
    <col min="15395" max="15395" width="8.42578125" style="1" customWidth="1"/>
    <col min="15396" max="15616" width="8.7109375" style="1"/>
    <col min="15617" max="15626" width="0" style="1" hidden="1" customWidth="1"/>
    <col min="15627" max="15627" width="14.140625" style="1" customWidth="1"/>
    <col min="15628" max="15628" width="14.42578125" style="1" customWidth="1"/>
    <col min="15629" max="15629" width="15.140625" style="1" customWidth="1"/>
    <col min="15630" max="15630" width="10.28515625" style="1" customWidth="1"/>
    <col min="15631" max="15631" width="11.28515625" style="1" customWidth="1"/>
    <col min="15632" max="15632" width="15.5703125" style="1" customWidth="1"/>
    <col min="15633" max="15633" width="22.140625" style="1" customWidth="1"/>
    <col min="15634" max="15636" width="8.42578125" style="1" customWidth="1"/>
    <col min="15637" max="15637" width="21.5703125" style="1" customWidth="1"/>
    <col min="15638" max="15638" width="20.7109375" style="1" customWidth="1"/>
    <col min="15639" max="15639" width="17.140625" style="1" customWidth="1"/>
    <col min="15640" max="15640" width="15.5703125" style="1" customWidth="1"/>
    <col min="15641" max="15641" width="13.28515625" style="1" customWidth="1"/>
    <col min="15642" max="15642" width="7.42578125" style="1" bestFit="1" customWidth="1"/>
    <col min="15643" max="15643" width="13.42578125" style="1" customWidth="1"/>
    <col min="15644" max="15644" width="7.85546875" style="1" customWidth="1"/>
    <col min="15645" max="15645" width="15.85546875" style="1" customWidth="1"/>
    <col min="15646" max="15647" width="14.85546875" style="1" customWidth="1"/>
    <col min="15648" max="15648" width="6" style="1" customWidth="1"/>
    <col min="15649" max="15649" width="9.5703125" style="1" customWidth="1"/>
    <col min="15650" max="15650" width="27.28515625" style="1" bestFit="1" customWidth="1"/>
    <col min="15651" max="15651" width="8.42578125" style="1" customWidth="1"/>
    <col min="15652" max="15872" width="8.7109375" style="1"/>
    <col min="15873" max="15882" width="0" style="1" hidden="1" customWidth="1"/>
    <col min="15883" max="15883" width="14.140625" style="1" customWidth="1"/>
    <col min="15884" max="15884" width="14.42578125" style="1" customWidth="1"/>
    <col min="15885" max="15885" width="15.140625" style="1" customWidth="1"/>
    <col min="15886" max="15886" width="10.28515625" style="1" customWidth="1"/>
    <col min="15887" max="15887" width="11.28515625" style="1" customWidth="1"/>
    <col min="15888" max="15888" width="15.5703125" style="1" customWidth="1"/>
    <col min="15889" max="15889" width="22.140625" style="1" customWidth="1"/>
    <col min="15890" max="15892" width="8.42578125" style="1" customWidth="1"/>
    <col min="15893" max="15893" width="21.5703125" style="1" customWidth="1"/>
    <col min="15894" max="15894" width="20.7109375" style="1" customWidth="1"/>
    <col min="15895" max="15895" width="17.140625" style="1" customWidth="1"/>
    <col min="15896" max="15896" width="15.5703125" style="1" customWidth="1"/>
    <col min="15897" max="15897" width="13.28515625" style="1" customWidth="1"/>
    <col min="15898" max="15898" width="7.42578125" style="1" bestFit="1" customWidth="1"/>
    <col min="15899" max="15899" width="13.42578125" style="1" customWidth="1"/>
    <col min="15900" max="15900" width="7.85546875" style="1" customWidth="1"/>
    <col min="15901" max="15901" width="15.85546875" style="1" customWidth="1"/>
    <col min="15902" max="15903" width="14.85546875" style="1" customWidth="1"/>
    <col min="15904" max="15904" width="6" style="1" customWidth="1"/>
    <col min="15905" max="15905" width="9.5703125" style="1" customWidth="1"/>
    <col min="15906" max="15906" width="27.28515625" style="1" bestFit="1" customWidth="1"/>
    <col min="15907" max="15907" width="8.42578125" style="1" customWidth="1"/>
    <col min="15908" max="16128" width="8.7109375" style="1"/>
    <col min="16129" max="16138" width="0" style="1" hidden="1" customWidth="1"/>
    <col min="16139" max="16139" width="14.140625" style="1" customWidth="1"/>
    <col min="16140" max="16140" width="14.42578125" style="1" customWidth="1"/>
    <col min="16141" max="16141" width="15.140625" style="1" customWidth="1"/>
    <col min="16142" max="16142" width="10.28515625" style="1" customWidth="1"/>
    <col min="16143" max="16143" width="11.28515625" style="1" customWidth="1"/>
    <col min="16144" max="16144" width="15.5703125" style="1" customWidth="1"/>
    <col min="16145" max="16145" width="22.140625" style="1" customWidth="1"/>
    <col min="16146" max="16148" width="8.42578125" style="1" customWidth="1"/>
    <col min="16149" max="16149" width="21.5703125" style="1" customWidth="1"/>
    <col min="16150" max="16150" width="20.7109375" style="1" customWidth="1"/>
    <col min="16151" max="16151" width="17.140625" style="1" customWidth="1"/>
    <col min="16152" max="16152" width="15.5703125" style="1" customWidth="1"/>
    <col min="16153" max="16153" width="13.28515625" style="1" customWidth="1"/>
    <col min="16154" max="16154" width="7.42578125" style="1" bestFit="1" customWidth="1"/>
    <col min="16155" max="16155" width="13.42578125" style="1" customWidth="1"/>
    <col min="16156" max="16156" width="7.85546875" style="1" customWidth="1"/>
    <col min="16157" max="16157" width="15.85546875" style="1" customWidth="1"/>
    <col min="16158" max="16159" width="14.85546875" style="1" customWidth="1"/>
    <col min="16160" max="16160" width="6" style="1" customWidth="1"/>
    <col min="16161" max="16161" width="9.5703125" style="1" customWidth="1"/>
    <col min="16162" max="16162" width="27.28515625" style="1" bestFit="1" customWidth="1"/>
    <col min="16163" max="16163" width="8.42578125" style="1" customWidth="1"/>
    <col min="16164" max="16381" width="8.7109375" style="1"/>
    <col min="16382" max="16384" width="8.7109375" style="1" customWidth="1"/>
  </cols>
  <sheetData>
    <row r="1" spans="1:36" s="2" customFormat="1" x14ac:dyDescent="0.2">
      <c r="A1" s="2" t="s">
        <v>702</v>
      </c>
      <c r="I1" s="2">
        <f>SUBTOTAL(103,Tabella1[Total Pipes])</f>
        <v>170</v>
      </c>
      <c r="J1" s="46"/>
      <c r="K1" s="46"/>
      <c r="L1" s="46"/>
      <c r="M1" s="46"/>
      <c r="N1" s="68">
        <f>SUBTOTAL(9,Tabella1[Pipe length2])</f>
        <v>11220838</v>
      </c>
      <c r="O1" s="46">
        <f>SUBTOTAL(103,Tabella1[Plate Entrance])</f>
        <v>908</v>
      </c>
      <c r="P1" s="46">
        <f>SUBTOTAL(103,Tabella1[Pipe Forming])</f>
        <v>713</v>
      </c>
      <c r="Q1" s="46">
        <f>SUBTOTAL(103,Tabella1[Tack Welding])</f>
        <v>708</v>
      </c>
      <c r="R1" s="46">
        <f>SUBTOTAL(103,Tabella1[ID SAWL])</f>
        <v>701</v>
      </c>
      <c r="S1" s="46">
        <f>SUBTOTAL(103,Tabella1[OD SAWL])</f>
        <v>679</v>
      </c>
      <c r="T1" s="46">
        <f>SUBTOTAL(103,Tabella1[AUT1 in House])</f>
        <v>672</v>
      </c>
      <c r="U1" s="46">
        <f>SUBTOTAL(103,Tabella1[Fluoroscopic/TOFD In House])</f>
        <v>13</v>
      </c>
      <c r="V1" s="46">
        <f>SUBTOTAL(103,Tabella1[Repair])</f>
        <v>18</v>
      </c>
      <c r="W1" s="46">
        <f>SUBTOTAL(103,Tabella1[MCE 1])</f>
        <v>412</v>
      </c>
      <c r="X1" s="46">
        <f>SUBTOTAL(103,Tabella1[MCE 2])</f>
        <v>632</v>
      </c>
      <c r="Y1" s="46">
        <f>SUBTOTAL(103,Tabella1[Straighness Re-work])</f>
        <v>5</v>
      </c>
      <c r="Z1" s="46">
        <f>SUBTOTAL(103,Tabella1[Hydrostatic Test])</f>
        <v>620</v>
      </c>
      <c r="AA1" s="46">
        <f>SUBTOTAL(103,Tabella1[Phase Array])</f>
        <v>573</v>
      </c>
      <c r="AB1" s="46">
        <f>SUBTOTAL(103,Tabella1[MUT])</f>
        <v>558</v>
      </c>
      <c r="AC1" s="46">
        <f>SUBTOTAL(103,Tabella1[Pipe End UT])</f>
        <v>547</v>
      </c>
      <c r="AD1" s="46">
        <f>SUBTOTAL(103,Tabella1[X-Ray])</f>
        <v>544</v>
      </c>
      <c r="AE1" s="46">
        <f>SUBTOTAL(103,Tabella1[OoR Pipe Body])</f>
        <v>536</v>
      </c>
      <c r="AF1" s="46">
        <f>SUBTOTAL(103,Tabella1[Dimensional 1])</f>
        <v>525</v>
      </c>
      <c r="AG1" s="46">
        <f>SUBTOTAL(103,Tabella1[Dimensional 2])</f>
        <v>337</v>
      </c>
      <c r="AH1" s="46">
        <f>SUBTOTAL(103,Tabella1[MPI])</f>
        <v>333</v>
      </c>
      <c r="AI1" s="46">
        <f>SUBTOTAL(103,Tabella1[Final Marking and Weighing])</f>
        <v>327</v>
      </c>
      <c r="AJ1" s="46">
        <f>SUBTOTAL(103,Tabella1[UT DHC])</f>
        <v>29</v>
      </c>
    </row>
    <row r="2" spans="1:36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695</v>
      </c>
      <c r="K2" s="2" t="s">
        <v>696</v>
      </c>
      <c r="L2" s="2" t="s">
        <v>628</v>
      </c>
      <c r="M2" s="2" t="s">
        <v>697</v>
      </c>
      <c r="N2" s="2" t="s">
        <v>698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1320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29</v>
      </c>
      <c r="AJ2" s="2" t="s">
        <v>28</v>
      </c>
    </row>
    <row r="3" spans="1:36" x14ac:dyDescent="0.2">
      <c r="A3" s="1">
        <v>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01" t="s">
        <v>785</v>
      </c>
      <c r="K3" s="101" t="s">
        <v>338</v>
      </c>
      <c r="L3" s="101" t="s">
        <v>79</v>
      </c>
      <c r="M3" s="101" t="s">
        <v>339</v>
      </c>
      <c r="N3" s="189">
        <v>12400</v>
      </c>
      <c r="O3" s="101" t="s">
        <v>568</v>
      </c>
      <c r="P3" s="101" t="s">
        <v>569</v>
      </c>
      <c r="Q3" s="101" t="s">
        <v>570</v>
      </c>
      <c r="R3" s="101" t="s">
        <v>571</v>
      </c>
      <c r="S3" s="101" t="s">
        <v>572</v>
      </c>
      <c r="T3" s="101" t="s">
        <v>573</v>
      </c>
      <c r="U3" s="101"/>
      <c r="V3" s="101"/>
      <c r="W3" s="101" t="s">
        <v>574</v>
      </c>
      <c r="X3" s="101" t="s">
        <v>575</v>
      </c>
      <c r="Y3" s="101" t="s">
        <v>1364</v>
      </c>
      <c r="Z3" s="101" t="s">
        <v>576</v>
      </c>
      <c r="AA3" s="101" t="s">
        <v>577</v>
      </c>
      <c r="AB3" s="101" t="s">
        <v>578</v>
      </c>
      <c r="AC3" s="101" t="s">
        <v>579</v>
      </c>
      <c r="AD3" s="101" t="s">
        <v>580</v>
      </c>
      <c r="AE3" s="101" t="s">
        <v>581</v>
      </c>
      <c r="AF3" s="101" t="s">
        <v>582</v>
      </c>
      <c r="AG3" s="101" t="s">
        <v>583</v>
      </c>
      <c r="AH3" s="101" t="s">
        <v>584</v>
      </c>
      <c r="AI3" s="101" t="s">
        <v>585</v>
      </c>
      <c r="AJ3" s="101"/>
    </row>
    <row r="4" spans="1:36" x14ac:dyDescent="0.2">
      <c r="A4" s="1" t="s">
        <v>38</v>
      </c>
      <c r="B4" s="1" t="s">
        <v>30</v>
      </c>
      <c r="C4" s="1" t="s">
        <v>31</v>
      </c>
      <c r="D4" s="1" t="s">
        <v>32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37</v>
      </c>
      <c r="J4" s="101" t="s">
        <v>785</v>
      </c>
      <c r="K4" s="101" t="s">
        <v>133</v>
      </c>
      <c r="L4" s="101" t="s">
        <v>34</v>
      </c>
      <c r="M4" s="101" t="s">
        <v>134</v>
      </c>
      <c r="N4" s="189">
        <v>12400</v>
      </c>
      <c r="O4" s="101" t="s">
        <v>568</v>
      </c>
      <c r="P4" s="101" t="s">
        <v>569</v>
      </c>
      <c r="Q4" s="101" t="s">
        <v>570</v>
      </c>
      <c r="R4" s="101" t="s">
        <v>571</v>
      </c>
      <c r="S4" s="101" t="s">
        <v>572</v>
      </c>
      <c r="T4" s="101" t="s">
        <v>573</v>
      </c>
      <c r="U4" s="101"/>
      <c r="V4" s="101"/>
      <c r="W4" s="101" t="s">
        <v>574</v>
      </c>
      <c r="X4" s="101" t="s">
        <v>575</v>
      </c>
      <c r="Y4" s="101" t="s">
        <v>1364</v>
      </c>
      <c r="Z4" s="101" t="s">
        <v>576</v>
      </c>
      <c r="AA4" s="101" t="s">
        <v>577</v>
      </c>
      <c r="AB4" s="101" t="s">
        <v>578</v>
      </c>
      <c r="AC4" s="101" t="s">
        <v>579</v>
      </c>
      <c r="AD4" s="101" t="s">
        <v>580</v>
      </c>
      <c r="AE4" s="101" t="s">
        <v>581</v>
      </c>
      <c r="AF4" s="101" t="s">
        <v>582</v>
      </c>
      <c r="AG4" s="101" t="s">
        <v>583</v>
      </c>
      <c r="AH4" s="101" t="s">
        <v>584</v>
      </c>
      <c r="AI4" s="101" t="s">
        <v>585</v>
      </c>
      <c r="AJ4" s="101"/>
    </row>
    <row r="5" spans="1:36" x14ac:dyDescent="0.2">
      <c r="A5" s="1" t="s">
        <v>43</v>
      </c>
      <c r="B5" s="1" t="s">
        <v>30</v>
      </c>
      <c r="C5" s="1" t="s">
        <v>31</v>
      </c>
      <c r="D5" s="1" t="s">
        <v>32</v>
      </c>
      <c r="E5" s="1" t="s">
        <v>44</v>
      </c>
      <c r="F5" s="1" t="s">
        <v>34</v>
      </c>
      <c r="G5" s="1" t="s">
        <v>45</v>
      </c>
      <c r="H5" s="1" t="s">
        <v>46</v>
      </c>
      <c r="I5" s="1" t="s">
        <v>37</v>
      </c>
      <c r="J5" s="101" t="s">
        <v>785</v>
      </c>
      <c r="K5" s="101" t="s">
        <v>52</v>
      </c>
      <c r="L5" s="101" t="s">
        <v>34</v>
      </c>
      <c r="M5" s="101" t="s">
        <v>53</v>
      </c>
      <c r="N5" s="189">
        <v>12330</v>
      </c>
      <c r="O5" s="101" t="s">
        <v>568</v>
      </c>
      <c r="P5" s="101" t="s">
        <v>569</v>
      </c>
      <c r="Q5" s="101" t="s">
        <v>570</v>
      </c>
      <c r="R5" s="101" t="s">
        <v>571</v>
      </c>
      <c r="S5" s="101" t="s">
        <v>572</v>
      </c>
      <c r="T5" s="101" t="s">
        <v>573</v>
      </c>
      <c r="U5" s="101"/>
      <c r="V5" s="101"/>
      <c r="W5" s="101" t="s">
        <v>574</v>
      </c>
      <c r="X5" s="101" t="s">
        <v>575</v>
      </c>
      <c r="Y5" s="101" t="s">
        <v>1364</v>
      </c>
      <c r="Z5" s="101" t="s">
        <v>576</v>
      </c>
      <c r="AA5" s="101" t="s">
        <v>577</v>
      </c>
      <c r="AB5" s="101" t="s">
        <v>578</v>
      </c>
      <c r="AC5" s="101" t="s">
        <v>579</v>
      </c>
      <c r="AD5" s="101" t="s">
        <v>580</v>
      </c>
      <c r="AE5" s="101" t="s">
        <v>581</v>
      </c>
      <c r="AF5" s="101" t="s">
        <v>582</v>
      </c>
      <c r="AG5" s="101" t="s">
        <v>583</v>
      </c>
      <c r="AH5" s="101" t="s">
        <v>584</v>
      </c>
      <c r="AI5" s="101" t="s">
        <v>585</v>
      </c>
      <c r="AJ5" s="101"/>
    </row>
    <row r="6" spans="1:36" x14ac:dyDescent="0.2">
      <c r="A6" s="1" t="s">
        <v>47</v>
      </c>
      <c r="B6" s="1" t="s">
        <v>30</v>
      </c>
      <c r="C6" s="1" t="s">
        <v>31</v>
      </c>
      <c r="D6" s="1" t="s">
        <v>32</v>
      </c>
      <c r="E6" s="1" t="s">
        <v>48</v>
      </c>
      <c r="F6" s="1" t="s">
        <v>34</v>
      </c>
      <c r="G6" s="1" t="s">
        <v>49</v>
      </c>
      <c r="H6" s="1" t="s">
        <v>50</v>
      </c>
      <c r="I6" s="1" t="s">
        <v>37</v>
      </c>
      <c r="J6" s="101" t="s">
        <v>785</v>
      </c>
      <c r="K6" s="101" t="s">
        <v>309</v>
      </c>
      <c r="L6" s="101" t="s">
        <v>259</v>
      </c>
      <c r="M6" s="101" t="s">
        <v>310</v>
      </c>
      <c r="N6" s="189">
        <v>12400</v>
      </c>
      <c r="O6" s="101" t="s">
        <v>568</v>
      </c>
      <c r="P6" s="101" t="s">
        <v>569</v>
      </c>
      <c r="Q6" s="101" t="s">
        <v>570</v>
      </c>
      <c r="R6" s="101" t="s">
        <v>571</v>
      </c>
      <c r="S6" s="101" t="s">
        <v>572</v>
      </c>
      <c r="T6" s="101" t="s">
        <v>573</v>
      </c>
      <c r="U6" s="101"/>
      <c r="V6" s="101"/>
      <c r="W6" s="101" t="s">
        <v>574</v>
      </c>
      <c r="X6" s="101" t="s">
        <v>575</v>
      </c>
      <c r="Y6" s="101" t="s">
        <v>1364</v>
      </c>
      <c r="Z6" s="101" t="s">
        <v>576</v>
      </c>
      <c r="AA6" s="101" t="s">
        <v>577</v>
      </c>
      <c r="AB6" s="101" t="s">
        <v>578</v>
      </c>
      <c r="AC6" s="101" t="s">
        <v>579</v>
      </c>
      <c r="AD6" s="101" t="s">
        <v>580</v>
      </c>
      <c r="AE6" s="101" t="s">
        <v>581</v>
      </c>
      <c r="AF6" s="101" t="s">
        <v>582</v>
      </c>
      <c r="AG6" s="101" t="s">
        <v>583</v>
      </c>
      <c r="AH6" s="101" t="s">
        <v>584</v>
      </c>
      <c r="AI6" s="101" t="s">
        <v>585</v>
      </c>
      <c r="AJ6" s="101"/>
    </row>
    <row r="7" spans="1:36" x14ac:dyDescent="0.2">
      <c r="A7" s="1" t="s">
        <v>51</v>
      </c>
      <c r="B7" s="1" t="s">
        <v>30</v>
      </c>
      <c r="C7" s="1" t="s">
        <v>31</v>
      </c>
      <c r="D7" s="1" t="s">
        <v>32</v>
      </c>
      <c r="E7" s="1" t="s">
        <v>52</v>
      </c>
      <c r="F7" s="1" t="s">
        <v>34</v>
      </c>
      <c r="G7" s="1" t="s">
        <v>53</v>
      </c>
      <c r="H7" s="1" t="s">
        <v>54</v>
      </c>
      <c r="I7" s="1" t="s">
        <v>37</v>
      </c>
      <c r="J7" s="101" t="s">
        <v>785</v>
      </c>
      <c r="K7" s="101" t="s">
        <v>515</v>
      </c>
      <c r="L7" s="101" t="s">
        <v>72</v>
      </c>
      <c r="M7" s="101" t="s">
        <v>516</v>
      </c>
      <c r="N7" s="189">
        <v>12400</v>
      </c>
      <c r="O7" s="101" t="s">
        <v>568</v>
      </c>
      <c r="P7" s="101" t="s">
        <v>569</v>
      </c>
      <c r="Q7" s="101" t="s">
        <v>570</v>
      </c>
      <c r="R7" s="101" t="s">
        <v>571</v>
      </c>
      <c r="S7" s="101" t="s">
        <v>572</v>
      </c>
      <c r="T7" s="101" t="s">
        <v>573</v>
      </c>
      <c r="U7" s="101"/>
      <c r="V7" s="101"/>
      <c r="W7" s="101" t="s">
        <v>574</v>
      </c>
      <c r="X7" s="101" t="s">
        <v>575</v>
      </c>
      <c r="Y7" s="101" t="s">
        <v>1364</v>
      </c>
      <c r="Z7" s="101" t="s">
        <v>576</v>
      </c>
      <c r="AA7" s="101" t="s">
        <v>577</v>
      </c>
      <c r="AB7" s="101" t="s">
        <v>578</v>
      </c>
      <c r="AC7" s="101" t="s">
        <v>579</v>
      </c>
      <c r="AD7" s="101" t="s">
        <v>580</v>
      </c>
      <c r="AE7" s="101" t="s">
        <v>581</v>
      </c>
      <c r="AF7" s="101" t="s">
        <v>582</v>
      </c>
      <c r="AG7" s="101" t="s">
        <v>583</v>
      </c>
      <c r="AH7" s="101" t="s">
        <v>584</v>
      </c>
      <c r="AI7" s="101" t="s">
        <v>585</v>
      </c>
      <c r="AJ7" s="101"/>
    </row>
    <row r="8" spans="1:36" x14ac:dyDescent="0.2">
      <c r="A8" s="1" t="s">
        <v>55</v>
      </c>
      <c r="B8" s="1" t="s">
        <v>30</v>
      </c>
      <c r="C8" s="1" t="s">
        <v>31</v>
      </c>
      <c r="D8" s="1" t="s">
        <v>32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37</v>
      </c>
      <c r="J8" s="101" t="s">
        <v>30</v>
      </c>
      <c r="K8" s="101" t="s">
        <v>1365</v>
      </c>
      <c r="L8" s="101" t="s">
        <v>1366</v>
      </c>
      <c r="M8" s="101" t="s">
        <v>1367</v>
      </c>
      <c r="N8" s="189">
        <v>12460</v>
      </c>
      <c r="O8" s="101" t="s">
        <v>568</v>
      </c>
      <c r="P8" s="101" t="s">
        <v>569</v>
      </c>
      <c r="Q8" s="101" t="s">
        <v>570</v>
      </c>
      <c r="R8" s="101" t="s">
        <v>571</v>
      </c>
      <c r="S8" s="101" t="s">
        <v>572</v>
      </c>
      <c r="T8" s="101" t="s">
        <v>573</v>
      </c>
      <c r="U8" s="101"/>
      <c r="V8" s="101"/>
      <c r="W8" s="101"/>
      <c r="X8" s="101" t="s">
        <v>575</v>
      </c>
      <c r="Y8" s="101"/>
      <c r="Z8" s="101" t="s">
        <v>576</v>
      </c>
      <c r="AA8" s="101" t="s">
        <v>577</v>
      </c>
      <c r="AB8" s="101" t="s">
        <v>578</v>
      </c>
      <c r="AC8" s="101" t="s">
        <v>579</v>
      </c>
      <c r="AD8" s="101" t="s">
        <v>580</v>
      </c>
      <c r="AE8" s="101" t="s">
        <v>581</v>
      </c>
      <c r="AF8" s="101" t="s">
        <v>582</v>
      </c>
      <c r="AG8" s="101" t="s">
        <v>583</v>
      </c>
      <c r="AH8" s="101" t="s">
        <v>584</v>
      </c>
      <c r="AI8" s="101"/>
      <c r="AJ8" s="101"/>
    </row>
    <row r="9" spans="1:36" x14ac:dyDescent="0.2">
      <c r="A9" s="1" t="s">
        <v>60</v>
      </c>
      <c r="B9" s="1" t="s">
        <v>30</v>
      </c>
      <c r="C9" s="1" t="s">
        <v>31</v>
      </c>
      <c r="D9" s="1" t="s">
        <v>32</v>
      </c>
      <c r="E9" s="1" t="s">
        <v>61</v>
      </c>
      <c r="F9" s="1" t="s">
        <v>34</v>
      </c>
      <c r="G9" s="1" t="s">
        <v>62</v>
      </c>
      <c r="H9" s="1" t="s">
        <v>54</v>
      </c>
      <c r="I9" s="1" t="s">
        <v>37</v>
      </c>
      <c r="J9" s="101" t="s">
        <v>30</v>
      </c>
      <c r="K9" s="101" t="s">
        <v>434</v>
      </c>
      <c r="L9" s="101" t="s">
        <v>34</v>
      </c>
      <c r="M9" s="101" t="s">
        <v>435</v>
      </c>
      <c r="N9" s="189">
        <v>12020</v>
      </c>
      <c r="O9" s="101" t="s">
        <v>568</v>
      </c>
      <c r="P9" s="101" t="s">
        <v>569</v>
      </c>
      <c r="Q9" s="101" t="s">
        <v>570</v>
      </c>
      <c r="R9" s="101" t="s">
        <v>571</v>
      </c>
      <c r="S9" s="101" t="s">
        <v>572</v>
      </c>
      <c r="T9" s="101" t="s">
        <v>573</v>
      </c>
      <c r="U9" s="101"/>
      <c r="V9" s="101"/>
      <c r="W9" s="101" t="s">
        <v>574</v>
      </c>
      <c r="X9" s="101" t="s">
        <v>575</v>
      </c>
      <c r="Y9" s="101"/>
      <c r="Z9" s="101" t="s">
        <v>576</v>
      </c>
      <c r="AA9" s="101" t="s">
        <v>577</v>
      </c>
      <c r="AB9" s="101" t="s">
        <v>578</v>
      </c>
      <c r="AC9" s="101" t="s">
        <v>579</v>
      </c>
      <c r="AD9" s="101" t="s">
        <v>580</v>
      </c>
      <c r="AE9" s="101" t="s">
        <v>581</v>
      </c>
      <c r="AF9" s="101" t="s">
        <v>582</v>
      </c>
      <c r="AG9" s="101" t="s">
        <v>583</v>
      </c>
      <c r="AH9" s="101" t="s">
        <v>584</v>
      </c>
      <c r="AI9" s="101" t="s">
        <v>585</v>
      </c>
      <c r="AJ9" s="101"/>
    </row>
    <row r="10" spans="1:36" x14ac:dyDescent="0.2">
      <c r="A10" s="1" t="s">
        <v>63</v>
      </c>
      <c r="B10" s="1" t="s">
        <v>30</v>
      </c>
      <c r="C10" s="1" t="s">
        <v>31</v>
      </c>
      <c r="D10" s="1" t="s">
        <v>32</v>
      </c>
      <c r="E10" s="1" t="s">
        <v>64</v>
      </c>
      <c r="F10" s="1" t="s">
        <v>34</v>
      </c>
      <c r="G10" s="1" t="s">
        <v>65</v>
      </c>
      <c r="H10" s="1" t="s">
        <v>66</v>
      </c>
      <c r="I10" s="1" t="s">
        <v>37</v>
      </c>
      <c r="J10" s="101" t="s">
        <v>30</v>
      </c>
      <c r="K10" s="101" t="s">
        <v>383</v>
      </c>
      <c r="L10" s="101" t="s">
        <v>259</v>
      </c>
      <c r="M10" s="101" t="s">
        <v>384</v>
      </c>
      <c r="N10" s="189">
        <v>12440</v>
      </c>
      <c r="O10" s="101" t="s">
        <v>568</v>
      </c>
      <c r="P10" s="101" t="s">
        <v>569</v>
      </c>
      <c r="Q10" s="101" t="s">
        <v>570</v>
      </c>
      <c r="R10" s="101" t="s">
        <v>571</v>
      </c>
      <c r="S10" s="101" t="s">
        <v>572</v>
      </c>
      <c r="T10" s="101" t="s">
        <v>573</v>
      </c>
      <c r="U10" s="101"/>
      <c r="V10" s="101"/>
      <c r="W10" s="101" t="s">
        <v>574</v>
      </c>
      <c r="X10" s="101" t="s">
        <v>575</v>
      </c>
      <c r="Y10" s="101"/>
      <c r="Z10" s="101" t="s">
        <v>576</v>
      </c>
      <c r="AA10" s="101" t="s">
        <v>577</v>
      </c>
      <c r="AB10" s="101" t="s">
        <v>578</v>
      </c>
      <c r="AC10" s="101" t="s">
        <v>579</v>
      </c>
      <c r="AD10" s="101" t="s">
        <v>580</v>
      </c>
      <c r="AE10" s="101" t="s">
        <v>581</v>
      </c>
      <c r="AF10" s="101" t="s">
        <v>582</v>
      </c>
      <c r="AG10" s="101" t="s">
        <v>583</v>
      </c>
      <c r="AH10" s="101" t="s">
        <v>584</v>
      </c>
      <c r="AI10" s="101" t="s">
        <v>585</v>
      </c>
      <c r="AJ10" s="101"/>
    </row>
    <row r="11" spans="1:36" x14ac:dyDescent="0.2">
      <c r="A11" s="1" t="s">
        <v>67</v>
      </c>
      <c r="B11" s="1" t="s">
        <v>30</v>
      </c>
      <c r="C11" s="1" t="s">
        <v>31</v>
      </c>
      <c r="D11" s="1" t="s">
        <v>32</v>
      </c>
      <c r="E11" s="1" t="s">
        <v>68</v>
      </c>
      <c r="F11" s="1" t="s">
        <v>34</v>
      </c>
      <c r="G11" s="1" t="s">
        <v>69</v>
      </c>
      <c r="H11" s="1" t="s">
        <v>50</v>
      </c>
      <c r="I11" s="1" t="s">
        <v>37</v>
      </c>
      <c r="J11" s="101" t="s">
        <v>30</v>
      </c>
      <c r="K11" s="101" t="s">
        <v>48</v>
      </c>
      <c r="L11" s="101" t="s">
        <v>34</v>
      </c>
      <c r="M11" s="101" t="s">
        <v>49</v>
      </c>
      <c r="N11" s="189">
        <v>12470</v>
      </c>
      <c r="O11" s="101" t="s">
        <v>568</v>
      </c>
      <c r="P11" s="101" t="s">
        <v>569</v>
      </c>
      <c r="Q11" s="101" t="s">
        <v>570</v>
      </c>
      <c r="R11" s="101" t="s">
        <v>571</v>
      </c>
      <c r="S11" s="101" t="s">
        <v>572</v>
      </c>
      <c r="T11" s="101" t="s">
        <v>573</v>
      </c>
      <c r="U11" s="101"/>
      <c r="V11" s="101" t="s">
        <v>2361</v>
      </c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x14ac:dyDescent="0.2">
      <c r="A12" s="1" t="s">
        <v>70</v>
      </c>
      <c r="B12" s="1" t="s">
        <v>30</v>
      </c>
      <c r="C12" s="1" t="s">
        <v>31</v>
      </c>
      <c r="D12" s="1" t="s">
        <v>32</v>
      </c>
      <c r="E12" s="1" t="s">
        <v>71</v>
      </c>
      <c r="F12" s="1" t="s">
        <v>72</v>
      </c>
      <c r="G12" s="1" t="s">
        <v>73</v>
      </c>
      <c r="H12" s="1" t="s">
        <v>59</v>
      </c>
      <c r="I12" s="1" t="s">
        <v>37</v>
      </c>
      <c r="J12" s="101" t="s">
        <v>30</v>
      </c>
      <c r="K12" s="101" t="s">
        <v>139</v>
      </c>
      <c r="L12" s="101" t="s">
        <v>79</v>
      </c>
      <c r="M12" s="101" t="s">
        <v>140</v>
      </c>
      <c r="N12" s="189">
        <v>12330</v>
      </c>
      <c r="O12" s="101" t="s">
        <v>568</v>
      </c>
      <c r="P12" s="101" t="s">
        <v>569</v>
      </c>
      <c r="Q12" s="101" t="s">
        <v>570</v>
      </c>
      <c r="R12" s="101" t="s">
        <v>571</v>
      </c>
      <c r="S12" s="101" t="s">
        <v>572</v>
      </c>
      <c r="T12" s="101" t="s">
        <v>573</v>
      </c>
      <c r="U12" s="101"/>
      <c r="V12" s="101"/>
      <c r="W12" s="101" t="s">
        <v>574</v>
      </c>
      <c r="X12" s="101" t="s">
        <v>575</v>
      </c>
      <c r="Y12" s="101"/>
      <c r="Z12" s="101" t="s">
        <v>576</v>
      </c>
      <c r="AA12" s="101" t="s">
        <v>577</v>
      </c>
      <c r="AB12" s="101" t="s">
        <v>578</v>
      </c>
      <c r="AC12" s="101" t="s">
        <v>579</v>
      </c>
      <c r="AD12" s="101" t="s">
        <v>580</v>
      </c>
      <c r="AE12" s="101" t="s">
        <v>581</v>
      </c>
      <c r="AF12" s="101" t="s">
        <v>582</v>
      </c>
      <c r="AG12" s="101" t="s">
        <v>583</v>
      </c>
      <c r="AH12" s="101" t="s">
        <v>584</v>
      </c>
      <c r="AI12" s="101" t="s">
        <v>585</v>
      </c>
      <c r="AJ12" s="101"/>
    </row>
    <row r="13" spans="1:36" x14ac:dyDescent="0.2">
      <c r="A13" s="1" t="s">
        <v>74</v>
      </c>
      <c r="B13" s="1" t="s">
        <v>30</v>
      </c>
      <c r="C13" s="1" t="s">
        <v>31</v>
      </c>
      <c r="D13" s="1" t="s">
        <v>32</v>
      </c>
      <c r="E13" s="1" t="s">
        <v>75</v>
      </c>
      <c r="F13" s="1" t="s">
        <v>72</v>
      </c>
      <c r="G13" s="1" t="s">
        <v>76</v>
      </c>
      <c r="H13" s="1" t="s">
        <v>50</v>
      </c>
      <c r="I13" s="1" t="s">
        <v>37</v>
      </c>
      <c r="J13" s="101" t="s">
        <v>30</v>
      </c>
      <c r="K13" s="101" t="s">
        <v>33</v>
      </c>
      <c r="L13" s="101" t="s">
        <v>34</v>
      </c>
      <c r="M13" s="101" t="s">
        <v>35</v>
      </c>
      <c r="N13" s="189">
        <v>12230</v>
      </c>
      <c r="O13" s="101" t="s">
        <v>568</v>
      </c>
      <c r="P13" s="101" t="s">
        <v>569</v>
      </c>
      <c r="Q13" s="101" t="s">
        <v>570</v>
      </c>
      <c r="R13" s="101" t="s">
        <v>571</v>
      </c>
      <c r="S13" s="101" t="s">
        <v>572</v>
      </c>
      <c r="T13" s="101" t="s">
        <v>573</v>
      </c>
      <c r="U13" s="101"/>
      <c r="V13" s="101"/>
      <c r="W13" s="101" t="s">
        <v>574</v>
      </c>
      <c r="X13" s="101" t="s">
        <v>575</v>
      </c>
      <c r="Y13" s="101"/>
      <c r="Z13" s="101" t="s">
        <v>576</v>
      </c>
      <c r="AA13" s="101" t="s">
        <v>577</v>
      </c>
      <c r="AB13" s="101" t="s">
        <v>578</v>
      </c>
      <c r="AC13" s="101" t="s">
        <v>579</v>
      </c>
      <c r="AD13" s="101" t="s">
        <v>580</v>
      </c>
      <c r="AE13" s="101" t="s">
        <v>581</v>
      </c>
      <c r="AF13" s="101" t="s">
        <v>582</v>
      </c>
      <c r="AG13" s="101" t="s">
        <v>583</v>
      </c>
      <c r="AH13" s="101" t="s">
        <v>584</v>
      </c>
      <c r="AI13" s="101" t="s">
        <v>585</v>
      </c>
      <c r="AJ13" s="101"/>
    </row>
    <row r="14" spans="1:36" x14ac:dyDescent="0.2">
      <c r="A14" s="1" t="s">
        <v>77</v>
      </c>
      <c r="B14" s="1" t="s">
        <v>30</v>
      </c>
      <c r="C14" s="1" t="s">
        <v>31</v>
      </c>
      <c r="D14" s="1" t="s">
        <v>32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37</v>
      </c>
      <c r="J14" s="101" t="s">
        <v>30</v>
      </c>
      <c r="K14" s="101" t="s">
        <v>932</v>
      </c>
      <c r="L14" s="101" t="s">
        <v>819</v>
      </c>
      <c r="M14" s="101" t="s">
        <v>933</v>
      </c>
      <c r="N14" s="189">
        <v>12460</v>
      </c>
      <c r="O14" s="101" t="s">
        <v>568</v>
      </c>
      <c r="P14" s="101" t="s">
        <v>569</v>
      </c>
      <c r="Q14" s="101" t="s">
        <v>570</v>
      </c>
      <c r="R14" s="101" t="s">
        <v>571</v>
      </c>
      <c r="S14" s="101" t="s">
        <v>572</v>
      </c>
      <c r="T14" s="101" t="s">
        <v>573</v>
      </c>
      <c r="U14" s="101"/>
      <c r="V14" s="101"/>
      <c r="W14" s="101" t="s">
        <v>574</v>
      </c>
      <c r="X14" s="101" t="s">
        <v>575</v>
      </c>
      <c r="Y14" s="101"/>
      <c r="Z14" s="101" t="s">
        <v>576</v>
      </c>
      <c r="AA14" s="101" t="s">
        <v>577</v>
      </c>
      <c r="AB14" s="101" t="s">
        <v>578</v>
      </c>
      <c r="AC14" s="101" t="s">
        <v>579</v>
      </c>
      <c r="AD14" s="101" t="s">
        <v>580</v>
      </c>
      <c r="AE14" s="101" t="s">
        <v>581</v>
      </c>
      <c r="AF14" s="101" t="s">
        <v>582</v>
      </c>
      <c r="AG14" s="101"/>
      <c r="AH14" s="101"/>
      <c r="AI14" s="101"/>
      <c r="AJ14" s="101"/>
    </row>
    <row r="15" spans="1:36" x14ac:dyDescent="0.2">
      <c r="A15" s="1" t="s">
        <v>82</v>
      </c>
      <c r="B15" s="1" t="s">
        <v>30</v>
      </c>
      <c r="C15" s="1" t="s">
        <v>31</v>
      </c>
      <c r="D15" s="1" t="s">
        <v>32</v>
      </c>
      <c r="E15" s="1" t="s">
        <v>83</v>
      </c>
      <c r="F15" s="1" t="s">
        <v>79</v>
      </c>
      <c r="G15" s="1" t="s">
        <v>84</v>
      </c>
      <c r="H15" s="1" t="s">
        <v>81</v>
      </c>
      <c r="I15" s="1" t="s">
        <v>37</v>
      </c>
      <c r="J15" s="101" t="s">
        <v>30</v>
      </c>
      <c r="K15" s="101" t="s">
        <v>44</v>
      </c>
      <c r="L15" s="101" t="s">
        <v>34</v>
      </c>
      <c r="M15" s="101" t="s">
        <v>45</v>
      </c>
      <c r="N15" s="189">
        <v>12130</v>
      </c>
      <c r="O15" s="101" t="s">
        <v>568</v>
      </c>
      <c r="P15" s="101" t="s">
        <v>569</v>
      </c>
      <c r="Q15" s="101" t="s">
        <v>570</v>
      </c>
      <c r="R15" s="101" t="s">
        <v>571</v>
      </c>
      <c r="S15" s="101" t="s">
        <v>572</v>
      </c>
      <c r="T15" s="101" t="s">
        <v>573</v>
      </c>
      <c r="U15" s="101"/>
      <c r="V15" s="101"/>
      <c r="W15" s="101" t="s">
        <v>574</v>
      </c>
      <c r="X15" s="101" t="s">
        <v>575</v>
      </c>
      <c r="Y15" s="101"/>
      <c r="Z15" s="101" t="s">
        <v>576</v>
      </c>
      <c r="AA15" s="101" t="s">
        <v>577</v>
      </c>
      <c r="AB15" s="101" t="s">
        <v>578</v>
      </c>
      <c r="AC15" s="101" t="s">
        <v>579</v>
      </c>
      <c r="AD15" s="101" t="s">
        <v>580</v>
      </c>
      <c r="AE15" s="101" t="s">
        <v>581</v>
      </c>
      <c r="AF15" s="101" t="s">
        <v>582</v>
      </c>
      <c r="AG15" s="101" t="s">
        <v>583</v>
      </c>
      <c r="AH15" s="101" t="s">
        <v>584</v>
      </c>
      <c r="AI15" s="101" t="s">
        <v>585</v>
      </c>
      <c r="AJ15" s="101"/>
    </row>
    <row r="16" spans="1:36" x14ac:dyDescent="0.2">
      <c r="A16" s="1" t="s">
        <v>85</v>
      </c>
      <c r="B16" s="1" t="s">
        <v>30</v>
      </c>
      <c r="C16" s="1" t="s">
        <v>31</v>
      </c>
      <c r="D16" s="1" t="s">
        <v>32</v>
      </c>
      <c r="E16" s="1" t="s">
        <v>86</v>
      </c>
      <c r="F16" s="1" t="s">
        <v>57</v>
      </c>
      <c r="G16" s="1" t="s">
        <v>87</v>
      </c>
      <c r="H16" s="1" t="s">
        <v>42</v>
      </c>
      <c r="I16" s="1" t="s">
        <v>37</v>
      </c>
      <c r="J16" s="101" t="s">
        <v>30</v>
      </c>
      <c r="K16" s="101" t="s">
        <v>75</v>
      </c>
      <c r="L16" s="101" t="s">
        <v>72</v>
      </c>
      <c r="M16" s="101" t="s">
        <v>76</v>
      </c>
      <c r="N16" s="189">
        <v>12430</v>
      </c>
      <c r="O16" s="101" t="s">
        <v>568</v>
      </c>
      <c r="P16" s="101" t="s">
        <v>569</v>
      </c>
      <c r="Q16" s="101" t="s">
        <v>570</v>
      </c>
      <c r="R16" s="101" t="s">
        <v>571</v>
      </c>
      <c r="S16" s="101" t="s">
        <v>572</v>
      </c>
      <c r="T16" s="101" t="s">
        <v>573</v>
      </c>
      <c r="U16" s="101" t="s">
        <v>586</v>
      </c>
      <c r="V16" s="101"/>
      <c r="W16" s="101" t="s">
        <v>574</v>
      </c>
      <c r="X16" s="101" t="s">
        <v>575</v>
      </c>
      <c r="Y16" s="101"/>
      <c r="Z16" s="101" t="s">
        <v>576</v>
      </c>
      <c r="AA16" s="101" t="s">
        <v>577</v>
      </c>
      <c r="AB16" s="101" t="s">
        <v>578</v>
      </c>
      <c r="AC16" s="101"/>
      <c r="AD16" s="101"/>
      <c r="AE16" s="101"/>
      <c r="AF16" s="101"/>
      <c r="AG16" s="101"/>
      <c r="AH16" s="101"/>
      <c r="AI16" s="101"/>
      <c r="AJ16" s="101"/>
    </row>
    <row r="17" spans="1:36" x14ac:dyDescent="0.2">
      <c r="A17" s="1" t="s">
        <v>88</v>
      </c>
      <c r="B17" s="1" t="s">
        <v>30</v>
      </c>
      <c r="C17" s="1" t="s">
        <v>31</v>
      </c>
      <c r="D17" s="1" t="s">
        <v>32</v>
      </c>
      <c r="E17" s="1" t="s">
        <v>89</v>
      </c>
      <c r="F17" s="1" t="s">
        <v>79</v>
      </c>
      <c r="G17" s="1" t="s">
        <v>90</v>
      </c>
      <c r="H17" s="1" t="s">
        <v>50</v>
      </c>
      <c r="I17" s="1" t="s">
        <v>37</v>
      </c>
      <c r="J17" s="101" t="s">
        <v>30</v>
      </c>
      <c r="K17" s="101" t="s">
        <v>273</v>
      </c>
      <c r="L17" s="101" t="s">
        <v>259</v>
      </c>
      <c r="M17" s="101" t="s">
        <v>274</v>
      </c>
      <c r="N17" s="189">
        <v>12440</v>
      </c>
      <c r="O17" s="101" t="s">
        <v>568</v>
      </c>
      <c r="P17" s="101" t="s">
        <v>569</v>
      </c>
      <c r="Q17" s="101" t="s">
        <v>570</v>
      </c>
      <c r="R17" s="101" t="s">
        <v>571</v>
      </c>
      <c r="S17" s="101" t="s">
        <v>572</v>
      </c>
      <c r="T17" s="101" t="s">
        <v>573</v>
      </c>
      <c r="U17" s="101"/>
      <c r="V17" s="101"/>
      <c r="W17" s="101" t="s">
        <v>574</v>
      </c>
      <c r="X17" s="101" t="s">
        <v>575</v>
      </c>
      <c r="Y17" s="101"/>
      <c r="Z17" s="101" t="s">
        <v>576</v>
      </c>
      <c r="AA17" s="101" t="s">
        <v>577</v>
      </c>
      <c r="AB17" s="101" t="s">
        <v>578</v>
      </c>
      <c r="AC17" s="101" t="s">
        <v>579</v>
      </c>
      <c r="AD17" s="101" t="s">
        <v>580</v>
      </c>
      <c r="AE17" s="101" t="s">
        <v>581</v>
      </c>
      <c r="AF17" s="101" t="s">
        <v>582</v>
      </c>
      <c r="AG17" s="101" t="s">
        <v>583</v>
      </c>
      <c r="AH17" s="101" t="s">
        <v>584</v>
      </c>
      <c r="AI17" s="101" t="s">
        <v>585</v>
      </c>
      <c r="AJ17" s="101"/>
    </row>
    <row r="18" spans="1:36" x14ac:dyDescent="0.2">
      <c r="A18" s="1" t="s">
        <v>91</v>
      </c>
      <c r="B18" s="1" t="s">
        <v>30</v>
      </c>
      <c r="C18" s="1" t="s">
        <v>31</v>
      </c>
      <c r="D18" s="1" t="s">
        <v>32</v>
      </c>
      <c r="E18" s="1" t="s">
        <v>92</v>
      </c>
      <c r="F18" s="1" t="s">
        <v>72</v>
      </c>
      <c r="G18" s="1" t="s">
        <v>93</v>
      </c>
      <c r="H18" s="1" t="s">
        <v>59</v>
      </c>
      <c r="I18" s="1" t="s">
        <v>37</v>
      </c>
      <c r="J18" s="101" t="s">
        <v>30</v>
      </c>
      <c r="K18" s="101" t="s">
        <v>78</v>
      </c>
      <c r="L18" s="101" t="s">
        <v>79</v>
      </c>
      <c r="M18" s="101" t="s">
        <v>80</v>
      </c>
      <c r="N18" s="189">
        <v>12300</v>
      </c>
      <c r="O18" s="101" t="s">
        <v>568</v>
      </c>
      <c r="P18" s="101" t="s">
        <v>569</v>
      </c>
      <c r="Q18" s="101" t="s">
        <v>570</v>
      </c>
      <c r="R18" s="101" t="s">
        <v>571</v>
      </c>
      <c r="S18" s="101" t="s">
        <v>572</v>
      </c>
      <c r="T18" s="101" t="s">
        <v>573</v>
      </c>
      <c r="U18" s="101" t="s">
        <v>586</v>
      </c>
      <c r="V18" s="101"/>
      <c r="W18" s="101" t="s">
        <v>574</v>
      </c>
      <c r="X18" s="101" t="s">
        <v>575</v>
      </c>
      <c r="Y18" s="101"/>
      <c r="Z18" s="101" t="s">
        <v>576</v>
      </c>
      <c r="AA18" s="101" t="s">
        <v>577</v>
      </c>
      <c r="AB18" s="101" t="s">
        <v>578</v>
      </c>
      <c r="AC18" s="101"/>
      <c r="AD18" s="101"/>
      <c r="AE18" s="101"/>
      <c r="AF18" s="101"/>
      <c r="AG18" s="101"/>
      <c r="AH18" s="101"/>
      <c r="AI18" s="101"/>
      <c r="AJ18" s="101"/>
    </row>
    <row r="19" spans="1:36" x14ac:dyDescent="0.2">
      <c r="A19" s="1" t="s">
        <v>94</v>
      </c>
      <c r="B19" s="1" t="s">
        <v>30</v>
      </c>
      <c r="C19" s="1" t="s">
        <v>31</v>
      </c>
      <c r="D19" s="1" t="s">
        <v>32</v>
      </c>
      <c r="E19" s="1" t="s">
        <v>95</v>
      </c>
      <c r="F19" s="1" t="s">
        <v>72</v>
      </c>
      <c r="G19" s="1" t="s">
        <v>96</v>
      </c>
      <c r="H19" s="1" t="s">
        <v>59</v>
      </c>
      <c r="I19" s="1" t="s">
        <v>37</v>
      </c>
      <c r="J19" s="101" t="s">
        <v>30</v>
      </c>
      <c r="K19" s="101" t="s">
        <v>83</v>
      </c>
      <c r="L19" s="101" t="s">
        <v>79</v>
      </c>
      <c r="M19" s="101" t="s">
        <v>84</v>
      </c>
      <c r="N19" s="189">
        <v>12340</v>
      </c>
      <c r="O19" s="101" t="s">
        <v>568</v>
      </c>
      <c r="P19" s="101" t="s">
        <v>569</v>
      </c>
      <c r="Q19" s="101" t="s">
        <v>570</v>
      </c>
      <c r="R19" s="101" t="s">
        <v>571</v>
      </c>
      <c r="S19" s="101" t="s">
        <v>572</v>
      </c>
      <c r="T19" s="101" t="s">
        <v>573</v>
      </c>
      <c r="U19" s="101" t="s">
        <v>586</v>
      </c>
      <c r="V19" s="101"/>
      <c r="W19" s="101" t="s">
        <v>574</v>
      </c>
      <c r="X19" s="101" t="s">
        <v>575</v>
      </c>
      <c r="Y19" s="101"/>
      <c r="Z19" s="101" t="s">
        <v>576</v>
      </c>
      <c r="AA19" s="101" t="s">
        <v>577</v>
      </c>
      <c r="AB19" s="101" t="s">
        <v>578</v>
      </c>
      <c r="AC19" s="101"/>
      <c r="AD19" s="101"/>
      <c r="AE19" s="101"/>
      <c r="AF19" s="101"/>
      <c r="AG19" s="101"/>
      <c r="AH19" s="101"/>
      <c r="AI19" s="101"/>
      <c r="AJ19" s="101"/>
    </row>
    <row r="20" spans="1:36" x14ac:dyDescent="0.2">
      <c r="A20" s="1" t="s">
        <v>97</v>
      </c>
      <c r="B20" s="1" t="s">
        <v>30</v>
      </c>
      <c r="C20" s="1" t="s">
        <v>31</v>
      </c>
      <c r="D20" s="1" t="s">
        <v>32</v>
      </c>
      <c r="E20" s="1" t="s">
        <v>98</v>
      </c>
      <c r="F20" s="1" t="s">
        <v>34</v>
      </c>
      <c r="G20" s="1" t="s">
        <v>99</v>
      </c>
      <c r="H20" s="1" t="s">
        <v>100</v>
      </c>
      <c r="I20" s="1" t="s">
        <v>37</v>
      </c>
      <c r="J20" s="101" t="s">
        <v>30</v>
      </c>
      <c r="K20" s="101" t="s">
        <v>171</v>
      </c>
      <c r="L20" s="101" t="s">
        <v>150</v>
      </c>
      <c r="M20" s="101" t="s">
        <v>172</v>
      </c>
      <c r="N20" s="189">
        <v>12430</v>
      </c>
      <c r="O20" s="101" t="s">
        <v>568</v>
      </c>
      <c r="P20" s="101" t="s">
        <v>569</v>
      </c>
      <c r="Q20" s="101" t="s">
        <v>570</v>
      </c>
      <c r="R20" s="101" t="s">
        <v>571</v>
      </c>
      <c r="S20" s="101" t="s">
        <v>572</v>
      </c>
      <c r="T20" s="101" t="s">
        <v>573</v>
      </c>
      <c r="U20" s="101"/>
      <c r="V20" s="101"/>
      <c r="W20" s="101" t="s">
        <v>574</v>
      </c>
      <c r="X20" s="101" t="s">
        <v>575</v>
      </c>
      <c r="Y20" s="101"/>
      <c r="Z20" s="101" t="s">
        <v>576</v>
      </c>
      <c r="AA20" s="101" t="s">
        <v>577</v>
      </c>
      <c r="AB20" s="101" t="s">
        <v>578</v>
      </c>
      <c r="AC20" s="101" t="s">
        <v>579</v>
      </c>
      <c r="AD20" s="101" t="s">
        <v>580</v>
      </c>
      <c r="AE20" s="101" t="s">
        <v>581</v>
      </c>
      <c r="AF20" s="101" t="s">
        <v>582</v>
      </c>
      <c r="AG20" s="101" t="s">
        <v>583</v>
      </c>
      <c r="AH20" s="101" t="s">
        <v>584</v>
      </c>
      <c r="AI20" s="101" t="s">
        <v>585</v>
      </c>
      <c r="AJ20" s="101"/>
    </row>
    <row r="21" spans="1:36" x14ac:dyDescent="0.2">
      <c r="A21" s="1" t="s">
        <v>101</v>
      </c>
      <c r="B21" s="1" t="s">
        <v>30</v>
      </c>
      <c r="C21" s="1" t="s">
        <v>31</v>
      </c>
      <c r="D21" s="1" t="s">
        <v>32</v>
      </c>
      <c r="E21" s="1" t="s">
        <v>102</v>
      </c>
      <c r="F21" s="1" t="s">
        <v>34</v>
      </c>
      <c r="G21" s="1" t="s">
        <v>103</v>
      </c>
      <c r="H21" s="1" t="s">
        <v>100</v>
      </c>
      <c r="I21" s="1" t="s">
        <v>37</v>
      </c>
      <c r="J21" s="101" t="s">
        <v>30</v>
      </c>
      <c r="K21" s="101" t="s">
        <v>89</v>
      </c>
      <c r="L21" s="101" t="s">
        <v>79</v>
      </c>
      <c r="M21" s="101" t="s">
        <v>90</v>
      </c>
      <c r="N21" s="189">
        <v>12320</v>
      </c>
      <c r="O21" s="101" t="s">
        <v>568</v>
      </c>
      <c r="P21" s="101" t="s">
        <v>569</v>
      </c>
      <c r="Q21" s="101" t="s">
        <v>570</v>
      </c>
      <c r="R21" s="101" t="s">
        <v>571</v>
      </c>
      <c r="S21" s="101" t="s">
        <v>572</v>
      </c>
      <c r="T21" s="101" t="s">
        <v>573</v>
      </c>
      <c r="U21" s="101" t="s">
        <v>586</v>
      </c>
      <c r="V21" s="101"/>
      <c r="W21" s="101" t="s">
        <v>574</v>
      </c>
      <c r="X21" s="101" t="s">
        <v>575</v>
      </c>
      <c r="Y21" s="101"/>
      <c r="Z21" s="101" t="s">
        <v>576</v>
      </c>
      <c r="AA21" s="101" t="s">
        <v>577</v>
      </c>
      <c r="AB21" s="101" t="s">
        <v>578</v>
      </c>
      <c r="AC21" s="101" t="s">
        <v>579</v>
      </c>
      <c r="AD21" s="101" t="s">
        <v>580</v>
      </c>
      <c r="AE21" s="101" t="s">
        <v>581</v>
      </c>
      <c r="AF21" s="101" t="s">
        <v>582</v>
      </c>
      <c r="AG21" s="101" t="s">
        <v>583</v>
      </c>
      <c r="AH21" s="101" t="s">
        <v>584</v>
      </c>
      <c r="AI21" s="101" t="s">
        <v>585</v>
      </c>
      <c r="AJ21" s="101"/>
    </row>
    <row r="22" spans="1:36" x14ac:dyDescent="0.2">
      <c r="A22" s="1" t="s">
        <v>104</v>
      </c>
      <c r="B22" s="1" t="s">
        <v>30</v>
      </c>
      <c r="C22" s="1" t="s">
        <v>31</v>
      </c>
      <c r="D22" s="1" t="s">
        <v>32</v>
      </c>
      <c r="E22" s="1" t="s">
        <v>105</v>
      </c>
      <c r="F22" s="1" t="s">
        <v>34</v>
      </c>
      <c r="G22" s="1" t="s">
        <v>106</v>
      </c>
      <c r="H22" s="1" t="s">
        <v>107</v>
      </c>
      <c r="I22" s="1" t="s">
        <v>37</v>
      </c>
      <c r="J22" s="101" t="s">
        <v>30</v>
      </c>
      <c r="K22" s="101" t="s">
        <v>92</v>
      </c>
      <c r="L22" s="101" t="s">
        <v>72</v>
      </c>
      <c r="M22" s="101" t="s">
        <v>93</v>
      </c>
      <c r="N22" s="189">
        <v>12320</v>
      </c>
      <c r="O22" s="101" t="s">
        <v>568</v>
      </c>
      <c r="P22" s="101" t="s">
        <v>569</v>
      </c>
      <c r="Q22" s="101" t="s">
        <v>570</v>
      </c>
      <c r="R22" s="101" t="s">
        <v>571</v>
      </c>
      <c r="S22" s="101" t="s">
        <v>572</v>
      </c>
      <c r="T22" s="101" t="s">
        <v>573</v>
      </c>
      <c r="U22" s="101" t="s">
        <v>586</v>
      </c>
      <c r="V22" s="101"/>
      <c r="W22" s="101" t="s">
        <v>574</v>
      </c>
      <c r="X22" s="101" t="s">
        <v>575</v>
      </c>
      <c r="Y22" s="101"/>
      <c r="Z22" s="101" t="s">
        <v>576</v>
      </c>
      <c r="AA22" s="101" t="s">
        <v>577</v>
      </c>
      <c r="AB22" s="101" t="s">
        <v>578</v>
      </c>
      <c r="AC22" s="101" t="s">
        <v>579</v>
      </c>
      <c r="AD22" s="101" t="s">
        <v>580</v>
      </c>
      <c r="AE22" s="101" t="s">
        <v>581</v>
      </c>
      <c r="AF22" s="101" t="s">
        <v>582</v>
      </c>
      <c r="AG22" s="101" t="s">
        <v>583</v>
      </c>
      <c r="AH22" s="101" t="s">
        <v>584</v>
      </c>
      <c r="AI22" s="101" t="s">
        <v>585</v>
      </c>
      <c r="AJ22" s="101"/>
    </row>
    <row r="23" spans="1:36" x14ac:dyDescent="0.2">
      <c r="A23" s="1" t="s">
        <v>108</v>
      </c>
      <c r="B23" s="1" t="s">
        <v>30</v>
      </c>
      <c r="C23" s="1" t="s">
        <v>31</v>
      </c>
      <c r="D23" s="1" t="s">
        <v>32</v>
      </c>
      <c r="E23" s="1" t="s">
        <v>109</v>
      </c>
      <c r="F23" s="1" t="s">
        <v>34</v>
      </c>
      <c r="G23" s="1" t="s">
        <v>110</v>
      </c>
      <c r="H23" s="1" t="s">
        <v>111</v>
      </c>
      <c r="I23" s="1" t="s">
        <v>37</v>
      </c>
      <c r="J23" s="101" t="s">
        <v>30</v>
      </c>
      <c r="K23" s="101" t="s">
        <v>95</v>
      </c>
      <c r="L23" s="101" t="s">
        <v>72</v>
      </c>
      <c r="M23" s="101" t="s">
        <v>96</v>
      </c>
      <c r="N23" s="189">
        <v>12280</v>
      </c>
      <c r="O23" s="101" t="s">
        <v>568</v>
      </c>
      <c r="P23" s="101" t="s">
        <v>569</v>
      </c>
      <c r="Q23" s="101" t="s">
        <v>570</v>
      </c>
      <c r="R23" s="101" t="s">
        <v>571</v>
      </c>
      <c r="S23" s="101" t="s">
        <v>572</v>
      </c>
      <c r="T23" s="101" t="s">
        <v>573</v>
      </c>
      <c r="U23" s="101"/>
      <c r="V23" s="101"/>
      <c r="W23" s="101" t="s">
        <v>574</v>
      </c>
      <c r="X23" s="101" t="s">
        <v>575</v>
      </c>
      <c r="Y23" s="101"/>
      <c r="Z23" s="101" t="s">
        <v>576</v>
      </c>
      <c r="AA23" s="101" t="s">
        <v>577</v>
      </c>
      <c r="AB23" s="101" t="s">
        <v>578</v>
      </c>
      <c r="AC23" s="101" t="s">
        <v>579</v>
      </c>
      <c r="AD23" s="101" t="s">
        <v>580</v>
      </c>
      <c r="AE23" s="101" t="s">
        <v>581</v>
      </c>
      <c r="AF23" s="101" t="s">
        <v>582</v>
      </c>
      <c r="AG23" s="101" t="s">
        <v>583</v>
      </c>
      <c r="AH23" s="101" t="s">
        <v>584</v>
      </c>
      <c r="AI23" s="101" t="s">
        <v>585</v>
      </c>
      <c r="AJ23" s="101"/>
    </row>
    <row r="24" spans="1:36" x14ac:dyDescent="0.2">
      <c r="A24" s="1" t="s">
        <v>112</v>
      </c>
      <c r="B24" s="1" t="s">
        <v>30</v>
      </c>
      <c r="C24" s="1" t="s">
        <v>31</v>
      </c>
      <c r="D24" s="1" t="s">
        <v>32</v>
      </c>
      <c r="E24" s="1" t="s">
        <v>113</v>
      </c>
      <c r="F24" s="1" t="s">
        <v>34</v>
      </c>
      <c r="G24" s="1" t="s">
        <v>114</v>
      </c>
      <c r="H24" s="1" t="s">
        <v>81</v>
      </c>
      <c r="I24" s="1" t="s">
        <v>37</v>
      </c>
      <c r="J24" s="101" t="s">
        <v>30</v>
      </c>
      <c r="K24" s="101" t="s">
        <v>1368</v>
      </c>
      <c r="L24" s="101" t="s">
        <v>1366</v>
      </c>
      <c r="M24" s="101" t="s">
        <v>1369</v>
      </c>
      <c r="N24" s="189">
        <v>12460</v>
      </c>
      <c r="O24" s="101" t="s">
        <v>568</v>
      </c>
      <c r="P24" s="101" t="s">
        <v>569</v>
      </c>
      <c r="Q24" s="101" t="s">
        <v>570</v>
      </c>
      <c r="R24" s="101" t="s">
        <v>571</v>
      </c>
      <c r="S24" s="101" t="s">
        <v>572</v>
      </c>
      <c r="T24" s="101" t="s">
        <v>573</v>
      </c>
      <c r="U24" s="101"/>
      <c r="V24" s="101"/>
      <c r="W24" s="101"/>
      <c r="X24" s="101" t="s">
        <v>575</v>
      </c>
      <c r="Y24" s="101"/>
      <c r="Z24" s="101" t="s">
        <v>576</v>
      </c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</row>
    <row r="25" spans="1:36" x14ac:dyDescent="0.2">
      <c r="A25" s="1" t="s">
        <v>115</v>
      </c>
      <c r="B25" s="1" t="s">
        <v>30</v>
      </c>
      <c r="C25" s="1" t="s">
        <v>31</v>
      </c>
      <c r="D25" s="1" t="s">
        <v>32</v>
      </c>
      <c r="E25" s="1" t="s">
        <v>116</v>
      </c>
      <c r="F25" s="1" t="s">
        <v>34</v>
      </c>
      <c r="G25" s="1" t="s">
        <v>117</v>
      </c>
      <c r="H25" s="1" t="s">
        <v>118</v>
      </c>
      <c r="I25" s="1" t="s">
        <v>37</v>
      </c>
      <c r="J25" s="101" t="s">
        <v>30</v>
      </c>
      <c r="K25" s="101" t="s">
        <v>174</v>
      </c>
      <c r="L25" s="101" t="s">
        <v>34</v>
      </c>
      <c r="M25" s="101" t="s">
        <v>175</v>
      </c>
      <c r="N25" s="189">
        <v>12430</v>
      </c>
      <c r="O25" s="101" t="s">
        <v>568</v>
      </c>
      <c r="P25" s="101" t="s">
        <v>569</v>
      </c>
      <c r="Q25" s="101" t="s">
        <v>570</v>
      </c>
      <c r="R25" s="101" t="s">
        <v>571</v>
      </c>
      <c r="S25" s="101" t="s">
        <v>572</v>
      </c>
      <c r="T25" s="101" t="s">
        <v>573</v>
      </c>
      <c r="U25" s="101"/>
      <c r="V25" s="101"/>
      <c r="W25" s="101" t="s">
        <v>574</v>
      </c>
      <c r="X25" s="101" t="s">
        <v>575</v>
      </c>
      <c r="Y25" s="101"/>
      <c r="Z25" s="101" t="s">
        <v>576</v>
      </c>
      <c r="AA25" s="101" t="s">
        <v>577</v>
      </c>
      <c r="AB25" s="101" t="s">
        <v>578</v>
      </c>
      <c r="AC25" s="101" t="s">
        <v>579</v>
      </c>
      <c r="AD25" s="101" t="s">
        <v>580</v>
      </c>
      <c r="AE25" s="101" t="s">
        <v>581</v>
      </c>
      <c r="AF25" s="101" t="s">
        <v>582</v>
      </c>
      <c r="AG25" s="101" t="s">
        <v>583</v>
      </c>
      <c r="AH25" s="101" t="s">
        <v>584</v>
      </c>
      <c r="AI25" s="101" t="s">
        <v>585</v>
      </c>
      <c r="AJ25" s="101"/>
    </row>
    <row r="26" spans="1:36" x14ac:dyDescent="0.2">
      <c r="A26" s="1" t="s">
        <v>119</v>
      </c>
      <c r="B26" s="1" t="s">
        <v>30</v>
      </c>
      <c r="C26" s="1" t="s">
        <v>31</v>
      </c>
      <c r="D26" s="1" t="s">
        <v>32</v>
      </c>
      <c r="E26" s="1" t="s">
        <v>120</v>
      </c>
      <c r="F26" s="1" t="s">
        <v>34</v>
      </c>
      <c r="G26" s="1" t="s">
        <v>121</v>
      </c>
      <c r="H26" s="1" t="s">
        <v>50</v>
      </c>
      <c r="I26" s="1" t="s">
        <v>37</v>
      </c>
      <c r="J26" s="101" t="s">
        <v>30</v>
      </c>
      <c r="K26" s="101" t="s">
        <v>105</v>
      </c>
      <c r="L26" s="101" t="s">
        <v>34</v>
      </c>
      <c r="M26" s="101" t="s">
        <v>106</v>
      </c>
      <c r="N26" s="189">
        <v>12340</v>
      </c>
      <c r="O26" s="101" t="s">
        <v>568</v>
      </c>
      <c r="P26" s="101" t="s">
        <v>569</v>
      </c>
      <c r="Q26" s="101" t="s">
        <v>570</v>
      </c>
      <c r="R26" s="101" t="s">
        <v>571</v>
      </c>
      <c r="S26" s="101" t="s">
        <v>572</v>
      </c>
      <c r="T26" s="101" t="s">
        <v>573</v>
      </c>
      <c r="U26" s="101"/>
      <c r="V26" s="101"/>
      <c r="W26" s="101" t="s">
        <v>574</v>
      </c>
      <c r="X26" s="101" t="s">
        <v>575</v>
      </c>
      <c r="Y26" s="101"/>
      <c r="Z26" s="101" t="s">
        <v>576</v>
      </c>
      <c r="AA26" s="101" t="s">
        <v>577</v>
      </c>
      <c r="AB26" s="101" t="s">
        <v>578</v>
      </c>
      <c r="AC26" s="101" t="s">
        <v>579</v>
      </c>
      <c r="AD26" s="101" t="s">
        <v>580</v>
      </c>
      <c r="AE26" s="101" t="s">
        <v>581</v>
      </c>
      <c r="AF26" s="101" t="s">
        <v>582</v>
      </c>
      <c r="AG26" s="101" t="s">
        <v>583</v>
      </c>
      <c r="AH26" s="101" t="s">
        <v>584</v>
      </c>
      <c r="AI26" s="101" t="s">
        <v>585</v>
      </c>
      <c r="AJ26" s="101"/>
    </row>
    <row r="27" spans="1:36" x14ac:dyDescent="0.2">
      <c r="A27" s="1" t="s">
        <v>122</v>
      </c>
      <c r="B27" s="1" t="s">
        <v>30</v>
      </c>
      <c r="C27" s="1" t="s">
        <v>31</v>
      </c>
      <c r="D27" s="1" t="s">
        <v>32</v>
      </c>
      <c r="E27" s="1" t="s">
        <v>123</v>
      </c>
      <c r="F27" s="1" t="s">
        <v>34</v>
      </c>
      <c r="G27" s="1" t="s">
        <v>124</v>
      </c>
      <c r="H27" s="1" t="s">
        <v>125</v>
      </c>
      <c r="I27" s="1" t="s">
        <v>37</v>
      </c>
      <c r="J27" s="101" t="s">
        <v>30</v>
      </c>
      <c r="K27" s="101" t="s">
        <v>109</v>
      </c>
      <c r="L27" s="101" t="s">
        <v>34</v>
      </c>
      <c r="M27" s="101" t="s">
        <v>110</v>
      </c>
      <c r="N27" s="189">
        <v>12320</v>
      </c>
      <c r="O27" s="101" t="s">
        <v>568</v>
      </c>
      <c r="P27" s="101" t="s">
        <v>569</v>
      </c>
      <c r="Q27" s="101" t="s">
        <v>570</v>
      </c>
      <c r="R27" s="101" t="s">
        <v>571</v>
      </c>
      <c r="S27" s="101" t="s">
        <v>572</v>
      </c>
      <c r="T27" s="101" t="s">
        <v>573</v>
      </c>
      <c r="U27" s="101"/>
      <c r="V27" s="101"/>
      <c r="W27" s="101" t="s">
        <v>574</v>
      </c>
      <c r="X27" s="101" t="s">
        <v>575</v>
      </c>
      <c r="Y27" s="101"/>
      <c r="Z27" s="101" t="s">
        <v>576</v>
      </c>
      <c r="AA27" s="101" t="s">
        <v>577</v>
      </c>
      <c r="AB27" s="101" t="s">
        <v>578</v>
      </c>
      <c r="AC27" s="101" t="s">
        <v>579</v>
      </c>
      <c r="AD27" s="101" t="s">
        <v>580</v>
      </c>
      <c r="AE27" s="101" t="s">
        <v>581</v>
      </c>
      <c r="AF27" s="101" t="s">
        <v>582</v>
      </c>
      <c r="AG27" s="101" t="s">
        <v>583</v>
      </c>
      <c r="AH27" s="101" t="s">
        <v>584</v>
      </c>
      <c r="AI27" s="101" t="s">
        <v>585</v>
      </c>
      <c r="AJ27" s="101"/>
    </row>
    <row r="28" spans="1:36" x14ac:dyDescent="0.2">
      <c r="A28" s="1" t="s">
        <v>126</v>
      </c>
      <c r="B28" s="1" t="s">
        <v>30</v>
      </c>
      <c r="C28" s="1" t="s">
        <v>31</v>
      </c>
      <c r="D28" s="1" t="s">
        <v>32</v>
      </c>
      <c r="E28" s="1" t="s">
        <v>127</v>
      </c>
      <c r="F28" s="1" t="s">
        <v>34</v>
      </c>
      <c r="G28" s="1" t="s">
        <v>128</v>
      </c>
      <c r="H28" s="1" t="s">
        <v>100</v>
      </c>
      <c r="I28" s="1" t="s">
        <v>37</v>
      </c>
      <c r="J28" s="101" t="s">
        <v>30</v>
      </c>
      <c r="K28" s="101" t="s">
        <v>142</v>
      </c>
      <c r="L28" s="101" t="s">
        <v>57</v>
      </c>
      <c r="M28" s="101" t="s">
        <v>143</v>
      </c>
      <c r="N28" s="189">
        <v>12020</v>
      </c>
      <c r="O28" s="101" t="s">
        <v>568</v>
      </c>
      <c r="P28" s="101" t="s">
        <v>569</v>
      </c>
      <c r="Q28" s="101" t="s">
        <v>570</v>
      </c>
      <c r="R28" s="101" t="s">
        <v>571</v>
      </c>
      <c r="S28" s="101" t="s">
        <v>572</v>
      </c>
      <c r="T28" s="101" t="s">
        <v>573</v>
      </c>
      <c r="U28" s="101"/>
      <c r="V28" s="101"/>
      <c r="W28" s="101" t="s">
        <v>574</v>
      </c>
      <c r="X28" s="101" t="s">
        <v>575</v>
      </c>
      <c r="Y28" s="101"/>
      <c r="Z28" s="101" t="s">
        <v>576</v>
      </c>
      <c r="AA28" s="101" t="s">
        <v>577</v>
      </c>
      <c r="AB28" s="101" t="s">
        <v>578</v>
      </c>
      <c r="AC28" s="101" t="s">
        <v>579</v>
      </c>
      <c r="AD28" s="101" t="s">
        <v>580</v>
      </c>
      <c r="AE28" s="101" t="s">
        <v>581</v>
      </c>
      <c r="AF28" s="101" t="s">
        <v>582</v>
      </c>
      <c r="AG28" s="101" t="s">
        <v>583</v>
      </c>
      <c r="AH28" s="101" t="s">
        <v>584</v>
      </c>
      <c r="AI28" s="101" t="s">
        <v>585</v>
      </c>
      <c r="AJ28" s="101"/>
    </row>
    <row r="29" spans="1:36" x14ac:dyDescent="0.2">
      <c r="A29" s="1" t="s">
        <v>129</v>
      </c>
      <c r="B29" s="1" t="s">
        <v>30</v>
      </c>
      <c r="C29" s="1" t="s">
        <v>31</v>
      </c>
      <c r="D29" s="1" t="s">
        <v>32</v>
      </c>
      <c r="E29" s="1" t="s">
        <v>130</v>
      </c>
      <c r="F29" s="1" t="s">
        <v>34</v>
      </c>
      <c r="G29" s="1" t="s">
        <v>131</v>
      </c>
      <c r="H29" s="1" t="s">
        <v>100</v>
      </c>
      <c r="I29" s="1" t="s">
        <v>37</v>
      </c>
      <c r="J29" s="101" t="s">
        <v>30</v>
      </c>
      <c r="K29" s="101" t="s">
        <v>71</v>
      </c>
      <c r="L29" s="101" t="s">
        <v>72</v>
      </c>
      <c r="M29" s="101" t="s">
        <v>73</v>
      </c>
      <c r="N29" s="189">
        <v>12460</v>
      </c>
      <c r="O29" s="101" t="s">
        <v>568</v>
      </c>
      <c r="P29" s="101" t="s">
        <v>569</v>
      </c>
      <c r="Q29" s="101" t="s">
        <v>570</v>
      </c>
      <c r="R29" s="101" t="s">
        <v>571</v>
      </c>
      <c r="S29" s="101" t="s">
        <v>572</v>
      </c>
      <c r="T29" s="101" t="s">
        <v>573</v>
      </c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</row>
    <row r="30" spans="1:36" x14ac:dyDescent="0.2">
      <c r="A30" s="1" t="s">
        <v>132</v>
      </c>
      <c r="B30" s="1" t="s">
        <v>30</v>
      </c>
      <c r="C30" s="1" t="s">
        <v>31</v>
      </c>
      <c r="D30" s="1" t="s">
        <v>32</v>
      </c>
      <c r="E30" s="1" t="s">
        <v>133</v>
      </c>
      <c r="F30" s="1" t="s">
        <v>34</v>
      </c>
      <c r="G30" s="1" t="s">
        <v>134</v>
      </c>
      <c r="H30" s="1" t="s">
        <v>50</v>
      </c>
      <c r="I30" s="1" t="s">
        <v>37</v>
      </c>
      <c r="J30" s="101" t="s">
        <v>30</v>
      </c>
      <c r="K30" s="101" t="s">
        <v>68</v>
      </c>
      <c r="L30" s="101" t="s">
        <v>34</v>
      </c>
      <c r="M30" s="101" t="s">
        <v>69</v>
      </c>
      <c r="N30" s="189">
        <v>11360</v>
      </c>
      <c r="O30" s="101" t="s">
        <v>568</v>
      </c>
      <c r="P30" s="101" t="s">
        <v>569</v>
      </c>
      <c r="Q30" s="101" t="s">
        <v>570</v>
      </c>
      <c r="R30" s="101" t="s">
        <v>571</v>
      </c>
      <c r="S30" s="101" t="s">
        <v>572</v>
      </c>
      <c r="T30" s="101" t="s">
        <v>573</v>
      </c>
      <c r="U30" s="101"/>
      <c r="V30" s="101"/>
      <c r="W30" s="101" t="s">
        <v>574</v>
      </c>
      <c r="X30" s="101" t="s">
        <v>575</v>
      </c>
      <c r="Y30" s="101"/>
      <c r="Z30" s="101" t="s">
        <v>576</v>
      </c>
      <c r="AA30" s="101" t="s">
        <v>577</v>
      </c>
      <c r="AB30" s="101" t="s">
        <v>578</v>
      </c>
      <c r="AC30" s="101" t="s">
        <v>579</v>
      </c>
      <c r="AD30" s="101"/>
      <c r="AE30" s="101"/>
      <c r="AF30" s="101"/>
      <c r="AG30" s="101"/>
      <c r="AH30" s="101"/>
      <c r="AI30" s="101"/>
      <c r="AJ30" s="101"/>
    </row>
    <row r="31" spans="1:36" x14ac:dyDescent="0.2">
      <c r="A31" s="1" t="s">
        <v>135</v>
      </c>
      <c r="B31" s="1" t="s">
        <v>30</v>
      </c>
      <c r="C31" s="1" t="s">
        <v>31</v>
      </c>
      <c r="D31" s="1" t="s">
        <v>32</v>
      </c>
      <c r="E31" s="1" t="s">
        <v>136</v>
      </c>
      <c r="F31" s="1" t="s">
        <v>57</v>
      </c>
      <c r="G31" s="1" t="s">
        <v>137</v>
      </c>
      <c r="H31" s="1" t="s">
        <v>42</v>
      </c>
      <c r="I31" s="1" t="s">
        <v>37</v>
      </c>
      <c r="J31" s="101" t="s">
        <v>30</v>
      </c>
      <c r="K31" s="101" t="s">
        <v>130</v>
      </c>
      <c r="L31" s="101" t="s">
        <v>34</v>
      </c>
      <c r="M31" s="101" t="s">
        <v>131</v>
      </c>
      <c r="N31" s="189">
        <v>12040</v>
      </c>
      <c r="O31" s="101" t="s">
        <v>568</v>
      </c>
      <c r="P31" s="101" t="s">
        <v>569</v>
      </c>
      <c r="Q31" s="101" t="s">
        <v>570</v>
      </c>
      <c r="R31" s="101" t="s">
        <v>571</v>
      </c>
      <c r="S31" s="101" t="s">
        <v>572</v>
      </c>
      <c r="T31" s="101" t="s">
        <v>573</v>
      </c>
      <c r="U31" s="101" t="s">
        <v>586</v>
      </c>
      <c r="V31" s="101"/>
      <c r="W31" s="101" t="s">
        <v>574</v>
      </c>
      <c r="X31" s="101" t="s">
        <v>575</v>
      </c>
      <c r="Y31" s="101"/>
      <c r="Z31" s="101" t="s">
        <v>576</v>
      </c>
      <c r="AA31" s="101" t="s">
        <v>577</v>
      </c>
      <c r="AB31" s="101" t="s">
        <v>578</v>
      </c>
      <c r="AC31" s="101" t="s">
        <v>579</v>
      </c>
      <c r="AD31" s="101" t="s">
        <v>580</v>
      </c>
      <c r="AE31" s="101" t="s">
        <v>581</v>
      </c>
      <c r="AF31" s="101" t="s">
        <v>582</v>
      </c>
      <c r="AG31" s="101" t="s">
        <v>583</v>
      </c>
      <c r="AH31" s="101" t="s">
        <v>584</v>
      </c>
      <c r="AI31" s="101" t="s">
        <v>585</v>
      </c>
      <c r="AJ31" s="101"/>
    </row>
    <row r="32" spans="1:36" x14ac:dyDescent="0.2">
      <c r="A32" s="1" t="s">
        <v>138</v>
      </c>
      <c r="B32" s="1" t="s">
        <v>30</v>
      </c>
      <c r="C32" s="1" t="s">
        <v>31</v>
      </c>
      <c r="D32" s="1" t="s">
        <v>32</v>
      </c>
      <c r="E32" s="1" t="s">
        <v>139</v>
      </c>
      <c r="F32" s="1" t="s">
        <v>79</v>
      </c>
      <c r="G32" s="1" t="s">
        <v>140</v>
      </c>
      <c r="H32" s="1" t="s">
        <v>59</v>
      </c>
      <c r="I32" s="1" t="s">
        <v>37</v>
      </c>
      <c r="J32" s="101" t="s">
        <v>30</v>
      </c>
      <c r="K32" s="101" t="s">
        <v>243</v>
      </c>
      <c r="L32" s="101" t="s">
        <v>57</v>
      </c>
      <c r="M32" s="101" t="s">
        <v>244</v>
      </c>
      <c r="N32" s="189">
        <v>12430</v>
      </c>
      <c r="O32" s="101" t="s">
        <v>568</v>
      </c>
      <c r="P32" s="101" t="s">
        <v>569</v>
      </c>
      <c r="Q32" s="101" t="s">
        <v>570</v>
      </c>
      <c r="R32" s="101" t="s">
        <v>571</v>
      </c>
      <c r="S32" s="101" t="s">
        <v>572</v>
      </c>
      <c r="T32" s="101" t="s">
        <v>573</v>
      </c>
      <c r="U32" s="101"/>
      <c r="V32" s="101"/>
      <c r="W32" s="101" t="s">
        <v>574</v>
      </c>
      <c r="X32" s="101" t="s">
        <v>575</v>
      </c>
      <c r="Y32" s="101"/>
      <c r="Z32" s="101" t="s">
        <v>576</v>
      </c>
      <c r="AA32" s="101" t="s">
        <v>577</v>
      </c>
      <c r="AB32" s="101" t="s">
        <v>578</v>
      </c>
      <c r="AC32" s="101" t="s">
        <v>579</v>
      </c>
      <c r="AD32" s="101" t="s">
        <v>580</v>
      </c>
      <c r="AE32" s="101" t="s">
        <v>581</v>
      </c>
      <c r="AF32" s="101" t="s">
        <v>582</v>
      </c>
      <c r="AG32" s="101" t="s">
        <v>583</v>
      </c>
      <c r="AH32" s="101" t="s">
        <v>584</v>
      </c>
      <c r="AI32" s="101" t="s">
        <v>585</v>
      </c>
      <c r="AJ32" s="101"/>
    </row>
    <row r="33" spans="1:36" x14ac:dyDescent="0.2">
      <c r="A33" s="1" t="s">
        <v>141</v>
      </c>
      <c r="B33" s="1" t="s">
        <v>30</v>
      </c>
      <c r="C33" s="1" t="s">
        <v>31</v>
      </c>
      <c r="D33" s="1" t="s">
        <v>32</v>
      </c>
      <c r="E33" s="1" t="s">
        <v>142</v>
      </c>
      <c r="F33" s="1" t="s">
        <v>57</v>
      </c>
      <c r="G33" s="1" t="s">
        <v>143</v>
      </c>
      <c r="H33" s="1" t="s">
        <v>144</v>
      </c>
      <c r="I33" s="1" t="s">
        <v>37</v>
      </c>
      <c r="J33" s="101" t="s">
        <v>30</v>
      </c>
      <c r="K33" s="101" t="s">
        <v>127</v>
      </c>
      <c r="L33" s="101" t="s">
        <v>34</v>
      </c>
      <c r="M33" s="101" t="s">
        <v>128</v>
      </c>
      <c r="N33" s="189">
        <v>12040</v>
      </c>
      <c r="O33" s="101" t="s">
        <v>568</v>
      </c>
      <c r="P33" s="101" t="s">
        <v>569</v>
      </c>
      <c r="Q33" s="101" t="s">
        <v>570</v>
      </c>
      <c r="R33" s="101" t="s">
        <v>571</v>
      </c>
      <c r="S33" s="101" t="s">
        <v>572</v>
      </c>
      <c r="T33" s="101" t="s">
        <v>573</v>
      </c>
      <c r="U33" s="101"/>
      <c r="V33" s="101"/>
      <c r="W33" s="101" t="s">
        <v>574</v>
      </c>
      <c r="X33" s="101" t="s">
        <v>575</v>
      </c>
      <c r="Y33" s="101"/>
      <c r="Z33" s="101" t="s">
        <v>576</v>
      </c>
      <c r="AA33" s="101" t="s">
        <v>577</v>
      </c>
      <c r="AB33" s="101" t="s">
        <v>578</v>
      </c>
      <c r="AC33" s="101" t="s">
        <v>579</v>
      </c>
      <c r="AD33" s="101" t="s">
        <v>580</v>
      </c>
      <c r="AE33" s="101" t="s">
        <v>581</v>
      </c>
      <c r="AF33" s="101" t="s">
        <v>582</v>
      </c>
      <c r="AG33" s="101" t="s">
        <v>583</v>
      </c>
      <c r="AH33" s="101" t="s">
        <v>584</v>
      </c>
      <c r="AI33" s="101" t="s">
        <v>585</v>
      </c>
      <c r="AJ33" s="101"/>
    </row>
    <row r="34" spans="1:36" x14ac:dyDescent="0.2">
      <c r="A34" s="1" t="s">
        <v>145</v>
      </c>
      <c r="B34" s="1" t="s">
        <v>30</v>
      </c>
      <c r="C34" s="1" t="s">
        <v>31</v>
      </c>
      <c r="D34" s="1" t="s">
        <v>32</v>
      </c>
      <c r="E34" s="1" t="s">
        <v>146</v>
      </c>
      <c r="F34" s="1" t="s">
        <v>57</v>
      </c>
      <c r="G34" s="1" t="s">
        <v>147</v>
      </c>
      <c r="H34" s="1" t="s">
        <v>144</v>
      </c>
      <c r="I34" s="1" t="s">
        <v>37</v>
      </c>
      <c r="J34" s="101" t="s">
        <v>30</v>
      </c>
      <c r="K34" s="101" t="s">
        <v>136</v>
      </c>
      <c r="L34" s="101" t="s">
        <v>57</v>
      </c>
      <c r="M34" s="101" t="s">
        <v>137</v>
      </c>
      <c r="N34" s="189">
        <v>12430</v>
      </c>
      <c r="O34" s="101" t="s">
        <v>568</v>
      </c>
      <c r="P34" s="101" t="s">
        <v>569</v>
      </c>
      <c r="Q34" s="101" t="s">
        <v>570</v>
      </c>
      <c r="R34" s="101" t="s">
        <v>571</v>
      </c>
      <c r="S34" s="101" t="s">
        <v>572</v>
      </c>
      <c r="T34" s="101" t="s">
        <v>573</v>
      </c>
      <c r="U34" s="101"/>
      <c r="V34" s="101"/>
      <c r="W34" s="101" t="s">
        <v>574</v>
      </c>
      <c r="X34" s="101" t="s">
        <v>575</v>
      </c>
      <c r="Y34" s="101"/>
      <c r="Z34" s="101" t="s">
        <v>576</v>
      </c>
      <c r="AA34" s="101" t="s">
        <v>577</v>
      </c>
      <c r="AB34" s="101" t="s">
        <v>578</v>
      </c>
      <c r="AC34" s="101" t="s">
        <v>579</v>
      </c>
      <c r="AD34" s="101" t="s">
        <v>580</v>
      </c>
      <c r="AE34" s="101" t="s">
        <v>581</v>
      </c>
      <c r="AF34" s="101" t="s">
        <v>582</v>
      </c>
      <c r="AG34" s="101" t="s">
        <v>583</v>
      </c>
      <c r="AH34" s="101" t="s">
        <v>584</v>
      </c>
      <c r="AI34" s="101" t="s">
        <v>585</v>
      </c>
      <c r="AJ34" s="101"/>
    </row>
    <row r="35" spans="1:36" x14ac:dyDescent="0.2">
      <c r="A35" s="1" t="s">
        <v>148</v>
      </c>
      <c r="B35" s="1" t="s">
        <v>30</v>
      </c>
      <c r="C35" s="1" t="s">
        <v>31</v>
      </c>
      <c r="D35" s="1" t="s">
        <v>32</v>
      </c>
      <c r="E35" s="1" t="s">
        <v>149</v>
      </c>
      <c r="F35" s="1" t="s">
        <v>150</v>
      </c>
      <c r="G35" s="1" t="s">
        <v>151</v>
      </c>
      <c r="H35" s="1" t="s">
        <v>50</v>
      </c>
      <c r="I35" s="1" t="s">
        <v>37</v>
      </c>
      <c r="J35" s="101" t="s">
        <v>30</v>
      </c>
      <c r="K35" s="101" t="s">
        <v>86</v>
      </c>
      <c r="L35" s="101" t="s">
        <v>57</v>
      </c>
      <c r="M35" s="101" t="s">
        <v>87</v>
      </c>
      <c r="N35" s="189">
        <v>12440</v>
      </c>
      <c r="O35" s="101" t="s">
        <v>568</v>
      </c>
      <c r="P35" s="101" t="s">
        <v>569</v>
      </c>
      <c r="Q35" s="101" t="s">
        <v>570</v>
      </c>
      <c r="R35" s="101" t="s">
        <v>571</v>
      </c>
      <c r="S35" s="101" t="s">
        <v>572</v>
      </c>
      <c r="T35" s="101" t="s">
        <v>573</v>
      </c>
      <c r="U35" s="101"/>
      <c r="V35" s="101"/>
      <c r="W35" s="101" t="s">
        <v>574</v>
      </c>
      <c r="X35" s="101" t="s">
        <v>575</v>
      </c>
      <c r="Y35" s="101"/>
      <c r="Z35" s="101" t="s">
        <v>576</v>
      </c>
      <c r="AA35" s="101" t="s">
        <v>577</v>
      </c>
      <c r="AB35" s="101" t="s">
        <v>578</v>
      </c>
      <c r="AC35" s="101" t="s">
        <v>579</v>
      </c>
      <c r="AD35" s="101" t="s">
        <v>580</v>
      </c>
      <c r="AE35" s="101" t="s">
        <v>581</v>
      </c>
      <c r="AF35" s="101" t="s">
        <v>582</v>
      </c>
      <c r="AG35" s="101" t="s">
        <v>583</v>
      </c>
      <c r="AH35" s="101" t="s">
        <v>584</v>
      </c>
      <c r="AI35" s="101" t="s">
        <v>585</v>
      </c>
      <c r="AJ35" s="101"/>
    </row>
    <row r="36" spans="1:36" x14ac:dyDescent="0.2">
      <c r="A36" s="1" t="s">
        <v>152</v>
      </c>
      <c r="B36" s="1" t="s">
        <v>30</v>
      </c>
      <c r="C36" s="1" t="s">
        <v>31</v>
      </c>
      <c r="D36" s="1" t="s">
        <v>32</v>
      </c>
      <c r="E36" s="1" t="s">
        <v>153</v>
      </c>
      <c r="F36" s="1" t="s">
        <v>57</v>
      </c>
      <c r="G36" s="1" t="s">
        <v>154</v>
      </c>
      <c r="H36" s="1" t="s">
        <v>42</v>
      </c>
      <c r="I36" s="1" t="s">
        <v>37</v>
      </c>
      <c r="J36" s="101" t="s">
        <v>30</v>
      </c>
      <c r="K36" s="101" t="s">
        <v>524</v>
      </c>
      <c r="L36" s="101" t="s">
        <v>72</v>
      </c>
      <c r="M36" s="101" t="s">
        <v>525</v>
      </c>
      <c r="N36" s="189">
        <v>12440</v>
      </c>
      <c r="O36" s="101" t="s">
        <v>568</v>
      </c>
      <c r="P36" s="101" t="s">
        <v>569</v>
      </c>
      <c r="Q36" s="101" t="s">
        <v>570</v>
      </c>
      <c r="R36" s="101" t="s">
        <v>571</v>
      </c>
      <c r="S36" s="101" t="s">
        <v>572</v>
      </c>
      <c r="T36" s="101" t="s">
        <v>573</v>
      </c>
      <c r="U36" s="101"/>
      <c r="V36" s="101"/>
      <c r="W36" s="101" t="s">
        <v>574</v>
      </c>
      <c r="X36" s="101" t="s">
        <v>575</v>
      </c>
      <c r="Y36" s="101"/>
      <c r="Z36" s="101" t="s">
        <v>576</v>
      </c>
      <c r="AA36" s="101" t="s">
        <v>577</v>
      </c>
      <c r="AB36" s="101" t="s">
        <v>578</v>
      </c>
      <c r="AC36" s="101" t="s">
        <v>579</v>
      </c>
      <c r="AD36" s="101" t="s">
        <v>580</v>
      </c>
      <c r="AE36" s="101" t="s">
        <v>581</v>
      </c>
      <c r="AF36" s="101" t="s">
        <v>582</v>
      </c>
      <c r="AG36" s="101" t="s">
        <v>583</v>
      </c>
      <c r="AH36" s="101" t="s">
        <v>584</v>
      </c>
      <c r="AI36" s="101" t="s">
        <v>585</v>
      </c>
      <c r="AJ36" s="101"/>
    </row>
    <row r="37" spans="1:36" x14ac:dyDescent="0.2">
      <c r="A37" s="1" t="s">
        <v>155</v>
      </c>
      <c r="B37" s="1" t="s">
        <v>30</v>
      </c>
      <c r="C37" s="1" t="s">
        <v>31</v>
      </c>
      <c r="D37" s="1" t="s">
        <v>32</v>
      </c>
      <c r="E37" s="1" t="s">
        <v>156</v>
      </c>
      <c r="F37" s="1" t="s">
        <v>150</v>
      </c>
      <c r="G37" s="1" t="s">
        <v>157</v>
      </c>
      <c r="H37" s="1" t="s">
        <v>42</v>
      </c>
      <c r="I37" s="1" t="s">
        <v>37</v>
      </c>
      <c r="J37" s="101" t="s">
        <v>30</v>
      </c>
      <c r="K37" s="101" t="s">
        <v>149</v>
      </c>
      <c r="L37" s="101" t="s">
        <v>150</v>
      </c>
      <c r="M37" s="101" t="s">
        <v>151</v>
      </c>
      <c r="N37" s="189">
        <v>12040</v>
      </c>
      <c r="O37" s="101" t="s">
        <v>568</v>
      </c>
      <c r="P37" s="101" t="s">
        <v>569</v>
      </c>
      <c r="Q37" s="101" t="s">
        <v>570</v>
      </c>
      <c r="R37" s="101" t="s">
        <v>571</v>
      </c>
      <c r="S37" s="101" t="s">
        <v>572</v>
      </c>
      <c r="T37" s="101" t="s">
        <v>573</v>
      </c>
      <c r="U37" s="101"/>
      <c r="V37" s="101"/>
      <c r="W37" s="101" t="s">
        <v>574</v>
      </c>
      <c r="X37" s="101" t="s">
        <v>575</v>
      </c>
      <c r="Y37" s="101"/>
      <c r="Z37" s="101" t="s">
        <v>576</v>
      </c>
      <c r="AA37" s="101" t="s">
        <v>577</v>
      </c>
      <c r="AB37" s="101" t="s">
        <v>578</v>
      </c>
      <c r="AC37" s="101" t="s">
        <v>579</v>
      </c>
      <c r="AD37" s="101" t="s">
        <v>580</v>
      </c>
      <c r="AE37" s="101" t="s">
        <v>581</v>
      </c>
      <c r="AF37" s="101" t="s">
        <v>582</v>
      </c>
      <c r="AG37" s="101" t="s">
        <v>583</v>
      </c>
      <c r="AH37" s="101" t="s">
        <v>584</v>
      </c>
      <c r="AI37" s="101" t="s">
        <v>585</v>
      </c>
      <c r="AJ37" s="101"/>
    </row>
    <row r="38" spans="1:36" x14ac:dyDescent="0.2">
      <c r="A38" s="1" t="s">
        <v>158</v>
      </c>
      <c r="B38" s="1" t="s">
        <v>30</v>
      </c>
      <c r="C38" s="1" t="s">
        <v>31</v>
      </c>
      <c r="D38" s="1" t="s">
        <v>32</v>
      </c>
      <c r="E38" s="1" t="s">
        <v>159</v>
      </c>
      <c r="F38" s="1" t="s">
        <v>150</v>
      </c>
      <c r="G38" s="1" t="s">
        <v>160</v>
      </c>
      <c r="H38" s="1" t="s">
        <v>42</v>
      </c>
      <c r="I38" s="1" t="s">
        <v>37</v>
      </c>
      <c r="J38" s="101" t="s">
        <v>30</v>
      </c>
      <c r="K38" s="101" t="s">
        <v>153</v>
      </c>
      <c r="L38" s="101" t="s">
        <v>57</v>
      </c>
      <c r="M38" s="101" t="s">
        <v>154</v>
      </c>
      <c r="N38" s="189">
        <v>12430</v>
      </c>
      <c r="O38" s="101" t="s">
        <v>568</v>
      </c>
      <c r="P38" s="101" t="s">
        <v>569</v>
      </c>
      <c r="Q38" s="101" t="s">
        <v>570</v>
      </c>
      <c r="R38" s="101" t="s">
        <v>571</v>
      </c>
      <c r="S38" s="101" t="s">
        <v>572</v>
      </c>
      <c r="T38" s="101" t="s">
        <v>573</v>
      </c>
      <c r="U38" s="101"/>
      <c r="V38" s="101"/>
      <c r="W38" s="101" t="s">
        <v>574</v>
      </c>
      <c r="X38" s="101" t="s">
        <v>575</v>
      </c>
      <c r="Y38" s="101"/>
      <c r="Z38" s="101" t="s">
        <v>576</v>
      </c>
      <c r="AA38" s="101" t="s">
        <v>577</v>
      </c>
      <c r="AB38" s="101" t="s">
        <v>578</v>
      </c>
      <c r="AC38" s="101" t="s">
        <v>579</v>
      </c>
      <c r="AD38" s="101" t="s">
        <v>580</v>
      </c>
      <c r="AE38" s="101" t="s">
        <v>581</v>
      </c>
      <c r="AF38" s="101" t="s">
        <v>582</v>
      </c>
      <c r="AG38" s="101" t="s">
        <v>583</v>
      </c>
      <c r="AH38" s="101" t="s">
        <v>584</v>
      </c>
      <c r="AI38" s="101" t="s">
        <v>585</v>
      </c>
      <c r="AJ38" s="101"/>
    </row>
    <row r="39" spans="1:36" x14ac:dyDescent="0.2">
      <c r="A39" s="1" t="s">
        <v>161</v>
      </c>
      <c r="B39" s="1" t="s">
        <v>30</v>
      </c>
      <c r="C39" s="1" t="s">
        <v>31</v>
      </c>
      <c r="D39" s="1" t="s">
        <v>32</v>
      </c>
      <c r="E39" s="1" t="s">
        <v>162</v>
      </c>
      <c r="F39" s="1" t="s">
        <v>150</v>
      </c>
      <c r="G39" s="1" t="s">
        <v>163</v>
      </c>
      <c r="H39" s="1" t="s">
        <v>42</v>
      </c>
      <c r="I39" s="1" t="s">
        <v>37</v>
      </c>
      <c r="J39" s="101" t="s">
        <v>30</v>
      </c>
      <c r="K39" s="101" t="s">
        <v>156</v>
      </c>
      <c r="L39" s="101" t="s">
        <v>150</v>
      </c>
      <c r="M39" s="101" t="s">
        <v>157</v>
      </c>
      <c r="N39" s="189">
        <v>12330</v>
      </c>
      <c r="O39" s="101" t="s">
        <v>568</v>
      </c>
      <c r="P39" s="101" t="s">
        <v>569</v>
      </c>
      <c r="Q39" s="101" t="s">
        <v>570</v>
      </c>
      <c r="R39" s="101" t="s">
        <v>571</v>
      </c>
      <c r="S39" s="101" t="s">
        <v>572</v>
      </c>
      <c r="T39" s="101" t="s">
        <v>573</v>
      </c>
      <c r="U39" s="101"/>
      <c r="V39" s="101"/>
      <c r="W39" s="101" t="s">
        <v>574</v>
      </c>
      <c r="X39" s="101" t="s">
        <v>575</v>
      </c>
      <c r="Y39" s="101"/>
      <c r="Z39" s="101" t="s">
        <v>576</v>
      </c>
      <c r="AA39" s="101" t="s">
        <v>577</v>
      </c>
      <c r="AB39" s="101" t="s">
        <v>578</v>
      </c>
      <c r="AC39" s="101" t="s">
        <v>579</v>
      </c>
      <c r="AD39" s="101" t="s">
        <v>580</v>
      </c>
      <c r="AE39" s="101" t="s">
        <v>581</v>
      </c>
      <c r="AF39" s="101" t="s">
        <v>582</v>
      </c>
      <c r="AG39" s="101" t="s">
        <v>583</v>
      </c>
      <c r="AH39" s="101" t="s">
        <v>584</v>
      </c>
      <c r="AI39" s="101" t="s">
        <v>585</v>
      </c>
      <c r="AJ39" s="101"/>
    </row>
    <row r="40" spans="1:36" x14ac:dyDescent="0.2">
      <c r="A40" s="1" t="s">
        <v>164</v>
      </c>
      <c r="B40" s="1" t="s">
        <v>30</v>
      </c>
      <c r="C40" s="1" t="s">
        <v>31</v>
      </c>
      <c r="D40" s="1" t="s">
        <v>32</v>
      </c>
      <c r="E40" s="1" t="s">
        <v>165</v>
      </c>
      <c r="F40" s="1" t="s">
        <v>150</v>
      </c>
      <c r="G40" s="1" t="s">
        <v>166</v>
      </c>
      <c r="H40" s="1" t="s">
        <v>42</v>
      </c>
      <c r="I40" s="1" t="s">
        <v>37</v>
      </c>
      <c r="J40" s="101" t="s">
        <v>30</v>
      </c>
      <c r="K40" s="101" t="s">
        <v>159</v>
      </c>
      <c r="L40" s="101" t="s">
        <v>150</v>
      </c>
      <c r="M40" s="101" t="s">
        <v>160</v>
      </c>
      <c r="N40" s="189">
        <v>12180</v>
      </c>
      <c r="O40" s="101" t="s">
        <v>568</v>
      </c>
      <c r="P40" s="101" t="s">
        <v>569</v>
      </c>
      <c r="Q40" s="101" t="s">
        <v>570</v>
      </c>
      <c r="R40" s="101" t="s">
        <v>571</v>
      </c>
      <c r="S40" s="101" t="s">
        <v>572</v>
      </c>
      <c r="T40" s="101" t="s">
        <v>573</v>
      </c>
      <c r="U40" s="101"/>
      <c r="V40" s="101"/>
      <c r="W40" s="101" t="s">
        <v>574</v>
      </c>
      <c r="X40" s="101" t="s">
        <v>575</v>
      </c>
      <c r="Y40" s="101"/>
      <c r="Z40" s="101" t="s">
        <v>576</v>
      </c>
      <c r="AA40" s="101" t="s">
        <v>577</v>
      </c>
      <c r="AB40" s="101" t="s">
        <v>578</v>
      </c>
      <c r="AC40" s="101" t="s">
        <v>579</v>
      </c>
      <c r="AD40" s="101" t="s">
        <v>580</v>
      </c>
      <c r="AE40" s="101" t="s">
        <v>581</v>
      </c>
      <c r="AF40" s="101" t="s">
        <v>582</v>
      </c>
      <c r="AG40" s="101" t="s">
        <v>583</v>
      </c>
      <c r="AH40" s="101" t="s">
        <v>584</v>
      </c>
      <c r="AI40" s="101" t="s">
        <v>585</v>
      </c>
      <c r="AJ40" s="101"/>
    </row>
    <row r="41" spans="1:36" x14ac:dyDescent="0.2">
      <c r="A41" s="1" t="s">
        <v>167</v>
      </c>
      <c r="B41" s="1" t="s">
        <v>30</v>
      </c>
      <c r="C41" s="1" t="s">
        <v>31</v>
      </c>
      <c r="D41" s="1" t="s">
        <v>32</v>
      </c>
      <c r="E41" s="1" t="s">
        <v>168</v>
      </c>
      <c r="F41" s="1" t="s">
        <v>150</v>
      </c>
      <c r="G41" s="1" t="s">
        <v>169</v>
      </c>
      <c r="H41" s="1" t="s">
        <v>42</v>
      </c>
      <c r="I41" s="1" t="s">
        <v>37</v>
      </c>
      <c r="J41" s="101" t="s">
        <v>30</v>
      </c>
      <c r="K41" s="101" t="s">
        <v>162</v>
      </c>
      <c r="L41" s="101" t="s">
        <v>150</v>
      </c>
      <c r="M41" s="101" t="s">
        <v>163</v>
      </c>
      <c r="N41" s="189">
        <v>12430</v>
      </c>
      <c r="O41" s="101" t="s">
        <v>568</v>
      </c>
      <c r="P41" s="101" t="s">
        <v>569</v>
      </c>
      <c r="Q41" s="101" t="s">
        <v>570</v>
      </c>
      <c r="R41" s="101" t="s">
        <v>571</v>
      </c>
      <c r="S41" s="101" t="s">
        <v>572</v>
      </c>
      <c r="T41" s="101" t="s">
        <v>573</v>
      </c>
      <c r="U41" s="101"/>
      <c r="V41" s="101"/>
      <c r="W41" s="101" t="s">
        <v>574</v>
      </c>
      <c r="X41" s="101" t="s">
        <v>575</v>
      </c>
      <c r="Y41" s="101"/>
      <c r="Z41" s="101" t="s">
        <v>576</v>
      </c>
      <c r="AA41" s="101" t="s">
        <v>577</v>
      </c>
      <c r="AB41" s="101" t="s">
        <v>578</v>
      </c>
      <c r="AC41" s="101" t="s">
        <v>579</v>
      </c>
      <c r="AD41" s="101" t="s">
        <v>580</v>
      </c>
      <c r="AE41" s="101" t="s">
        <v>581</v>
      </c>
      <c r="AF41" s="101" t="s">
        <v>582</v>
      </c>
      <c r="AG41" s="101" t="s">
        <v>583</v>
      </c>
      <c r="AH41" s="101" t="s">
        <v>584</v>
      </c>
      <c r="AI41" s="101" t="s">
        <v>585</v>
      </c>
      <c r="AJ41" s="101"/>
    </row>
    <row r="42" spans="1:36" x14ac:dyDescent="0.2">
      <c r="A42" s="1" t="s">
        <v>170</v>
      </c>
      <c r="B42" s="1" t="s">
        <v>30</v>
      </c>
      <c r="C42" s="1" t="s">
        <v>31</v>
      </c>
      <c r="D42" s="1" t="s">
        <v>32</v>
      </c>
      <c r="E42" s="1" t="s">
        <v>171</v>
      </c>
      <c r="F42" s="1" t="s">
        <v>150</v>
      </c>
      <c r="G42" s="1" t="s">
        <v>172</v>
      </c>
      <c r="H42" s="1" t="s">
        <v>42</v>
      </c>
      <c r="I42" s="1" t="s">
        <v>37</v>
      </c>
      <c r="J42" s="101" t="s">
        <v>30</v>
      </c>
      <c r="K42" s="101" t="s">
        <v>165</v>
      </c>
      <c r="L42" s="101" t="s">
        <v>150</v>
      </c>
      <c r="M42" s="101" t="s">
        <v>166</v>
      </c>
      <c r="N42" s="189">
        <v>12430</v>
      </c>
      <c r="O42" s="101" t="s">
        <v>568</v>
      </c>
      <c r="P42" s="101" t="s">
        <v>569</v>
      </c>
      <c r="Q42" s="101" t="s">
        <v>570</v>
      </c>
      <c r="R42" s="101" t="s">
        <v>571</v>
      </c>
      <c r="S42" s="101" t="s">
        <v>572</v>
      </c>
      <c r="T42" s="101" t="s">
        <v>573</v>
      </c>
      <c r="U42" s="101"/>
      <c r="V42" s="101"/>
      <c r="W42" s="101" t="s">
        <v>574</v>
      </c>
      <c r="X42" s="101" t="s">
        <v>575</v>
      </c>
      <c r="Y42" s="101"/>
      <c r="Z42" s="101" t="s">
        <v>576</v>
      </c>
      <c r="AA42" s="101" t="s">
        <v>577</v>
      </c>
      <c r="AB42" s="101" t="s">
        <v>578</v>
      </c>
      <c r="AC42" s="101" t="s">
        <v>579</v>
      </c>
      <c r="AD42" s="101" t="s">
        <v>580</v>
      </c>
      <c r="AE42" s="101" t="s">
        <v>581</v>
      </c>
      <c r="AF42" s="101" t="s">
        <v>582</v>
      </c>
      <c r="AG42" s="101" t="s">
        <v>583</v>
      </c>
      <c r="AH42" s="101" t="s">
        <v>584</v>
      </c>
      <c r="AI42" s="101" t="s">
        <v>585</v>
      </c>
      <c r="AJ42" s="101"/>
    </row>
    <row r="43" spans="1:36" x14ac:dyDescent="0.2">
      <c r="A43" s="1" t="s">
        <v>173</v>
      </c>
      <c r="B43" s="1" t="s">
        <v>30</v>
      </c>
      <c r="C43" s="1" t="s">
        <v>31</v>
      </c>
      <c r="D43" s="1" t="s">
        <v>32</v>
      </c>
      <c r="E43" s="1" t="s">
        <v>174</v>
      </c>
      <c r="F43" s="1" t="s">
        <v>34</v>
      </c>
      <c r="G43" s="1" t="s">
        <v>175</v>
      </c>
      <c r="H43" s="1" t="s">
        <v>66</v>
      </c>
      <c r="I43" s="1" t="s">
        <v>37</v>
      </c>
      <c r="J43" s="101" t="s">
        <v>30</v>
      </c>
      <c r="K43" s="101" t="s">
        <v>168</v>
      </c>
      <c r="L43" s="101" t="s">
        <v>150</v>
      </c>
      <c r="M43" s="101" t="s">
        <v>169</v>
      </c>
      <c r="N43" s="189">
        <v>12430</v>
      </c>
      <c r="O43" s="101" t="s">
        <v>568</v>
      </c>
      <c r="P43" s="101" t="s">
        <v>569</v>
      </c>
      <c r="Q43" s="101" t="s">
        <v>570</v>
      </c>
      <c r="R43" s="101" t="s">
        <v>571</v>
      </c>
      <c r="S43" s="101" t="s">
        <v>572</v>
      </c>
      <c r="T43" s="101" t="s">
        <v>573</v>
      </c>
      <c r="U43" s="101"/>
      <c r="V43" s="101"/>
      <c r="W43" s="101" t="s">
        <v>574</v>
      </c>
      <c r="X43" s="101" t="s">
        <v>575</v>
      </c>
      <c r="Y43" s="101"/>
      <c r="Z43" s="101" t="s">
        <v>576</v>
      </c>
      <c r="AA43" s="101" t="s">
        <v>577</v>
      </c>
      <c r="AB43" s="101" t="s">
        <v>578</v>
      </c>
      <c r="AC43" s="101" t="s">
        <v>579</v>
      </c>
      <c r="AD43" s="101" t="s">
        <v>580</v>
      </c>
      <c r="AE43" s="101" t="s">
        <v>581</v>
      </c>
      <c r="AF43" s="101" t="s">
        <v>582</v>
      </c>
      <c r="AG43" s="101" t="s">
        <v>583</v>
      </c>
      <c r="AH43" s="101" t="s">
        <v>584</v>
      </c>
      <c r="AI43" s="101" t="s">
        <v>585</v>
      </c>
      <c r="AJ43" s="101"/>
    </row>
    <row r="44" spans="1:36" x14ac:dyDescent="0.2">
      <c r="A44" s="1" t="s">
        <v>176</v>
      </c>
      <c r="B44" s="1" t="s">
        <v>30</v>
      </c>
      <c r="C44" s="1" t="s">
        <v>31</v>
      </c>
      <c r="D44" s="1" t="s">
        <v>32</v>
      </c>
      <c r="E44" s="1" t="s">
        <v>177</v>
      </c>
      <c r="F44" s="1" t="s">
        <v>150</v>
      </c>
      <c r="G44" s="1" t="s">
        <v>178</v>
      </c>
      <c r="H44" s="1" t="s">
        <v>42</v>
      </c>
      <c r="I44" s="1" t="s">
        <v>37</v>
      </c>
      <c r="J44" s="101" t="s">
        <v>30</v>
      </c>
      <c r="K44" s="101" t="s">
        <v>326</v>
      </c>
      <c r="L44" s="101" t="s">
        <v>323</v>
      </c>
      <c r="M44" s="101" t="s">
        <v>327</v>
      </c>
      <c r="N44" s="189">
        <v>12440</v>
      </c>
      <c r="O44" s="101" t="s">
        <v>568</v>
      </c>
      <c r="P44" s="101" t="s">
        <v>569</v>
      </c>
      <c r="Q44" s="101" t="s">
        <v>570</v>
      </c>
      <c r="R44" s="101" t="s">
        <v>571</v>
      </c>
      <c r="S44" s="101" t="s">
        <v>572</v>
      </c>
      <c r="T44" s="101" t="s">
        <v>573</v>
      </c>
      <c r="U44" s="101"/>
      <c r="V44" s="101"/>
      <c r="W44" s="101" t="s">
        <v>574</v>
      </c>
      <c r="X44" s="101" t="s">
        <v>575</v>
      </c>
      <c r="Y44" s="101"/>
      <c r="Z44" s="101" t="s">
        <v>576</v>
      </c>
      <c r="AA44" s="101" t="s">
        <v>577</v>
      </c>
      <c r="AB44" s="101" t="s">
        <v>578</v>
      </c>
      <c r="AC44" s="101" t="s">
        <v>579</v>
      </c>
      <c r="AD44" s="101" t="s">
        <v>580</v>
      </c>
      <c r="AE44" s="101" t="s">
        <v>581</v>
      </c>
      <c r="AF44" s="101" t="s">
        <v>582</v>
      </c>
      <c r="AG44" s="101" t="s">
        <v>583</v>
      </c>
      <c r="AH44" s="101" t="s">
        <v>584</v>
      </c>
      <c r="AI44" s="101" t="s">
        <v>585</v>
      </c>
      <c r="AJ44" s="101"/>
    </row>
    <row r="45" spans="1:36" x14ac:dyDescent="0.2">
      <c r="A45" s="1" t="s">
        <v>179</v>
      </c>
      <c r="B45" s="1" t="s">
        <v>30</v>
      </c>
      <c r="C45" s="1" t="s">
        <v>31</v>
      </c>
      <c r="D45" s="1" t="s">
        <v>32</v>
      </c>
      <c r="E45" s="1" t="s">
        <v>180</v>
      </c>
      <c r="F45" s="1" t="s">
        <v>150</v>
      </c>
      <c r="G45" s="1" t="s">
        <v>181</v>
      </c>
      <c r="H45" s="1" t="s">
        <v>42</v>
      </c>
      <c r="I45" s="1" t="s">
        <v>37</v>
      </c>
      <c r="J45" s="101" t="s">
        <v>30</v>
      </c>
      <c r="K45" s="101" t="s">
        <v>306</v>
      </c>
      <c r="L45" s="101" t="s">
        <v>150</v>
      </c>
      <c r="M45" s="101" t="s">
        <v>307</v>
      </c>
      <c r="N45" s="189">
        <v>12000</v>
      </c>
      <c r="O45" s="101" t="s">
        <v>568</v>
      </c>
      <c r="P45" s="101" t="s">
        <v>569</v>
      </c>
      <c r="Q45" s="101" t="s">
        <v>570</v>
      </c>
      <c r="R45" s="101" t="s">
        <v>571</v>
      </c>
      <c r="S45" s="101" t="s">
        <v>572</v>
      </c>
      <c r="T45" s="101" t="s">
        <v>573</v>
      </c>
      <c r="U45" s="101"/>
      <c r="V45" s="101"/>
      <c r="W45" s="101" t="s">
        <v>574</v>
      </c>
      <c r="X45" s="101" t="s">
        <v>575</v>
      </c>
      <c r="Y45" s="101"/>
      <c r="Z45" s="101" t="s">
        <v>576</v>
      </c>
      <c r="AA45" s="101" t="s">
        <v>577</v>
      </c>
      <c r="AB45" s="101" t="s">
        <v>578</v>
      </c>
      <c r="AC45" s="101" t="s">
        <v>579</v>
      </c>
      <c r="AD45" s="101" t="s">
        <v>580</v>
      </c>
      <c r="AE45" s="101" t="s">
        <v>581</v>
      </c>
      <c r="AF45" s="101" t="s">
        <v>582</v>
      </c>
      <c r="AG45" s="101" t="s">
        <v>583</v>
      </c>
      <c r="AH45" s="101" t="s">
        <v>584</v>
      </c>
      <c r="AI45" s="101" t="s">
        <v>585</v>
      </c>
      <c r="AJ45" s="101"/>
    </row>
    <row r="46" spans="1:36" x14ac:dyDescent="0.2">
      <c r="A46" s="1" t="s">
        <v>182</v>
      </c>
      <c r="B46" s="1" t="s">
        <v>30</v>
      </c>
      <c r="C46" s="1" t="s">
        <v>31</v>
      </c>
      <c r="D46" s="1" t="s">
        <v>32</v>
      </c>
      <c r="E46" s="1" t="s">
        <v>183</v>
      </c>
      <c r="F46" s="1" t="s">
        <v>150</v>
      </c>
      <c r="G46" s="1" t="s">
        <v>184</v>
      </c>
      <c r="H46" s="1" t="s">
        <v>42</v>
      </c>
      <c r="I46" s="1" t="s">
        <v>37</v>
      </c>
      <c r="J46" s="101" t="s">
        <v>30</v>
      </c>
      <c r="K46" s="101" t="s">
        <v>177</v>
      </c>
      <c r="L46" s="101" t="s">
        <v>150</v>
      </c>
      <c r="M46" s="101" t="s">
        <v>178</v>
      </c>
      <c r="N46" s="189">
        <v>12440</v>
      </c>
      <c r="O46" s="101" t="s">
        <v>568</v>
      </c>
      <c r="P46" s="101" t="s">
        <v>569</v>
      </c>
      <c r="Q46" s="101" t="s">
        <v>570</v>
      </c>
      <c r="R46" s="101" t="s">
        <v>571</v>
      </c>
      <c r="S46" s="101" t="s">
        <v>572</v>
      </c>
      <c r="T46" s="101" t="s">
        <v>573</v>
      </c>
      <c r="U46" s="101"/>
      <c r="V46" s="101"/>
      <c r="W46" s="101" t="s">
        <v>574</v>
      </c>
      <c r="X46" s="101" t="s">
        <v>575</v>
      </c>
      <c r="Y46" s="101"/>
      <c r="Z46" s="101" t="s">
        <v>576</v>
      </c>
      <c r="AA46" s="101" t="s">
        <v>577</v>
      </c>
      <c r="AB46" s="101" t="s">
        <v>578</v>
      </c>
      <c r="AC46" s="101" t="s">
        <v>579</v>
      </c>
      <c r="AD46" s="101" t="s">
        <v>580</v>
      </c>
      <c r="AE46" s="101" t="s">
        <v>581</v>
      </c>
      <c r="AF46" s="101" t="s">
        <v>582</v>
      </c>
      <c r="AG46" s="101" t="s">
        <v>583</v>
      </c>
      <c r="AH46" s="101" t="s">
        <v>584</v>
      </c>
      <c r="AI46" s="101" t="s">
        <v>585</v>
      </c>
      <c r="AJ46" s="101"/>
    </row>
    <row r="47" spans="1:36" x14ac:dyDescent="0.2">
      <c r="A47" s="1" t="s">
        <v>185</v>
      </c>
      <c r="B47" s="1" t="s">
        <v>30</v>
      </c>
      <c r="C47" s="1" t="s">
        <v>31</v>
      </c>
      <c r="D47" s="1" t="s">
        <v>32</v>
      </c>
      <c r="E47" s="1" t="s">
        <v>186</v>
      </c>
      <c r="F47" s="1" t="s">
        <v>150</v>
      </c>
      <c r="G47" s="1" t="s">
        <v>187</v>
      </c>
      <c r="H47" s="1" t="s">
        <v>42</v>
      </c>
      <c r="I47" s="1" t="s">
        <v>37</v>
      </c>
      <c r="J47" s="101" t="s">
        <v>30</v>
      </c>
      <c r="K47" s="101" t="s">
        <v>180</v>
      </c>
      <c r="L47" s="101" t="s">
        <v>150</v>
      </c>
      <c r="M47" s="101" t="s">
        <v>181</v>
      </c>
      <c r="N47" s="189">
        <v>12470</v>
      </c>
      <c r="O47" s="101" t="s">
        <v>568</v>
      </c>
      <c r="P47" s="101" t="s">
        <v>569</v>
      </c>
      <c r="Q47" s="101" t="s">
        <v>570</v>
      </c>
      <c r="R47" s="101" t="s">
        <v>571</v>
      </c>
      <c r="S47" s="101" t="s">
        <v>572</v>
      </c>
      <c r="T47" s="101" t="s">
        <v>573</v>
      </c>
      <c r="U47" s="101" t="s">
        <v>586</v>
      </c>
      <c r="V47" s="101"/>
      <c r="W47" s="101" t="s">
        <v>574</v>
      </c>
      <c r="X47" s="101" t="s">
        <v>575</v>
      </c>
      <c r="Y47" s="101"/>
      <c r="Z47" s="101" t="s">
        <v>576</v>
      </c>
      <c r="AA47" s="101" t="s">
        <v>577</v>
      </c>
      <c r="AB47" s="101"/>
      <c r="AC47" s="101"/>
      <c r="AD47" s="101"/>
      <c r="AE47" s="101"/>
      <c r="AF47" s="101"/>
      <c r="AG47" s="101"/>
      <c r="AH47" s="101"/>
      <c r="AI47" s="101"/>
      <c r="AJ47" s="101"/>
    </row>
    <row r="48" spans="1:36" x14ac:dyDescent="0.2">
      <c r="A48" s="1" t="s">
        <v>188</v>
      </c>
      <c r="B48" s="1" t="s">
        <v>30</v>
      </c>
      <c r="C48" s="1" t="s">
        <v>31</v>
      </c>
      <c r="D48" s="1" t="s">
        <v>32</v>
      </c>
      <c r="E48" s="1" t="s">
        <v>189</v>
      </c>
      <c r="F48" s="1" t="s">
        <v>150</v>
      </c>
      <c r="G48" s="1" t="s">
        <v>190</v>
      </c>
      <c r="H48" s="1" t="s">
        <v>42</v>
      </c>
      <c r="I48" s="1" t="s">
        <v>37</v>
      </c>
      <c r="J48" s="101" t="s">
        <v>30</v>
      </c>
      <c r="K48" s="101" t="s">
        <v>183</v>
      </c>
      <c r="L48" s="101" t="s">
        <v>150</v>
      </c>
      <c r="M48" s="101" t="s">
        <v>184</v>
      </c>
      <c r="N48" s="189">
        <v>12210</v>
      </c>
      <c r="O48" s="101" t="s">
        <v>568</v>
      </c>
      <c r="P48" s="101" t="s">
        <v>569</v>
      </c>
      <c r="Q48" s="101" t="s">
        <v>570</v>
      </c>
      <c r="R48" s="101" t="s">
        <v>571</v>
      </c>
      <c r="S48" s="101" t="s">
        <v>572</v>
      </c>
      <c r="T48" s="101" t="s">
        <v>573</v>
      </c>
      <c r="U48" s="101"/>
      <c r="V48" s="101"/>
      <c r="W48" s="101" t="s">
        <v>574</v>
      </c>
      <c r="X48" s="101" t="s">
        <v>575</v>
      </c>
      <c r="Y48" s="101"/>
      <c r="Z48" s="101" t="s">
        <v>576</v>
      </c>
      <c r="AA48" s="101" t="s">
        <v>577</v>
      </c>
      <c r="AB48" s="101" t="s">
        <v>578</v>
      </c>
      <c r="AC48" s="101" t="s">
        <v>579</v>
      </c>
      <c r="AD48" s="101" t="s">
        <v>580</v>
      </c>
      <c r="AE48" s="101" t="s">
        <v>581</v>
      </c>
      <c r="AF48" s="101" t="s">
        <v>582</v>
      </c>
      <c r="AG48" s="101" t="s">
        <v>583</v>
      </c>
      <c r="AH48" s="101" t="s">
        <v>584</v>
      </c>
      <c r="AI48" s="101" t="s">
        <v>585</v>
      </c>
      <c r="AJ48" s="101"/>
    </row>
    <row r="49" spans="1:36" x14ac:dyDescent="0.2">
      <c r="A49" s="1" t="s">
        <v>191</v>
      </c>
      <c r="B49" s="1" t="s">
        <v>30</v>
      </c>
      <c r="C49" s="1" t="s">
        <v>31</v>
      </c>
      <c r="D49" s="1" t="s">
        <v>32</v>
      </c>
      <c r="E49" s="1" t="s">
        <v>192</v>
      </c>
      <c r="F49" s="1" t="s">
        <v>150</v>
      </c>
      <c r="G49" s="1" t="s">
        <v>193</v>
      </c>
      <c r="H49" s="1" t="s">
        <v>42</v>
      </c>
      <c r="I49" s="1" t="s">
        <v>37</v>
      </c>
      <c r="J49" s="101" t="s">
        <v>30</v>
      </c>
      <c r="K49" s="101" t="s">
        <v>186</v>
      </c>
      <c r="L49" s="101" t="s">
        <v>150</v>
      </c>
      <c r="M49" s="101" t="s">
        <v>187</v>
      </c>
      <c r="N49" s="189">
        <v>12430</v>
      </c>
      <c r="O49" s="101" t="s">
        <v>568</v>
      </c>
      <c r="P49" s="101" t="s">
        <v>569</v>
      </c>
      <c r="Q49" s="101" t="s">
        <v>570</v>
      </c>
      <c r="R49" s="101" t="s">
        <v>571</v>
      </c>
      <c r="S49" s="101" t="s">
        <v>572</v>
      </c>
      <c r="T49" s="101" t="s">
        <v>573</v>
      </c>
      <c r="U49" s="101"/>
      <c r="V49" s="101"/>
      <c r="W49" s="101" t="s">
        <v>574</v>
      </c>
      <c r="X49" s="101" t="s">
        <v>575</v>
      </c>
      <c r="Y49" s="101"/>
      <c r="Z49" s="101" t="s">
        <v>576</v>
      </c>
      <c r="AA49" s="101" t="s">
        <v>577</v>
      </c>
      <c r="AB49" s="101" t="s">
        <v>578</v>
      </c>
      <c r="AC49" s="101" t="s">
        <v>579</v>
      </c>
      <c r="AD49" s="101" t="s">
        <v>580</v>
      </c>
      <c r="AE49" s="101" t="s">
        <v>581</v>
      </c>
      <c r="AF49" s="101" t="s">
        <v>582</v>
      </c>
      <c r="AG49" s="101" t="s">
        <v>583</v>
      </c>
      <c r="AH49" s="101" t="s">
        <v>584</v>
      </c>
      <c r="AI49" s="101" t="s">
        <v>585</v>
      </c>
      <c r="AJ49" s="101"/>
    </row>
    <row r="50" spans="1:36" x14ac:dyDescent="0.2">
      <c r="A50" s="1" t="s">
        <v>194</v>
      </c>
      <c r="B50" s="1" t="s">
        <v>30</v>
      </c>
      <c r="C50" s="1" t="s">
        <v>31</v>
      </c>
      <c r="D50" s="1" t="s">
        <v>32</v>
      </c>
      <c r="E50" s="1" t="s">
        <v>195</v>
      </c>
      <c r="F50" s="1" t="s">
        <v>150</v>
      </c>
      <c r="G50" s="1" t="s">
        <v>196</v>
      </c>
      <c r="H50" s="1" t="s">
        <v>42</v>
      </c>
      <c r="I50" s="1" t="s">
        <v>37</v>
      </c>
      <c r="J50" s="101" t="s">
        <v>30</v>
      </c>
      <c r="K50" s="101" t="s">
        <v>189</v>
      </c>
      <c r="L50" s="101" t="s">
        <v>150</v>
      </c>
      <c r="M50" s="101" t="s">
        <v>190</v>
      </c>
      <c r="N50" s="189">
        <v>12020</v>
      </c>
      <c r="O50" s="101" t="s">
        <v>568</v>
      </c>
      <c r="P50" s="101" t="s">
        <v>569</v>
      </c>
      <c r="Q50" s="101" t="s">
        <v>570</v>
      </c>
      <c r="R50" s="101" t="s">
        <v>571</v>
      </c>
      <c r="S50" s="101" t="s">
        <v>572</v>
      </c>
      <c r="T50" s="101" t="s">
        <v>573</v>
      </c>
      <c r="U50" s="101"/>
      <c r="V50" s="101"/>
      <c r="W50" s="101" t="s">
        <v>574</v>
      </c>
      <c r="X50" s="101" t="s">
        <v>575</v>
      </c>
      <c r="Y50" s="101"/>
      <c r="Z50" s="101" t="s">
        <v>576</v>
      </c>
      <c r="AA50" s="101" t="s">
        <v>577</v>
      </c>
      <c r="AB50" s="101" t="s">
        <v>578</v>
      </c>
      <c r="AC50" s="101" t="s">
        <v>579</v>
      </c>
      <c r="AD50" s="101" t="s">
        <v>580</v>
      </c>
      <c r="AE50" s="101" t="s">
        <v>581</v>
      </c>
      <c r="AF50" s="101" t="s">
        <v>582</v>
      </c>
      <c r="AG50" s="101" t="s">
        <v>583</v>
      </c>
      <c r="AH50" s="101" t="s">
        <v>584</v>
      </c>
      <c r="AI50" s="101" t="s">
        <v>585</v>
      </c>
      <c r="AJ50" s="101"/>
    </row>
    <row r="51" spans="1:36" x14ac:dyDescent="0.2">
      <c r="A51" s="1" t="s">
        <v>197</v>
      </c>
      <c r="B51" s="1" t="s">
        <v>30</v>
      </c>
      <c r="C51" s="1" t="s">
        <v>31</v>
      </c>
      <c r="D51" s="1" t="s">
        <v>32</v>
      </c>
      <c r="E51" s="1" t="s">
        <v>198</v>
      </c>
      <c r="F51" s="1" t="s">
        <v>150</v>
      </c>
      <c r="G51" s="1" t="s">
        <v>199</v>
      </c>
      <c r="H51" s="1" t="s">
        <v>42</v>
      </c>
      <c r="I51" s="1" t="s">
        <v>37</v>
      </c>
      <c r="J51" s="101" t="s">
        <v>30</v>
      </c>
      <c r="K51" s="101" t="s">
        <v>192</v>
      </c>
      <c r="L51" s="101" t="s">
        <v>150</v>
      </c>
      <c r="M51" s="101" t="s">
        <v>193</v>
      </c>
      <c r="N51" s="189">
        <v>12440</v>
      </c>
      <c r="O51" s="101" t="s">
        <v>568</v>
      </c>
      <c r="P51" s="101" t="s">
        <v>569</v>
      </c>
      <c r="Q51" s="101" t="s">
        <v>570</v>
      </c>
      <c r="R51" s="101" t="s">
        <v>571</v>
      </c>
      <c r="S51" s="101" t="s">
        <v>572</v>
      </c>
      <c r="T51" s="101" t="s">
        <v>573</v>
      </c>
      <c r="U51" s="101"/>
      <c r="V51" s="101"/>
      <c r="W51" s="101" t="s">
        <v>574</v>
      </c>
      <c r="X51" s="101" t="s">
        <v>575</v>
      </c>
      <c r="Y51" s="101"/>
      <c r="Z51" s="101" t="s">
        <v>576</v>
      </c>
      <c r="AA51" s="101" t="s">
        <v>577</v>
      </c>
      <c r="AB51" s="101" t="s">
        <v>578</v>
      </c>
      <c r="AC51" s="101" t="s">
        <v>579</v>
      </c>
      <c r="AD51" s="101" t="s">
        <v>580</v>
      </c>
      <c r="AE51" s="101" t="s">
        <v>581</v>
      </c>
      <c r="AF51" s="101" t="s">
        <v>582</v>
      </c>
      <c r="AG51" s="101" t="s">
        <v>583</v>
      </c>
      <c r="AH51" s="101" t="s">
        <v>584</v>
      </c>
      <c r="AI51" s="101" t="s">
        <v>585</v>
      </c>
      <c r="AJ51" s="101"/>
    </row>
    <row r="52" spans="1:36" x14ac:dyDescent="0.2">
      <c r="A52" s="1" t="s">
        <v>200</v>
      </c>
      <c r="B52" s="1" t="s">
        <v>30</v>
      </c>
      <c r="C52" s="1" t="s">
        <v>31</v>
      </c>
      <c r="D52" s="1" t="s">
        <v>32</v>
      </c>
      <c r="E52" s="1" t="s">
        <v>201</v>
      </c>
      <c r="F52" s="1" t="s">
        <v>150</v>
      </c>
      <c r="G52" s="1" t="s">
        <v>202</v>
      </c>
      <c r="H52" s="1" t="s">
        <v>42</v>
      </c>
      <c r="I52" s="1" t="s">
        <v>37</v>
      </c>
      <c r="J52" s="101" t="s">
        <v>30</v>
      </c>
      <c r="K52" s="101" t="s">
        <v>195</v>
      </c>
      <c r="L52" s="101" t="s">
        <v>150</v>
      </c>
      <c r="M52" s="101" t="s">
        <v>196</v>
      </c>
      <c r="N52" s="189">
        <v>12430</v>
      </c>
      <c r="O52" s="101" t="s">
        <v>568</v>
      </c>
      <c r="P52" s="101" t="s">
        <v>569</v>
      </c>
      <c r="Q52" s="101" t="s">
        <v>570</v>
      </c>
      <c r="R52" s="101" t="s">
        <v>571</v>
      </c>
      <c r="S52" s="101" t="s">
        <v>572</v>
      </c>
      <c r="T52" s="101" t="s">
        <v>573</v>
      </c>
      <c r="U52" s="101"/>
      <c r="V52" s="101"/>
      <c r="W52" s="101" t="s">
        <v>574</v>
      </c>
      <c r="X52" s="101" t="s">
        <v>575</v>
      </c>
      <c r="Y52" s="101"/>
      <c r="Z52" s="101" t="s">
        <v>576</v>
      </c>
      <c r="AA52" s="101" t="s">
        <v>577</v>
      </c>
      <c r="AB52" s="101" t="s">
        <v>578</v>
      </c>
      <c r="AC52" s="101" t="s">
        <v>579</v>
      </c>
      <c r="AD52" s="101" t="s">
        <v>580</v>
      </c>
      <c r="AE52" s="101" t="s">
        <v>581</v>
      </c>
      <c r="AF52" s="101" t="s">
        <v>582</v>
      </c>
      <c r="AG52" s="101" t="s">
        <v>583</v>
      </c>
      <c r="AH52" s="101" t="s">
        <v>584</v>
      </c>
      <c r="AI52" s="101" t="s">
        <v>585</v>
      </c>
      <c r="AJ52" s="101"/>
    </row>
    <row r="53" spans="1:36" x14ac:dyDescent="0.2">
      <c r="A53" s="1" t="s">
        <v>203</v>
      </c>
      <c r="B53" s="1" t="s">
        <v>30</v>
      </c>
      <c r="C53" s="1" t="s">
        <v>31</v>
      </c>
      <c r="D53" s="1" t="s">
        <v>32</v>
      </c>
      <c r="E53" s="1" t="s">
        <v>204</v>
      </c>
      <c r="F53" s="1" t="s">
        <v>150</v>
      </c>
      <c r="G53" s="1" t="s">
        <v>205</v>
      </c>
      <c r="H53" s="1" t="s">
        <v>42</v>
      </c>
      <c r="I53" s="1" t="s">
        <v>37</v>
      </c>
      <c r="J53" s="101" t="s">
        <v>30</v>
      </c>
      <c r="K53" s="101" t="s">
        <v>1370</v>
      </c>
      <c r="L53" s="101" t="s">
        <v>1366</v>
      </c>
      <c r="M53" s="101" t="s">
        <v>1371</v>
      </c>
      <c r="N53" s="189">
        <v>12460</v>
      </c>
      <c r="O53" s="101" t="s">
        <v>568</v>
      </c>
      <c r="P53" s="101" t="s">
        <v>569</v>
      </c>
      <c r="Q53" s="101" t="s">
        <v>570</v>
      </c>
      <c r="R53" s="101" t="s">
        <v>571</v>
      </c>
      <c r="S53" s="101" t="s">
        <v>572</v>
      </c>
      <c r="T53" s="101" t="s">
        <v>573</v>
      </c>
      <c r="U53" s="101"/>
      <c r="V53" s="101"/>
      <c r="W53" s="101"/>
      <c r="X53" s="101" t="s">
        <v>575</v>
      </c>
      <c r="Y53" s="101"/>
      <c r="Z53" s="101" t="s">
        <v>576</v>
      </c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</row>
    <row r="54" spans="1:36" x14ac:dyDescent="0.2">
      <c r="A54" s="1" t="s">
        <v>206</v>
      </c>
      <c r="B54" s="1" t="s">
        <v>30</v>
      </c>
      <c r="C54" s="1" t="s">
        <v>31</v>
      </c>
      <c r="D54" s="1" t="s">
        <v>32</v>
      </c>
      <c r="E54" s="1" t="s">
        <v>207</v>
      </c>
      <c r="F54" s="1" t="s">
        <v>150</v>
      </c>
      <c r="G54" s="1" t="s">
        <v>208</v>
      </c>
      <c r="H54" s="1" t="s">
        <v>42</v>
      </c>
      <c r="I54" s="1" t="s">
        <v>37</v>
      </c>
      <c r="J54" s="101" t="s">
        <v>30</v>
      </c>
      <c r="K54" s="101" t="s">
        <v>201</v>
      </c>
      <c r="L54" s="101" t="s">
        <v>150</v>
      </c>
      <c r="M54" s="101" t="s">
        <v>202</v>
      </c>
      <c r="N54" s="189">
        <v>12440</v>
      </c>
      <c r="O54" s="101" t="s">
        <v>568</v>
      </c>
      <c r="P54" s="101" t="s">
        <v>569</v>
      </c>
      <c r="Q54" s="101" t="s">
        <v>570</v>
      </c>
      <c r="R54" s="101" t="s">
        <v>571</v>
      </c>
      <c r="S54" s="101" t="s">
        <v>572</v>
      </c>
      <c r="T54" s="101" t="s">
        <v>573</v>
      </c>
      <c r="U54" s="101"/>
      <c r="V54" s="101"/>
      <c r="W54" s="101" t="s">
        <v>574</v>
      </c>
      <c r="X54" s="101" t="s">
        <v>575</v>
      </c>
      <c r="Y54" s="101"/>
      <c r="Z54" s="101" t="s">
        <v>576</v>
      </c>
      <c r="AA54" s="101" t="s">
        <v>577</v>
      </c>
      <c r="AB54" s="101" t="s">
        <v>578</v>
      </c>
      <c r="AC54" s="101" t="s">
        <v>579</v>
      </c>
      <c r="AD54" s="101" t="s">
        <v>580</v>
      </c>
      <c r="AE54" s="101" t="s">
        <v>581</v>
      </c>
      <c r="AF54" s="101" t="s">
        <v>582</v>
      </c>
      <c r="AG54" s="101" t="s">
        <v>583</v>
      </c>
      <c r="AH54" s="101" t="s">
        <v>584</v>
      </c>
      <c r="AI54" s="101" t="s">
        <v>585</v>
      </c>
      <c r="AJ54" s="101"/>
    </row>
    <row r="55" spans="1:36" x14ac:dyDescent="0.2">
      <c r="A55" s="1" t="s">
        <v>209</v>
      </c>
      <c r="B55" s="1" t="s">
        <v>30</v>
      </c>
      <c r="C55" s="1" t="s">
        <v>31</v>
      </c>
      <c r="D55" s="1" t="s">
        <v>32</v>
      </c>
      <c r="E55" s="1" t="s">
        <v>210</v>
      </c>
      <c r="F55" s="1" t="s">
        <v>150</v>
      </c>
      <c r="G55" s="1" t="s">
        <v>211</v>
      </c>
      <c r="H55" s="1" t="s">
        <v>42</v>
      </c>
      <c r="I55" s="1" t="s">
        <v>37</v>
      </c>
      <c r="J55" s="101" t="s">
        <v>30</v>
      </c>
      <c r="K55" s="101" t="s">
        <v>204</v>
      </c>
      <c r="L55" s="101" t="s">
        <v>150</v>
      </c>
      <c r="M55" s="101" t="s">
        <v>205</v>
      </c>
      <c r="N55" s="189">
        <v>12430</v>
      </c>
      <c r="O55" s="101" t="s">
        <v>568</v>
      </c>
      <c r="P55" s="101" t="s">
        <v>569</v>
      </c>
      <c r="Q55" s="101" t="s">
        <v>570</v>
      </c>
      <c r="R55" s="101" t="s">
        <v>571</v>
      </c>
      <c r="S55" s="101" t="s">
        <v>572</v>
      </c>
      <c r="T55" s="101" t="s">
        <v>573</v>
      </c>
      <c r="U55" s="101"/>
      <c r="V55" s="101"/>
      <c r="W55" s="101" t="s">
        <v>574</v>
      </c>
      <c r="X55" s="101" t="s">
        <v>575</v>
      </c>
      <c r="Y55" s="101"/>
      <c r="Z55" s="101" t="s">
        <v>576</v>
      </c>
      <c r="AA55" s="101" t="s">
        <v>577</v>
      </c>
      <c r="AB55" s="101" t="s">
        <v>578</v>
      </c>
      <c r="AC55" s="101" t="s">
        <v>579</v>
      </c>
      <c r="AD55" s="101" t="s">
        <v>580</v>
      </c>
      <c r="AE55" s="101" t="s">
        <v>581</v>
      </c>
      <c r="AF55" s="101" t="s">
        <v>582</v>
      </c>
      <c r="AG55" s="101" t="s">
        <v>583</v>
      </c>
      <c r="AH55" s="101" t="s">
        <v>584</v>
      </c>
      <c r="AI55" s="101" t="s">
        <v>585</v>
      </c>
      <c r="AJ55" s="101"/>
    </row>
    <row r="56" spans="1:36" x14ac:dyDescent="0.2">
      <c r="A56" s="1" t="s">
        <v>212</v>
      </c>
      <c r="B56" s="1" t="s">
        <v>30</v>
      </c>
      <c r="C56" s="1" t="s">
        <v>31</v>
      </c>
      <c r="D56" s="1" t="s">
        <v>32</v>
      </c>
      <c r="E56" s="1" t="s">
        <v>213</v>
      </c>
      <c r="F56" s="1" t="s">
        <v>150</v>
      </c>
      <c r="G56" s="1" t="s">
        <v>214</v>
      </c>
      <c r="H56" s="1" t="s">
        <v>42</v>
      </c>
      <c r="I56" s="1" t="s">
        <v>37</v>
      </c>
      <c r="J56" s="101" t="s">
        <v>30</v>
      </c>
      <c r="K56" s="101" t="s">
        <v>207</v>
      </c>
      <c r="L56" s="101" t="s">
        <v>150</v>
      </c>
      <c r="M56" s="101" t="s">
        <v>208</v>
      </c>
      <c r="N56" s="189">
        <v>12430</v>
      </c>
      <c r="O56" s="101" t="s">
        <v>568</v>
      </c>
      <c r="P56" s="101" t="s">
        <v>569</v>
      </c>
      <c r="Q56" s="101" t="s">
        <v>570</v>
      </c>
      <c r="R56" s="101" t="s">
        <v>571</v>
      </c>
      <c r="S56" s="101" t="s">
        <v>572</v>
      </c>
      <c r="T56" s="101" t="s">
        <v>573</v>
      </c>
      <c r="U56" s="101"/>
      <c r="V56" s="101"/>
      <c r="W56" s="101" t="s">
        <v>574</v>
      </c>
      <c r="X56" s="101" t="s">
        <v>575</v>
      </c>
      <c r="Y56" s="101"/>
      <c r="Z56" s="101" t="s">
        <v>576</v>
      </c>
      <c r="AA56" s="101" t="s">
        <v>577</v>
      </c>
      <c r="AB56" s="101" t="s">
        <v>578</v>
      </c>
      <c r="AC56" s="101" t="s">
        <v>579</v>
      </c>
      <c r="AD56" s="101" t="s">
        <v>580</v>
      </c>
      <c r="AE56" s="101" t="s">
        <v>581</v>
      </c>
      <c r="AF56" s="101" t="s">
        <v>582</v>
      </c>
      <c r="AG56" s="101" t="s">
        <v>583</v>
      </c>
      <c r="AH56" s="101" t="s">
        <v>584</v>
      </c>
      <c r="AI56" s="101" t="s">
        <v>585</v>
      </c>
      <c r="AJ56" s="101"/>
    </row>
    <row r="57" spans="1:36" x14ac:dyDescent="0.2">
      <c r="A57" s="1" t="s">
        <v>215</v>
      </c>
      <c r="B57" s="1" t="s">
        <v>30</v>
      </c>
      <c r="C57" s="1" t="s">
        <v>31</v>
      </c>
      <c r="D57" s="1" t="s">
        <v>32</v>
      </c>
      <c r="E57" s="1" t="s">
        <v>216</v>
      </c>
      <c r="F57" s="1" t="s">
        <v>150</v>
      </c>
      <c r="G57" s="1" t="s">
        <v>217</v>
      </c>
      <c r="H57" s="1" t="s">
        <v>42</v>
      </c>
      <c r="I57" s="1" t="s">
        <v>37</v>
      </c>
      <c r="J57" s="101" t="s">
        <v>30</v>
      </c>
      <c r="K57" s="101" t="s">
        <v>210</v>
      </c>
      <c r="L57" s="101" t="s">
        <v>150</v>
      </c>
      <c r="M57" s="101" t="s">
        <v>211</v>
      </c>
      <c r="N57" s="189">
        <v>12420</v>
      </c>
      <c r="O57" s="101" t="s">
        <v>568</v>
      </c>
      <c r="P57" s="101" t="s">
        <v>569</v>
      </c>
      <c r="Q57" s="101" t="s">
        <v>570</v>
      </c>
      <c r="R57" s="101" t="s">
        <v>571</v>
      </c>
      <c r="S57" s="101" t="s">
        <v>572</v>
      </c>
      <c r="T57" s="101" t="s">
        <v>573</v>
      </c>
      <c r="U57" s="101"/>
      <c r="V57" s="101"/>
      <c r="W57" s="101" t="s">
        <v>574</v>
      </c>
      <c r="X57" s="101" t="s">
        <v>575</v>
      </c>
      <c r="Y57" s="101"/>
      <c r="Z57" s="101" t="s">
        <v>576</v>
      </c>
      <c r="AA57" s="101" t="s">
        <v>577</v>
      </c>
      <c r="AB57" s="101" t="s">
        <v>578</v>
      </c>
      <c r="AC57" s="101" t="s">
        <v>579</v>
      </c>
      <c r="AD57" s="101" t="s">
        <v>580</v>
      </c>
      <c r="AE57" s="101" t="s">
        <v>581</v>
      </c>
      <c r="AF57" s="101" t="s">
        <v>582</v>
      </c>
      <c r="AG57" s="101" t="s">
        <v>583</v>
      </c>
      <c r="AH57" s="101" t="s">
        <v>584</v>
      </c>
      <c r="AI57" s="101" t="s">
        <v>585</v>
      </c>
      <c r="AJ57" s="101"/>
    </row>
    <row r="58" spans="1:36" x14ac:dyDescent="0.2">
      <c r="A58" s="1" t="s">
        <v>218</v>
      </c>
      <c r="B58" s="1" t="s">
        <v>30</v>
      </c>
      <c r="C58" s="1" t="s">
        <v>31</v>
      </c>
      <c r="D58" s="1" t="s">
        <v>32</v>
      </c>
      <c r="E58" s="1" t="s">
        <v>219</v>
      </c>
      <c r="F58" s="1" t="s">
        <v>150</v>
      </c>
      <c r="G58" s="1" t="s">
        <v>220</v>
      </c>
      <c r="H58" s="1" t="s">
        <v>42</v>
      </c>
      <c r="I58" s="1" t="s">
        <v>37</v>
      </c>
      <c r="J58" s="101" t="s">
        <v>30</v>
      </c>
      <c r="K58" s="101" t="s">
        <v>213</v>
      </c>
      <c r="L58" s="101" t="s">
        <v>150</v>
      </c>
      <c r="M58" s="101" t="s">
        <v>214</v>
      </c>
      <c r="N58" s="189">
        <v>12310</v>
      </c>
      <c r="O58" s="101" t="s">
        <v>568</v>
      </c>
      <c r="P58" s="101" t="s">
        <v>569</v>
      </c>
      <c r="Q58" s="101" t="s">
        <v>570</v>
      </c>
      <c r="R58" s="101" t="s">
        <v>571</v>
      </c>
      <c r="S58" s="101" t="s">
        <v>572</v>
      </c>
      <c r="T58" s="101" t="s">
        <v>573</v>
      </c>
      <c r="U58" s="101"/>
      <c r="V58" s="101"/>
      <c r="W58" s="101" t="s">
        <v>574</v>
      </c>
      <c r="X58" s="101" t="s">
        <v>575</v>
      </c>
      <c r="Y58" s="101"/>
      <c r="Z58" s="101" t="s">
        <v>576</v>
      </c>
      <c r="AA58" s="101" t="s">
        <v>577</v>
      </c>
      <c r="AB58" s="101" t="s">
        <v>578</v>
      </c>
      <c r="AC58" s="101" t="s">
        <v>579</v>
      </c>
      <c r="AD58" s="101" t="s">
        <v>580</v>
      </c>
      <c r="AE58" s="101" t="s">
        <v>581</v>
      </c>
      <c r="AF58" s="101" t="s">
        <v>582</v>
      </c>
      <c r="AG58" s="101" t="s">
        <v>583</v>
      </c>
      <c r="AH58" s="101" t="s">
        <v>584</v>
      </c>
      <c r="AI58" s="101" t="s">
        <v>585</v>
      </c>
      <c r="AJ58" s="101"/>
    </row>
    <row r="59" spans="1:36" x14ac:dyDescent="0.2">
      <c r="A59" s="1" t="s">
        <v>221</v>
      </c>
      <c r="B59" s="1" t="s">
        <v>30</v>
      </c>
      <c r="C59" s="1" t="s">
        <v>31</v>
      </c>
      <c r="D59" s="1" t="s">
        <v>32</v>
      </c>
      <c r="E59" s="1" t="s">
        <v>222</v>
      </c>
      <c r="F59" s="1" t="s">
        <v>150</v>
      </c>
      <c r="G59" s="1" t="s">
        <v>223</v>
      </c>
      <c r="H59" s="1" t="s">
        <v>42</v>
      </c>
      <c r="I59" s="1" t="s">
        <v>37</v>
      </c>
      <c r="J59" s="101" t="s">
        <v>30</v>
      </c>
      <c r="K59" s="101" t="s">
        <v>216</v>
      </c>
      <c r="L59" s="101" t="s">
        <v>150</v>
      </c>
      <c r="M59" s="101" t="s">
        <v>217</v>
      </c>
      <c r="N59" s="189">
        <v>11970</v>
      </c>
      <c r="O59" s="101" t="s">
        <v>568</v>
      </c>
      <c r="P59" s="101" t="s">
        <v>569</v>
      </c>
      <c r="Q59" s="101" t="s">
        <v>570</v>
      </c>
      <c r="R59" s="101" t="s">
        <v>571</v>
      </c>
      <c r="S59" s="101" t="s">
        <v>572</v>
      </c>
      <c r="T59" s="101" t="s">
        <v>573</v>
      </c>
      <c r="U59" s="101"/>
      <c r="V59" s="101"/>
      <c r="W59" s="101" t="s">
        <v>574</v>
      </c>
      <c r="X59" s="101" t="s">
        <v>575</v>
      </c>
      <c r="Y59" s="101"/>
      <c r="Z59" s="101" t="s">
        <v>576</v>
      </c>
      <c r="AA59" s="101" t="s">
        <v>577</v>
      </c>
      <c r="AB59" s="101" t="s">
        <v>578</v>
      </c>
      <c r="AC59" s="101" t="s">
        <v>579</v>
      </c>
      <c r="AD59" s="101" t="s">
        <v>580</v>
      </c>
      <c r="AE59" s="101" t="s">
        <v>581</v>
      </c>
      <c r="AF59" s="101" t="s">
        <v>582</v>
      </c>
      <c r="AG59" s="101" t="s">
        <v>583</v>
      </c>
      <c r="AH59" s="101" t="s">
        <v>584</v>
      </c>
      <c r="AI59" s="101" t="s">
        <v>585</v>
      </c>
      <c r="AJ59" s="101"/>
    </row>
    <row r="60" spans="1:36" x14ac:dyDescent="0.2">
      <c r="A60" s="1" t="s">
        <v>224</v>
      </c>
      <c r="B60" s="1" t="s">
        <v>30</v>
      </c>
      <c r="C60" s="1" t="s">
        <v>31</v>
      </c>
      <c r="D60" s="1" t="s">
        <v>32</v>
      </c>
      <c r="E60" s="1" t="s">
        <v>225</v>
      </c>
      <c r="F60" s="1" t="s">
        <v>150</v>
      </c>
      <c r="G60" s="1" t="s">
        <v>226</v>
      </c>
      <c r="H60" s="1" t="s">
        <v>42</v>
      </c>
      <c r="I60" s="1" t="s">
        <v>37</v>
      </c>
      <c r="J60" s="101" t="s">
        <v>30</v>
      </c>
      <c r="K60" s="101" t="s">
        <v>102</v>
      </c>
      <c r="L60" s="101" t="s">
        <v>34</v>
      </c>
      <c r="M60" s="101" t="s">
        <v>103</v>
      </c>
      <c r="N60" s="189">
        <v>12440</v>
      </c>
      <c r="O60" s="101" t="s">
        <v>568</v>
      </c>
      <c r="P60" s="101" t="s">
        <v>569</v>
      </c>
      <c r="Q60" s="101" t="s">
        <v>570</v>
      </c>
      <c r="R60" s="101" t="s">
        <v>571</v>
      </c>
      <c r="S60" s="101" t="s">
        <v>572</v>
      </c>
      <c r="T60" s="101" t="s">
        <v>573</v>
      </c>
      <c r="U60" s="101"/>
      <c r="V60" s="101"/>
      <c r="W60" s="101" t="s">
        <v>574</v>
      </c>
      <c r="X60" s="101" t="s">
        <v>575</v>
      </c>
      <c r="Y60" s="101"/>
      <c r="Z60" s="101" t="s">
        <v>576</v>
      </c>
      <c r="AA60" s="101" t="s">
        <v>577</v>
      </c>
      <c r="AB60" s="101" t="s">
        <v>578</v>
      </c>
      <c r="AC60" s="101" t="s">
        <v>579</v>
      </c>
      <c r="AD60" s="101" t="s">
        <v>580</v>
      </c>
      <c r="AE60" s="101" t="s">
        <v>581</v>
      </c>
      <c r="AF60" s="101" t="s">
        <v>582</v>
      </c>
      <c r="AG60" s="101" t="s">
        <v>583</v>
      </c>
      <c r="AH60" s="101" t="s">
        <v>584</v>
      </c>
      <c r="AI60" s="101" t="s">
        <v>585</v>
      </c>
      <c r="AJ60" s="101"/>
    </row>
    <row r="61" spans="1:36" x14ac:dyDescent="0.2">
      <c r="A61" s="1" t="s">
        <v>227</v>
      </c>
      <c r="B61" s="1" t="s">
        <v>30</v>
      </c>
      <c r="C61" s="1" t="s">
        <v>31</v>
      </c>
      <c r="D61" s="1" t="s">
        <v>32</v>
      </c>
      <c r="E61" s="1" t="s">
        <v>228</v>
      </c>
      <c r="F61" s="1" t="s">
        <v>57</v>
      </c>
      <c r="G61" s="1" t="s">
        <v>229</v>
      </c>
      <c r="H61" s="1" t="s">
        <v>50</v>
      </c>
      <c r="I61" s="1" t="s">
        <v>37</v>
      </c>
      <c r="J61" s="101" t="s">
        <v>30</v>
      </c>
      <c r="K61" s="101" t="s">
        <v>123</v>
      </c>
      <c r="L61" s="101" t="s">
        <v>34</v>
      </c>
      <c r="M61" s="101" t="s">
        <v>124</v>
      </c>
      <c r="N61" s="189">
        <v>12300</v>
      </c>
      <c r="O61" s="101" t="s">
        <v>568</v>
      </c>
      <c r="P61" s="101" t="s">
        <v>569</v>
      </c>
      <c r="Q61" s="101" t="s">
        <v>570</v>
      </c>
      <c r="R61" s="101" t="s">
        <v>571</v>
      </c>
      <c r="S61" s="101" t="s">
        <v>572</v>
      </c>
      <c r="T61" s="101" t="s">
        <v>573</v>
      </c>
      <c r="U61" s="101"/>
      <c r="V61" s="101"/>
      <c r="W61" s="101" t="s">
        <v>574</v>
      </c>
      <c r="X61" s="101" t="s">
        <v>575</v>
      </c>
      <c r="Y61" s="101"/>
      <c r="Z61" s="101" t="s">
        <v>576</v>
      </c>
      <c r="AA61" s="101" t="s">
        <v>577</v>
      </c>
      <c r="AB61" s="101" t="s">
        <v>578</v>
      </c>
      <c r="AC61" s="101" t="s">
        <v>579</v>
      </c>
      <c r="AD61" s="101" t="s">
        <v>580</v>
      </c>
      <c r="AE61" s="101" t="s">
        <v>581</v>
      </c>
      <c r="AF61" s="101" t="s">
        <v>582</v>
      </c>
      <c r="AG61" s="101" t="s">
        <v>583</v>
      </c>
      <c r="AH61" s="101" t="s">
        <v>584</v>
      </c>
      <c r="AI61" s="101" t="s">
        <v>585</v>
      </c>
      <c r="AJ61" s="101"/>
    </row>
    <row r="62" spans="1:36" x14ac:dyDescent="0.2">
      <c r="A62" s="1" t="s">
        <v>230</v>
      </c>
      <c r="B62" s="1" t="s">
        <v>30</v>
      </c>
      <c r="C62" s="1" t="s">
        <v>31</v>
      </c>
      <c r="D62" s="1" t="s">
        <v>32</v>
      </c>
      <c r="E62" s="1" t="s">
        <v>231</v>
      </c>
      <c r="F62" s="1" t="s">
        <v>57</v>
      </c>
      <c r="G62" s="1" t="s">
        <v>232</v>
      </c>
      <c r="H62" s="1" t="s">
        <v>50</v>
      </c>
      <c r="I62" s="1" t="s">
        <v>37</v>
      </c>
      <c r="J62" s="101" t="s">
        <v>30</v>
      </c>
      <c r="K62" s="101" t="s">
        <v>234</v>
      </c>
      <c r="L62" s="101" t="s">
        <v>57</v>
      </c>
      <c r="M62" s="101" t="s">
        <v>235</v>
      </c>
      <c r="N62" s="189">
        <v>12420</v>
      </c>
      <c r="O62" s="101" t="s">
        <v>568</v>
      </c>
      <c r="P62" s="101" t="s">
        <v>569</v>
      </c>
      <c r="Q62" s="101" t="s">
        <v>570</v>
      </c>
      <c r="R62" s="101" t="s">
        <v>571</v>
      </c>
      <c r="S62" s="101" t="s">
        <v>572</v>
      </c>
      <c r="T62" s="101" t="s">
        <v>573</v>
      </c>
      <c r="U62" s="101"/>
      <c r="V62" s="101"/>
      <c r="W62" s="101" t="s">
        <v>574</v>
      </c>
      <c r="X62" s="101" t="s">
        <v>575</v>
      </c>
      <c r="Y62" s="101"/>
      <c r="Z62" s="101" t="s">
        <v>576</v>
      </c>
      <c r="AA62" s="101" t="s">
        <v>577</v>
      </c>
      <c r="AB62" s="101" t="s">
        <v>578</v>
      </c>
      <c r="AC62" s="101" t="s">
        <v>579</v>
      </c>
      <c r="AD62" s="101" t="s">
        <v>580</v>
      </c>
      <c r="AE62" s="101" t="s">
        <v>581</v>
      </c>
      <c r="AF62" s="101" t="s">
        <v>582</v>
      </c>
      <c r="AG62" s="101" t="s">
        <v>583</v>
      </c>
      <c r="AH62" s="101" t="s">
        <v>584</v>
      </c>
      <c r="AI62" s="101" t="s">
        <v>585</v>
      </c>
      <c r="AJ62" s="101"/>
    </row>
    <row r="63" spans="1:36" x14ac:dyDescent="0.2">
      <c r="A63" s="1" t="s">
        <v>233</v>
      </c>
      <c r="B63" s="1" t="s">
        <v>30</v>
      </c>
      <c r="C63" s="1" t="s">
        <v>31</v>
      </c>
      <c r="D63" s="1" t="s">
        <v>32</v>
      </c>
      <c r="E63" s="1" t="s">
        <v>234</v>
      </c>
      <c r="F63" s="1" t="s">
        <v>57</v>
      </c>
      <c r="G63" s="1" t="s">
        <v>235</v>
      </c>
      <c r="H63" s="1" t="s">
        <v>42</v>
      </c>
      <c r="I63" s="1" t="s">
        <v>37</v>
      </c>
      <c r="J63" s="101" t="s">
        <v>30</v>
      </c>
      <c r="K63" s="101" t="s">
        <v>231</v>
      </c>
      <c r="L63" s="101" t="s">
        <v>57</v>
      </c>
      <c r="M63" s="101" t="s">
        <v>232</v>
      </c>
      <c r="N63" s="189">
        <v>12430</v>
      </c>
      <c r="O63" s="101" t="s">
        <v>568</v>
      </c>
      <c r="P63" s="101" t="s">
        <v>569</v>
      </c>
      <c r="Q63" s="101" t="s">
        <v>570</v>
      </c>
      <c r="R63" s="101" t="s">
        <v>571</v>
      </c>
      <c r="S63" s="101" t="s">
        <v>572</v>
      </c>
      <c r="T63" s="101" t="s">
        <v>573</v>
      </c>
      <c r="U63" s="101"/>
      <c r="V63" s="101"/>
      <c r="W63" s="101" t="s">
        <v>574</v>
      </c>
      <c r="X63" s="101" t="s">
        <v>575</v>
      </c>
      <c r="Y63" s="101"/>
      <c r="Z63" s="101" t="s">
        <v>576</v>
      </c>
      <c r="AA63" s="101" t="s">
        <v>577</v>
      </c>
      <c r="AB63" s="101" t="s">
        <v>578</v>
      </c>
      <c r="AC63" s="101" t="s">
        <v>579</v>
      </c>
      <c r="AD63" s="101" t="s">
        <v>580</v>
      </c>
      <c r="AE63" s="101" t="s">
        <v>581</v>
      </c>
      <c r="AF63" s="101" t="s">
        <v>582</v>
      </c>
      <c r="AG63" s="101" t="s">
        <v>583</v>
      </c>
      <c r="AH63" s="101" t="s">
        <v>584</v>
      </c>
      <c r="AI63" s="101" t="s">
        <v>585</v>
      </c>
      <c r="AJ63" s="101"/>
    </row>
    <row r="64" spans="1:36" x14ac:dyDescent="0.2">
      <c r="A64" s="1" t="s">
        <v>236</v>
      </c>
      <c r="B64" s="1" t="s">
        <v>30</v>
      </c>
      <c r="C64" s="1" t="s">
        <v>31</v>
      </c>
      <c r="D64" s="1" t="s">
        <v>32</v>
      </c>
      <c r="E64" s="1" t="s">
        <v>237</v>
      </c>
      <c r="F64" s="1" t="s">
        <v>34</v>
      </c>
      <c r="G64" s="1" t="s">
        <v>238</v>
      </c>
      <c r="H64" s="1" t="s">
        <v>54</v>
      </c>
      <c r="I64" s="1" t="s">
        <v>37</v>
      </c>
      <c r="J64" s="101" t="s">
        <v>30</v>
      </c>
      <c r="K64" s="101" t="s">
        <v>120</v>
      </c>
      <c r="L64" s="101" t="s">
        <v>34</v>
      </c>
      <c r="M64" s="101" t="s">
        <v>121</v>
      </c>
      <c r="N64" s="189">
        <v>12430</v>
      </c>
      <c r="O64" s="101" t="s">
        <v>568</v>
      </c>
      <c r="P64" s="101" t="s">
        <v>569</v>
      </c>
      <c r="Q64" s="101" t="s">
        <v>570</v>
      </c>
      <c r="R64" s="101" t="s">
        <v>571</v>
      </c>
      <c r="S64" s="101" t="s">
        <v>572</v>
      </c>
      <c r="T64" s="101" t="s">
        <v>573</v>
      </c>
      <c r="U64" s="101"/>
      <c r="V64" s="101"/>
      <c r="W64" s="101" t="s">
        <v>574</v>
      </c>
      <c r="X64" s="101" t="s">
        <v>575</v>
      </c>
      <c r="Y64" s="101"/>
      <c r="Z64" s="101" t="s">
        <v>576</v>
      </c>
      <c r="AA64" s="101" t="s">
        <v>577</v>
      </c>
      <c r="AB64" s="101" t="s">
        <v>578</v>
      </c>
      <c r="AC64" s="101" t="s">
        <v>579</v>
      </c>
      <c r="AD64" s="101" t="s">
        <v>580</v>
      </c>
      <c r="AE64" s="101" t="s">
        <v>581</v>
      </c>
      <c r="AF64" s="101" t="s">
        <v>582</v>
      </c>
      <c r="AG64" s="101" t="s">
        <v>583</v>
      </c>
      <c r="AH64" s="101" t="s">
        <v>584</v>
      </c>
      <c r="AI64" s="101" t="s">
        <v>585</v>
      </c>
      <c r="AJ64" s="101"/>
    </row>
    <row r="65" spans="1:36" x14ac:dyDescent="0.2">
      <c r="A65" s="1" t="s">
        <v>239</v>
      </c>
      <c r="B65" s="1" t="s">
        <v>30</v>
      </c>
      <c r="C65" s="1" t="s">
        <v>31</v>
      </c>
      <c r="D65" s="1" t="s">
        <v>32</v>
      </c>
      <c r="E65" s="1" t="s">
        <v>240</v>
      </c>
      <c r="F65" s="1" t="s">
        <v>57</v>
      </c>
      <c r="G65" s="1" t="s">
        <v>241</v>
      </c>
      <c r="H65" s="1" t="s">
        <v>42</v>
      </c>
      <c r="I65" s="1" t="s">
        <v>37</v>
      </c>
      <c r="J65" s="101" t="s">
        <v>30</v>
      </c>
      <c r="K65" s="101" t="s">
        <v>61</v>
      </c>
      <c r="L65" s="101" t="s">
        <v>34</v>
      </c>
      <c r="M65" s="101" t="s">
        <v>62</v>
      </c>
      <c r="N65" s="189">
        <v>12320</v>
      </c>
      <c r="O65" s="101" t="s">
        <v>568</v>
      </c>
      <c r="P65" s="101" t="s">
        <v>569</v>
      </c>
      <c r="Q65" s="101" t="s">
        <v>570</v>
      </c>
      <c r="R65" s="101" t="s">
        <v>571</v>
      </c>
      <c r="S65" s="101" t="s">
        <v>572</v>
      </c>
      <c r="T65" s="101" t="s">
        <v>573</v>
      </c>
      <c r="U65" s="101"/>
      <c r="V65" s="101"/>
      <c r="W65" s="101" t="s">
        <v>574</v>
      </c>
      <c r="X65" s="101" t="s">
        <v>575</v>
      </c>
      <c r="Y65" s="101"/>
      <c r="Z65" s="101" t="s">
        <v>576</v>
      </c>
      <c r="AA65" s="101" t="s">
        <v>577</v>
      </c>
      <c r="AB65" s="101" t="s">
        <v>578</v>
      </c>
      <c r="AC65" s="101" t="s">
        <v>579</v>
      </c>
      <c r="AD65" s="101" t="s">
        <v>580</v>
      </c>
      <c r="AE65" s="101" t="s">
        <v>581</v>
      </c>
      <c r="AF65" s="101" t="s">
        <v>582</v>
      </c>
      <c r="AG65" s="101" t="s">
        <v>583</v>
      </c>
      <c r="AH65" s="101" t="s">
        <v>584</v>
      </c>
      <c r="AI65" s="101" t="s">
        <v>585</v>
      </c>
      <c r="AJ65" s="101"/>
    </row>
    <row r="66" spans="1:36" x14ac:dyDescent="0.2">
      <c r="A66" s="1" t="s">
        <v>242</v>
      </c>
      <c r="B66" s="1" t="s">
        <v>30</v>
      </c>
      <c r="C66" s="1" t="s">
        <v>31</v>
      </c>
      <c r="D66" s="1" t="s">
        <v>32</v>
      </c>
      <c r="E66" s="1" t="s">
        <v>243</v>
      </c>
      <c r="F66" s="1" t="s">
        <v>57</v>
      </c>
      <c r="G66" s="1" t="s">
        <v>244</v>
      </c>
      <c r="H66" s="1" t="s">
        <v>42</v>
      </c>
      <c r="I66" s="1" t="s">
        <v>37</v>
      </c>
      <c r="J66" s="101" t="s">
        <v>30</v>
      </c>
      <c r="K66" s="101" t="s">
        <v>56</v>
      </c>
      <c r="L66" s="101" t="s">
        <v>57</v>
      </c>
      <c r="M66" s="101" t="s">
        <v>58</v>
      </c>
      <c r="N66" s="189">
        <v>12020</v>
      </c>
      <c r="O66" s="101" t="s">
        <v>568</v>
      </c>
      <c r="P66" s="101" t="s">
        <v>569</v>
      </c>
      <c r="Q66" s="101" t="s">
        <v>570</v>
      </c>
      <c r="R66" s="101" t="s">
        <v>571</v>
      </c>
      <c r="S66" s="101" t="s">
        <v>572</v>
      </c>
      <c r="T66" s="101" t="s">
        <v>573</v>
      </c>
      <c r="U66" s="101"/>
      <c r="V66" s="101"/>
      <c r="W66" s="101" t="s">
        <v>574</v>
      </c>
      <c r="X66" s="101" t="s">
        <v>575</v>
      </c>
      <c r="Y66" s="101"/>
      <c r="Z66" s="101" t="s">
        <v>576</v>
      </c>
      <c r="AA66" s="101" t="s">
        <v>577</v>
      </c>
      <c r="AB66" s="101" t="s">
        <v>578</v>
      </c>
      <c r="AC66" s="101" t="s">
        <v>579</v>
      </c>
      <c r="AD66" s="101" t="s">
        <v>580</v>
      </c>
      <c r="AE66" s="101" t="s">
        <v>581</v>
      </c>
      <c r="AF66" s="101" t="s">
        <v>582</v>
      </c>
      <c r="AG66" s="101" t="s">
        <v>583</v>
      </c>
      <c r="AH66" s="101" t="s">
        <v>584</v>
      </c>
      <c r="AI66" s="101" t="s">
        <v>585</v>
      </c>
      <c r="AJ66" s="101"/>
    </row>
    <row r="67" spans="1:36" x14ac:dyDescent="0.2">
      <c r="A67" s="1" t="s">
        <v>245</v>
      </c>
      <c r="B67" s="1" t="s">
        <v>30</v>
      </c>
      <c r="C67" s="1" t="s">
        <v>31</v>
      </c>
      <c r="D67" s="1" t="s">
        <v>32</v>
      </c>
      <c r="E67" s="1" t="s">
        <v>246</v>
      </c>
      <c r="F67" s="1" t="s">
        <v>57</v>
      </c>
      <c r="G67" s="1" t="s">
        <v>247</v>
      </c>
      <c r="H67" s="1" t="s">
        <v>42</v>
      </c>
      <c r="I67" s="1" t="s">
        <v>37</v>
      </c>
      <c r="J67" s="101" t="s">
        <v>30</v>
      </c>
      <c r="K67" s="101" t="s">
        <v>240</v>
      </c>
      <c r="L67" s="101" t="s">
        <v>57</v>
      </c>
      <c r="M67" s="101" t="s">
        <v>241</v>
      </c>
      <c r="N67" s="189">
        <v>12440</v>
      </c>
      <c r="O67" s="101" t="s">
        <v>568</v>
      </c>
      <c r="P67" s="101" t="s">
        <v>569</v>
      </c>
      <c r="Q67" s="101" t="s">
        <v>570</v>
      </c>
      <c r="R67" s="101" t="s">
        <v>571</v>
      </c>
      <c r="S67" s="101" t="s">
        <v>572</v>
      </c>
      <c r="T67" s="101" t="s">
        <v>573</v>
      </c>
      <c r="U67" s="101"/>
      <c r="V67" s="101"/>
      <c r="W67" s="101" t="s">
        <v>574</v>
      </c>
      <c r="X67" s="101" t="s">
        <v>575</v>
      </c>
      <c r="Y67" s="101"/>
      <c r="Z67" s="101" t="s">
        <v>576</v>
      </c>
      <c r="AA67" s="101" t="s">
        <v>577</v>
      </c>
      <c r="AB67" s="101" t="s">
        <v>578</v>
      </c>
      <c r="AC67" s="101" t="s">
        <v>579</v>
      </c>
      <c r="AD67" s="101" t="s">
        <v>580</v>
      </c>
      <c r="AE67" s="101" t="s">
        <v>581</v>
      </c>
      <c r="AF67" s="101" t="s">
        <v>582</v>
      </c>
      <c r="AG67" s="101" t="s">
        <v>583</v>
      </c>
      <c r="AH67" s="101" t="s">
        <v>584</v>
      </c>
      <c r="AI67" s="101" t="s">
        <v>585</v>
      </c>
      <c r="AJ67" s="101"/>
    </row>
    <row r="68" spans="1:36" x14ac:dyDescent="0.2">
      <c r="A68" s="1" t="s">
        <v>248</v>
      </c>
      <c r="B68" s="1" t="s">
        <v>30</v>
      </c>
      <c r="C68" s="1" t="s">
        <v>31</v>
      </c>
      <c r="D68" s="1" t="s">
        <v>32</v>
      </c>
      <c r="E68" s="1" t="s">
        <v>249</v>
      </c>
      <c r="F68" s="1" t="s">
        <v>57</v>
      </c>
      <c r="G68" s="1" t="s">
        <v>250</v>
      </c>
      <c r="H68" s="1" t="s">
        <v>42</v>
      </c>
      <c r="I68" s="1" t="s">
        <v>37</v>
      </c>
      <c r="J68" s="101" t="s">
        <v>30</v>
      </c>
      <c r="K68" s="101" t="s">
        <v>473</v>
      </c>
      <c r="L68" s="101" t="s">
        <v>323</v>
      </c>
      <c r="M68" s="101" t="s">
        <v>474</v>
      </c>
      <c r="N68" s="189">
        <v>12430</v>
      </c>
      <c r="O68" s="101" t="s">
        <v>568</v>
      </c>
      <c r="P68" s="101" t="s">
        <v>569</v>
      </c>
      <c r="Q68" s="101" t="s">
        <v>570</v>
      </c>
      <c r="R68" s="101" t="s">
        <v>571</v>
      </c>
      <c r="S68" s="101" t="s">
        <v>572</v>
      </c>
      <c r="T68" s="101" t="s">
        <v>573</v>
      </c>
      <c r="U68" s="101"/>
      <c r="V68" s="101"/>
      <c r="W68" s="101" t="s">
        <v>574</v>
      </c>
      <c r="X68" s="101" t="s">
        <v>575</v>
      </c>
      <c r="Y68" s="101"/>
      <c r="Z68" s="101" t="s">
        <v>576</v>
      </c>
      <c r="AA68" s="101" t="s">
        <v>577</v>
      </c>
      <c r="AB68" s="101" t="s">
        <v>578</v>
      </c>
      <c r="AC68" s="101" t="s">
        <v>579</v>
      </c>
      <c r="AD68" s="101" t="s">
        <v>580</v>
      </c>
      <c r="AE68" s="101" t="s">
        <v>581</v>
      </c>
      <c r="AF68" s="101" t="s">
        <v>582</v>
      </c>
      <c r="AG68" s="101" t="s">
        <v>583</v>
      </c>
      <c r="AH68" s="101" t="s">
        <v>584</v>
      </c>
      <c r="AI68" s="101" t="s">
        <v>585</v>
      </c>
      <c r="AJ68" s="101"/>
    </row>
    <row r="69" spans="1:36" x14ac:dyDescent="0.2">
      <c r="A69" s="1" t="s">
        <v>251</v>
      </c>
      <c r="B69" s="1" t="s">
        <v>30</v>
      </c>
      <c r="C69" s="1" t="s">
        <v>31</v>
      </c>
      <c r="D69" s="1" t="s">
        <v>32</v>
      </c>
      <c r="E69" s="1" t="s">
        <v>252</v>
      </c>
      <c r="F69" s="1" t="s">
        <v>57</v>
      </c>
      <c r="G69" s="1" t="s">
        <v>253</v>
      </c>
      <c r="H69" s="1" t="s">
        <v>42</v>
      </c>
      <c r="I69" s="1" t="s">
        <v>37</v>
      </c>
      <c r="J69" s="101" t="s">
        <v>30</v>
      </c>
      <c r="K69" s="101" t="s">
        <v>246</v>
      </c>
      <c r="L69" s="101" t="s">
        <v>57</v>
      </c>
      <c r="M69" s="101" t="s">
        <v>247</v>
      </c>
      <c r="N69" s="189">
        <v>12430</v>
      </c>
      <c r="O69" s="101" t="s">
        <v>568</v>
      </c>
      <c r="P69" s="101" t="s">
        <v>569</v>
      </c>
      <c r="Q69" s="101" t="s">
        <v>570</v>
      </c>
      <c r="R69" s="101" t="s">
        <v>571</v>
      </c>
      <c r="S69" s="101" t="s">
        <v>572</v>
      </c>
      <c r="T69" s="101" t="s">
        <v>573</v>
      </c>
      <c r="U69" s="101"/>
      <c r="V69" s="101"/>
      <c r="W69" s="101" t="s">
        <v>574</v>
      </c>
      <c r="X69" s="101" t="s">
        <v>575</v>
      </c>
      <c r="Y69" s="101"/>
      <c r="Z69" s="101" t="s">
        <v>576</v>
      </c>
      <c r="AA69" s="101" t="s">
        <v>577</v>
      </c>
      <c r="AB69" s="101" t="s">
        <v>578</v>
      </c>
      <c r="AC69" s="101" t="s">
        <v>579</v>
      </c>
      <c r="AD69" s="101" t="s">
        <v>580</v>
      </c>
      <c r="AE69" s="101" t="s">
        <v>581</v>
      </c>
      <c r="AF69" s="101" t="s">
        <v>582</v>
      </c>
      <c r="AG69" s="101" t="s">
        <v>583</v>
      </c>
      <c r="AH69" s="101" t="s">
        <v>584</v>
      </c>
      <c r="AI69" s="101" t="s">
        <v>585</v>
      </c>
      <c r="AJ69" s="101"/>
    </row>
    <row r="70" spans="1:36" x14ac:dyDescent="0.2">
      <c r="A70" s="1" t="s">
        <v>254</v>
      </c>
      <c r="B70" s="1" t="s">
        <v>30</v>
      </c>
      <c r="C70" s="1" t="s">
        <v>31</v>
      </c>
      <c r="D70" s="1" t="s">
        <v>32</v>
      </c>
      <c r="E70" s="1" t="s">
        <v>255</v>
      </c>
      <c r="F70" s="1" t="s">
        <v>57</v>
      </c>
      <c r="G70" s="1" t="s">
        <v>256</v>
      </c>
      <c r="H70" s="1" t="s">
        <v>42</v>
      </c>
      <c r="I70" s="1" t="s">
        <v>37</v>
      </c>
      <c r="J70" s="101" t="s">
        <v>30</v>
      </c>
      <c r="K70" s="101" t="s">
        <v>249</v>
      </c>
      <c r="L70" s="101" t="s">
        <v>57</v>
      </c>
      <c r="M70" s="101" t="s">
        <v>250</v>
      </c>
      <c r="N70" s="189">
        <v>12320</v>
      </c>
      <c r="O70" s="101" t="s">
        <v>568</v>
      </c>
      <c r="P70" s="101" t="s">
        <v>569</v>
      </c>
      <c r="Q70" s="101" t="s">
        <v>570</v>
      </c>
      <c r="R70" s="101" t="s">
        <v>571</v>
      </c>
      <c r="S70" s="101" t="s">
        <v>572</v>
      </c>
      <c r="T70" s="101" t="s">
        <v>573</v>
      </c>
      <c r="U70" s="101"/>
      <c r="V70" s="101"/>
      <c r="W70" s="101" t="s">
        <v>574</v>
      </c>
      <c r="X70" s="101" t="s">
        <v>575</v>
      </c>
      <c r="Y70" s="101"/>
      <c r="Z70" s="101" t="s">
        <v>576</v>
      </c>
      <c r="AA70" s="101" t="s">
        <v>577</v>
      </c>
      <c r="AB70" s="101" t="s">
        <v>578</v>
      </c>
      <c r="AC70" s="101" t="s">
        <v>579</v>
      </c>
      <c r="AD70" s="101" t="s">
        <v>580</v>
      </c>
      <c r="AE70" s="101" t="s">
        <v>581</v>
      </c>
      <c r="AF70" s="101" t="s">
        <v>582</v>
      </c>
      <c r="AG70" s="101" t="s">
        <v>583</v>
      </c>
      <c r="AH70" s="101" t="s">
        <v>584</v>
      </c>
      <c r="AI70" s="101" t="s">
        <v>585</v>
      </c>
      <c r="AJ70" s="101"/>
    </row>
    <row r="71" spans="1:36" x14ac:dyDescent="0.2">
      <c r="A71" s="1" t="s">
        <v>257</v>
      </c>
      <c r="B71" s="1" t="s">
        <v>30</v>
      </c>
      <c r="C71" s="1" t="s">
        <v>31</v>
      </c>
      <c r="D71" s="1" t="s">
        <v>32</v>
      </c>
      <c r="E71" s="1" t="s">
        <v>258</v>
      </c>
      <c r="F71" s="1" t="s">
        <v>259</v>
      </c>
      <c r="G71" s="1" t="s">
        <v>260</v>
      </c>
      <c r="H71" s="1" t="s">
        <v>50</v>
      </c>
      <c r="I71" s="1" t="s">
        <v>37</v>
      </c>
      <c r="J71" s="101" t="s">
        <v>30</v>
      </c>
      <c r="K71" s="101" t="s">
        <v>252</v>
      </c>
      <c r="L71" s="101" t="s">
        <v>57</v>
      </c>
      <c r="M71" s="101" t="s">
        <v>253</v>
      </c>
      <c r="N71" s="189">
        <v>12170</v>
      </c>
      <c r="O71" s="101" t="s">
        <v>568</v>
      </c>
      <c r="P71" s="101" t="s">
        <v>569</v>
      </c>
      <c r="Q71" s="101" t="s">
        <v>570</v>
      </c>
      <c r="R71" s="101" t="s">
        <v>571</v>
      </c>
      <c r="S71" s="101" t="s">
        <v>572</v>
      </c>
      <c r="T71" s="101" t="s">
        <v>573</v>
      </c>
      <c r="U71" s="101"/>
      <c r="V71" s="101"/>
      <c r="W71" s="101" t="s">
        <v>574</v>
      </c>
      <c r="X71" s="101" t="s">
        <v>575</v>
      </c>
      <c r="Y71" s="101"/>
      <c r="Z71" s="101" t="s">
        <v>576</v>
      </c>
      <c r="AA71" s="101" t="s">
        <v>577</v>
      </c>
      <c r="AB71" s="101" t="s">
        <v>578</v>
      </c>
      <c r="AC71" s="101"/>
      <c r="AD71" s="101"/>
      <c r="AE71" s="101"/>
      <c r="AF71" s="101"/>
      <c r="AG71" s="101"/>
      <c r="AH71" s="101"/>
      <c r="AI71" s="101"/>
      <c r="AJ71" s="101"/>
    </row>
    <row r="72" spans="1:36" x14ac:dyDescent="0.2">
      <c r="A72" s="1" t="s">
        <v>261</v>
      </c>
      <c r="B72" s="1" t="s">
        <v>30</v>
      </c>
      <c r="C72" s="1" t="s">
        <v>31</v>
      </c>
      <c r="D72" s="1" t="s">
        <v>32</v>
      </c>
      <c r="E72" s="1" t="s">
        <v>262</v>
      </c>
      <c r="F72" s="1" t="s">
        <v>259</v>
      </c>
      <c r="G72" s="1" t="s">
        <v>263</v>
      </c>
      <c r="H72" s="1" t="s">
        <v>42</v>
      </c>
      <c r="I72" s="1" t="s">
        <v>37</v>
      </c>
      <c r="J72" s="101" t="s">
        <v>30</v>
      </c>
      <c r="K72" s="101" t="s">
        <v>255</v>
      </c>
      <c r="L72" s="101" t="s">
        <v>57</v>
      </c>
      <c r="M72" s="101" t="s">
        <v>256</v>
      </c>
      <c r="N72" s="189">
        <v>12440</v>
      </c>
      <c r="O72" s="101" t="s">
        <v>568</v>
      </c>
      <c r="P72" s="101" t="s">
        <v>569</v>
      </c>
      <c r="Q72" s="101" t="s">
        <v>570</v>
      </c>
      <c r="R72" s="101" t="s">
        <v>571</v>
      </c>
      <c r="S72" s="101" t="s">
        <v>572</v>
      </c>
      <c r="T72" s="101" t="s">
        <v>573</v>
      </c>
      <c r="U72" s="101"/>
      <c r="V72" s="101"/>
      <c r="W72" s="101" t="s">
        <v>574</v>
      </c>
      <c r="X72" s="101" t="s">
        <v>575</v>
      </c>
      <c r="Y72" s="101"/>
      <c r="Z72" s="101" t="s">
        <v>576</v>
      </c>
      <c r="AA72" s="101" t="s">
        <v>577</v>
      </c>
      <c r="AB72" s="101" t="s">
        <v>578</v>
      </c>
      <c r="AC72" s="101" t="s">
        <v>579</v>
      </c>
      <c r="AD72" s="101" t="s">
        <v>580</v>
      </c>
      <c r="AE72" s="101" t="s">
        <v>581</v>
      </c>
      <c r="AF72" s="101" t="s">
        <v>582</v>
      </c>
      <c r="AG72" s="101" t="s">
        <v>583</v>
      </c>
      <c r="AH72" s="101" t="s">
        <v>584</v>
      </c>
      <c r="AI72" s="101" t="s">
        <v>585</v>
      </c>
      <c r="AJ72" s="101"/>
    </row>
    <row r="73" spans="1:36" x14ac:dyDescent="0.2">
      <c r="A73" s="1" t="s">
        <v>264</v>
      </c>
      <c r="B73" s="1" t="s">
        <v>30</v>
      </c>
      <c r="C73" s="1" t="s">
        <v>31</v>
      </c>
      <c r="D73" s="1" t="s">
        <v>32</v>
      </c>
      <c r="E73" s="1" t="s">
        <v>265</v>
      </c>
      <c r="F73" s="1" t="s">
        <v>259</v>
      </c>
      <c r="G73" s="1" t="s">
        <v>266</v>
      </c>
      <c r="H73" s="1" t="s">
        <v>267</v>
      </c>
      <c r="I73" s="1" t="s">
        <v>37</v>
      </c>
      <c r="J73" s="101" t="s">
        <v>30</v>
      </c>
      <c r="K73" s="101" t="s">
        <v>258</v>
      </c>
      <c r="L73" s="101" t="s">
        <v>259</v>
      </c>
      <c r="M73" s="101" t="s">
        <v>260</v>
      </c>
      <c r="N73" s="189">
        <v>12440</v>
      </c>
      <c r="O73" s="101" t="s">
        <v>568</v>
      </c>
      <c r="P73" s="101" t="s">
        <v>569</v>
      </c>
      <c r="Q73" s="101" t="s">
        <v>570</v>
      </c>
      <c r="R73" s="101" t="s">
        <v>571</v>
      </c>
      <c r="S73" s="101" t="s">
        <v>572</v>
      </c>
      <c r="T73" s="101" t="s">
        <v>573</v>
      </c>
      <c r="U73" s="101"/>
      <c r="V73" s="101"/>
      <c r="W73" s="101" t="s">
        <v>574</v>
      </c>
      <c r="X73" s="101" t="s">
        <v>575</v>
      </c>
      <c r="Y73" s="101"/>
      <c r="Z73" s="101" t="s">
        <v>576</v>
      </c>
      <c r="AA73" s="101" t="s">
        <v>577</v>
      </c>
      <c r="AB73" s="101" t="s">
        <v>578</v>
      </c>
      <c r="AC73" s="101" t="s">
        <v>579</v>
      </c>
      <c r="AD73" s="101" t="s">
        <v>580</v>
      </c>
      <c r="AE73" s="101" t="s">
        <v>581</v>
      </c>
      <c r="AF73" s="101" t="s">
        <v>582</v>
      </c>
      <c r="AG73" s="101" t="s">
        <v>583</v>
      </c>
      <c r="AH73" s="101" t="s">
        <v>584</v>
      </c>
      <c r="AI73" s="101" t="s">
        <v>585</v>
      </c>
      <c r="AJ73" s="101"/>
    </row>
    <row r="74" spans="1:36" x14ac:dyDescent="0.2">
      <c r="A74" s="1" t="s">
        <v>268</v>
      </c>
      <c r="B74" s="1" t="s">
        <v>30</v>
      </c>
      <c r="C74" s="1" t="s">
        <v>31</v>
      </c>
      <c r="D74" s="1" t="s">
        <v>32</v>
      </c>
      <c r="E74" s="1" t="s">
        <v>269</v>
      </c>
      <c r="F74" s="1" t="s">
        <v>259</v>
      </c>
      <c r="G74" s="1" t="s">
        <v>270</v>
      </c>
      <c r="H74" s="1" t="s">
        <v>271</v>
      </c>
      <c r="I74" s="1" t="s">
        <v>37</v>
      </c>
      <c r="J74" s="101" t="s">
        <v>30</v>
      </c>
      <c r="K74" s="101" t="s">
        <v>262</v>
      </c>
      <c r="L74" s="101" t="s">
        <v>259</v>
      </c>
      <c r="M74" s="101" t="s">
        <v>263</v>
      </c>
      <c r="N74" s="189">
        <v>12240</v>
      </c>
      <c r="O74" s="101" t="s">
        <v>568</v>
      </c>
      <c r="P74" s="101" t="s">
        <v>569</v>
      </c>
      <c r="Q74" s="101" t="s">
        <v>570</v>
      </c>
      <c r="R74" s="101" t="s">
        <v>571</v>
      </c>
      <c r="S74" s="101" t="s">
        <v>572</v>
      </c>
      <c r="T74" s="101" t="s">
        <v>573</v>
      </c>
      <c r="U74" s="101"/>
      <c r="V74" s="101"/>
      <c r="W74" s="101" t="s">
        <v>574</v>
      </c>
      <c r="X74" s="101" t="s">
        <v>575</v>
      </c>
      <c r="Y74" s="101"/>
      <c r="Z74" s="101" t="s">
        <v>576</v>
      </c>
      <c r="AA74" s="101" t="s">
        <v>577</v>
      </c>
      <c r="AB74" s="101" t="s">
        <v>578</v>
      </c>
      <c r="AC74" s="101" t="s">
        <v>579</v>
      </c>
      <c r="AD74" s="101" t="s">
        <v>580</v>
      </c>
      <c r="AE74" s="101" t="s">
        <v>581</v>
      </c>
      <c r="AF74" s="101" t="s">
        <v>582</v>
      </c>
      <c r="AG74" s="101" t="s">
        <v>583</v>
      </c>
      <c r="AH74" s="101" t="s">
        <v>584</v>
      </c>
      <c r="AI74" s="101" t="s">
        <v>585</v>
      </c>
      <c r="AJ74" s="101"/>
    </row>
    <row r="75" spans="1:36" x14ac:dyDescent="0.2">
      <c r="A75" s="1" t="s">
        <v>272</v>
      </c>
      <c r="B75" s="1" t="s">
        <v>30</v>
      </c>
      <c r="C75" s="1" t="s">
        <v>31</v>
      </c>
      <c r="D75" s="1" t="s">
        <v>32</v>
      </c>
      <c r="E75" s="1" t="s">
        <v>273</v>
      </c>
      <c r="F75" s="1" t="s">
        <v>259</v>
      </c>
      <c r="G75" s="1" t="s">
        <v>274</v>
      </c>
      <c r="H75" s="1" t="s">
        <v>42</v>
      </c>
      <c r="I75" s="1" t="s">
        <v>37</v>
      </c>
      <c r="J75" s="101" t="s">
        <v>30</v>
      </c>
      <c r="K75" s="101" t="s">
        <v>269</v>
      </c>
      <c r="L75" s="101" t="s">
        <v>259</v>
      </c>
      <c r="M75" s="101" t="s">
        <v>270</v>
      </c>
      <c r="N75" s="189">
        <v>12170</v>
      </c>
      <c r="O75" s="101" t="s">
        <v>568</v>
      </c>
      <c r="P75" s="101" t="s">
        <v>569</v>
      </c>
      <c r="Q75" s="101" t="s">
        <v>570</v>
      </c>
      <c r="R75" s="101" t="s">
        <v>571</v>
      </c>
      <c r="S75" s="101" t="s">
        <v>572</v>
      </c>
      <c r="T75" s="101" t="s">
        <v>573</v>
      </c>
      <c r="U75" s="101"/>
      <c r="V75" s="101"/>
      <c r="W75" s="101" t="s">
        <v>574</v>
      </c>
      <c r="X75" s="101" t="s">
        <v>575</v>
      </c>
      <c r="Y75" s="101"/>
      <c r="Z75" s="101" t="s">
        <v>576</v>
      </c>
      <c r="AA75" s="101" t="s">
        <v>577</v>
      </c>
      <c r="AB75" s="101" t="s">
        <v>578</v>
      </c>
      <c r="AC75" s="101" t="s">
        <v>579</v>
      </c>
      <c r="AD75" s="101" t="s">
        <v>580</v>
      </c>
      <c r="AE75" s="101" t="s">
        <v>581</v>
      </c>
      <c r="AF75" s="101" t="s">
        <v>582</v>
      </c>
      <c r="AG75" s="101" t="s">
        <v>583</v>
      </c>
      <c r="AH75" s="101" t="s">
        <v>584</v>
      </c>
      <c r="AI75" s="101" t="s">
        <v>585</v>
      </c>
      <c r="AJ75" s="101"/>
    </row>
    <row r="76" spans="1:36" x14ac:dyDescent="0.2">
      <c r="A76" s="1" t="s">
        <v>275</v>
      </c>
      <c r="B76" s="1" t="s">
        <v>30</v>
      </c>
      <c r="C76" s="1" t="s">
        <v>31</v>
      </c>
      <c r="D76" s="1" t="s">
        <v>32</v>
      </c>
      <c r="E76" s="1" t="s">
        <v>276</v>
      </c>
      <c r="F76" s="1" t="s">
        <v>259</v>
      </c>
      <c r="G76" s="1" t="s">
        <v>277</v>
      </c>
      <c r="H76" s="1" t="s">
        <v>42</v>
      </c>
      <c r="I76" s="1" t="s">
        <v>37</v>
      </c>
      <c r="J76" s="101" t="s">
        <v>30</v>
      </c>
      <c r="K76" s="101" t="s">
        <v>1116</v>
      </c>
      <c r="L76" s="101" t="s">
        <v>822</v>
      </c>
      <c r="M76" s="101" t="s">
        <v>1117</v>
      </c>
      <c r="N76" s="189">
        <v>12470</v>
      </c>
      <c r="O76" s="101" t="s">
        <v>568</v>
      </c>
      <c r="P76" s="101" t="s">
        <v>569</v>
      </c>
      <c r="Q76" s="101" t="s">
        <v>570</v>
      </c>
      <c r="R76" s="101" t="s">
        <v>571</v>
      </c>
      <c r="S76" s="101" t="s">
        <v>572</v>
      </c>
      <c r="T76" s="101" t="s">
        <v>573</v>
      </c>
      <c r="U76" s="101"/>
      <c r="V76" s="101"/>
      <c r="W76" s="101" t="s">
        <v>574</v>
      </c>
      <c r="X76" s="101" t="s">
        <v>575</v>
      </c>
      <c r="Y76" s="101"/>
      <c r="Z76" s="101" t="s">
        <v>576</v>
      </c>
      <c r="AA76" s="101" t="s">
        <v>577</v>
      </c>
      <c r="AB76" s="101" t="s">
        <v>578</v>
      </c>
      <c r="AC76" s="101" t="s">
        <v>579</v>
      </c>
      <c r="AD76" s="101" t="s">
        <v>580</v>
      </c>
      <c r="AE76" s="101" t="s">
        <v>581</v>
      </c>
      <c r="AF76" s="101" t="s">
        <v>582</v>
      </c>
      <c r="AG76" s="101"/>
      <c r="AH76" s="101"/>
      <c r="AI76" s="101"/>
      <c r="AJ76" s="101"/>
    </row>
    <row r="77" spans="1:36" x14ac:dyDescent="0.2">
      <c r="A77" s="1" t="s">
        <v>278</v>
      </c>
      <c r="B77" s="1" t="s">
        <v>30</v>
      </c>
      <c r="C77" s="1" t="s">
        <v>31</v>
      </c>
      <c r="D77" s="1" t="s">
        <v>32</v>
      </c>
      <c r="E77" s="1" t="s">
        <v>279</v>
      </c>
      <c r="F77" s="1" t="s">
        <v>259</v>
      </c>
      <c r="G77" s="1" t="s">
        <v>280</v>
      </c>
      <c r="H77" s="1" t="s">
        <v>42</v>
      </c>
      <c r="I77" s="1" t="s">
        <v>37</v>
      </c>
      <c r="J77" s="101" t="s">
        <v>30</v>
      </c>
      <c r="K77" s="101" t="s">
        <v>276</v>
      </c>
      <c r="L77" s="101" t="s">
        <v>259</v>
      </c>
      <c r="M77" s="101" t="s">
        <v>277</v>
      </c>
      <c r="N77" s="189">
        <v>12440</v>
      </c>
      <c r="O77" s="101" t="s">
        <v>568</v>
      </c>
      <c r="P77" s="101" t="s">
        <v>569</v>
      </c>
      <c r="Q77" s="101" t="s">
        <v>570</v>
      </c>
      <c r="R77" s="101" t="s">
        <v>571</v>
      </c>
      <c r="S77" s="101" t="s">
        <v>572</v>
      </c>
      <c r="T77" s="101" t="s">
        <v>573</v>
      </c>
      <c r="U77" s="101"/>
      <c r="V77" s="101"/>
      <c r="W77" s="101" t="s">
        <v>574</v>
      </c>
      <c r="X77" s="101" t="s">
        <v>575</v>
      </c>
      <c r="Y77" s="101"/>
      <c r="Z77" s="101" t="s">
        <v>576</v>
      </c>
      <c r="AA77" s="101" t="s">
        <v>577</v>
      </c>
      <c r="AB77" s="101" t="s">
        <v>578</v>
      </c>
      <c r="AC77" s="101" t="s">
        <v>579</v>
      </c>
      <c r="AD77" s="101" t="s">
        <v>580</v>
      </c>
      <c r="AE77" s="101" t="s">
        <v>581</v>
      </c>
      <c r="AF77" s="101" t="s">
        <v>582</v>
      </c>
      <c r="AG77" s="101" t="s">
        <v>583</v>
      </c>
      <c r="AH77" s="101" t="s">
        <v>584</v>
      </c>
      <c r="AI77" s="101" t="s">
        <v>585</v>
      </c>
      <c r="AJ77" s="101"/>
    </row>
    <row r="78" spans="1:36" x14ac:dyDescent="0.2">
      <c r="A78" s="1" t="s">
        <v>281</v>
      </c>
      <c r="B78" s="1" t="s">
        <v>30</v>
      </c>
      <c r="C78" s="1" t="s">
        <v>31</v>
      </c>
      <c r="D78" s="1" t="s">
        <v>32</v>
      </c>
      <c r="E78" s="1" t="s">
        <v>282</v>
      </c>
      <c r="F78" s="1" t="s">
        <v>259</v>
      </c>
      <c r="G78" s="1" t="s">
        <v>283</v>
      </c>
      <c r="H78" s="1" t="s">
        <v>42</v>
      </c>
      <c r="I78" s="1" t="s">
        <v>37</v>
      </c>
      <c r="J78" s="101" t="s">
        <v>30</v>
      </c>
      <c r="K78" s="101" t="s">
        <v>279</v>
      </c>
      <c r="L78" s="101" t="s">
        <v>259</v>
      </c>
      <c r="M78" s="101" t="s">
        <v>280</v>
      </c>
      <c r="N78" s="189">
        <v>12330</v>
      </c>
      <c r="O78" s="101" t="s">
        <v>568</v>
      </c>
      <c r="P78" s="101" t="s">
        <v>569</v>
      </c>
      <c r="Q78" s="101" t="s">
        <v>570</v>
      </c>
      <c r="R78" s="101" t="s">
        <v>571</v>
      </c>
      <c r="S78" s="101" t="s">
        <v>572</v>
      </c>
      <c r="T78" s="101" t="s">
        <v>573</v>
      </c>
      <c r="U78" s="101"/>
      <c r="V78" s="101"/>
      <c r="W78" s="101" t="s">
        <v>574</v>
      </c>
      <c r="X78" s="101" t="s">
        <v>575</v>
      </c>
      <c r="Y78" s="101"/>
      <c r="Z78" s="101" t="s">
        <v>576</v>
      </c>
      <c r="AA78" s="101" t="s">
        <v>577</v>
      </c>
      <c r="AB78" s="101" t="s">
        <v>578</v>
      </c>
      <c r="AC78" s="101" t="s">
        <v>579</v>
      </c>
      <c r="AD78" s="101" t="s">
        <v>580</v>
      </c>
      <c r="AE78" s="101" t="s">
        <v>581</v>
      </c>
      <c r="AF78" s="101" t="s">
        <v>582</v>
      </c>
      <c r="AG78" s="101" t="s">
        <v>583</v>
      </c>
      <c r="AH78" s="101" t="s">
        <v>584</v>
      </c>
      <c r="AI78" s="101" t="s">
        <v>585</v>
      </c>
      <c r="AJ78" s="101"/>
    </row>
    <row r="79" spans="1:36" x14ac:dyDescent="0.2">
      <c r="A79" s="1" t="s">
        <v>284</v>
      </c>
      <c r="B79" s="1" t="s">
        <v>30</v>
      </c>
      <c r="C79" s="1" t="s">
        <v>31</v>
      </c>
      <c r="D79" s="1" t="s">
        <v>32</v>
      </c>
      <c r="E79" s="1" t="s">
        <v>285</v>
      </c>
      <c r="F79" s="1" t="s">
        <v>57</v>
      </c>
      <c r="G79" s="1" t="s">
        <v>286</v>
      </c>
      <c r="H79" s="1" t="s">
        <v>42</v>
      </c>
      <c r="I79" s="1" t="s">
        <v>37</v>
      </c>
      <c r="J79" s="101" t="s">
        <v>30</v>
      </c>
      <c r="K79" s="101" t="s">
        <v>282</v>
      </c>
      <c r="L79" s="101" t="s">
        <v>259</v>
      </c>
      <c r="M79" s="101" t="s">
        <v>283</v>
      </c>
      <c r="N79" s="189">
        <v>12230</v>
      </c>
      <c r="O79" s="101" t="s">
        <v>568</v>
      </c>
      <c r="P79" s="101" t="s">
        <v>569</v>
      </c>
      <c r="Q79" s="101" t="s">
        <v>570</v>
      </c>
      <c r="R79" s="101" t="s">
        <v>571</v>
      </c>
      <c r="S79" s="101" t="s">
        <v>572</v>
      </c>
      <c r="T79" s="101" t="s">
        <v>573</v>
      </c>
      <c r="U79" s="101"/>
      <c r="V79" s="101"/>
      <c r="W79" s="101" t="s">
        <v>574</v>
      </c>
      <c r="X79" s="101" t="s">
        <v>575</v>
      </c>
      <c r="Y79" s="101"/>
      <c r="Z79" s="101" t="s">
        <v>576</v>
      </c>
      <c r="AA79" s="101" t="s">
        <v>577</v>
      </c>
      <c r="AB79" s="101" t="s">
        <v>578</v>
      </c>
      <c r="AC79" s="101" t="s">
        <v>579</v>
      </c>
      <c r="AD79" s="101" t="s">
        <v>580</v>
      </c>
      <c r="AE79" s="101" t="s">
        <v>581</v>
      </c>
      <c r="AF79" s="101" t="s">
        <v>582</v>
      </c>
      <c r="AG79" s="101" t="s">
        <v>583</v>
      </c>
      <c r="AH79" s="101" t="s">
        <v>584</v>
      </c>
      <c r="AI79" s="101" t="s">
        <v>585</v>
      </c>
      <c r="AJ79" s="101"/>
    </row>
    <row r="80" spans="1:36" x14ac:dyDescent="0.2">
      <c r="A80" s="1" t="s">
        <v>287</v>
      </c>
      <c r="B80" s="1" t="s">
        <v>30</v>
      </c>
      <c r="C80" s="1" t="s">
        <v>31</v>
      </c>
      <c r="D80" s="1" t="s">
        <v>32</v>
      </c>
      <c r="E80" s="1" t="s">
        <v>288</v>
      </c>
      <c r="F80" s="1" t="s">
        <v>259</v>
      </c>
      <c r="G80" s="1" t="s">
        <v>289</v>
      </c>
      <c r="H80" s="1" t="s">
        <v>42</v>
      </c>
      <c r="I80" s="1" t="s">
        <v>37</v>
      </c>
      <c r="J80" s="101" t="s">
        <v>30</v>
      </c>
      <c r="K80" s="101" t="s">
        <v>285</v>
      </c>
      <c r="L80" s="101" t="s">
        <v>57</v>
      </c>
      <c r="M80" s="101" t="s">
        <v>286</v>
      </c>
      <c r="N80" s="189">
        <v>12430</v>
      </c>
      <c r="O80" s="101" t="s">
        <v>568</v>
      </c>
      <c r="P80" s="101" t="s">
        <v>569</v>
      </c>
      <c r="Q80" s="101" t="s">
        <v>570</v>
      </c>
      <c r="R80" s="101" t="s">
        <v>571</v>
      </c>
      <c r="S80" s="101" t="s">
        <v>572</v>
      </c>
      <c r="T80" s="101" t="s">
        <v>573</v>
      </c>
      <c r="U80" s="101" t="s">
        <v>586</v>
      </c>
      <c r="V80" s="101"/>
      <c r="W80" s="101" t="s">
        <v>574</v>
      </c>
      <c r="X80" s="101" t="s">
        <v>575</v>
      </c>
      <c r="Y80" s="101"/>
      <c r="Z80" s="101" t="s">
        <v>576</v>
      </c>
      <c r="AA80" s="101" t="s">
        <v>577</v>
      </c>
      <c r="AB80" s="101" t="s">
        <v>578</v>
      </c>
      <c r="AC80" s="101" t="s">
        <v>579</v>
      </c>
      <c r="AD80" s="101" t="s">
        <v>580</v>
      </c>
      <c r="AE80" s="101" t="s">
        <v>581</v>
      </c>
      <c r="AF80" s="101" t="s">
        <v>582</v>
      </c>
      <c r="AG80" s="101" t="s">
        <v>583</v>
      </c>
      <c r="AH80" s="101" t="s">
        <v>584</v>
      </c>
      <c r="AI80" s="101" t="s">
        <v>585</v>
      </c>
      <c r="AJ80" s="101"/>
    </row>
    <row r="81" spans="1:36" x14ac:dyDescent="0.2">
      <c r="A81" s="1" t="s">
        <v>290</v>
      </c>
      <c r="B81" s="1" t="s">
        <v>30</v>
      </c>
      <c r="C81" s="1" t="s">
        <v>31</v>
      </c>
      <c r="D81" s="1" t="s">
        <v>32</v>
      </c>
      <c r="E81" s="1" t="s">
        <v>291</v>
      </c>
      <c r="F81" s="1" t="s">
        <v>259</v>
      </c>
      <c r="G81" s="1" t="s">
        <v>292</v>
      </c>
      <c r="H81" s="1" t="s">
        <v>42</v>
      </c>
      <c r="I81" s="1" t="s">
        <v>37</v>
      </c>
      <c r="J81" s="101" t="s">
        <v>30</v>
      </c>
      <c r="K81" s="101" t="s">
        <v>288</v>
      </c>
      <c r="L81" s="101" t="s">
        <v>259</v>
      </c>
      <c r="M81" s="101" t="s">
        <v>289</v>
      </c>
      <c r="N81" s="189">
        <v>12420</v>
      </c>
      <c r="O81" s="101" t="s">
        <v>568</v>
      </c>
      <c r="P81" s="101" t="s">
        <v>569</v>
      </c>
      <c r="Q81" s="101" t="s">
        <v>570</v>
      </c>
      <c r="R81" s="101" t="s">
        <v>571</v>
      </c>
      <c r="S81" s="101" t="s">
        <v>572</v>
      </c>
      <c r="T81" s="101" t="s">
        <v>573</v>
      </c>
      <c r="U81" s="101"/>
      <c r="V81" s="101"/>
      <c r="W81" s="101" t="s">
        <v>574</v>
      </c>
      <c r="X81" s="101" t="s">
        <v>575</v>
      </c>
      <c r="Y81" s="101"/>
      <c r="Z81" s="101" t="s">
        <v>576</v>
      </c>
      <c r="AA81" s="101" t="s">
        <v>577</v>
      </c>
      <c r="AB81" s="101" t="s">
        <v>578</v>
      </c>
      <c r="AC81" s="101" t="s">
        <v>579</v>
      </c>
      <c r="AD81" s="101" t="s">
        <v>580</v>
      </c>
      <c r="AE81" s="101" t="s">
        <v>581</v>
      </c>
      <c r="AF81" s="101" t="s">
        <v>582</v>
      </c>
      <c r="AG81" s="101" t="s">
        <v>583</v>
      </c>
      <c r="AH81" s="101" t="s">
        <v>584</v>
      </c>
      <c r="AI81" s="101" t="s">
        <v>585</v>
      </c>
      <c r="AJ81" s="101"/>
    </row>
    <row r="82" spans="1:36" x14ac:dyDescent="0.2">
      <c r="A82" s="1" t="s">
        <v>293</v>
      </c>
      <c r="B82" s="1" t="s">
        <v>30</v>
      </c>
      <c r="C82" s="1" t="s">
        <v>31</v>
      </c>
      <c r="D82" s="1" t="s">
        <v>32</v>
      </c>
      <c r="E82" s="1" t="s">
        <v>294</v>
      </c>
      <c r="F82" s="1" t="s">
        <v>259</v>
      </c>
      <c r="G82" s="1" t="s">
        <v>295</v>
      </c>
      <c r="H82" s="1" t="s">
        <v>42</v>
      </c>
      <c r="I82" s="1" t="s">
        <v>37</v>
      </c>
      <c r="J82" s="101" t="s">
        <v>30</v>
      </c>
      <c r="K82" s="101" t="s">
        <v>291</v>
      </c>
      <c r="L82" s="101" t="s">
        <v>259</v>
      </c>
      <c r="M82" s="101" t="s">
        <v>292</v>
      </c>
      <c r="N82" s="189">
        <v>12440</v>
      </c>
      <c r="O82" s="101" t="s">
        <v>568</v>
      </c>
      <c r="P82" s="101" t="s">
        <v>569</v>
      </c>
      <c r="Q82" s="101" t="s">
        <v>570</v>
      </c>
      <c r="R82" s="101" t="s">
        <v>571</v>
      </c>
      <c r="S82" s="101" t="s">
        <v>572</v>
      </c>
      <c r="T82" s="101" t="s">
        <v>573</v>
      </c>
      <c r="U82" s="101"/>
      <c r="V82" s="101"/>
      <c r="W82" s="101" t="s">
        <v>574</v>
      </c>
      <c r="X82" s="101" t="s">
        <v>575</v>
      </c>
      <c r="Y82" s="101"/>
      <c r="Z82" s="101" t="s">
        <v>576</v>
      </c>
      <c r="AA82" s="101" t="s">
        <v>577</v>
      </c>
      <c r="AB82" s="101" t="s">
        <v>578</v>
      </c>
      <c r="AC82" s="101" t="s">
        <v>579</v>
      </c>
      <c r="AD82" s="101" t="s">
        <v>580</v>
      </c>
      <c r="AE82" s="101" t="s">
        <v>581</v>
      </c>
      <c r="AF82" s="101" t="s">
        <v>582</v>
      </c>
      <c r="AG82" s="101" t="s">
        <v>583</v>
      </c>
      <c r="AH82" s="101" t="s">
        <v>584</v>
      </c>
      <c r="AI82" s="101" t="s">
        <v>585</v>
      </c>
      <c r="AJ82" s="101"/>
    </row>
    <row r="83" spans="1:36" x14ac:dyDescent="0.2">
      <c r="A83" s="1" t="s">
        <v>296</v>
      </c>
      <c r="B83" s="1" t="s">
        <v>30</v>
      </c>
      <c r="C83" s="1" t="s">
        <v>31</v>
      </c>
      <c r="D83" s="1" t="s">
        <v>32</v>
      </c>
      <c r="E83" s="1" t="s">
        <v>297</v>
      </c>
      <c r="F83" s="1" t="s">
        <v>259</v>
      </c>
      <c r="G83" s="1" t="s">
        <v>298</v>
      </c>
      <c r="H83" s="1" t="s">
        <v>42</v>
      </c>
      <c r="I83" s="1" t="s">
        <v>37</v>
      </c>
      <c r="J83" s="101" t="s">
        <v>30</v>
      </c>
      <c r="K83" s="101" t="s">
        <v>294</v>
      </c>
      <c r="L83" s="101" t="s">
        <v>259</v>
      </c>
      <c r="M83" s="101" t="s">
        <v>295</v>
      </c>
      <c r="N83" s="189">
        <v>12440</v>
      </c>
      <c r="O83" s="101" t="s">
        <v>568</v>
      </c>
      <c r="P83" s="101" t="s">
        <v>569</v>
      </c>
      <c r="Q83" s="101" t="s">
        <v>570</v>
      </c>
      <c r="R83" s="101" t="s">
        <v>571</v>
      </c>
      <c r="S83" s="101" t="s">
        <v>572</v>
      </c>
      <c r="T83" s="101" t="s">
        <v>573</v>
      </c>
      <c r="U83" s="101"/>
      <c r="V83" s="101"/>
      <c r="W83" s="101" t="s">
        <v>574</v>
      </c>
      <c r="X83" s="101" t="s">
        <v>575</v>
      </c>
      <c r="Y83" s="101"/>
      <c r="Z83" s="101" t="s">
        <v>576</v>
      </c>
      <c r="AA83" s="101" t="s">
        <v>577</v>
      </c>
      <c r="AB83" s="101" t="s">
        <v>578</v>
      </c>
      <c r="AC83" s="101" t="s">
        <v>579</v>
      </c>
      <c r="AD83" s="101" t="s">
        <v>580</v>
      </c>
      <c r="AE83" s="101" t="s">
        <v>581</v>
      </c>
      <c r="AF83" s="101" t="s">
        <v>582</v>
      </c>
      <c r="AG83" s="101" t="s">
        <v>583</v>
      </c>
      <c r="AH83" s="101" t="s">
        <v>584</v>
      </c>
      <c r="AI83" s="101" t="s">
        <v>585</v>
      </c>
      <c r="AJ83" s="101"/>
    </row>
    <row r="84" spans="1:36" x14ac:dyDescent="0.2">
      <c r="A84" s="1" t="s">
        <v>299</v>
      </c>
      <c r="B84" s="1" t="s">
        <v>30</v>
      </c>
      <c r="C84" s="1" t="s">
        <v>31</v>
      </c>
      <c r="D84" s="1" t="s">
        <v>32</v>
      </c>
      <c r="E84" s="1" t="s">
        <v>300</v>
      </c>
      <c r="F84" s="1" t="s">
        <v>259</v>
      </c>
      <c r="G84" s="1" t="s">
        <v>301</v>
      </c>
      <c r="H84" s="1" t="s">
        <v>42</v>
      </c>
      <c r="I84" s="1" t="s">
        <v>37</v>
      </c>
      <c r="J84" s="101" t="s">
        <v>30</v>
      </c>
      <c r="K84" s="101" t="s">
        <v>297</v>
      </c>
      <c r="L84" s="101" t="s">
        <v>259</v>
      </c>
      <c r="M84" s="101" t="s">
        <v>298</v>
      </c>
      <c r="N84" s="189">
        <v>12430</v>
      </c>
      <c r="O84" s="101" t="s">
        <v>568</v>
      </c>
      <c r="P84" s="101" t="s">
        <v>569</v>
      </c>
      <c r="Q84" s="101" t="s">
        <v>570</v>
      </c>
      <c r="R84" s="101" t="s">
        <v>571</v>
      </c>
      <c r="S84" s="101" t="s">
        <v>572</v>
      </c>
      <c r="T84" s="101" t="s">
        <v>573</v>
      </c>
      <c r="U84" s="101"/>
      <c r="V84" s="101"/>
      <c r="W84" s="101" t="s">
        <v>574</v>
      </c>
      <c r="X84" s="101" t="s">
        <v>575</v>
      </c>
      <c r="Y84" s="101"/>
      <c r="Z84" s="101" t="s">
        <v>576</v>
      </c>
      <c r="AA84" s="101" t="s">
        <v>577</v>
      </c>
      <c r="AB84" s="101" t="s">
        <v>578</v>
      </c>
      <c r="AC84" s="101" t="s">
        <v>579</v>
      </c>
      <c r="AD84" s="101" t="s">
        <v>580</v>
      </c>
      <c r="AE84" s="101" t="s">
        <v>581</v>
      </c>
      <c r="AF84" s="101" t="s">
        <v>582</v>
      </c>
      <c r="AG84" s="101" t="s">
        <v>583</v>
      </c>
      <c r="AH84" s="101" t="s">
        <v>584</v>
      </c>
      <c r="AI84" s="101" t="s">
        <v>585</v>
      </c>
      <c r="AJ84" s="101"/>
    </row>
    <row r="85" spans="1:36" x14ac:dyDescent="0.2">
      <c r="A85" s="1" t="s">
        <v>302</v>
      </c>
      <c r="B85" s="1" t="s">
        <v>30</v>
      </c>
      <c r="C85" s="1" t="s">
        <v>31</v>
      </c>
      <c r="D85" s="1" t="s">
        <v>32</v>
      </c>
      <c r="E85" s="1" t="s">
        <v>303</v>
      </c>
      <c r="F85" s="1" t="s">
        <v>259</v>
      </c>
      <c r="G85" s="1" t="s">
        <v>304</v>
      </c>
      <c r="H85" s="1" t="s">
        <v>42</v>
      </c>
      <c r="I85" s="1" t="s">
        <v>37</v>
      </c>
      <c r="J85" s="101" t="s">
        <v>30</v>
      </c>
      <c r="K85" s="101" t="s">
        <v>300</v>
      </c>
      <c r="L85" s="101" t="s">
        <v>259</v>
      </c>
      <c r="M85" s="101" t="s">
        <v>301</v>
      </c>
      <c r="N85" s="189">
        <v>12320</v>
      </c>
      <c r="O85" s="101" t="s">
        <v>568</v>
      </c>
      <c r="P85" s="101" t="s">
        <v>569</v>
      </c>
      <c r="Q85" s="101" t="s">
        <v>570</v>
      </c>
      <c r="R85" s="101" t="s">
        <v>571</v>
      </c>
      <c r="S85" s="101" t="s">
        <v>572</v>
      </c>
      <c r="T85" s="101" t="s">
        <v>573</v>
      </c>
      <c r="U85" s="101"/>
      <c r="V85" s="101"/>
      <c r="W85" s="101" t="s">
        <v>574</v>
      </c>
      <c r="X85" s="101" t="s">
        <v>575</v>
      </c>
      <c r="Y85" s="101"/>
      <c r="Z85" s="101" t="s">
        <v>576</v>
      </c>
      <c r="AA85" s="101" t="s">
        <v>577</v>
      </c>
      <c r="AB85" s="101" t="s">
        <v>578</v>
      </c>
      <c r="AC85" s="101" t="s">
        <v>579</v>
      </c>
      <c r="AD85" s="101" t="s">
        <v>580</v>
      </c>
      <c r="AE85" s="101" t="s">
        <v>581</v>
      </c>
      <c r="AF85" s="101" t="s">
        <v>582</v>
      </c>
      <c r="AG85" s="101" t="s">
        <v>583</v>
      </c>
      <c r="AH85" s="101" t="s">
        <v>584</v>
      </c>
      <c r="AI85" s="101" t="s">
        <v>585</v>
      </c>
      <c r="AJ85" s="101"/>
    </row>
    <row r="86" spans="1:36" x14ac:dyDescent="0.2">
      <c r="A86" s="1" t="s">
        <v>305</v>
      </c>
      <c r="B86" s="1" t="s">
        <v>30</v>
      </c>
      <c r="C86" s="1" t="s">
        <v>31</v>
      </c>
      <c r="D86" s="1" t="s">
        <v>32</v>
      </c>
      <c r="E86" s="1" t="s">
        <v>306</v>
      </c>
      <c r="F86" s="1" t="s">
        <v>150</v>
      </c>
      <c r="G86" s="1" t="s">
        <v>307</v>
      </c>
      <c r="H86" s="1" t="s">
        <v>42</v>
      </c>
      <c r="I86" s="1" t="s">
        <v>37</v>
      </c>
      <c r="J86" s="101" t="s">
        <v>30</v>
      </c>
      <c r="K86" s="101" t="s">
        <v>303</v>
      </c>
      <c r="L86" s="101" t="s">
        <v>259</v>
      </c>
      <c r="M86" s="101" t="s">
        <v>304</v>
      </c>
      <c r="N86" s="189">
        <v>12430</v>
      </c>
      <c r="O86" s="101" t="s">
        <v>568</v>
      </c>
      <c r="P86" s="101" t="s">
        <v>569</v>
      </c>
      <c r="Q86" s="101" t="s">
        <v>570</v>
      </c>
      <c r="R86" s="101" t="s">
        <v>571</v>
      </c>
      <c r="S86" s="101" t="s">
        <v>572</v>
      </c>
      <c r="T86" s="101" t="s">
        <v>573</v>
      </c>
      <c r="U86" s="101"/>
      <c r="V86" s="101"/>
      <c r="W86" s="101" t="s">
        <v>574</v>
      </c>
      <c r="X86" s="101" t="s">
        <v>575</v>
      </c>
      <c r="Y86" s="101"/>
      <c r="Z86" s="101" t="s">
        <v>576</v>
      </c>
      <c r="AA86" s="101" t="s">
        <v>577</v>
      </c>
      <c r="AB86" s="101" t="s">
        <v>578</v>
      </c>
      <c r="AC86" s="101" t="s">
        <v>579</v>
      </c>
      <c r="AD86" s="101" t="s">
        <v>580</v>
      </c>
      <c r="AE86" s="101" t="s">
        <v>581</v>
      </c>
      <c r="AF86" s="101" t="s">
        <v>582</v>
      </c>
      <c r="AG86" s="101" t="s">
        <v>583</v>
      </c>
      <c r="AH86" s="101" t="s">
        <v>584</v>
      </c>
      <c r="AI86" s="101" t="s">
        <v>585</v>
      </c>
      <c r="AJ86" s="101"/>
    </row>
    <row r="87" spans="1:36" x14ac:dyDescent="0.2">
      <c r="A87" s="1" t="s">
        <v>308</v>
      </c>
      <c r="B87" s="1" t="s">
        <v>30</v>
      </c>
      <c r="C87" s="1" t="s">
        <v>31</v>
      </c>
      <c r="D87" s="1" t="s">
        <v>32</v>
      </c>
      <c r="E87" s="1" t="s">
        <v>309</v>
      </c>
      <c r="F87" s="1" t="s">
        <v>259</v>
      </c>
      <c r="G87" s="1" t="s">
        <v>310</v>
      </c>
      <c r="H87" s="1" t="s">
        <v>42</v>
      </c>
      <c r="I87" s="1" t="s">
        <v>37</v>
      </c>
      <c r="J87" s="101" t="s">
        <v>30</v>
      </c>
      <c r="K87" s="101" t="s">
        <v>566</v>
      </c>
      <c r="L87" s="101" t="s">
        <v>259</v>
      </c>
      <c r="M87" s="101" t="s">
        <v>567</v>
      </c>
      <c r="N87" s="189">
        <v>12350</v>
      </c>
      <c r="O87" s="101" t="s">
        <v>568</v>
      </c>
      <c r="P87" s="101" t="s">
        <v>569</v>
      </c>
      <c r="Q87" s="101" t="s">
        <v>570</v>
      </c>
      <c r="R87" s="101" t="s">
        <v>571</v>
      </c>
      <c r="S87" s="101" t="s">
        <v>572</v>
      </c>
      <c r="T87" s="101" t="s">
        <v>573</v>
      </c>
      <c r="U87" s="101"/>
      <c r="V87" s="101"/>
      <c r="W87" s="101" t="s">
        <v>574</v>
      </c>
      <c r="X87" s="101" t="s">
        <v>575</v>
      </c>
      <c r="Y87" s="101"/>
      <c r="Z87" s="101" t="s">
        <v>576</v>
      </c>
      <c r="AA87" s="101" t="s">
        <v>577</v>
      </c>
      <c r="AB87" s="101" t="s">
        <v>578</v>
      </c>
      <c r="AC87" s="101" t="s">
        <v>579</v>
      </c>
      <c r="AD87" s="101" t="s">
        <v>580</v>
      </c>
      <c r="AE87" s="101" t="s">
        <v>581</v>
      </c>
      <c r="AF87" s="101" t="s">
        <v>582</v>
      </c>
      <c r="AG87" s="101" t="s">
        <v>583</v>
      </c>
      <c r="AH87" s="101" t="s">
        <v>584</v>
      </c>
      <c r="AI87" s="101" t="s">
        <v>585</v>
      </c>
      <c r="AJ87" s="101"/>
    </row>
    <row r="88" spans="1:36" x14ac:dyDescent="0.2">
      <c r="A88" s="1" t="s">
        <v>311</v>
      </c>
      <c r="B88" s="1" t="s">
        <v>30</v>
      </c>
      <c r="C88" s="1" t="s">
        <v>31</v>
      </c>
      <c r="D88" s="1" t="s">
        <v>32</v>
      </c>
      <c r="E88" s="1" t="s">
        <v>312</v>
      </c>
      <c r="F88" s="1" t="s">
        <v>259</v>
      </c>
      <c r="G88" s="1" t="s">
        <v>313</v>
      </c>
      <c r="H88" s="1" t="s">
        <v>314</v>
      </c>
      <c r="I88" s="1" t="s">
        <v>37</v>
      </c>
      <c r="J88" s="101" t="s">
        <v>30</v>
      </c>
      <c r="K88" s="101" t="s">
        <v>312</v>
      </c>
      <c r="L88" s="101" t="s">
        <v>259</v>
      </c>
      <c r="M88" s="101" t="s">
        <v>313</v>
      </c>
      <c r="N88" s="189">
        <v>12020</v>
      </c>
      <c r="O88" s="101" t="s">
        <v>568</v>
      </c>
      <c r="P88" s="101" t="s">
        <v>569</v>
      </c>
      <c r="Q88" s="101" t="s">
        <v>570</v>
      </c>
      <c r="R88" s="101" t="s">
        <v>571</v>
      </c>
      <c r="S88" s="101" t="s">
        <v>572</v>
      </c>
      <c r="T88" s="101" t="s">
        <v>573</v>
      </c>
      <c r="U88" s="101"/>
      <c r="V88" s="101"/>
      <c r="W88" s="101" t="s">
        <v>574</v>
      </c>
      <c r="X88" s="101" t="s">
        <v>575</v>
      </c>
      <c r="Y88" s="101"/>
      <c r="Z88" s="101" t="s">
        <v>576</v>
      </c>
      <c r="AA88" s="101" t="s">
        <v>577</v>
      </c>
      <c r="AB88" s="101" t="s">
        <v>578</v>
      </c>
      <c r="AC88" s="101" t="s">
        <v>579</v>
      </c>
      <c r="AD88" s="101" t="s">
        <v>580</v>
      </c>
      <c r="AE88" s="101" t="s">
        <v>581</v>
      </c>
      <c r="AF88" s="101" t="s">
        <v>582</v>
      </c>
      <c r="AG88" s="101" t="s">
        <v>583</v>
      </c>
      <c r="AH88" s="101" t="s">
        <v>584</v>
      </c>
      <c r="AI88" s="101" t="s">
        <v>585</v>
      </c>
      <c r="AJ88" s="101"/>
    </row>
    <row r="89" spans="1:36" x14ac:dyDescent="0.2">
      <c r="A89" s="1" t="s">
        <v>315</v>
      </c>
      <c r="B89" s="1" t="s">
        <v>30</v>
      </c>
      <c r="C89" s="1" t="s">
        <v>31</v>
      </c>
      <c r="D89" s="1" t="s">
        <v>32</v>
      </c>
      <c r="E89" s="1" t="s">
        <v>316</v>
      </c>
      <c r="F89" s="1" t="s">
        <v>259</v>
      </c>
      <c r="G89" s="1" t="s">
        <v>317</v>
      </c>
      <c r="H89" s="1" t="s">
        <v>42</v>
      </c>
      <c r="I89" s="1" t="s">
        <v>37</v>
      </c>
      <c r="J89" s="101" t="s">
        <v>30</v>
      </c>
      <c r="K89" s="101" t="s">
        <v>316</v>
      </c>
      <c r="L89" s="101" t="s">
        <v>259</v>
      </c>
      <c r="M89" s="101" t="s">
        <v>317</v>
      </c>
      <c r="N89" s="189">
        <v>12440</v>
      </c>
      <c r="O89" s="101" t="s">
        <v>568</v>
      </c>
      <c r="P89" s="101" t="s">
        <v>569</v>
      </c>
      <c r="Q89" s="101" t="s">
        <v>570</v>
      </c>
      <c r="R89" s="101" t="s">
        <v>571</v>
      </c>
      <c r="S89" s="101" t="s">
        <v>572</v>
      </c>
      <c r="T89" s="101" t="s">
        <v>573</v>
      </c>
      <c r="U89" s="101"/>
      <c r="V89" s="101"/>
      <c r="W89" s="101" t="s">
        <v>574</v>
      </c>
      <c r="X89" s="101" t="s">
        <v>575</v>
      </c>
      <c r="Y89" s="101"/>
      <c r="Z89" s="101" t="s">
        <v>576</v>
      </c>
      <c r="AA89" s="101" t="s">
        <v>577</v>
      </c>
      <c r="AB89" s="101" t="s">
        <v>578</v>
      </c>
      <c r="AC89" s="101" t="s">
        <v>579</v>
      </c>
      <c r="AD89" s="101" t="s">
        <v>580</v>
      </c>
      <c r="AE89" s="101" t="s">
        <v>581</v>
      </c>
      <c r="AF89" s="101" t="s">
        <v>582</v>
      </c>
      <c r="AG89" s="101" t="s">
        <v>583</v>
      </c>
      <c r="AH89" s="101" t="s">
        <v>584</v>
      </c>
      <c r="AI89" s="101" t="s">
        <v>585</v>
      </c>
      <c r="AJ89" s="101"/>
    </row>
    <row r="90" spans="1:36" x14ac:dyDescent="0.2">
      <c r="A90" s="1" t="s">
        <v>318</v>
      </c>
      <c r="B90" s="1" t="s">
        <v>30</v>
      </c>
      <c r="C90" s="1" t="s">
        <v>31</v>
      </c>
      <c r="D90" s="1" t="s">
        <v>32</v>
      </c>
      <c r="E90" s="1" t="s">
        <v>319</v>
      </c>
      <c r="F90" s="1" t="s">
        <v>259</v>
      </c>
      <c r="G90" s="1" t="s">
        <v>320</v>
      </c>
      <c r="H90" s="1" t="s">
        <v>42</v>
      </c>
      <c r="I90" s="1" t="s">
        <v>37</v>
      </c>
      <c r="J90" s="101" t="s">
        <v>30</v>
      </c>
      <c r="K90" s="101" t="s">
        <v>319</v>
      </c>
      <c r="L90" s="101" t="s">
        <v>259</v>
      </c>
      <c r="M90" s="101" t="s">
        <v>320</v>
      </c>
      <c r="N90" s="189">
        <v>12430</v>
      </c>
      <c r="O90" s="101" t="s">
        <v>568</v>
      </c>
      <c r="P90" s="101" t="s">
        <v>569</v>
      </c>
      <c r="Q90" s="101" t="s">
        <v>570</v>
      </c>
      <c r="R90" s="101" t="s">
        <v>571</v>
      </c>
      <c r="S90" s="101" t="s">
        <v>572</v>
      </c>
      <c r="T90" s="101" t="s">
        <v>573</v>
      </c>
      <c r="U90" s="101"/>
      <c r="V90" s="101"/>
      <c r="W90" s="101" t="s">
        <v>574</v>
      </c>
      <c r="X90" s="101" t="s">
        <v>575</v>
      </c>
      <c r="Y90" s="101"/>
      <c r="Z90" s="101" t="s">
        <v>576</v>
      </c>
      <c r="AA90" s="101" t="s">
        <v>577</v>
      </c>
      <c r="AB90" s="101" t="s">
        <v>578</v>
      </c>
      <c r="AC90" s="101" t="s">
        <v>579</v>
      </c>
      <c r="AD90" s="101" t="s">
        <v>580</v>
      </c>
      <c r="AE90" s="101" t="s">
        <v>581</v>
      </c>
      <c r="AF90" s="101" t="s">
        <v>582</v>
      </c>
      <c r="AG90" s="101" t="s">
        <v>583</v>
      </c>
      <c r="AH90" s="101" t="s">
        <v>584</v>
      </c>
      <c r="AI90" s="101" t="s">
        <v>585</v>
      </c>
      <c r="AJ90" s="101"/>
    </row>
    <row r="91" spans="1:36" x14ac:dyDescent="0.2">
      <c r="A91" s="1" t="s">
        <v>321</v>
      </c>
      <c r="B91" s="1" t="s">
        <v>30</v>
      </c>
      <c r="C91" s="1" t="s">
        <v>31</v>
      </c>
      <c r="D91" s="1" t="s">
        <v>32</v>
      </c>
      <c r="E91" s="1" t="s">
        <v>322</v>
      </c>
      <c r="F91" s="1" t="s">
        <v>323</v>
      </c>
      <c r="G91" s="1" t="s">
        <v>324</v>
      </c>
      <c r="H91" s="1" t="s">
        <v>42</v>
      </c>
      <c r="I91" s="1" t="s">
        <v>37</v>
      </c>
      <c r="J91" s="101" t="s">
        <v>30</v>
      </c>
      <c r="K91" s="101" t="s">
        <v>322</v>
      </c>
      <c r="L91" s="101" t="s">
        <v>323</v>
      </c>
      <c r="M91" s="101" t="s">
        <v>324</v>
      </c>
      <c r="N91" s="189">
        <v>12430</v>
      </c>
      <c r="O91" s="101" t="s">
        <v>568</v>
      </c>
      <c r="P91" s="101" t="s">
        <v>569</v>
      </c>
      <c r="Q91" s="101" t="s">
        <v>570</v>
      </c>
      <c r="R91" s="101" t="s">
        <v>571</v>
      </c>
      <c r="S91" s="101" t="s">
        <v>572</v>
      </c>
      <c r="T91" s="101" t="s">
        <v>573</v>
      </c>
      <c r="U91" s="101" t="s">
        <v>586</v>
      </c>
      <c r="V91" s="101"/>
      <c r="W91" s="101" t="s">
        <v>574</v>
      </c>
      <c r="X91" s="101" t="s">
        <v>575</v>
      </c>
      <c r="Y91" s="101"/>
      <c r="Z91" s="101" t="s">
        <v>576</v>
      </c>
      <c r="AA91" s="101" t="s">
        <v>577</v>
      </c>
      <c r="AB91" s="101" t="s">
        <v>578</v>
      </c>
      <c r="AC91" s="101" t="s">
        <v>579</v>
      </c>
      <c r="AD91" s="101" t="s">
        <v>580</v>
      </c>
      <c r="AE91" s="101" t="s">
        <v>581</v>
      </c>
      <c r="AF91" s="101" t="s">
        <v>582</v>
      </c>
      <c r="AG91" s="101" t="s">
        <v>583</v>
      </c>
      <c r="AH91" s="101" t="s">
        <v>584</v>
      </c>
      <c r="AI91" s="101" t="s">
        <v>585</v>
      </c>
      <c r="AJ91" s="101"/>
    </row>
    <row r="92" spans="1:36" x14ac:dyDescent="0.2">
      <c r="A92" s="1" t="s">
        <v>325</v>
      </c>
      <c r="B92" s="1" t="s">
        <v>30</v>
      </c>
      <c r="C92" s="1" t="s">
        <v>31</v>
      </c>
      <c r="D92" s="1" t="s">
        <v>32</v>
      </c>
      <c r="E92" s="1" t="s">
        <v>326</v>
      </c>
      <c r="F92" s="1" t="s">
        <v>323</v>
      </c>
      <c r="G92" s="1" t="s">
        <v>327</v>
      </c>
      <c r="H92" s="1" t="s">
        <v>42</v>
      </c>
      <c r="I92" s="1" t="s">
        <v>37</v>
      </c>
      <c r="J92" s="101" t="s">
        <v>30</v>
      </c>
      <c r="K92" s="101" t="s">
        <v>813</v>
      </c>
      <c r="L92" s="101" t="s">
        <v>809</v>
      </c>
      <c r="M92" s="101" t="s">
        <v>814</v>
      </c>
      <c r="N92" s="189">
        <v>12460</v>
      </c>
      <c r="O92" s="101" t="s">
        <v>568</v>
      </c>
      <c r="P92" s="101" t="s">
        <v>569</v>
      </c>
      <c r="Q92" s="101" t="s">
        <v>570</v>
      </c>
      <c r="R92" s="101" t="s">
        <v>571</v>
      </c>
      <c r="S92" s="101" t="s">
        <v>572</v>
      </c>
      <c r="T92" s="101" t="s">
        <v>573</v>
      </c>
      <c r="U92" s="101"/>
      <c r="V92" s="101"/>
      <c r="W92" s="101" t="s">
        <v>574</v>
      </c>
      <c r="X92" s="101" t="s">
        <v>575</v>
      </c>
      <c r="Y92" s="101"/>
      <c r="Z92" s="101" t="s">
        <v>576</v>
      </c>
      <c r="AA92" s="101" t="s">
        <v>577</v>
      </c>
      <c r="AB92" s="101" t="s">
        <v>578</v>
      </c>
      <c r="AC92" s="101" t="s">
        <v>579</v>
      </c>
      <c r="AD92" s="101" t="s">
        <v>580</v>
      </c>
      <c r="AE92" s="101" t="s">
        <v>581</v>
      </c>
      <c r="AF92" s="101" t="s">
        <v>582</v>
      </c>
      <c r="AG92" s="101"/>
      <c r="AH92" s="101"/>
      <c r="AI92" s="101"/>
      <c r="AJ92" s="101"/>
    </row>
    <row r="93" spans="1:36" x14ac:dyDescent="0.2">
      <c r="A93" s="1" t="s">
        <v>328</v>
      </c>
      <c r="B93" s="1" t="s">
        <v>30</v>
      </c>
      <c r="C93" s="1" t="s">
        <v>31</v>
      </c>
      <c r="D93" s="1" t="s">
        <v>32</v>
      </c>
      <c r="E93" s="1" t="s">
        <v>329</v>
      </c>
      <c r="F93" s="1" t="s">
        <v>323</v>
      </c>
      <c r="G93" s="1" t="s">
        <v>330</v>
      </c>
      <c r="H93" s="1" t="s">
        <v>59</v>
      </c>
      <c r="I93" s="1" t="s">
        <v>37</v>
      </c>
      <c r="J93" s="101" t="s">
        <v>30</v>
      </c>
      <c r="K93" s="101" t="s">
        <v>329</v>
      </c>
      <c r="L93" s="101" t="s">
        <v>323</v>
      </c>
      <c r="M93" s="101" t="s">
        <v>330</v>
      </c>
      <c r="N93" s="189">
        <v>12230</v>
      </c>
      <c r="O93" s="101" t="s">
        <v>568</v>
      </c>
      <c r="P93" s="101" t="s">
        <v>569</v>
      </c>
      <c r="Q93" s="101" t="s">
        <v>570</v>
      </c>
      <c r="R93" s="101" t="s">
        <v>571</v>
      </c>
      <c r="S93" s="101" t="s">
        <v>572</v>
      </c>
      <c r="T93" s="101" t="s">
        <v>573</v>
      </c>
      <c r="U93" s="101"/>
      <c r="V93" s="101"/>
      <c r="W93" s="101" t="s">
        <v>574</v>
      </c>
      <c r="X93" s="101" t="s">
        <v>575</v>
      </c>
      <c r="Y93" s="101"/>
      <c r="Z93" s="101" t="s">
        <v>576</v>
      </c>
      <c r="AA93" s="101" t="s">
        <v>577</v>
      </c>
      <c r="AB93" s="101" t="s">
        <v>578</v>
      </c>
      <c r="AC93" s="101" t="s">
        <v>579</v>
      </c>
      <c r="AD93" s="101" t="s">
        <v>580</v>
      </c>
      <c r="AE93" s="101" t="s">
        <v>581</v>
      </c>
      <c r="AF93" s="101" t="s">
        <v>582</v>
      </c>
      <c r="AG93" s="101" t="s">
        <v>583</v>
      </c>
      <c r="AH93" s="101" t="s">
        <v>584</v>
      </c>
      <c r="AI93" s="101" t="s">
        <v>585</v>
      </c>
      <c r="AJ93" s="101"/>
    </row>
    <row r="94" spans="1:36" x14ac:dyDescent="0.2">
      <c r="A94" s="1" t="s">
        <v>331</v>
      </c>
      <c r="B94" s="1" t="s">
        <v>30</v>
      </c>
      <c r="C94" s="1" t="s">
        <v>31</v>
      </c>
      <c r="D94" s="1" t="s">
        <v>32</v>
      </c>
      <c r="E94" s="1" t="s">
        <v>332</v>
      </c>
      <c r="F94" s="1" t="s">
        <v>323</v>
      </c>
      <c r="G94" s="1" t="s">
        <v>333</v>
      </c>
      <c r="H94" s="1" t="s">
        <v>59</v>
      </c>
      <c r="I94" s="1" t="s">
        <v>37</v>
      </c>
      <c r="J94" s="101" t="s">
        <v>30</v>
      </c>
      <c r="K94" s="101" t="s">
        <v>332</v>
      </c>
      <c r="L94" s="101" t="s">
        <v>323</v>
      </c>
      <c r="M94" s="101" t="s">
        <v>333</v>
      </c>
      <c r="N94" s="189">
        <v>12440</v>
      </c>
      <c r="O94" s="101" t="s">
        <v>568</v>
      </c>
      <c r="P94" s="101" t="s">
        <v>569</v>
      </c>
      <c r="Q94" s="101" t="s">
        <v>570</v>
      </c>
      <c r="R94" s="101" t="s">
        <v>571</v>
      </c>
      <c r="S94" s="101" t="s">
        <v>572</v>
      </c>
      <c r="T94" s="101" t="s">
        <v>573</v>
      </c>
      <c r="U94" s="101" t="s">
        <v>586</v>
      </c>
      <c r="V94" s="101"/>
      <c r="W94" s="101" t="s">
        <v>574</v>
      </c>
      <c r="X94" s="101" t="s">
        <v>575</v>
      </c>
      <c r="Y94" s="101"/>
      <c r="Z94" s="101" t="s">
        <v>576</v>
      </c>
      <c r="AA94" s="101" t="s">
        <v>577</v>
      </c>
      <c r="AB94" s="101" t="s">
        <v>578</v>
      </c>
      <c r="AC94" s="101" t="s">
        <v>579</v>
      </c>
      <c r="AD94" s="101" t="s">
        <v>580</v>
      </c>
      <c r="AE94" s="101" t="s">
        <v>581</v>
      </c>
      <c r="AF94" s="101" t="s">
        <v>582</v>
      </c>
      <c r="AG94" s="101" t="s">
        <v>583</v>
      </c>
      <c r="AH94" s="101" t="s">
        <v>584</v>
      </c>
      <c r="AI94" s="101" t="s">
        <v>585</v>
      </c>
      <c r="AJ94" s="101"/>
    </row>
    <row r="95" spans="1:36" x14ac:dyDescent="0.2">
      <c r="A95" s="1" t="s">
        <v>334</v>
      </c>
      <c r="B95" s="1" t="s">
        <v>30</v>
      </c>
      <c r="C95" s="1" t="s">
        <v>31</v>
      </c>
      <c r="D95" s="1" t="s">
        <v>32</v>
      </c>
      <c r="E95" s="1" t="s">
        <v>335</v>
      </c>
      <c r="F95" s="1" t="s">
        <v>79</v>
      </c>
      <c r="G95" s="1" t="s">
        <v>336</v>
      </c>
      <c r="H95" s="1" t="s">
        <v>42</v>
      </c>
      <c r="I95" s="1" t="s">
        <v>37</v>
      </c>
      <c r="J95" s="101" t="s">
        <v>30</v>
      </c>
      <c r="K95" s="101" t="s">
        <v>335</v>
      </c>
      <c r="L95" s="101" t="s">
        <v>79</v>
      </c>
      <c r="M95" s="101" t="s">
        <v>336</v>
      </c>
      <c r="N95" s="189">
        <v>12440</v>
      </c>
      <c r="O95" s="101" t="s">
        <v>568</v>
      </c>
      <c r="P95" s="101" t="s">
        <v>569</v>
      </c>
      <c r="Q95" s="101" t="s">
        <v>570</v>
      </c>
      <c r="R95" s="101" t="s">
        <v>571</v>
      </c>
      <c r="S95" s="101" t="s">
        <v>572</v>
      </c>
      <c r="T95" s="101" t="s">
        <v>573</v>
      </c>
      <c r="U95" s="101"/>
      <c r="V95" s="101"/>
      <c r="W95" s="101" t="s">
        <v>574</v>
      </c>
      <c r="X95" s="101" t="s">
        <v>575</v>
      </c>
      <c r="Y95" s="101"/>
      <c r="Z95" s="101" t="s">
        <v>576</v>
      </c>
      <c r="AA95" s="101" t="s">
        <v>577</v>
      </c>
      <c r="AB95" s="101" t="s">
        <v>578</v>
      </c>
      <c r="AC95" s="101" t="s">
        <v>579</v>
      </c>
      <c r="AD95" s="101" t="s">
        <v>580</v>
      </c>
      <c r="AE95" s="101" t="s">
        <v>581</v>
      </c>
      <c r="AF95" s="101" t="s">
        <v>582</v>
      </c>
      <c r="AG95" s="101" t="s">
        <v>583</v>
      </c>
      <c r="AH95" s="101" t="s">
        <v>584</v>
      </c>
      <c r="AI95" s="101" t="s">
        <v>585</v>
      </c>
      <c r="AJ95" s="101"/>
    </row>
    <row r="96" spans="1:36" x14ac:dyDescent="0.2">
      <c r="A96" s="1" t="s">
        <v>337</v>
      </c>
      <c r="B96" s="1" t="s">
        <v>30</v>
      </c>
      <c r="C96" s="1" t="s">
        <v>31</v>
      </c>
      <c r="D96" s="1" t="s">
        <v>32</v>
      </c>
      <c r="E96" s="1" t="s">
        <v>338</v>
      </c>
      <c r="F96" s="1" t="s">
        <v>79</v>
      </c>
      <c r="G96" s="1" t="s">
        <v>339</v>
      </c>
      <c r="H96" s="1" t="s">
        <v>59</v>
      </c>
      <c r="I96" s="1" t="s">
        <v>37</v>
      </c>
      <c r="J96" s="101" t="s">
        <v>30</v>
      </c>
      <c r="K96" s="101" t="s">
        <v>341</v>
      </c>
      <c r="L96" s="101" t="s">
        <v>79</v>
      </c>
      <c r="M96" s="101" t="s">
        <v>342</v>
      </c>
      <c r="N96" s="189">
        <v>12430</v>
      </c>
      <c r="O96" s="101" t="s">
        <v>568</v>
      </c>
      <c r="P96" s="101" t="s">
        <v>569</v>
      </c>
      <c r="Q96" s="101" t="s">
        <v>570</v>
      </c>
      <c r="R96" s="101" t="s">
        <v>571</v>
      </c>
      <c r="S96" s="101" t="s">
        <v>572</v>
      </c>
      <c r="T96" s="101" t="s">
        <v>573</v>
      </c>
      <c r="U96" s="101"/>
      <c r="V96" s="101"/>
      <c r="W96" s="101" t="s">
        <v>574</v>
      </c>
      <c r="X96" s="101" t="s">
        <v>575</v>
      </c>
      <c r="Y96" s="101"/>
      <c r="Z96" s="101" t="s">
        <v>576</v>
      </c>
      <c r="AA96" s="101" t="s">
        <v>577</v>
      </c>
      <c r="AB96" s="101" t="s">
        <v>578</v>
      </c>
      <c r="AC96" s="101" t="s">
        <v>579</v>
      </c>
      <c r="AD96" s="101" t="s">
        <v>580</v>
      </c>
      <c r="AE96" s="101" t="s">
        <v>581</v>
      </c>
      <c r="AF96" s="101" t="s">
        <v>582</v>
      </c>
      <c r="AG96" s="101" t="s">
        <v>583</v>
      </c>
      <c r="AH96" s="101" t="s">
        <v>584</v>
      </c>
      <c r="AI96" s="101" t="s">
        <v>585</v>
      </c>
      <c r="AJ96" s="101"/>
    </row>
    <row r="97" spans="1:36" x14ac:dyDescent="0.2">
      <c r="A97" s="1" t="s">
        <v>340</v>
      </c>
      <c r="B97" s="1" t="s">
        <v>30</v>
      </c>
      <c r="C97" s="1" t="s">
        <v>31</v>
      </c>
      <c r="D97" s="1" t="s">
        <v>32</v>
      </c>
      <c r="E97" s="1" t="s">
        <v>341</v>
      </c>
      <c r="F97" s="1" t="s">
        <v>79</v>
      </c>
      <c r="G97" s="1" t="s">
        <v>342</v>
      </c>
      <c r="H97" s="1" t="s">
        <v>42</v>
      </c>
      <c r="I97" s="1" t="s">
        <v>37</v>
      </c>
      <c r="J97" s="101" t="s">
        <v>30</v>
      </c>
      <c r="K97" s="101" t="s">
        <v>344</v>
      </c>
      <c r="L97" s="101" t="s">
        <v>79</v>
      </c>
      <c r="M97" s="101" t="s">
        <v>345</v>
      </c>
      <c r="N97" s="189">
        <v>12440</v>
      </c>
      <c r="O97" s="101" t="s">
        <v>568</v>
      </c>
      <c r="P97" s="101" t="s">
        <v>569</v>
      </c>
      <c r="Q97" s="101" t="s">
        <v>570</v>
      </c>
      <c r="R97" s="101" t="s">
        <v>571</v>
      </c>
      <c r="S97" s="101" t="s">
        <v>572</v>
      </c>
      <c r="T97" s="101" t="s">
        <v>573</v>
      </c>
      <c r="U97" s="101"/>
      <c r="V97" s="101"/>
      <c r="W97" s="101" t="s">
        <v>574</v>
      </c>
      <c r="X97" s="101" t="s">
        <v>575</v>
      </c>
      <c r="Y97" s="101"/>
      <c r="Z97" s="101" t="s">
        <v>576</v>
      </c>
      <c r="AA97" s="101" t="s">
        <v>577</v>
      </c>
      <c r="AB97" s="101" t="s">
        <v>578</v>
      </c>
      <c r="AC97" s="101" t="s">
        <v>579</v>
      </c>
      <c r="AD97" s="101" t="s">
        <v>580</v>
      </c>
      <c r="AE97" s="101" t="s">
        <v>581</v>
      </c>
      <c r="AF97" s="101" t="s">
        <v>582</v>
      </c>
      <c r="AG97" s="101" t="s">
        <v>583</v>
      </c>
      <c r="AH97" s="101" t="s">
        <v>584</v>
      </c>
      <c r="AI97" s="101" t="s">
        <v>585</v>
      </c>
      <c r="AJ97" s="101"/>
    </row>
    <row r="98" spans="1:36" x14ac:dyDescent="0.2">
      <c r="A98" s="1" t="s">
        <v>343</v>
      </c>
      <c r="B98" s="1" t="s">
        <v>30</v>
      </c>
      <c r="C98" s="1" t="s">
        <v>31</v>
      </c>
      <c r="D98" s="1" t="s">
        <v>32</v>
      </c>
      <c r="E98" s="1" t="s">
        <v>344</v>
      </c>
      <c r="F98" s="1" t="s">
        <v>79</v>
      </c>
      <c r="G98" s="1" t="s">
        <v>345</v>
      </c>
      <c r="H98" s="1" t="s">
        <v>59</v>
      </c>
      <c r="I98" s="1" t="s">
        <v>37</v>
      </c>
      <c r="J98" s="101" t="s">
        <v>30</v>
      </c>
      <c r="K98" s="101" t="s">
        <v>347</v>
      </c>
      <c r="L98" s="101" t="s">
        <v>79</v>
      </c>
      <c r="M98" s="101" t="s">
        <v>348</v>
      </c>
      <c r="N98" s="189">
        <v>12450</v>
      </c>
      <c r="O98" s="101" t="s">
        <v>568</v>
      </c>
      <c r="P98" s="101" t="s">
        <v>569</v>
      </c>
      <c r="Q98" s="101" t="s">
        <v>570</v>
      </c>
      <c r="R98" s="101" t="s">
        <v>571</v>
      </c>
      <c r="S98" s="101" t="s">
        <v>572</v>
      </c>
      <c r="T98" s="101" t="s">
        <v>573</v>
      </c>
      <c r="U98" s="101"/>
      <c r="V98" s="101"/>
      <c r="W98" s="101" t="s">
        <v>574</v>
      </c>
      <c r="X98" s="101" t="s">
        <v>575</v>
      </c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</row>
    <row r="99" spans="1:36" x14ac:dyDescent="0.2">
      <c r="A99" s="1" t="s">
        <v>346</v>
      </c>
      <c r="B99" s="1" t="s">
        <v>30</v>
      </c>
      <c r="C99" s="1" t="s">
        <v>31</v>
      </c>
      <c r="D99" s="1" t="s">
        <v>32</v>
      </c>
      <c r="E99" s="1" t="s">
        <v>347</v>
      </c>
      <c r="F99" s="1" t="s">
        <v>79</v>
      </c>
      <c r="G99" s="1" t="s">
        <v>348</v>
      </c>
      <c r="H99" s="1" t="s">
        <v>42</v>
      </c>
      <c r="I99" s="1" t="s">
        <v>37</v>
      </c>
      <c r="J99" s="101" t="s">
        <v>30</v>
      </c>
      <c r="K99" s="101" t="s">
        <v>350</v>
      </c>
      <c r="L99" s="101" t="s">
        <v>79</v>
      </c>
      <c r="M99" s="101" t="s">
        <v>351</v>
      </c>
      <c r="N99" s="189">
        <v>12440</v>
      </c>
      <c r="O99" s="101" t="s">
        <v>568</v>
      </c>
      <c r="P99" s="101" t="s">
        <v>569</v>
      </c>
      <c r="Q99" s="101" t="s">
        <v>570</v>
      </c>
      <c r="R99" s="101" t="s">
        <v>571</v>
      </c>
      <c r="S99" s="101" t="s">
        <v>572</v>
      </c>
      <c r="T99" s="101" t="s">
        <v>573</v>
      </c>
      <c r="U99" s="101"/>
      <c r="V99" s="101"/>
      <c r="W99" s="101" t="s">
        <v>574</v>
      </c>
      <c r="X99" s="101" t="s">
        <v>575</v>
      </c>
      <c r="Y99" s="101"/>
      <c r="Z99" s="101" t="s">
        <v>576</v>
      </c>
      <c r="AA99" s="101" t="s">
        <v>577</v>
      </c>
      <c r="AB99" s="101" t="s">
        <v>578</v>
      </c>
      <c r="AC99" s="101" t="s">
        <v>579</v>
      </c>
      <c r="AD99" s="101" t="s">
        <v>580</v>
      </c>
      <c r="AE99" s="101" t="s">
        <v>581</v>
      </c>
      <c r="AF99" s="101" t="s">
        <v>582</v>
      </c>
      <c r="AG99" s="101" t="s">
        <v>583</v>
      </c>
      <c r="AH99" s="101" t="s">
        <v>584</v>
      </c>
      <c r="AI99" s="101" t="s">
        <v>585</v>
      </c>
      <c r="AJ99" s="101"/>
    </row>
    <row r="100" spans="1:36" x14ac:dyDescent="0.2">
      <c r="A100" s="1" t="s">
        <v>349</v>
      </c>
      <c r="B100" s="1" t="s">
        <v>30</v>
      </c>
      <c r="C100" s="1" t="s">
        <v>31</v>
      </c>
      <c r="D100" s="1" t="s">
        <v>32</v>
      </c>
      <c r="E100" s="1" t="s">
        <v>350</v>
      </c>
      <c r="F100" s="1" t="s">
        <v>79</v>
      </c>
      <c r="G100" s="1" t="s">
        <v>351</v>
      </c>
      <c r="H100" s="1" t="s">
        <v>42</v>
      </c>
      <c r="I100" s="1" t="s">
        <v>37</v>
      </c>
      <c r="J100" s="101" t="s">
        <v>30</v>
      </c>
      <c r="K100" s="101" t="s">
        <v>353</v>
      </c>
      <c r="L100" s="101" t="s">
        <v>79</v>
      </c>
      <c r="M100" s="101" t="s">
        <v>354</v>
      </c>
      <c r="N100" s="189">
        <v>12420</v>
      </c>
      <c r="O100" s="101" t="s">
        <v>568</v>
      </c>
      <c r="P100" s="101" t="s">
        <v>569</v>
      </c>
      <c r="Q100" s="101" t="s">
        <v>570</v>
      </c>
      <c r="R100" s="101" t="s">
        <v>571</v>
      </c>
      <c r="S100" s="101" t="s">
        <v>572</v>
      </c>
      <c r="T100" s="101" t="s">
        <v>573</v>
      </c>
      <c r="U100" s="101"/>
      <c r="V100" s="101"/>
      <c r="W100" s="101" t="s">
        <v>574</v>
      </c>
      <c r="X100" s="101" t="s">
        <v>575</v>
      </c>
      <c r="Y100" s="101"/>
      <c r="Z100" s="101" t="s">
        <v>576</v>
      </c>
      <c r="AA100" s="101" t="s">
        <v>577</v>
      </c>
      <c r="AB100" s="101" t="s">
        <v>578</v>
      </c>
      <c r="AC100" s="101" t="s">
        <v>579</v>
      </c>
      <c r="AD100" s="101" t="s">
        <v>580</v>
      </c>
      <c r="AE100" s="101" t="s">
        <v>581</v>
      </c>
      <c r="AF100" s="101" t="s">
        <v>582</v>
      </c>
      <c r="AG100" s="101" t="s">
        <v>583</v>
      </c>
      <c r="AH100" s="101" t="s">
        <v>584</v>
      </c>
      <c r="AI100" s="101" t="s">
        <v>585</v>
      </c>
      <c r="AJ100" s="101"/>
    </row>
    <row r="101" spans="1:36" x14ac:dyDescent="0.2">
      <c r="A101" s="1" t="s">
        <v>352</v>
      </c>
      <c r="B101" s="1" t="s">
        <v>30</v>
      </c>
      <c r="C101" s="1" t="s">
        <v>31</v>
      </c>
      <c r="D101" s="1" t="s">
        <v>32</v>
      </c>
      <c r="E101" s="1" t="s">
        <v>353</v>
      </c>
      <c r="F101" s="1" t="s">
        <v>79</v>
      </c>
      <c r="G101" s="1" t="s">
        <v>354</v>
      </c>
      <c r="H101" s="1" t="s">
        <v>42</v>
      </c>
      <c r="I101" s="1" t="s">
        <v>37</v>
      </c>
      <c r="J101" s="101" t="s">
        <v>30</v>
      </c>
      <c r="K101" s="101" t="s">
        <v>356</v>
      </c>
      <c r="L101" s="101" t="s">
        <v>79</v>
      </c>
      <c r="M101" s="101" t="s">
        <v>357</v>
      </c>
      <c r="N101" s="189">
        <v>12430</v>
      </c>
      <c r="O101" s="101" t="s">
        <v>568</v>
      </c>
      <c r="P101" s="101" t="s">
        <v>569</v>
      </c>
      <c r="Q101" s="101" t="s">
        <v>570</v>
      </c>
      <c r="R101" s="101" t="s">
        <v>571</v>
      </c>
      <c r="S101" s="101" t="s">
        <v>572</v>
      </c>
      <c r="T101" s="101" t="s">
        <v>573</v>
      </c>
      <c r="U101" s="101"/>
      <c r="V101" s="101"/>
      <c r="W101" s="101" t="s">
        <v>574</v>
      </c>
      <c r="X101" s="101" t="s">
        <v>575</v>
      </c>
      <c r="Y101" s="101"/>
      <c r="Z101" s="101" t="s">
        <v>576</v>
      </c>
      <c r="AA101" s="101" t="s">
        <v>577</v>
      </c>
      <c r="AB101" s="101" t="s">
        <v>578</v>
      </c>
      <c r="AC101" s="101" t="s">
        <v>579</v>
      </c>
      <c r="AD101" s="101" t="s">
        <v>580</v>
      </c>
      <c r="AE101" s="101" t="s">
        <v>581</v>
      </c>
      <c r="AF101" s="101" t="s">
        <v>582</v>
      </c>
      <c r="AG101" s="101" t="s">
        <v>583</v>
      </c>
      <c r="AH101" s="101" t="s">
        <v>584</v>
      </c>
      <c r="AI101" s="101" t="s">
        <v>585</v>
      </c>
      <c r="AJ101" s="101"/>
    </row>
    <row r="102" spans="1:36" x14ac:dyDescent="0.2">
      <c r="A102" s="1" t="s">
        <v>355</v>
      </c>
      <c r="B102" s="1" t="s">
        <v>30</v>
      </c>
      <c r="C102" s="1" t="s">
        <v>31</v>
      </c>
      <c r="D102" s="1" t="s">
        <v>32</v>
      </c>
      <c r="E102" s="1" t="s">
        <v>356</v>
      </c>
      <c r="F102" s="1" t="s">
        <v>79</v>
      </c>
      <c r="G102" s="1" t="s">
        <v>357</v>
      </c>
      <c r="H102" s="1" t="s">
        <v>42</v>
      </c>
      <c r="I102" s="1" t="s">
        <v>37</v>
      </c>
      <c r="J102" s="101" t="s">
        <v>30</v>
      </c>
      <c r="K102" s="101" t="s">
        <v>359</v>
      </c>
      <c r="L102" s="101" t="s">
        <v>79</v>
      </c>
      <c r="M102" s="101" t="s">
        <v>360</v>
      </c>
      <c r="N102" s="189">
        <v>12440</v>
      </c>
      <c r="O102" s="101" t="s">
        <v>568</v>
      </c>
      <c r="P102" s="101" t="s">
        <v>569</v>
      </c>
      <c r="Q102" s="101" t="s">
        <v>570</v>
      </c>
      <c r="R102" s="101" t="s">
        <v>571</v>
      </c>
      <c r="S102" s="101" t="s">
        <v>572</v>
      </c>
      <c r="T102" s="101" t="s">
        <v>573</v>
      </c>
      <c r="U102" s="101"/>
      <c r="V102" s="101"/>
      <c r="W102" s="101" t="s">
        <v>574</v>
      </c>
      <c r="X102" s="101" t="s">
        <v>575</v>
      </c>
      <c r="Y102" s="101"/>
      <c r="Z102" s="101" t="s">
        <v>576</v>
      </c>
      <c r="AA102" s="101" t="s">
        <v>577</v>
      </c>
      <c r="AB102" s="101" t="s">
        <v>578</v>
      </c>
      <c r="AC102" s="101" t="s">
        <v>579</v>
      </c>
      <c r="AD102" s="101" t="s">
        <v>580</v>
      </c>
      <c r="AE102" s="101" t="s">
        <v>581</v>
      </c>
      <c r="AF102" s="101" t="s">
        <v>582</v>
      </c>
      <c r="AG102" s="101" t="s">
        <v>583</v>
      </c>
      <c r="AH102" s="101" t="s">
        <v>584</v>
      </c>
      <c r="AI102" s="101" t="s">
        <v>585</v>
      </c>
      <c r="AJ102" s="101"/>
    </row>
    <row r="103" spans="1:36" x14ac:dyDescent="0.2">
      <c r="A103" s="1" t="s">
        <v>358</v>
      </c>
      <c r="B103" s="1" t="s">
        <v>30</v>
      </c>
      <c r="C103" s="1" t="s">
        <v>31</v>
      </c>
      <c r="D103" s="1" t="s">
        <v>32</v>
      </c>
      <c r="E103" s="1" t="s">
        <v>359</v>
      </c>
      <c r="F103" s="1" t="s">
        <v>79</v>
      </c>
      <c r="G103" s="1" t="s">
        <v>360</v>
      </c>
      <c r="H103" s="1" t="s">
        <v>42</v>
      </c>
      <c r="I103" s="1" t="s">
        <v>37</v>
      </c>
      <c r="J103" s="101" t="s">
        <v>30</v>
      </c>
      <c r="K103" s="101" t="s">
        <v>362</v>
      </c>
      <c r="L103" s="101" t="s">
        <v>79</v>
      </c>
      <c r="M103" s="101" t="s">
        <v>363</v>
      </c>
      <c r="N103" s="189">
        <v>12440</v>
      </c>
      <c r="O103" s="101" t="s">
        <v>568</v>
      </c>
      <c r="P103" s="101" t="s">
        <v>569</v>
      </c>
      <c r="Q103" s="101" t="s">
        <v>570</v>
      </c>
      <c r="R103" s="101" t="s">
        <v>571</v>
      </c>
      <c r="S103" s="101" t="s">
        <v>572</v>
      </c>
      <c r="T103" s="101" t="s">
        <v>573</v>
      </c>
      <c r="U103" s="101"/>
      <c r="V103" s="101"/>
      <c r="W103" s="101" t="s">
        <v>574</v>
      </c>
      <c r="X103" s="101" t="s">
        <v>575</v>
      </c>
      <c r="Y103" s="101"/>
      <c r="Z103" s="101" t="s">
        <v>576</v>
      </c>
      <c r="AA103" s="101" t="s">
        <v>577</v>
      </c>
      <c r="AB103" s="101" t="s">
        <v>578</v>
      </c>
      <c r="AC103" s="101" t="s">
        <v>579</v>
      </c>
      <c r="AD103" s="101" t="s">
        <v>580</v>
      </c>
      <c r="AE103" s="101" t="s">
        <v>581</v>
      </c>
      <c r="AF103" s="101" t="s">
        <v>582</v>
      </c>
      <c r="AG103" s="101" t="s">
        <v>583</v>
      </c>
      <c r="AH103" s="101" t="s">
        <v>584</v>
      </c>
      <c r="AI103" s="101" t="s">
        <v>585</v>
      </c>
      <c r="AJ103" s="101"/>
    </row>
    <row r="104" spans="1:36" x14ac:dyDescent="0.2">
      <c r="A104" s="1" t="s">
        <v>361</v>
      </c>
      <c r="B104" s="1" t="s">
        <v>30</v>
      </c>
      <c r="C104" s="1" t="s">
        <v>31</v>
      </c>
      <c r="D104" s="1" t="s">
        <v>32</v>
      </c>
      <c r="E104" s="1" t="s">
        <v>362</v>
      </c>
      <c r="F104" s="1" t="s">
        <v>79</v>
      </c>
      <c r="G104" s="1" t="s">
        <v>363</v>
      </c>
      <c r="H104" s="1" t="s">
        <v>50</v>
      </c>
      <c r="I104" s="1" t="s">
        <v>37</v>
      </c>
      <c r="J104" s="101" t="s">
        <v>30</v>
      </c>
      <c r="K104" s="101" t="s">
        <v>365</v>
      </c>
      <c r="L104" s="101" t="s">
        <v>79</v>
      </c>
      <c r="M104" s="101" t="s">
        <v>366</v>
      </c>
      <c r="N104" s="189">
        <v>12440</v>
      </c>
      <c r="O104" s="101" t="s">
        <v>568</v>
      </c>
      <c r="P104" s="101" t="s">
        <v>569</v>
      </c>
      <c r="Q104" s="101" t="s">
        <v>570</v>
      </c>
      <c r="R104" s="101" t="s">
        <v>571</v>
      </c>
      <c r="S104" s="101" t="s">
        <v>572</v>
      </c>
      <c r="T104" s="101" t="s">
        <v>573</v>
      </c>
      <c r="U104" s="101"/>
      <c r="V104" s="101"/>
      <c r="W104" s="101" t="s">
        <v>574</v>
      </c>
      <c r="X104" s="101" t="s">
        <v>575</v>
      </c>
      <c r="Y104" s="101"/>
      <c r="Z104" s="101" t="s">
        <v>576</v>
      </c>
      <c r="AA104" s="101" t="s">
        <v>577</v>
      </c>
      <c r="AB104" s="101" t="s">
        <v>578</v>
      </c>
      <c r="AC104" s="101" t="s">
        <v>579</v>
      </c>
      <c r="AD104" s="101" t="s">
        <v>580</v>
      </c>
      <c r="AE104" s="101" t="s">
        <v>581</v>
      </c>
      <c r="AF104" s="101" t="s">
        <v>582</v>
      </c>
      <c r="AG104" s="101" t="s">
        <v>583</v>
      </c>
      <c r="AH104" s="101" t="s">
        <v>584</v>
      </c>
      <c r="AI104" s="101" t="s">
        <v>585</v>
      </c>
      <c r="AJ104" s="101"/>
    </row>
    <row r="105" spans="1:36" x14ac:dyDescent="0.2">
      <c r="A105" s="1" t="s">
        <v>364</v>
      </c>
      <c r="B105" s="1" t="s">
        <v>30</v>
      </c>
      <c r="C105" s="1" t="s">
        <v>31</v>
      </c>
      <c r="D105" s="1" t="s">
        <v>32</v>
      </c>
      <c r="E105" s="1" t="s">
        <v>365</v>
      </c>
      <c r="F105" s="1" t="s">
        <v>79</v>
      </c>
      <c r="G105" s="1" t="s">
        <v>366</v>
      </c>
      <c r="H105" s="1" t="s">
        <v>42</v>
      </c>
      <c r="I105" s="1" t="s">
        <v>37</v>
      </c>
      <c r="J105" s="101" t="s">
        <v>30</v>
      </c>
      <c r="K105" s="101" t="s">
        <v>368</v>
      </c>
      <c r="L105" s="101" t="s">
        <v>79</v>
      </c>
      <c r="M105" s="101" t="s">
        <v>369</v>
      </c>
      <c r="N105" s="189">
        <v>12440</v>
      </c>
      <c r="O105" s="101" t="s">
        <v>568</v>
      </c>
      <c r="P105" s="101" t="s">
        <v>569</v>
      </c>
      <c r="Q105" s="101" t="s">
        <v>570</v>
      </c>
      <c r="R105" s="101" t="s">
        <v>571</v>
      </c>
      <c r="S105" s="101" t="s">
        <v>572</v>
      </c>
      <c r="T105" s="101" t="s">
        <v>573</v>
      </c>
      <c r="U105" s="101"/>
      <c r="V105" s="101"/>
      <c r="W105" s="101" t="s">
        <v>574</v>
      </c>
      <c r="X105" s="101" t="s">
        <v>575</v>
      </c>
      <c r="Y105" s="101"/>
      <c r="Z105" s="101" t="s">
        <v>576</v>
      </c>
      <c r="AA105" s="101" t="s">
        <v>577</v>
      </c>
      <c r="AB105" s="101" t="s">
        <v>578</v>
      </c>
      <c r="AC105" s="101" t="s">
        <v>579</v>
      </c>
      <c r="AD105" s="101" t="s">
        <v>580</v>
      </c>
      <c r="AE105" s="101" t="s">
        <v>581</v>
      </c>
      <c r="AF105" s="101" t="s">
        <v>582</v>
      </c>
      <c r="AG105" s="101" t="s">
        <v>583</v>
      </c>
      <c r="AH105" s="101" t="s">
        <v>584</v>
      </c>
      <c r="AI105" s="101" t="s">
        <v>585</v>
      </c>
      <c r="AJ105" s="101"/>
    </row>
    <row r="106" spans="1:36" x14ac:dyDescent="0.2">
      <c r="A106" s="1" t="s">
        <v>367</v>
      </c>
      <c r="B106" s="1" t="s">
        <v>30</v>
      </c>
      <c r="C106" s="1" t="s">
        <v>31</v>
      </c>
      <c r="D106" s="1" t="s">
        <v>32</v>
      </c>
      <c r="E106" s="1" t="s">
        <v>368</v>
      </c>
      <c r="F106" s="1" t="s">
        <v>79</v>
      </c>
      <c r="G106" s="1" t="s">
        <v>369</v>
      </c>
      <c r="H106" s="1" t="s">
        <v>59</v>
      </c>
      <c r="I106" s="1" t="s">
        <v>37</v>
      </c>
      <c r="J106" s="101" t="s">
        <v>30</v>
      </c>
      <c r="K106" s="101" t="s">
        <v>371</v>
      </c>
      <c r="L106" s="101" t="s">
        <v>79</v>
      </c>
      <c r="M106" s="101" t="s">
        <v>372</v>
      </c>
      <c r="N106" s="189">
        <v>12440</v>
      </c>
      <c r="O106" s="101" t="s">
        <v>568</v>
      </c>
      <c r="P106" s="101" t="s">
        <v>569</v>
      </c>
      <c r="Q106" s="101" t="s">
        <v>570</v>
      </c>
      <c r="R106" s="101" t="s">
        <v>571</v>
      </c>
      <c r="S106" s="101" t="s">
        <v>572</v>
      </c>
      <c r="T106" s="101" t="s">
        <v>573</v>
      </c>
      <c r="U106" s="101"/>
      <c r="V106" s="101"/>
      <c r="W106" s="101" t="s">
        <v>574</v>
      </c>
      <c r="X106" s="101" t="s">
        <v>575</v>
      </c>
      <c r="Y106" s="101"/>
      <c r="Z106" s="101" t="s">
        <v>576</v>
      </c>
      <c r="AA106" s="101" t="s">
        <v>577</v>
      </c>
      <c r="AB106" s="101" t="s">
        <v>578</v>
      </c>
      <c r="AC106" s="101" t="s">
        <v>579</v>
      </c>
      <c r="AD106" s="101" t="s">
        <v>580</v>
      </c>
      <c r="AE106" s="101" t="s">
        <v>581</v>
      </c>
      <c r="AF106" s="101" t="s">
        <v>582</v>
      </c>
      <c r="AG106" s="101" t="s">
        <v>583</v>
      </c>
      <c r="AH106" s="101" t="s">
        <v>584</v>
      </c>
      <c r="AI106" s="101" t="s">
        <v>585</v>
      </c>
      <c r="AJ106" s="101"/>
    </row>
    <row r="107" spans="1:36" x14ac:dyDescent="0.2">
      <c r="A107" s="1" t="s">
        <v>370</v>
      </c>
      <c r="B107" s="1" t="s">
        <v>30</v>
      </c>
      <c r="C107" s="1" t="s">
        <v>31</v>
      </c>
      <c r="D107" s="1" t="s">
        <v>32</v>
      </c>
      <c r="E107" s="1" t="s">
        <v>371</v>
      </c>
      <c r="F107" s="1" t="s">
        <v>79</v>
      </c>
      <c r="G107" s="1" t="s">
        <v>372</v>
      </c>
      <c r="H107" s="1" t="s">
        <v>50</v>
      </c>
      <c r="I107" s="1" t="s">
        <v>37</v>
      </c>
      <c r="J107" s="101" t="s">
        <v>30</v>
      </c>
      <c r="K107" s="101" t="s">
        <v>374</v>
      </c>
      <c r="L107" s="101" t="s">
        <v>79</v>
      </c>
      <c r="M107" s="101" t="s">
        <v>375</v>
      </c>
      <c r="N107" s="189">
        <v>12440</v>
      </c>
      <c r="O107" s="101" t="s">
        <v>568</v>
      </c>
      <c r="P107" s="101" t="s">
        <v>569</v>
      </c>
      <c r="Q107" s="101" t="s">
        <v>570</v>
      </c>
      <c r="R107" s="101" t="s">
        <v>571</v>
      </c>
      <c r="S107" s="101" t="s">
        <v>572</v>
      </c>
      <c r="T107" s="101" t="s">
        <v>573</v>
      </c>
      <c r="U107" s="101"/>
      <c r="V107" s="101"/>
      <c r="W107" s="101" t="s">
        <v>574</v>
      </c>
      <c r="X107" s="101" t="s">
        <v>575</v>
      </c>
      <c r="Y107" s="101"/>
      <c r="Z107" s="101" t="s">
        <v>576</v>
      </c>
      <c r="AA107" s="101" t="s">
        <v>577</v>
      </c>
      <c r="AB107" s="101" t="s">
        <v>578</v>
      </c>
      <c r="AC107" s="101" t="s">
        <v>579</v>
      </c>
      <c r="AD107" s="101" t="s">
        <v>580</v>
      </c>
      <c r="AE107" s="101" t="s">
        <v>581</v>
      </c>
      <c r="AF107" s="101" t="s">
        <v>582</v>
      </c>
      <c r="AG107" s="101" t="s">
        <v>583</v>
      </c>
      <c r="AH107" s="101" t="s">
        <v>584</v>
      </c>
      <c r="AI107" s="101" t="s">
        <v>585</v>
      </c>
      <c r="AJ107" s="101"/>
    </row>
    <row r="108" spans="1:36" x14ac:dyDescent="0.2">
      <c r="A108" s="1" t="s">
        <v>373</v>
      </c>
      <c r="B108" s="1" t="s">
        <v>30</v>
      </c>
      <c r="C108" s="1" t="s">
        <v>31</v>
      </c>
      <c r="D108" s="1" t="s">
        <v>32</v>
      </c>
      <c r="E108" s="1" t="s">
        <v>374</v>
      </c>
      <c r="F108" s="1" t="s">
        <v>79</v>
      </c>
      <c r="G108" s="1" t="s">
        <v>375</v>
      </c>
      <c r="H108" s="1" t="s">
        <v>59</v>
      </c>
      <c r="I108" s="1" t="s">
        <v>37</v>
      </c>
      <c r="J108" s="101" t="s">
        <v>30</v>
      </c>
      <c r="K108" s="101" t="s">
        <v>377</v>
      </c>
      <c r="L108" s="101" t="s">
        <v>79</v>
      </c>
      <c r="M108" s="101" t="s">
        <v>378</v>
      </c>
      <c r="N108" s="189">
        <v>12330</v>
      </c>
      <c r="O108" s="101" t="s">
        <v>568</v>
      </c>
      <c r="P108" s="101" t="s">
        <v>569</v>
      </c>
      <c r="Q108" s="101" t="s">
        <v>570</v>
      </c>
      <c r="R108" s="101" t="s">
        <v>571</v>
      </c>
      <c r="S108" s="101" t="s">
        <v>572</v>
      </c>
      <c r="T108" s="101" t="s">
        <v>573</v>
      </c>
      <c r="U108" s="101"/>
      <c r="V108" s="101"/>
      <c r="W108" s="101" t="s">
        <v>574</v>
      </c>
      <c r="X108" s="101" t="s">
        <v>575</v>
      </c>
      <c r="Y108" s="101"/>
      <c r="Z108" s="101" t="s">
        <v>576</v>
      </c>
      <c r="AA108" s="101" t="s">
        <v>577</v>
      </c>
      <c r="AB108" s="101" t="s">
        <v>578</v>
      </c>
      <c r="AC108" s="101" t="s">
        <v>579</v>
      </c>
      <c r="AD108" s="101" t="s">
        <v>580</v>
      </c>
      <c r="AE108" s="101" t="s">
        <v>581</v>
      </c>
      <c r="AF108" s="101" t="s">
        <v>582</v>
      </c>
      <c r="AG108" s="101" t="s">
        <v>583</v>
      </c>
      <c r="AH108" s="101" t="s">
        <v>584</v>
      </c>
      <c r="AI108" s="101" t="s">
        <v>585</v>
      </c>
      <c r="AJ108" s="101"/>
    </row>
    <row r="109" spans="1:36" x14ac:dyDescent="0.2">
      <c r="A109" s="1" t="s">
        <v>376</v>
      </c>
      <c r="B109" s="1" t="s">
        <v>30</v>
      </c>
      <c r="C109" s="1" t="s">
        <v>31</v>
      </c>
      <c r="D109" s="1" t="s">
        <v>32</v>
      </c>
      <c r="E109" s="1" t="s">
        <v>377</v>
      </c>
      <c r="F109" s="1" t="s">
        <v>79</v>
      </c>
      <c r="G109" s="1" t="s">
        <v>378</v>
      </c>
      <c r="H109" s="1" t="s">
        <v>50</v>
      </c>
      <c r="I109" s="1" t="s">
        <v>37</v>
      </c>
      <c r="J109" s="101" t="s">
        <v>30</v>
      </c>
      <c r="K109" s="101" t="s">
        <v>380</v>
      </c>
      <c r="L109" s="101" t="s">
        <v>79</v>
      </c>
      <c r="M109" s="101" t="s">
        <v>381</v>
      </c>
      <c r="N109" s="189">
        <v>12440</v>
      </c>
      <c r="O109" s="101" t="s">
        <v>568</v>
      </c>
      <c r="P109" s="101" t="s">
        <v>569</v>
      </c>
      <c r="Q109" s="101" t="s">
        <v>570</v>
      </c>
      <c r="R109" s="101" t="s">
        <v>571</v>
      </c>
      <c r="S109" s="101" t="s">
        <v>572</v>
      </c>
      <c r="T109" s="101" t="s">
        <v>573</v>
      </c>
      <c r="U109" s="101"/>
      <c r="V109" s="101"/>
      <c r="W109" s="101" t="s">
        <v>574</v>
      </c>
      <c r="X109" s="101" t="s">
        <v>575</v>
      </c>
      <c r="Y109" s="101"/>
      <c r="Z109" s="101" t="s">
        <v>576</v>
      </c>
      <c r="AA109" s="101" t="s">
        <v>577</v>
      </c>
      <c r="AB109" s="101" t="s">
        <v>578</v>
      </c>
      <c r="AC109" s="101" t="s">
        <v>579</v>
      </c>
      <c r="AD109" s="101" t="s">
        <v>580</v>
      </c>
      <c r="AE109" s="101" t="s">
        <v>581</v>
      </c>
      <c r="AF109" s="101" t="s">
        <v>582</v>
      </c>
      <c r="AG109" s="101" t="s">
        <v>583</v>
      </c>
      <c r="AH109" s="101" t="s">
        <v>584</v>
      </c>
      <c r="AI109" s="101" t="s">
        <v>585</v>
      </c>
      <c r="AJ109" s="101"/>
    </row>
    <row r="110" spans="1:36" x14ac:dyDescent="0.2">
      <c r="A110" s="1" t="s">
        <v>379</v>
      </c>
      <c r="B110" s="1" t="s">
        <v>30</v>
      </c>
      <c r="C110" s="1" t="s">
        <v>31</v>
      </c>
      <c r="D110" s="1" t="s">
        <v>32</v>
      </c>
      <c r="E110" s="1" t="s">
        <v>380</v>
      </c>
      <c r="F110" s="1" t="s">
        <v>79</v>
      </c>
      <c r="G110" s="1" t="s">
        <v>381</v>
      </c>
      <c r="H110" s="1" t="s">
        <v>42</v>
      </c>
      <c r="I110" s="1" t="s">
        <v>37</v>
      </c>
      <c r="J110" s="101" t="s">
        <v>30</v>
      </c>
      <c r="K110" s="101" t="s">
        <v>786</v>
      </c>
      <c r="L110" s="101" t="s">
        <v>323</v>
      </c>
      <c r="M110" s="101" t="s">
        <v>489</v>
      </c>
      <c r="N110" s="189">
        <v>4380</v>
      </c>
      <c r="O110" s="101" t="s">
        <v>568</v>
      </c>
      <c r="P110" s="101" t="s">
        <v>569</v>
      </c>
      <c r="Q110" s="101" t="s">
        <v>570</v>
      </c>
      <c r="R110" s="101" t="s">
        <v>571</v>
      </c>
      <c r="S110" s="101" t="s">
        <v>572</v>
      </c>
      <c r="T110" s="101" t="s">
        <v>573</v>
      </c>
      <c r="U110" s="101"/>
      <c r="V110" s="101"/>
      <c r="W110" s="101" t="s">
        <v>574</v>
      </c>
      <c r="X110" s="101" t="s">
        <v>575</v>
      </c>
      <c r="Y110" s="101"/>
      <c r="Z110" s="101" t="s">
        <v>576</v>
      </c>
      <c r="AA110" s="101" t="s">
        <v>577</v>
      </c>
      <c r="AB110" s="101" t="s">
        <v>578</v>
      </c>
      <c r="AC110" s="101" t="s">
        <v>579</v>
      </c>
      <c r="AD110" s="101" t="s">
        <v>580</v>
      </c>
      <c r="AE110" s="101" t="s">
        <v>581</v>
      </c>
      <c r="AF110" s="101" t="s">
        <v>582</v>
      </c>
      <c r="AG110" s="101" t="s">
        <v>583</v>
      </c>
      <c r="AH110" s="101" t="s">
        <v>584</v>
      </c>
      <c r="AI110" s="101" t="s">
        <v>585</v>
      </c>
      <c r="AJ110" s="101"/>
    </row>
    <row r="111" spans="1:36" x14ac:dyDescent="0.2">
      <c r="A111" s="1" t="s">
        <v>382</v>
      </c>
      <c r="B111" s="1" t="s">
        <v>30</v>
      </c>
      <c r="C111" s="1" t="s">
        <v>31</v>
      </c>
      <c r="D111" s="1" t="s">
        <v>32</v>
      </c>
      <c r="E111" s="1" t="s">
        <v>383</v>
      </c>
      <c r="F111" s="1" t="s">
        <v>259</v>
      </c>
      <c r="G111" s="1" t="s">
        <v>384</v>
      </c>
      <c r="H111" s="1" t="s">
        <v>59</v>
      </c>
      <c r="I111" s="1" t="s">
        <v>37</v>
      </c>
      <c r="J111" s="101" t="s">
        <v>30</v>
      </c>
      <c r="K111" s="101" t="s">
        <v>386</v>
      </c>
      <c r="L111" s="101" t="s">
        <v>79</v>
      </c>
      <c r="M111" s="101" t="s">
        <v>387</v>
      </c>
      <c r="N111" s="189">
        <v>12430</v>
      </c>
      <c r="O111" s="101" t="s">
        <v>568</v>
      </c>
      <c r="P111" s="101" t="s">
        <v>569</v>
      </c>
      <c r="Q111" s="101" t="s">
        <v>570</v>
      </c>
      <c r="R111" s="101" t="s">
        <v>571</v>
      </c>
      <c r="S111" s="101" t="s">
        <v>572</v>
      </c>
      <c r="T111" s="101" t="s">
        <v>573</v>
      </c>
      <c r="U111" s="101"/>
      <c r="V111" s="101"/>
      <c r="W111" s="101" t="s">
        <v>574</v>
      </c>
      <c r="X111" s="101" t="s">
        <v>575</v>
      </c>
      <c r="Y111" s="101"/>
      <c r="Z111" s="101" t="s">
        <v>576</v>
      </c>
      <c r="AA111" s="101" t="s">
        <v>577</v>
      </c>
      <c r="AB111" s="101" t="s">
        <v>578</v>
      </c>
      <c r="AC111" s="101" t="s">
        <v>579</v>
      </c>
      <c r="AD111" s="101" t="s">
        <v>580</v>
      </c>
      <c r="AE111" s="101" t="s">
        <v>581</v>
      </c>
      <c r="AF111" s="101" t="s">
        <v>582</v>
      </c>
      <c r="AG111" s="101" t="s">
        <v>583</v>
      </c>
      <c r="AH111" s="101" t="s">
        <v>584</v>
      </c>
      <c r="AI111" s="101" t="s">
        <v>585</v>
      </c>
      <c r="AJ111" s="101"/>
    </row>
    <row r="112" spans="1:36" x14ac:dyDescent="0.2">
      <c r="A112" s="1" t="s">
        <v>385</v>
      </c>
      <c r="B112" s="1" t="s">
        <v>30</v>
      </c>
      <c r="C112" s="1" t="s">
        <v>31</v>
      </c>
      <c r="D112" s="1" t="s">
        <v>32</v>
      </c>
      <c r="E112" s="1" t="s">
        <v>386</v>
      </c>
      <c r="F112" s="1" t="s">
        <v>79</v>
      </c>
      <c r="G112" s="1" t="s">
        <v>387</v>
      </c>
      <c r="H112" s="1" t="s">
        <v>59</v>
      </c>
      <c r="I112" s="1" t="s">
        <v>37</v>
      </c>
      <c r="J112" s="101" t="s">
        <v>30</v>
      </c>
      <c r="K112" s="101" t="s">
        <v>389</v>
      </c>
      <c r="L112" s="101" t="s">
        <v>259</v>
      </c>
      <c r="M112" s="101" t="s">
        <v>390</v>
      </c>
      <c r="N112" s="189">
        <v>12430</v>
      </c>
      <c r="O112" s="101" t="s">
        <v>568</v>
      </c>
      <c r="P112" s="101" t="s">
        <v>569</v>
      </c>
      <c r="Q112" s="101" t="s">
        <v>570</v>
      </c>
      <c r="R112" s="101" t="s">
        <v>571</v>
      </c>
      <c r="S112" s="101" t="s">
        <v>572</v>
      </c>
      <c r="T112" s="101" t="s">
        <v>573</v>
      </c>
      <c r="U112" s="101"/>
      <c r="V112" s="101"/>
      <c r="W112" s="101" t="s">
        <v>574</v>
      </c>
      <c r="X112" s="101" t="s">
        <v>575</v>
      </c>
      <c r="Y112" s="101"/>
      <c r="Z112" s="101" t="s">
        <v>576</v>
      </c>
      <c r="AA112" s="101" t="s">
        <v>577</v>
      </c>
      <c r="AB112" s="101" t="s">
        <v>578</v>
      </c>
      <c r="AC112" s="101" t="s">
        <v>579</v>
      </c>
      <c r="AD112" s="101" t="s">
        <v>580</v>
      </c>
      <c r="AE112" s="101" t="s">
        <v>581</v>
      </c>
      <c r="AF112" s="101" t="s">
        <v>582</v>
      </c>
      <c r="AG112" s="101" t="s">
        <v>583</v>
      </c>
      <c r="AH112" s="101" t="s">
        <v>584</v>
      </c>
      <c r="AI112" s="101" t="s">
        <v>585</v>
      </c>
      <c r="AJ112" s="101"/>
    </row>
    <row r="113" spans="1:36" x14ac:dyDescent="0.2">
      <c r="A113" s="1" t="s">
        <v>388</v>
      </c>
      <c r="B113" s="1" t="s">
        <v>30</v>
      </c>
      <c r="C113" s="1" t="s">
        <v>31</v>
      </c>
      <c r="D113" s="1" t="s">
        <v>32</v>
      </c>
      <c r="E113" s="1" t="s">
        <v>389</v>
      </c>
      <c r="F113" s="1" t="s">
        <v>259</v>
      </c>
      <c r="G113" s="1" t="s">
        <v>390</v>
      </c>
      <c r="H113" s="1" t="s">
        <v>42</v>
      </c>
      <c r="I113" s="1" t="s">
        <v>37</v>
      </c>
      <c r="J113" s="101" t="s">
        <v>30</v>
      </c>
      <c r="K113" s="101" t="s">
        <v>392</v>
      </c>
      <c r="L113" s="101" t="s">
        <v>259</v>
      </c>
      <c r="M113" s="101" t="s">
        <v>393</v>
      </c>
      <c r="N113" s="189">
        <v>12010</v>
      </c>
      <c r="O113" s="101" t="s">
        <v>568</v>
      </c>
      <c r="P113" s="101" t="s">
        <v>569</v>
      </c>
      <c r="Q113" s="101" t="s">
        <v>570</v>
      </c>
      <c r="R113" s="101" t="s">
        <v>571</v>
      </c>
      <c r="S113" s="101" t="s">
        <v>572</v>
      </c>
      <c r="T113" s="101" t="s">
        <v>573</v>
      </c>
      <c r="U113" s="101"/>
      <c r="V113" s="101"/>
      <c r="W113" s="101" t="s">
        <v>574</v>
      </c>
      <c r="X113" s="101" t="s">
        <v>575</v>
      </c>
      <c r="Y113" s="101"/>
      <c r="Z113" s="101" t="s">
        <v>576</v>
      </c>
      <c r="AA113" s="101" t="s">
        <v>577</v>
      </c>
      <c r="AB113" s="101" t="s">
        <v>578</v>
      </c>
      <c r="AC113" s="101" t="s">
        <v>579</v>
      </c>
      <c r="AD113" s="101" t="s">
        <v>580</v>
      </c>
      <c r="AE113" s="101" t="s">
        <v>581</v>
      </c>
      <c r="AF113" s="101" t="s">
        <v>582</v>
      </c>
      <c r="AG113" s="101" t="s">
        <v>583</v>
      </c>
      <c r="AH113" s="101" t="s">
        <v>584</v>
      </c>
      <c r="AI113" s="101" t="s">
        <v>585</v>
      </c>
      <c r="AJ113" s="101"/>
    </row>
    <row r="114" spans="1:36" x14ac:dyDescent="0.2">
      <c r="A114" s="1" t="s">
        <v>391</v>
      </c>
      <c r="B114" s="1" t="s">
        <v>30</v>
      </c>
      <c r="C114" s="1" t="s">
        <v>31</v>
      </c>
      <c r="D114" s="1" t="s">
        <v>32</v>
      </c>
      <c r="E114" s="1" t="s">
        <v>392</v>
      </c>
      <c r="F114" s="1" t="s">
        <v>259</v>
      </c>
      <c r="G114" s="1" t="s">
        <v>393</v>
      </c>
      <c r="H114" s="1" t="s">
        <v>59</v>
      </c>
      <c r="I114" s="1" t="s">
        <v>37</v>
      </c>
      <c r="J114" s="101" t="s">
        <v>30</v>
      </c>
      <c r="K114" s="101" t="s">
        <v>395</v>
      </c>
      <c r="L114" s="101" t="s">
        <v>259</v>
      </c>
      <c r="M114" s="101" t="s">
        <v>396</v>
      </c>
      <c r="N114" s="189">
        <v>12440</v>
      </c>
      <c r="O114" s="101" t="s">
        <v>568</v>
      </c>
      <c r="P114" s="101" t="s">
        <v>569</v>
      </c>
      <c r="Q114" s="101" t="s">
        <v>570</v>
      </c>
      <c r="R114" s="101" t="s">
        <v>571</v>
      </c>
      <c r="S114" s="101" t="s">
        <v>572</v>
      </c>
      <c r="T114" s="101" t="s">
        <v>573</v>
      </c>
      <c r="U114" s="101"/>
      <c r="V114" s="101"/>
      <c r="W114" s="101" t="s">
        <v>574</v>
      </c>
      <c r="X114" s="101" t="s">
        <v>575</v>
      </c>
      <c r="Y114" s="101"/>
      <c r="Z114" s="101" t="s">
        <v>576</v>
      </c>
      <c r="AA114" s="101" t="s">
        <v>577</v>
      </c>
      <c r="AB114" s="101" t="s">
        <v>578</v>
      </c>
      <c r="AC114" s="101" t="s">
        <v>579</v>
      </c>
      <c r="AD114" s="101" t="s">
        <v>580</v>
      </c>
      <c r="AE114" s="101" t="s">
        <v>581</v>
      </c>
      <c r="AF114" s="101" t="s">
        <v>582</v>
      </c>
      <c r="AG114" s="101" t="s">
        <v>583</v>
      </c>
      <c r="AH114" s="101" t="s">
        <v>584</v>
      </c>
      <c r="AI114" s="101" t="s">
        <v>585</v>
      </c>
      <c r="AJ114" s="101"/>
    </row>
    <row r="115" spans="1:36" x14ac:dyDescent="0.2">
      <c r="A115" s="1" t="s">
        <v>394</v>
      </c>
      <c r="B115" s="1" t="s">
        <v>30</v>
      </c>
      <c r="C115" s="1" t="s">
        <v>31</v>
      </c>
      <c r="D115" s="1" t="s">
        <v>32</v>
      </c>
      <c r="E115" s="1" t="s">
        <v>395</v>
      </c>
      <c r="F115" s="1" t="s">
        <v>259</v>
      </c>
      <c r="G115" s="1" t="s">
        <v>396</v>
      </c>
      <c r="H115" s="1" t="s">
        <v>42</v>
      </c>
      <c r="I115" s="1" t="s">
        <v>37</v>
      </c>
      <c r="J115" s="101" t="s">
        <v>30</v>
      </c>
      <c r="K115" s="101" t="s">
        <v>398</v>
      </c>
      <c r="L115" s="101" t="s">
        <v>259</v>
      </c>
      <c r="M115" s="101" t="s">
        <v>399</v>
      </c>
      <c r="N115" s="189">
        <v>12440</v>
      </c>
      <c r="O115" s="101" t="s">
        <v>568</v>
      </c>
      <c r="P115" s="101" t="s">
        <v>569</v>
      </c>
      <c r="Q115" s="101" t="s">
        <v>570</v>
      </c>
      <c r="R115" s="101" t="s">
        <v>571</v>
      </c>
      <c r="S115" s="101" t="s">
        <v>572</v>
      </c>
      <c r="T115" s="101" t="s">
        <v>573</v>
      </c>
      <c r="U115" s="101"/>
      <c r="V115" s="101"/>
      <c r="W115" s="101" t="s">
        <v>574</v>
      </c>
      <c r="X115" s="101" t="s">
        <v>575</v>
      </c>
      <c r="Y115" s="101"/>
      <c r="Z115" s="101" t="s">
        <v>576</v>
      </c>
      <c r="AA115" s="101" t="s">
        <v>577</v>
      </c>
      <c r="AB115" s="101" t="s">
        <v>578</v>
      </c>
      <c r="AC115" s="101" t="s">
        <v>579</v>
      </c>
      <c r="AD115" s="101" t="s">
        <v>580</v>
      </c>
      <c r="AE115" s="101" t="s">
        <v>581</v>
      </c>
      <c r="AF115" s="101" t="s">
        <v>582</v>
      </c>
      <c r="AG115" s="101" t="s">
        <v>583</v>
      </c>
      <c r="AH115" s="101" t="s">
        <v>584</v>
      </c>
      <c r="AI115" s="101" t="s">
        <v>585</v>
      </c>
      <c r="AJ115" s="101"/>
    </row>
    <row r="116" spans="1:36" x14ac:dyDescent="0.2">
      <c r="A116" s="1" t="s">
        <v>397</v>
      </c>
      <c r="B116" s="1" t="s">
        <v>30</v>
      </c>
      <c r="C116" s="1" t="s">
        <v>31</v>
      </c>
      <c r="D116" s="1" t="s">
        <v>32</v>
      </c>
      <c r="E116" s="1" t="s">
        <v>398</v>
      </c>
      <c r="F116" s="1" t="s">
        <v>259</v>
      </c>
      <c r="G116" s="1" t="s">
        <v>399</v>
      </c>
      <c r="H116" s="1" t="s">
        <v>42</v>
      </c>
      <c r="I116" s="1" t="s">
        <v>37</v>
      </c>
      <c r="J116" s="101" t="s">
        <v>30</v>
      </c>
      <c r="K116" s="101" t="s">
        <v>401</v>
      </c>
      <c r="L116" s="101" t="s">
        <v>259</v>
      </c>
      <c r="M116" s="101" t="s">
        <v>402</v>
      </c>
      <c r="N116" s="189">
        <v>12440</v>
      </c>
      <c r="O116" s="101" t="s">
        <v>568</v>
      </c>
      <c r="P116" s="101" t="s">
        <v>569</v>
      </c>
      <c r="Q116" s="101" t="s">
        <v>570</v>
      </c>
      <c r="R116" s="101" t="s">
        <v>571</v>
      </c>
      <c r="S116" s="101" t="s">
        <v>572</v>
      </c>
      <c r="T116" s="101" t="s">
        <v>573</v>
      </c>
      <c r="U116" s="101"/>
      <c r="V116" s="101"/>
      <c r="W116" s="101" t="s">
        <v>574</v>
      </c>
      <c r="X116" s="101" t="s">
        <v>575</v>
      </c>
      <c r="Y116" s="101"/>
      <c r="Z116" s="101" t="s">
        <v>576</v>
      </c>
      <c r="AA116" s="101" t="s">
        <v>577</v>
      </c>
      <c r="AB116" s="101" t="s">
        <v>578</v>
      </c>
      <c r="AC116" s="101" t="s">
        <v>579</v>
      </c>
      <c r="AD116" s="101" t="s">
        <v>580</v>
      </c>
      <c r="AE116" s="101" t="s">
        <v>581</v>
      </c>
      <c r="AF116" s="101" t="s">
        <v>582</v>
      </c>
      <c r="AG116" s="101" t="s">
        <v>583</v>
      </c>
      <c r="AH116" s="101" t="s">
        <v>584</v>
      </c>
      <c r="AI116" s="101" t="s">
        <v>585</v>
      </c>
      <c r="AJ116" s="101"/>
    </row>
    <row r="117" spans="1:36" x14ac:dyDescent="0.2">
      <c r="A117" s="1" t="s">
        <v>400</v>
      </c>
      <c r="B117" s="1" t="s">
        <v>30</v>
      </c>
      <c r="C117" s="1" t="s">
        <v>31</v>
      </c>
      <c r="D117" s="1" t="s">
        <v>32</v>
      </c>
      <c r="E117" s="1" t="s">
        <v>401</v>
      </c>
      <c r="F117" s="1" t="s">
        <v>259</v>
      </c>
      <c r="G117" s="1" t="s">
        <v>402</v>
      </c>
      <c r="H117" s="1" t="s">
        <v>50</v>
      </c>
      <c r="I117" s="1" t="s">
        <v>37</v>
      </c>
      <c r="J117" s="101" t="s">
        <v>30</v>
      </c>
      <c r="K117" s="101" t="s">
        <v>404</v>
      </c>
      <c r="L117" s="101" t="s">
        <v>259</v>
      </c>
      <c r="M117" s="101" t="s">
        <v>405</v>
      </c>
      <c r="N117" s="189">
        <v>12320</v>
      </c>
      <c r="O117" s="101" t="s">
        <v>568</v>
      </c>
      <c r="P117" s="101" t="s">
        <v>569</v>
      </c>
      <c r="Q117" s="101" t="s">
        <v>570</v>
      </c>
      <c r="R117" s="101" t="s">
        <v>571</v>
      </c>
      <c r="S117" s="101" t="s">
        <v>572</v>
      </c>
      <c r="T117" s="101" t="s">
        <v>573</v>
      </c>
      <c r="U117" s="101"/>
      <c r="V117" s="101"/>
      <c r="W117" s="101" t="s">
        <v>574</v>
      </c>
      <c r="X117" s="101" t="s">
        <v>575</v>
      </c>
      <c r="Y117" s="101"/>
      <c r="Z117" s="101" t="s">
        <v>576</v>
      </c>
      <c r="AA117" s="101" t="s">
        <v>577</v>
      </c>
      <c r="AB117" s="101" t="s">
        <v>578</v>
      </c>
      <c r="AC117" s="101" t="s">
        <v>579</v>
      </c>
      <c r="AD117" s="101" t="s">
        <v>580</v>
      </c>
      <c r="AE117" s="101" t="s">
        <v>581</v>
      </c>
      <c r="AF117" s="101" t="s">
        <v>582</v>
      </c>
      <c r="AG117" s="101" t="s">
        <v>583</v>
      </c>
      <c r="AH117" s="101" t="s">
        <v>584</v>
      </c>
      <c r="AI117" s="101" t="s">
        <v>585</v>
      </c>
      <c r="AJ117" s="101"/>
    </row>
    <row r="118" spans="1:36" x14ac:dyDescent="0.2">
      <c r="A118" s="1" t="s">
        <v>403</v>
      </c>
      <c r="B118" s="1" t="s">
        <v>30</v>
      </c>
      <c r="C118" s="1" t="s">
        <v>31</v>
      </c>
      <c r="D118" s="1" t="s">
        <v>32</v>
      </c>
      <c r="E118" s="1" t="s">
        <v>404</v>
      </c>
      <c r="F118" s="1" t="s">
        <v>259</v>
      </c>
      <c r="G118" s="1" t="s">
        <v>405</v>
      </c>
      <c r="H118" s="1" t="s">
        <v>42</v>
      </c>
      <c r="I118" s="1" t="s">
        <v>37</v>
      </c>
      <c r="J118" s="101" t="s">
        <v>30</v>
      </c>
      <c r="K118" s="101" t="s">
        <v>407</v>
      </c>
      <c r="L118" s="101" t="s">
        <v>259</v>
      </c>
      <c r="M118" s="101" t="s">
        <v>408</v>
      </c>
      <c r="N118" s="189">
        <v>12430</v>
      </c>
      <c r="O118" s="101" t="s">
        <v>568</v>
      </c>
      <c r="P118" s="101" t="s">
        <v>569</v>
      </c>
      <c r="Q118" s="101" t="s">
        <v>570</v>
      </c>
      <c r="R118" s="101" t="s">
        <v>571</v>
      </c>
      <c r="S118" s="101" t="s">
        <v>572</v>
      </c>
      <c r="T118" s="101" t="s">
        <v>573</v>
      </c>
      <c r="U118" s="101"/>
      <c r="V118" s="101"/>
      <c r="W118" s="101" t="s">
        <v>574</v>
      </c>
      <c r="X118" s="101" t="s">
        <v>575</v>
      </c>
      <c r="Y118" s="101"/>
      <c r="Z118" s="101" t="s">
        <v>576</v>
      </c>
      <c r="AA118" s="101" t="s">
        <v>577</v>
      </c>
      <c r="AB118" s="101" t="s">
        <v>578</v>
      </c>
      <c r="AC118" s="101" t="s">
        <v>579</v>
      </c>
      <c r="AD118" s="101" t="s">
        <v>580</v>
      </c>
      <c r="AE118" s="101" t="s">
        <v>581</v>
      </c>
      <c r="AF118" s="101" t="s">
        <v>582</v>
      </c>
      <c r="AG118" s="101" t="s">
        <v>583</v>
      </c>
      <c r="AH118" s="101" t="s">
        <v>584</v>
      </c>
      <c r="AI118" s="101" t="s">
        <v>585</v>
      </c>
      <c r="AJ118" s="101"/>
    </row>
    <row r="119" spans="1:36" x14ac:dyDescent="0.2">
      <c r="A119" s="1" t="s">
        <v>406</v>
      </c>
      <c r="B119" s="1" t="s">
        <v>30</v>
      </c>
      <c r="C119" s="1" t="s">
        <v>31</v>
      </c>
      <c r="D119" s="1" t="s">
        <v>32</v>
      </c>
      <c r="E119" s="1" t="s">
        <v>407</v>
      </c>
      <c r="F119" s="1" t="s">
        <v>259</v>
      </c>
      <c r="G119" s="1" t="s">
        <v>408</v>
      </c>
      <c r="H119" s="1" t="s">
        <v>42</v>
      </c>
      <c r="I119" s="1" t="s">
        <v>37</v>
      </c>
      <c r="J119" s="101" t="s">
        <v>30</v>
      </c>
      <c r="K119" s="101" t="s">
        <v>410</v>
      </c>
      <c r="L119" s="101" t="s">
        <v>259</v>
      </c>
      <c r="M119" s="101" t="s">
        <v>411</v>
      </c>
      <c r="N119" s="189">
        <v>12430</v>
      </c>
      <c r="O119" s="101" t="s">
        <v>568</v>
      </c>
      <c r="P119" s="101" t="s">
        <v>569</v>
      </c>
      <c r="Q119" s="101" t="s">
        <v>570</v>
      </c>
      <c r="R119" s="101" t="s">
        <v>571</v>
      </c>
      <c r="S119" s="101" t="s">
        <v>572</v>
      </c>
      <c r="T119" s="101" t="s">
        <v>573</v>
      </c>
      <c r="U119" s="101"/>
      <c r="V119" s="101"/>
      <c r="W119" s="101" t="s">
        <v>574</v>
      </c>
      <c r="X119" s="101" t="s">
        <v>575</v>
      </c>
      <c r="Y119" s="101"/>
      <c r="Z119" s="101" t="s">
        <v>576</v>
      </c>
      <c r="AA119" s="101" t="s">
        <v>577</v>
      </c>
      <c r="AB119" s="101" t="s">
        <v>578</v>
      </c>
      <c r="AC119" s="101" t="s">
        <v>579</v>
      </c>
      <c r="AD119" s="101" t="s">
        <v>580</v>
      </c>
      <c r="AE119" s="101" t="s">
        <v>581</v>
      </c>
      <c r="AF119" s="101" t="s">
        <v>582</v>
      </c>
      <c r="AG119" s="101" t="s">
        <v>583</v>
      </c>
      <c r="AH119" s="101" t="s">
        <v>584</v>
      </c>
      <c r="AI119" s="101" t="s">
        <v>585</v>
      </c>
      <c r="AJ119" s="101"/>
    </row>
    <row r="120" spans="1:36" x14ac:dyDescent="0.2">
      <c r="A120" s="1" t="s">
        <v>409</v>
      </c>
      <c r="B120" s="1" t="s">
        <v>30</v>
      </c>
      <c r="C120" s="1" t="s">
        <v>31</v>
      </c>
      <c r="D120" s="1" t="s">
        <v>32</v>
      </c>
      <c r="E120" s="1" t="s">
        <v>410</v>
      </c>
      <c r="F120" s="1" t="s">
        <v>259</v>
      </c>
      <c r="G120" s="1" t="s">
        <v>411</v>
      </c>
      <c r="H120" s="1" t="s">
        <v>42</v>
      </c>
      <c r="I120" s="1" t="s">
        <v>37</v>
      </c>
      <c r="J120" s="101" t="s">
        <v>30</v>
      </c>
      <c r="K120" s="101" t="s">
        <v>413</v>
      </c>
      <c r="L120" s="101" t="s">
        <v>40</v>
      </c>
      <c r="M120" s="101" t="s">
        <v>414</v>
      </c>
      <c r="N120" s="189">
        <v>12460</v>
      </c>
      <c r="O120" s="101" t="s">
        <v>568</v>
      </c>
      <c r="P120" s="101" t="s">
        <v>569</v>
      </c>
      <c r="Q120" s="101" t="s">
        <v>570</v>
      </c>
      <c r="R120" s="101" t="s">
        <v>571</v>
      </c>
      <c r="S120" s="101" t="s">
        <v>572</v>
      </c>
      <c r="T120" s="101" t="s">
        <v>573</v>
      </c>
      <c r="U120" s="101"/>
      <c r="V120" s="101"/>
      <c r="W120" s="101" t="s">
        <v>574</v>
      </c>
      <c r="X120" s="101" t="s">
        <v>575</v>
      </c>
      <c r="Y120" s="101"/>
      <c r="Z120" s="101" t="s">
        <v>576</v>
      </c>
      <c r="AA120" s="101" t="s">
        <v>577</v>
      </c>
      <c r="AB120" s="101" t="s">
        <v>578</v>
      </c>
      <c r="AC120" s="101" t="s">
        <v>579</v>
      </c>
      <c r="AD120" s="101" t="s">
        <v>580</v>
      </c>
      <c r="AE120" s="101" t="s">
        <v>581</v>
      </c>
      <c r="AF120" s="101"/>
      <c r="AG120" s="101"/>
      <c r="AH120" s="101"/>
      <c r="AI120" s="101"/>
      <c r="AJ120" s="101"/>
    </row>
    <row r="121" spans="1:36" x14ac:dyDescent="0.2">
      <c r="A121" s="1" t="s">
        <v>412</v>
      </c>
      <c r="B121" s="1" t="s">
        <v>30</v>
      </c>
      <c r="C121" s="1" t="s">
        <v>31</v>
      </c>
      <c r="D121" s="1" t="s">
        <v>32</v>
      </c>
      <c r="E121" s="1" t="s">
        <v>413</v>
      </c>
      <c r="F121" s="1" t="s">
        <v>40</v>
      </c>
      <c r="G121" s="1" t="s">
        <v>414</v>
      </c>
      <c r="H121" s="1" t="s">
        <v>59</v>
      </c>
      <c r="I121" s="1" t="s">
        <v>37</v>
      </c>
      <c r="J121" s="101" t="s">
        <v>30</v>
      </c>
      <c r="K121" s="101" t="s">
        <v>416</v>
      </c>
      <c r="L121" s="101" t="s">
        <v>40</v>
      </c>
      <c r="M121" s="101" t="s">
        <v>417</v>
      </c>
      <c r="N121" s="189">
        <v>12460</v>
      </c>
      <c r="O121" s="101" t="s">
        <v>568</v>
      </c>
      <c r="P121" s="101" t="s">
        <v>569</v>
      </c>
      <c r="Q121" s="101" t="s">
        <v>570</v>
      </c>
      <c r="R121" s="101" t="s">
        <v>571</v>
      </c>
      <c r="S121" s="101" t="s">
        <v>572</v>
      </c>
      <c r="T121" s="101" t="s">
        <v>573</v>
      </c>
      <c r="U121" s="101" t="s">
        <v>586</v>
      </c>
      <c r="V121" s="101" t="s">
        <v>2361</v>
      </c>
      <c r="W121" s="101" t="s">
        <v>574</v>
      </c>
      <c r="X121" s="101" t="s">
        <v>575</v>
      </c>
      <c r="Y121" s="101"/>
      <c r="Z121" s="101" t="s">
        <v>576</v>
      </c>
      <c r="AA121" s="101" t="s">
        <v>577</v>
      </c>
      <c r="AB121" s="101"/>
      <c r="AC121" s="101"/>
      <c r="AD121" s="101"/>
      <c r="AE121" s="101"/>
      <c r="AF121" s="101"/>
      <c r="AG121" s="101"/>
      <c r="AH121" s="101"/>
      <c r="AI121" s="101"/>
      <c r="AJ121" s="101"/>
    </row>
    <row r="122" spans="1:36" x14ac:dyDescent="0.2">
      <c r="A122" s="1" t="s">
        <v>415</v>
      </c>
      <c r="B122" s="1" t="s">
        <v>30</v>
      </c>
      <c r="C122" s="1" t="s">
        <v>31</v>
      </c>
      <c r="D122" s="1" t="s">
        <v>32</v>
      </c>
      <c r="E122" s="1" t="s">
        <v>416</v>
      </c>
      <c r="F122" s="1" t="s">
        <v>40</v>
      </c>
      <c r="G122" s="1" t="s">
        <v>417</v>
      </c>
      <c r="H122" s="1" t="s">
        <v>59</v>
      </c>
      <c r="I122" s="1" t="s">
        <v>37</v>
      </c>
      <c r="J122" s="101" t="s">
        <v>30</v>
      </c>
      <c r="K122" s="101" t="s">
        <v>419</v>
      </c>
      <c r="L122" s="101" t="s">
        <v>40</v>
      </c>
      <c r="M122" s="101" t="s">
        <v>420</v>
      </c>
      <c r="N122" s="189">
        <v>12450</v>
      </c>
      <c r="O122" s="101" t="s">
        <v>568</v>
      </c>
      <c r="P122" s="101" t="s">
        <v>569</v>
      </c>
      <c r="Q122" s="101" t="s">
        <v>570</v>
      </c>
      <c r="R122" s="101" t="s">
        <v>571</v>
      </c>
      <c r="S122" s="101" t="s">
        <v>572</v>
      </c>
      <c r="T122" s="101" t="s">
        <v>573</v>
      </c>
      <c r="U122" s="101"/>
      <c r="V122" s="101"/>
      <c r="W122" s="101" t="s">
        <v>574</v>
      </c>
      <c r="X122" s="101" t="s">
        <v>575</v>
      </c>
      <c r="Y122" s="101"/>
      <c r="Z122" s="101" t="s">
        <v>576</v>
      </c>
      <c r="AA122" s="101" t="s">
        <v>577</v>
      </c>
      <c r="AB122" s="101" t="s">
        <v>578</v>
      </c>
      <c r="AC122" s="101" t="s">
        <v>579</v>
      </c>
      <c r="AD122" s="101" t="s">
        <v>580</v>
      </c>
      <c r="AE122" s="101" t="s">
        <v>581</v>
      </c>
      <c r="AF122" s="101" t="s">
        <v>582</v>
      </c>
      <c r="AG122" s="101" t="s">
        <v>583</v>
      </c>
      <c r="AH122" s="101" t="s">
        <v>584</v>
      </c>
      <c r="AI122" s="101" t="s">
        <v>585</v>
      </c>
      <c r="AJ122" s="101"/>
    </row>
    <row r="123" spans="1:36" x14ac:dyDescent="0.2">
      <c r="A123" s="1" t="s">
        <v>418</v>
      </c>
      <c r="B123" s="1" t="s">
        <v>30</v>
      </c>
      <c r="C123" s="1" t="s">
        <v>31</v>
      </c>
      <c r="D123" s="1" t="s">
        <v>32</v>
      </c>
      <c r="E123" s="1" t="s">
        <v>419</v>
      </c>
      <c r="F123" s="1" t="s">
        <v>40</v>
      </c>
      <c r="G123" s="1" t="s">
        <v>420</v>
      </c>
      <c r="H123" s="1" t="s">
        <v>271</v>
      </c>
      <c r="I123" s="1" t="s">
        <v>37</v>
      </c>
      <c r="J123" s="101" t="s">
        <v>30</v>
      </c>
      <c r="K123" s="101" t="s">
        <v>422</v>
      </c>
      <c r="L123" s="101" t="s">
        <v>40</v>
      </c>
      <c r="M123" s="101" t="s">
        <v>423</v>
      </c>
      <c r="N123" s="189">
        <v>12460</v>
      </c>
      <c r="O123" s="101" t="s">
        <v>568</v>
      </c>
      <c r="P123" s="101" t="s">
        <v>569</v>
      </c>
      <c r="Q123" s="101" t="s">
        <v>570</v>
      </c>
      <c r="R123" s="101" t="s">
        <v>571</v>
      </c>
      <c r="S123" s="101" t="s">
        <v>572</v>
      </c>
      <c r="T123" s="101" t="s">
        <v>573</v>
      </c>
      <c r="U123" s="101"/>
      <c r="V123" s="101" t="s">
        <v>2361</v>
      </c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</row>
    <row r="124" spans="1:36" x14ac:dyDescent="0.2">
      <c r="A124" s="1" t="s">
        <v>421</v>
      </c>
      <c r="B124" s="1" t="s">
        <v>30</v>
      </c>
      <c r="C124" s="1" t="s">
        <v>31</v>
      </c>
      <c r="D124" s="1" t="s">
        <v>32</v>
      </c>
      <c r="E124" s="1" t="s">
        <v>422</v>
      </c>
      <c r="F124" s="1" t="s">
        <v>40</v>
      </c>
      <c r="G124" s="1" t="s">
        <v>423</v>
      </c>
      <c r="H124" s="1" t="s">
        <v>42</v>
      </c>
      <c r="I124" s="1" t="s">
        <v>37</v>
      </c>
      <c r="J124" s="101" t="s">
        <v>30</v>
      </c>
      <c r="K124" s="101" t="s">
        <v>228</v>
      </c>
      <c r="L124" s="101" t="s">
        <v>57</v>
      </c>
      <c r="M124" s="101" t="s">
        <v>229</v>
      </c>
      <c r="N124" s="189">
        <v>12440</v>
      </c>
      <c r="O124" s="101" t="s">
        <v>568</v>
      </c>
      <c r="P124" s="101" t="s">
        <v>569</v>
      </c>
      <c r="Q124" s="101" t="s">
        <v>570</v>
      </c>
      <c r="R124" s="101" t="s">
        <v>571</v>
      </c>
      <c r="S124" s="101" t="s">
        <v>572</v>
      </c>
      <c r="T124" s="101" t="s">
        <v>573</v>
      </c>
      <c r="U124" s="101"/>
      <c r="V124" s="101"/>
      <c r="W124" s="101" t="s">
        <v>574</v>
      </c>
      <c r="X124" s="101" t="s">
        <v>575</v>
      </c>
      <c r="Y124" s="101"/>
      <c r="Z124" s="101" t="s">
        <v>576</v>
      </c>
      <c r="AA124" s="101" t="s">
        <v>577</v>
      </c>
      <c r="AB124" s="101" t="s">
        <v>578</v>
      </c>
      <c r="AC124" s="101" t="s">
        <v>579</v>
      </c>
      <c r="AD124" s="101" t="s">
        <v>580</v>
      </c>
      <c r="AE124" s="101" t="s">
        <v>581</v>
      </c>
      <c r="AF124" s="101" t="s">
        <v>582</v>
      </c>
      <c r="AG124" s="101" t="s">
        <v>583</v>
      </c>
      <c r="AH124" s="101" t="s">
        <v>584</v>
      </c>
      <c r="AI124" s="101" t="s">
        <v>585</v>
      </c>
      <c r="AJ124" s="101"/>
    </row>
    <row r="125" spans="1:36" x14ac:dyDescent="0.2">
      <c r="A125" s="1" t="s">
        <v>424</v>
      </c>
      <c r="B125" s="1" t="s">
        <v>30</v>
      </c>
      <c r="C125" s="1" t="s">
        <v>31</v>
      </c>
      <c r="D125" s="1" t="s">
        <v>32</v>
      </c>
      <c r="E125" s="1" t="s">
        <v>425</v>
      </c>
      <c r="F125" s="1" t="s">
        <v>40</v>
      </c>
      <c r="G125" s="1" t="s">
        <v>426</v>
      </c>
      <c r="H125" s="1" t="s">
        <v>50</v>
      </c>
      <c r="I125" s="1" t="s">
        <v>37</v>
      </c>
      <c r="J125" s="101" t="s">
        <v>30</v>
      </c>
      <c r="K125" s="101" t="s">
        <v>440</v>
      </c>
      <c r="L125" s="101" t="s">
        <v>323</v>
      </c>
      <c r="M125" s="101" t="s">
        <v>441</v>
      </c>
      <c r="N125" s="189">
        <v>12420</v>
      </c>
      <c r="O125" s="101" t="s">
        <v>568</v>
      </c>
      <c r="P125" s="101" t="s">
        <v>569</v>
      </c>
      <c r="Q125" s="101" t="s">
        <v>570</v>
      </c>
      <c r="R125" s="101" t="s">
        <v>571</v>
      </c>
      <c r="S125" s="101" t="s">
        <v>572</v>
      </c>
      <c r="T125" s="101" t="s">
        <v>573</v>
      </c>
      <c r="U125" s="101"/>
      <c r="V125" s="101"/>
      <c r="W125" s="101" t="s">
        <v>574</v>
      </c>
      <c r="X125" s="101" t="s">
        <v>575</v>
      </c>
      <c r="Y125" s="101"/>
      <c r="Z125" s="101" t="s">
        <v>576</v>
      </c>
      <c r="AA125" s="101" t="s">
        <v>577</v>
      </c>
      <c r="AB125" s="101" t="s">
        <v>578</v>
      </c>
      <c r="AC125" s="101" t="s">
        <v>579</v>
      </c>
      <c r="AD125" s="101" t="s">
        <v>580</v>
      </c>
      <c r="AE125" s="101" t="s">
        <v>581</v>
      </c>
      <c r="AF125" s="101" t="s">
        <v>582</v>
      </c>
      <c r="AG125" s="101" t="s">
        <v>583</v>
      </c>
      <c r="AH125" s="101" t="s">
        <v>584</v>
      </c>
      <c r="AI125" s="101" t="s">
        <v>585</v>
      </c>
      <c r="AJ125" s="101"/>
    </row>
    <row r="126" spans="1:36" x14ac:dyDescent="0.2">
      <c r="A126" s="1" t="s">
        <v>427</v>
      </c>
      <c r="B126" s="1" t="s">
        <v>30</v>
      </c>
      <c r="C126" s="1" t="s">
        <v>31</v>
      </c>
      <c r="D126" s="1" t="s">
        <v>32</v>
      </c>
      <c r="E126" s="1" t="s">
        <v>428</v>
      </c>
      <c r="F126" s="1" t="s">
        <v>40</v>
      </c>
      <c r="G126" s="1" t="s">
        <v>429</v>
      </c>
      <c r="H126" s="1" t="s">
        <v>59</v>
      </c>
      <c r="I126" s="1" t="s">
        <v>37</v>
      </c>
      <c r="J126" s="101" t="s">
        <v>30</v>
      </c>
      <c r="K126" s="101" t="s">
        <v>437</v>
      </c>
      <c r="L126" s="101" t="s">
        <v>323</v>
      </c>
      <c r="M126" s="101" t="s">
        <v>438</v>
      </c>
      <c r="N126" s="189">
        <v>12030</v>
      </c>
      <c r="O126" s="101" t="s">
        <v>568</v>
      </c>
      <c r="P126" s="101" t="s">
        <v>569</v>
      </c>
      <c r="Q126" s="101" t="s">
        <v>570</v>
      </c>
      <c r="R126" s="101" t="s">
        <v>571</v>
      </c>
      <c r="S126" s="101" t="s">
        <v>572</v>
      </c>
      <c r="T126" s="101" t="s">
        <v>573</v>
      </c>
      <c r="U126" s="101"/>
      <c r="V126" s="101"/>
      <c r="W126" s="101" t="s">
        <v>574</v>
      </c>
      <c r="X126" s="101" t="s">
        <v>575</v>
      </c>
      <c r="Y126" s="101"/>
      <c r="Z126" s="101" t="s">
        <v>576</v>
      </c>
      <c r="AA126" s="101" t="s">
        <v>577</v>
      </c>
      <c r="AB126" s="101" t="s">
        <v>578</v>
      </c>
      <c r="AC126" s="101" t="s">
        <v>579</v>
      </c>
      <c r="AD126" s="101" t="s">
        <v>580</v>
      </c>
      <c r="AE126" s="101" t="s">
        <v>581</v>
      </c>
      <c r="AF126" s="101" t="s">
        <v>582</v>
      </c>
      <c r="AG126" s="101" t="s">
        <v>583</v>
      </c>
      <c r="AH126" s="101" t="s">
        <v>584</v>
      </c>
      <c r="AI126" s="101" t="s">
        <v>585</v>
      </c>
      <c r="AJ126" s="101"/>
    </row>
    <row r="127" spans="1:36" x14ac:dyDescent="0.2">
      <c r="A127" s="1" t="s">
        <v>430</v>
      </c>
      <c r="B127" s="1" t="s">
        <v>30</v>
      </c>
      <c r="C127" s="1" t="s">
        <v>31</v>
      </c>
      <c r="D127" s="1" t="s">
        <v>32</v>
      </c>
      <c r="E127" s="1" t="s">
        <v>431</v>
      </c>
      <c r="F127" s="1" t="s">
        <v>40</v>
      </c>
      <c r="G127" s="1" t="s">
        <v>432</v>
      </c>
      <c r="H127" s="1" t="s">
        <v>42</v>
      </c>
      <c r="I127" s="1" t="s">
        <v>37</v>
      </c>
      <c r="J127" s="101" t="s">
        <v>30</v>
      </c>
      <c r="K127" s="101" t="s">
        <v>225</v>
      </c>
      <c r="L127" s="101" t="s">
        <v>150</v>
      </c>
      <c r="M127" s="101" t="s">
        <v>226</v>
      </c>
      <c r="N127" s="189">
        <v>12440</v>
      </c>
      <c r="O127" s="101" t="s">
        <v>568</v>
      </c>
      <c r="P127" s="101" t="s">
        <v>569</v>
      </c>
      <c r="Q127" s="101" t="s">
        <v>570</v>
      </c>
      <c r="R127" s="101" t="s">
        <v>571</v>
      </c>
      <c r="S127" s="101" t="s">
        <v>572</v>
      </c>
      <c r="T127" s="101" t="s">
        <v>573</v>
      </c>
      <c r="U127" s="101"/>
      <c r="V127" s="101"/>
      <c r="W127" s="101" t="s">
        <v>574</v>
      </c>
      <c r="X127" s="101" t="s">
        <v>575</v>
      </c>
      <c r="Y127" s="101"/>
      <c r="Z127" s="101" t="s">
        <v>576</v>
      </c>
      <c r="AA127" s="101" t="s">
        <v>577</v>
      </c>
      <c r="AB127" s="101" t="s">
        <v>578</v>
      </c>
      <c r="AC127" s="101" t="s">
        <v>579</v>
      </c>
      <c r="AD127" s="101" t="s">
        <v>580</v>
      </c>
      <c r="AE127" s="101" t="s">
        <v>581</v>
      </c>
      <c r="AF127" s="101" t="s">
        <v>582</v>
      </c>
      <c r="AG127" s="101" t="s">
        <v>583</v>
      </c>
      <c r="AH127" s="101" t="s">
        <v>584</v>
      </c>
      <c r="AI127" s="101" t="s">
        <v>585</v>
      </c>
      <c r="AJ127" s="101"/>
    </row>
    <row r="128" spans="1:36" x14ac:dyDescent="0.2">
      <c r="A128" s="1" t="s">
        <v>433</v>
      </c>
      <c r="B128" s="1" t="s">
        <v>30</v>
      </c>
      <c r="C128" s="1" t="s">
        <v>31</v>
      </c>
      <c r="D128" s="1" t="s">
        <v>32</v>
      </c>
      <c r="E128" s="1" t="s">
        <v>434</v>
      </c>
      <c r="F128" s="1" t="s">
        <v>34</v>
      </c>
      <c r="G128" s="1" t="s">
        <v>435</v>
      </c>
      <c r="H128" s="1" t="s">
        <v>50</v>
      </c>
      <c r="I128" s="1" t="s">
        <v>37</v>
      </c>
      <c r="J128" s="101" t="s">
        <v>30</v>
      </c>
      <c r="K128" s="101" t="s">
        <v>116</v>
      </c>
      <c r="L128" s="101" t="s">
        <v>34</v>
      </c>
      <c r="M128" s="101" t="s">
        <v>117</v>
      </c>
      <c r="N128" s="189">
        <v>12330</v>
      </c>
      <c r="O128" s="101" t="s">
        <v>568</v>
      </c>
      <c r="P128" s="101" t="s">
        <v>569</v>
      </c>
      <c r="Q128" s="101" t="s">
        <v>570</v>
      </c>
      <c r="R128" s="101" t="s">
        <v>571</v>
      </c>
      <c r="S128" s="101" t="s">
        <v>572</v>
      </c>
      <c r="T128" s="101" t="s">
        <v>573</v>
      </c>
      <c r="U128" s="101"/>
      <c r="V128" s="101"/>
      <c r="W128" s="101" t="s">
        <v>574</v>
      </c>
      <c r="X128" s="101" t="s">
        <v>575</v>
      </c>
      <c r="Y128" s="101"/>
      <c r="Z128" s="101" t="s">
        <v>576</v>
      </c>
      <c r="AA128" s="101" t="s">
        <v>577</v>
      </c>
      <c r="AB128" s="101" t="s">
        <v>578</v>
      </c>
      <c r="AC128" s="101" t="s">
        <v>579</v>
      </c>
      <c r="AD128" s="101" t="s">
        <v>580</v>
      </c>
      <c r="AE128" s="101" t="s">
        <v>581</v>
      </c>
      <c r="AF128" s="101" t="s">
        <v>582</v>
      </c>
      <c r="AG128" s="101" t="s">
        <v>583</v>
      </c>
      <c r="AH128" s="101" t="s">
        <v>584</v>
      </c>
      <c r="AI128" s="101" t="s">
        <v>585</v>
      </c>
      <c r="AJ128" s="101"/>
    </row>
    <row r="129" spans="1:36" x14ac:dyDescent="0.2">
      <c r="A129" s="1" t="s">
        <v>436</v>
      </c>
      <c r="B129" s="1" t="s">
        <v>30</v>
      </c>
      <c r="C129" s="1" t="s">
        <v>31</v>
      </c>
      <c r="D129" s="1" t="s">
        <v>32</v>
      </c>
      <c r="E129" s="1" t="s">
        <v>437</v>
      </c>
      <c r="F129" s="1" t="s">
        <v>323</v>
      </c>
      <c r="G129" s="1" t="s">
        <v>438</v>
      </c>
      <c r="H129" s="1" t="s">
        <v>50</v>
      </c>
      <c r="I129" s="1" t="s">
        <v>37</v>
      </c>
      <c r="J129" s="101" t="s">
        <v>30</v>
      </c>
      <c r="K129" s="101" t="s">
        <v>39</v>
      </c>
      <c r="L129" s="101" t="s">
        <v>40</v>
      </c>
      <c r="M129" s="101" t="s">
        <v>41</v>
      </c>
      <c r="N129" s="189">
        <v>12430</v>
      </c>
      <c r="O129" s="101" t="s">
        <v>568</v>
      </c>
      <c r="P129" s="101" t="s">
        <v>569</v>
      </c>
      <c r="Q129" s="101" t="s">
        <v>570</v>
      </c>
      <c r="R129" s="101" t="s">
        <v>571</v>
      </c>
      <c r="S129" s="101" t="s">
        <v>572</v>
      </c>
      <c r="T129" s="101" t="s">
        <v>573</v>
      </c>
      <c r="U129" s="101"/>
      <c r="V129" s="101"/>
      <c r="W129" s="101" t="s">
        <v>574</v>
      </c>
      <c r="X129" s="101" t="s">
        <v>575</v>
      </c>
      <c r="Y129" s="101"/>
      <c r="Z129" s="101" t="s">
        <v>576</v>
      </c>
      <c r="AA129" s="101" t="s">
        <v>577</v>
      </c>
      <c r="AB129" s="101" t="s">
        <v>578</v>
      </c>
      <c r="AC129" s="101" t="s">
        <v>579</v>
      </c>
      <c r="AD129" s="101" t="s">
        <v>580</v>
      </c>
      <c r="AE129" s="101" t="s">
        <v>581</v>
      </c>
      <c r="AF129" s="101" t="s">
        <v>582</v>
      </c>
      <c r="AG129" s="101" t="s">
        <v>583</v>
      </c>
      <c r="AH129" s="101" t="s">
        <v>584</v>
      </c>
      <c r="AI129" s="101" t="s">
        <v>585</v>
      </c>
      <c r="AJ129" s="101"/>
    </row>
    <row r="130" spans="1:36" x14ac:dyDescent="0.2">
      <c r="A130" s="1" t="s">
        <v>439</v>
      </c>
      <c r="B130" s="1" t="s">
        <v>30</v>
      </c>
      <c r="C130" s="1" t="s">
        <v>31</v>
      </c>
      <c r="D130" s="1" t="s">
        <v>32</v>
      </c>
      <c r="E130" s="1" t="s">
        <v>440</v>
      </c>
      <c r="F130" s="1" t="s">
        <v>323</v>
      </c>
      <c r="G130" s="1" t="s">
        <v>441</v>
      </c>
      <c r="H130" s="1" t="s">
        <v>59</v>
      </c>
      <c r="I130" s="1" t="s">
        <v>37</v>
      </c>
      <c r="J130" s="101" t="s">
        <v>30</v>
      </c>
      <c r="K130" s="101" t="s">
        <v>443</v>
      </c>
      <c r="L130" s="101" t="s">
        <v>323</v>
      </c>
      <c r="M130" s="101" t="s">
        <v>444</v>
      </c>
      <c r="N130" s="189">
        <v>12430</v>
      </c>
      <c r="O130" s="101" t="s">
        <v>568</v>
      </c>
      <c r="P130" s="101" t="s">
        <v>569</v>
      </c>
      <c r="Q130" s="101" t="s">
        <v>570</v>
      </c>
      <c r="R130" s="101" t="s">
        <v>571</v>
      </c>
      <c r="S130" s="101" t="s">
        <v>572</v>
      </c>
      <c r="T130" s="101" t="s">
        <v>573</v>
      </c>
      <c r="U130" s="101"/>
      <c r="V130" s="101"/>
      <c r="W130" s="101" t="s">
        <v>574</v>
      </c>
      <c r="X130" s="101" t="s">
        <v>575</v>
      </c>
      <c r="Y130" s="101"/>
      <c r="Z130" s="101" t="s">
        <v>576</v>
      </c>
      <c r="AA130" s="101" t="s">
        <v>577</v>
      </c>
      <c r="AB130" s="101" t="s">
        <v>578</v>
      </c>
      <c r="AC130" s="101" t="s">
        <v>579</v>
      </c>
      <c r="AD130" s="101" t="s">
        <v>580</v>
      </c>
      <c r="AE130" s="101" t="s">
        <v>581</v>
      </c>
      <c r="AF130" s="101" t="s">
        <v>582</v>
      </c>
      <c r="AG130" s="101" t="s">
        <v>583</v>
      </c>
      <c r="AH130" s="101" t="s">
        <v>584</v>
      </c>
      <c r="AI130" s="101" t="s">
        <v>585</v>
      </c>
      <c r="AJ130" s="101"/>
    </row>
    <row r="131" spans="1:36" x14ac:dyDescent="0.2">
      <c r="A131" s="1" t="s">
        <v>442</v>
      </c>
      <c r="B131" s="1" t="s">
        <v>30</v>
      </c>
      <c r="C131" s="1" t="s">
        <v>31</v>
      </c>
      <c r="D131" s="1" t="s">
        <v>32</v>
      </c>
      <c r="E131" s="1" t="s">
        <v>443</v>
      </c>
      <c r="F131" s="1" t="s">
        <v>323</v>
      </c>
      <c r="G131" s="1" t="s">
        <v>444</v>
      </c>
      <c r="H131" s="1" t="s">
        <v>59</v>
      </c>
      <c r="I131" s="1" t="s">
        <v>37</v>
      </c>
      <c r="J131" s="101" t="s">
        <v>30</v>
      </c>
      <c r="K131" s="101" t="s">
        <v>446</v>
      </c>
      <c r="L131" s="101" t="s">
        <v>323</v>
      </c>
      <c r="M131" s="101" t="s">
        <v>447</v>
      </c>
      <c r="N131" s="189">
        <v>12340</v>
      </c>
      <c r="O131" s="101" t="s">
        <v>568</v>
      </c>
      <c r="P131" s="101" t="s">
        <v>569</v>
      </c>
      <c r="Q131" s="101" t="s">
        <v>570</v>
      </c>
      <c r="R131" s="101" t="s">
        <v>571</v>
      </c>
      <c r="S131" s="101" t="s">
        <v>572</v>
      </c>
      <c r="T131" s="101" t="s">
        <v>573</v>
      </c>
      <c r="U131" s="101"/>
      <c r="V131" s="101"/>
      <c r="W131" s="101" t="s">
        <v>574</v>
      </c>
      <c r="X131" s="101" t="s">
        <v>575</v>
      </c>
      <c r="Y131" s="101"/>
      <c r="Z131" s="101" t="s">
        <v>576</v>
      </c>
      <c r="AA131" s="101" t="s">
        <v>577</v>
      </c>
      <c r="AB131" s="101" t="s">
        <v>578</v>
      </c>
      <c r="AC131" s="101" t="s">
        <v>579</v>
      </c>
      <c r="AD131" s="101" t="s">
        <v>580</v>
      </c>
      <c r="AE131" s="101" t="s">
        <v>581</v>
      </c>
      <c r="AF131" s="101" t="s">
        <v>582</v>
      </c>
      <c r="AG131" s="101" t="s">
        <v>583</v>
      </c>
      <c r="AH131" s="101" t="s">
        <v>584</v>
      </c>
      <c r="AI131" s="101" t="s">
        <v>585</v>
      </c>
      <c r="AJ131" s="101"/>
    </row>
    <row r="132" spans="1:36" x14ac:dyDescent="0.2">
      <c r="A132" s="1" t="s">
        <v>445</v>
      </c>
      <c r="B132" s="1" t="s">
        <v>30</v>
      </c>
      <c r="C132" s="1" t="s">
        <v>31</v>
      </c>
      <c r="D132" s="1" t="s">
        <v>32</v>
      </c>
      <c r="E132" s="1" t="s">
        <v>446</v>
      </c>
      <c r="F132" s="1" t="s">
        <v>323</v>
      </c>
      <c r="G132" s="1" t="s">
        <v>447</v>
      </c>
      <c r="H132" s="1" t="s">
        <v>59</v>
      </c>
      <c r="I132" s="1" t="s">
        <v>37</v>
      </c>
      <c r="J132" s="101" t="s">
        <v>30</v>
      </c>
      <c r="K132" s="101" t="s">
        <v>449</v>
      </c>
      <c r="L132" s="101" t="s">
        <v>323</v>
      </c>
      <c r="M132" s="101" t="s">
        <v>450</v>
      </c>
      <c r="N132" s="189">
        <v>11830</v>
      </c>
      <c r="O132" s="101" t="s">
        <v>568</v>
      </c>
      <c r="P132" s="101" t="s">
        <v>569</v>
      </c>
      <c r="Q132" s="101" t="s">
        <v>570</v>
      </c>
      <c r="R132" s="101" t="s">
        <v>571</v>
      </c>
      <c r="S132" s="101" t="s">
        <v>572</v>
      </c>
      <c r="T132" s="101" t="s">
        <v>573</v>
      </c>
      <c r="U132" s="101"/>
      <c r="V132" s="101"/>
      <c r="W132" s="101" t="s">
        <v>574</v>
      </c>
      <c r="X132" s="101" t="s">
        <v>575</v>
      </c>
      <c r="Y132" s="101"/>
      <c r="Z132" s="101" t="s">
        <v>576</v>
      </c>
      <c r="AA132" s="101" t="s">
        <v>577</v>
      </c>
      <c r="AB132" s="101" t="s">
        <v>578</v>
      </c>
      <c r="AC132" s="101" t="s">
        <v>579</v>
      </c>
      <c r="AD132" s="101" t="s">
        <v>580</v>
      </c>
      <c r="AE132" s="101" t="s">
        <v>581</v>
      </c>
      <c r="AF132" s="101" t="s">
        <v>582</v>
      </c>
      <c r="AG132" s="101" t="s">
        <v>583</v>
      </c>
      <c r="AH132" s="101" t="s">
        <v>584</v>
      </c>
      <c r="AI132" s="101" t="s">
        <v>585</v>
      </c>
      <c r="AJ132" s="101"/>
    </row>
    <row r="133" spans="1:36" x14ac:dyDescent="0.2">
      <c r="A133" s="1" t="s">
        <v>448</v>
      </c>
      <c r="B133" s="1" t="s">
        <v>30</v>
      </c>
      <c r="C133" s="1" t="s">
        <v>31</v>
      </c>
      <c r="D133" s="1" t="s">
        <v>32</v>
      </c>
      <c r="E133" s="1" t="s">
        <v>449</v>
      </c>
      <c r="F133" s="1" t="s">
        <v>323</v>
      </c>
      <c r="G133" s="1" t="s">
        <v>450</v>
      </c>
      <c r="H133" s="1" t="s">
        <v>59</v>
      </c>
      <c r="I133" s="1" t="s">
        <v>37</v>
      </c>
      <c r="J133" s="101" t="s">
        <v>30</v>
      </c>
      <c r="K133" s="101" t="s">
        <v>452</v>
      </c>
      <c r="L133" s="101" t="s">
        <v>323</v>
      </c>
      <c r="M133" s="101" t="s">
        <v>453</v>
      </c>
      <c r="N133" s="189">
        <v>12440</v>
      </c>
      <c r="O133" s="101" t="s">
        <v>568</v>
      </c>
      <c r="P133" s="101" t="s">
        <v>569</v>
      </c>
      <c r="Q133" s="101" t="s">
        <v>570</v>
      </c>
      <c r="R133" s="101" t="s">
        <v>571</v>
      </c>
      <c r="S133" s="101" t="s">
        <v>572</v>
      </c>
      <c r="T133" s="101" t="s">
        <v>573</v>
      </c>
      <c r="U133" s="101"/>
      <c r="V133" s="101"/>
      <c r="W133" s="101" t="s">
        <v>574</v>
      </c>
      <c r="X133" s="101" t="s">
        <v>575</v>
      </c>
      <c r="Y133" s="101"/>
      <c r="Z133" s="101" t="s">
        <v>576</v>
      </c>
      <c r="AA133" s="101" t="s">
        <v>577</v>
      </c>
      <c r="AB133" s="101" t="s">
        <v>578</v>
      </c>
      <c r="AC133" s="101" t="s">
        <v>579</v>
      </c>
      <c r="AD133" s="101" t="s">
        <v>580</v>
      </c>
      <c r="AE133" s="101" t="s">
        <v>581</v>
      </c>
      <c r="AF133" s="101" t="s">
        <v>582</v>
      </c>
      <c r="AG133" s="101" t="s">
        <v>583</v>
      </c>
      <c r="AH133" s="101" t="s">
        <v>584</v>
      </c>
      <c r="AI133" s="101" t="s">
        <v>585</v>
      </c>
      <c r="AJ133" s="101"/>
    </row>
    <row r="134" spans="1:36" x14ac:dyDescent="0.2">
      <c r="A134" s="1" t="s">
        <v>451</v>
      </c>
      <c r="B134" s="1" t="s">
        <v>30</v>
      </c>
      <c r="C134" s="1" t="s">
        <v>31</v>
      </c>
      <c r="D134" s="1" t="s">
        <v>32</v>
      </c>
      <c r="E134" s="1" t="s">
        <v>452</v>
      </c>
      <c r="F134" s="1" t="s">
        <v>323</v>
      </c>
      <c r="G134" s="1" t="s">
        <v>453</v>
      </c>
      <c r="H134" s="1" t="s">
        <v>59</v>
      </c>
      <c r="I134" s="1" t="s">
        <v>37</v>
      </c>
      <c r="J134" s="101" t="s">
        <v>30</v>
      </c>
      <c r="K134" s="101" t="s">
        <v>455</v>
      </c>
      <c r="L134" s="101" t="s">
        <v>323</v>
      </c>
      <c r="M134" s="101" t="s">
        <v>456</v>
      </c>
      <c r="N134" s="189">
        <v>12340</v>
      </c>
      <c r="O134" s="101" t="s">
        <v>568</v>
      </c>
      <c r="P134" s="101" t="s">
        <v>569</v>
      </c>
      <c r="Q134" s="101" t="s">
        <v>570</v>
      </c>
      <c r="R134" s="101" t="s">
        <v>571</v>
      </c>
      <c r="S134" s="101" t="s">
        <v>572</v>
      </c>
      <c r="T134" s="101" t="s">
        <v>573</v>
      </c>
      <c r="U134" s="101"/>
      <c r="V134" s="101"/>
      <c r="W134" s="101" t="s">
        <v>574</v>
      </c>
      <c r="X134" s="101" t="s">
        <v>575</v>
      </c>
      <c r="Y134" s="101"/>
      <c r="Z134" s="101" t="s">
        <v>576</v>
      </c>
      <c r="AA134" s="101" t="s">
        <v>577</v>
      </c>
      <c r="AB134" s="101" t="s">
        <v>578</v>
      </c>
      <c r="AC134" s="101" t="s">
        <v>579</v>
      </c>
      <c r="AD134" s="101" t="s">
        <v>580</v>
      </c>
      <c r="AE134" s="101" t="s">
        <v>581</v>
      </c>
      <c r="AF134" s="101" t="s">
        <v>582</v>
      </c>
      <c r="AG134" s="101" t="s">
        <v>583</v>
      </c>
      <c r="AH134" s="101" t="s">
        <v>584</v>
      </c>
      <c r="AI134" s="101" t="s">
        <v>585</v>
      </c>
      <c r="AJ134" s="101"/>
    </row>
    <row r="135" spans="1:36" x14ac:dyDescent="0.2">
      <c r="A135" s="1" t="s">
        <v>454</v>
      </c>
      <c r="B135" s="1" t="s">
        <v>30</v>
      </c>
      <c r="C135" s="1" t="s">
        <v>31</v>
      </c>
      <c r="D135" s="1" t="s">
        <v>32</v>
      </c>
      <c r="E135" s="1" t="s">
        <v>455</v>
      </c>
      <c r="F135" s="1" t="s">
        <v>323</v>
      </c>
      <c r="G135" s="1" t="s">
        <v>456</v>
      </c>
      <c r="H135" s="1" t="s">
        <v>81</v>
      </c>
      <c r="I135" s="1" t="s">
        <v>37</v>
      </c>
      <c r="J135" s="101" t="s">
        <v>30</v>
      </c>
      <c r="K135" s="101" t="s">
        <v>458</v>
      </c>
      <c r="L135" s="101" t="s">
        <v>323</v>
      </c>
      <c r="M135" s="101" t="s">
        <v>459</v>
      </c>
      <c r="N135" s="189">
        <v>12430</v>
      </c>
      <c r="O135" s="101" t="s">
        <v>568</v>
      </c>
      <c r="P135" s="101" t="s">
        <v>569</v>
      </c>
      <c r="Q135" s="101" t="s">
        <v>570</v>
      </c>
      <c r="R135" s="101" t="s">
        <v>571</v>
      </c>
      <c r="S135" s="101" t="s">
        <v>572</v>
      </c>
      <c r="T135" s="101" t="s">
        <v>573</v>
      </c>
      <c r="U135" s="101"/>
      <c r="V135" s="101"/>
      <c r="W135" s="101" t="s">
        <v>574</v>
      </c>
      <c r="X135" s="101" t="s">
        <v>575</v>
      </c>
      <c r="Y135" s="101"/>
      <c r="Z135" s="101" t="s">
        <v>576</v>
      </c>
      <c r="AA135" s="101" t="s">
        <v>577</v>
      </c>
      <c r="AB135" s="101" t="s">
        <v>578</v>
      </c>
      <c r="AC135" s="101" t="s">
        <v>579</v>
      </c>
      <c r="AD135" s="101" t="s">
        <v>580</v>
      </c>
      <c r="AE135" s="101" t="s">
        <v>581</v>
      </c>
      <c r="AF135" s="101" t="s">
        <v>582</v>
      </c>
      <c r="AG135" s="101" t="s">
        <v>583</v>
      </c>
      <c r="AH135" s="101" t="s">
        <v>584</v>
      </c>
      <c r="AI135" s="101" t="s">
        <v>585</v>
      </c>
      <c r="AJ135" s="101"/>
    </row>
    <row r="136" spans="1:36" x14ac:dyDescent="0.2">
      <c r="A136" s="1" t="s">
        <v>457</v>
      </c>
      <c r="B136" s="1" t="s">
        <v>30</v>
      </c>
      <c r="C136" s="1" t="s">
        <v>31</v>
      </c>
      <c r="D136" s="1" t="s">
        <v>32</v>
      </c>
      <c r="E136" s="1" t="s">
        <v>458</v>
      </c>
      <c r="F136" s="1" t="s">
        <v>323</v>
      </c>
      <c r="G136" s="1" t="s">
        <v>459</v>
      </c>
      <c r="H136" s="1" t="s">
        <v>59</v>
      </c>
      <c r="I136" s="1" t="s">
        <v>37</v>
      </c>
      <c r="J136" s="101" t="s">
        <v>30</v>
      </c>
      <c r="K136" s="101" t="s">
        <v>461</v>
      </c>
      <c r="L136" s="101" t="s">
        <v>323</v>
      </c>
      <c r="M136" s="101" t="s">
        <v>462</v>
      </c>
      <c r="N136" s="189">
        <v>12330</v>
      </c>
      <c r="O136" s="101" t="s">
        <v>568</v>
      </c>
      <c r="P136" s="101" t="s">
        <v>569</v>
      </c>
      <c r="Q136" s="101" t="s">
        <v>570</v>
      </c>
      <c r="R136" s="101" t="s">
        <v>571</v>
      </c>
      <c r="S136" s="101" t="s">
        <v>572</v>
      </c>
      <c r="T136" s="101" t="s">
        <v>573</v>
      </c>
      <c r="U136" s="101"/>
      <c r="V136" s="101"/>
      <c r="W136" s="101" t="s">
        <v>574</v>
      </c>
      <c r="X136" s="101" t="s">
        <v>575</v>
      </c>
      <c r="Y136" s="101"/>
      <c r="Z136" s="101" t="s">
        <v>576</v>
      </c>
      <c r="AA136" s="101" t="s">
        <v>577</v>
      </c>
      <c r="AB136" s="101" t="s">
        <v>578</v>
      </c>
      <c r="AC136" s="101" t="s">
        <v>579</v>
      </c>
      <c r="AD136" s="101" t="s">
        <v>580</v>
      </c>
      <c r="AE136" s="101" t="s">
        <v>581</v>
      </c>
      <c r="AF136" s="101" t="s">
        <v>582</v>
      </c>
      <c r="AG136" s="101" t="s">
        <v>583</v>
      </c>
      <c r="AH136" s="101" t="s">
        <v>584</v>
      </c>
      <c r="AI136" s="101" t="s">
        <v>585</v>
      </c>
      <c r="AJ136" s="101"/>
    </row>
    <row r="137" spans="1:36" x14ac:dyDescent="0.2">
      <c r="A137" s="1" t="s">
        <v>460</v>
      </c>
      <c r="B137" s="1" t="s">
        <v>30</v>
      </c>
      <c r="C137" s="1" t="s">
        <v>31</v>
      </c>
      <c r="D137" s="1" t="s">
        <v>32</v>
      </c>
      <c r="E137" s="1" t="s">
        <v>461</v>
      </c>
      <c r="F137" s="1" t="s">
        <v>323</v>
      </c>
      <c r="G137" s="1" t="s">
        <v>462</v>
      </c>
      <c r="H137" s="1" t="s">
        <v>50</v>
      </c>
      <c r="I137" s="1" t="s">
        <v>37</v>
      </c>
      <c r="J137" s="101" t="s">
        <v>30</v>
      </c>
      <c r="K137" s="101" t="s">
        <v>464</v>
      </c>
      <c r="L137" s="101" t="s">
        <v>323</v>
      </c>
      <c r="M137" s="101" t="s">
        <v>465</v>
      </c>
      <c r="N137" s="189">
        <v>12430</v>
      </c>
      <c r="O137" s="101" t="s">
        <v>568</v>
      </c>
      <c r="P137" s="101" t="s">
        <v>569</v>
      </c>
      <c r="Q137" s="101" t="s">
        <v>570</v>
      </c>
      <c r="R137" s="101" t="s">
        <v>571</v>
      </c>
      <c r="S137" s="101" t="s">
        <v>572</v>
      </c>
      <c r="T137" s="101" t="s">
        <v>573</v>
      </c>
      <c r="U137" s="101"/>
      <c r="V137" s="101"/>
      <c r="W137" s="101" t="s">
        <v>574</v>
      </c>
      <c r="X137" s="101" t="s">
        <v>575</v>
      </c>
      <c r="Y137" s="101"/>
      <c r="Z137" s="101" t="s">
        <v>576</v>
      </c>
      <c r="AA137" s="101" t="s">
        <v>577</v>
      </c>
      <c r="AB137" s="101" t="s">
        <v>578</v>
      </c>
      <c r="AC137" s="101" t="s">
        <v>579</v>
      </c>
      <c r="AD137" s="101" t="s">
        <v>580</v>
      </c>
      <c r="AE137" s="101" t="s">
        <v>581</v>
      </c>
      <c r="AF137" s="101" t="s">
        <v>582</v>
      </c>
      <c r="AG137" s="101" t="s">
        <v>583</v>
      </c>
      <c r="AH137" s="101" t="s">
        <v>584</v>
      </c>
      <c r="AI137" s="101" t="s">
        <v>585</v>
      </c>
      <c r="AJ137" s="101"/>
    </row>
    <row r="138" spans="1:36" x14ac:dyDescent="0.2">
      <c r="A138" s="1" t="s">
        <v>463</v>
      </c>
      <c r="B138" s="1" t="s">
        <v>30</v>
      </c>
      <c r="C138" s="1" t="s">
        <v>31</v>
      </c>
      <c r="D138" s="1" t="s">
        <v>32</v>
      </c>
      <c r="E138" s="1" t="s">
        <v>464</v>
      </c>
      <c r="F138" s="1" t="s">
        <v>323</v>
      </c>
      <c r="G138" s="1" t="s">
        <v>465</v>
      </c>
      <c r="H138" s="1" t="s">
        <v>42</v>
      </c>
      <c r="I138" s="1" t="s">
        <v>37</v>
      </c>
      <c r="J138" s="101" t="s">
        <v>30</v>
      </c>
      <c r="K138" s="101" t="s">
        <v>467</v>
      </c>
      <c r="L138" s="101" t="s">
        <v>323</v>
      </c>
      <c r="M138" s="101" t="s">
        <v>468</v>
      </c>
      <c r="N138" s="189">
        <v>12430</v>
      </c>
      <c r="O138" s="101" t="s">
        <v>568</v>
      </c>
      <c r="P138" s="101" t="s">
        <v>569</v>
      </c>
      <c r="Q138" s="101" t="s">
        <v>570</v>
      </c>
      <c r="R138" s="101" t="s">
        <v>571</v>
      </c>
      <c r="S138" s="101" t="s">
        <v>572</v>
      </c>
      <c r="T138" s="101" t="s">
        <v>573</v>
      </c>
      <c r="U138" s="101"/>
      <c r="V138" s="101"/>
      <c r="W138" s="101" t="s">
        <v>574</v>
      </c>
      <c r="X138" s="101" t="s">
        <v>575</v>
      </c>
      <c r="Y138" s="101"/>
      <c r="Z138" s="101" t="s">
        <v>576</v>
      </c>
      <c r="AA138" s="101" t="s">
        <v>577</v>
      </c>
      <c r="AB138" s="101" t="s">
        <v>578</v>
      </c>
      <c r="AC138" s="101" t="s">
        <v>579</v>
      </c>
      <c r="AD138" s="101" t="s">
        <v>580</v>
      </c>
      <c r="AE138" s="101" t="s">
        <v>581</v>
      </c>
      <c r="AF138" s="101" t="s">
        <v>582</v>
      </c>
      <c r="AG138" s="101" t="s">
        <v>583</v>
      </c>
      <c r="AH138" s="101" t="s">
        <v>584</v>
      </c>
      <c r="AI138" s="101" t="s">
        <v>585</v>
      </c>
      <c r="AJ138" s="101"/>
    </row>
    <row r="139" spans="1:36" x14ac:dyDescent="0.2">
      <c r="A139" s="1" t="s">
        <v>466</v>
      </c>
      <c r="B139" s="1" t="s">
        <v>30</v>
      </c>
      <c r="C139" s="1" t="s">
        <v>31</v>
      </c>
      <c r="D139" s="1" t="s">
        <v>32</v>
      </c>
      <c r="E139" s="1" t="s">
        <v>467</v>
      </c>
      <c r="F139" s="1" t="s">
        <v>323</v>
      </c>
      <c r="G139" s="1" t="s">
        <v>468</v>
      </c>
      <c r="H139" s="1" t="s">
        <v>42</v>
      </c>
      <c r="I139" s="1" t="s">
        <v>37</v>
      </c>
      <c r="J139" s="101" t="s">
        <v>30</v>
      </c>
      <c r="K139" s="101" t="s">
        <v>470</v>
      </c>
      <c r="L139" s="101" t="s">
        <v>323</v>
      </c>
      <c r="M139" s="101" t="s">
        <v>471</v>
      </c>
      <c r="N139" s="189">
        <v>12160</v>
      </c>
      <c r="O139" s="101" t="s">
        <v>568</v>
      </c>
      <c r="P139" s="101" t="s">
        <v>569</v>
      </c>
      <c r="Q139" s="101" t="s">
        <v>570</v>
      </c>
      <c r="R139" s="101" t="s">
        <v>571</v>
      </c>
      <c r="S139" s="101" t="s">
        <v>572</v>
      </c>
      <c r="T139" s="101" t="s">
        <v>573</v>
      </c>
      <c r="U139" s="101"/>
      <c r="V139" s="101"/>
      <c r="W139" s="101" t="s">
        <v>574</v>
      </c>
      <c r="X139" s="101" t="s">
        <v>575</v>
      </c>
      <c r="Y139" s="101"/>
      <c r="Z139" s="101" t="s">
        <v>576</v>
      </c>
      <c r="AA139" s="101" t="s">
        <v>577</v>
      </c>
      <c r="AB139" s="101" t="s">
        <v>578</v>
      </c>
      <c r="AC139" s="101" t="s">
        <v>579</v>
      </c>
      <c r="AD139" s="101" t="s">
        <v>580</v>
      </c>
      <c r="AE139" s="101" t="s">
        <v>581</v>
      </c>
      <c r="AF139" s="101" t="s">
        <v>582</v>
      </c>
      <c r="AG139" s="101" t="s">
        <v>583</v>
      </c>
      <c r="AH139" s="101" t="s">
        <v>584</v>
      </c>
      <c r="AI139" s="101" t="s">
        <v>585</v>
      </c>
      <c r="AJ139" s="101"/>
    </row>
    <row r="140" spans="1:36" x14ac:dyDescent="0.2">
      <c r="A140" s="1" t="s">
        <v>469</v>
      </c>
      <c r="B140" s="1" t="s">
        <v>30</v>
      </c>
      <c r="C140" s="1" t="s">
        <v>31</v>
      </c>
      <c r="D140" s="1" t="s">
        <v>32</v>
      </c>
      <c r="E140" s="1" t="s">
        <v>470</v>
      </c>
      <c r="F140" s="1" t="s">
        <v>323</v>
      </c>
      <c r="G140" s="1" t="s">
        <v>471</v>
      </c>
      <c r="H140" s="1" t="s">
        <v>46</v>
      </c>
      <c r="I140" s="1" t="s">
        <v>37</v>
      </c>
      <c r="J140" s="101" t="s">
        <v>30</v>
      </c>
      <c r="K140" s="101" t="s">
        <v>1053</v>
      </c>
      <c r="L140" s="101" t="s">
        <v>1001</v>
      </c>
      <c r="M140" s="101" t="s">
        <v>1054</v>
      </c>
      <c r="N140" s="189">
        <v>12450</v>
      </c>
      <c r="O140" s="101" t="s">
        <v>568</v>
      </c>
      <c r="P140" s="101" t="s">
        <v>569</v>
      </c>
      <c r="Q140" s="101" t="s">
        <v>570</v>
      </c>
      <c r="R140" s="101" t="s">
        <v>571</v>
      </c>
      <c r="S140" s="101" t="s">
        <v>572</v>
      </c>
      <c r="T140" s="101" t="s">
        <v>573</v>
      </c>
      <c r="U140" s="101"/>
      <c r="V140" s="101"/>
      <c r="W140" s="101" t="s">
        <v>574</v>
      </c>
      <c r="X140" s="101" t="s">
        <v>575</v>
      </c>
      <c r="Y140" s="101"/>
      <c r="Z140" s="101" t="s">
        <v>576</v>
      </c>
      <c r="AA140" s="101" t="s">
        <v>577</v>
      </c>
      <c r="AB140" s="101" t="s">
        <v>578</v>
      </c>
      <c r="AC140" s="101" t="s">
        <v>579</v>
      </c>
      <c r="AD140" s="101" t="s">
        <v>580</v>
      </c>
      <c r="AE140" s="101" t="s">
        <v>581</v>
      </c>
      <c r="AF140" s="101" t="s">
        <v>582</v>
      </c>
      <c r="AG140" s="101" t="s">
        <v>583</v>
      </c>
      <c r="AH140" s="101" t="s">
        <v>584</v>
      </c>
      <c r="AI140" s="101" t="s">
        <v>585</v>
      </c>
      <c r="AJ140" s="101" t="s">
        <v>2362</v>
      </c>
    </row>
    <row r="141" spans="1:36" x14ac:dyDescent="0.2">
      <c r="A141" s="1" t="s">
        <v>472</v>
      </c>
      <c r="B141" s="1" t="s">
        <v>30</v>
      </c>
      <c r="C141" s="1" t="s">
        <v>31</v>
      </c>
      <c r="D141" s="1" t="s">
        <v>32</v>
      </c>
      <c r="E141" s="1" t="s">
        <v>473</v>
      </c>
      <c r="F141" s="1" t="s">
        <v>323</v>
      </c>
      <c r="G141" s="1" t="s">
        <v>474</v>
      </c>
      <c r="H141" s="1" t="s">
        <v>42</v>
      </c>
      <c r="I141" s="1" t="s">
        <v>37</v>
      </c>
      <c r="J141" s="101" t="s">
        <v>30</v>
      </c>
      <c r="K141" s="101" t="s">
        <v>476</v>
      </c>
      <c r="L141" s="101" t="s">
        <v>323</v>
      </c>
      <c r="M141" s="101" t="s">
        <v>477</v>
      </c>
      <c r="N141" s="189">
        <v>12430</v>
      </c>
      <c r="O141" s="101" t="s">
        <v>568</v>
      </c>
      <c r="P141" s="101" t="s">
        <v>569</v>
      </c>
      <c r="Q141" s="101" t="s">
        <v>570</v>
      </c>
      <c r="R141" s="101" t="s">
        <v>571</v>
      </c>
      <c r="S141" s="101" t="s">
        <v>572</v>
      </c>
      <c r="T141" s="101" t="s">
        <v>573</v>
      </c>
      <c r="U141" s="101"/>
      <c r="V141" s="101"/>
      <c r="W141" s="101" t="s">
        <v>574</v>
      </c>
      <c r="X141" s="101" t="s">
        <v>575</v>
      </c>
      <c r="Y141" s="101"/>
      <c r="Z141" s="101" t="s">
        <v>576</v>
      </c>
      <c r="AA141" s="101" t="s">
        <v>577</v>
      </c>
      <c r="AB141" s="101" t="s">
        <v>578</v>
      </c>
      <c r="AC141" s="101" t="s">
        <v>579</v>
      </c>
      <c r="AD141" s="101" t="s">
        <v>580</v>
      </c>
      <c r="AE141" s="101" t="s">
        <v>581</v>
      </c>
      <c r="AF141" s="101" t="s">
        <v>582</v>
      </c>
      <c r="AG141" s="101" t="s">
        <v>583</v>
      </c>
      <c r="AH141" s="101" t="s">
        <v>584</v>
      </c>
      <c r="AI141" s="101" t="s">
        <v>585</v>
      </c>
      <c r="AJ141" s="101"/>
    </row>
    <row r="142" spans="1:36" x14ac:dyDescent="0.2">
      <c r="A142" s="1" t="s">
        <v>475</v>
      </c>
      <c r="B142" s="1" t="s">
        <v>30</v>
      </c>
      <c r="C142" s="1" t="s">
        <v>31</v>
      </c>
      <c r="D142" s="1" t="s">
        <v>32</v>
      </c>
      <c r="E142" s="1" t="s">
        <v>476</v>
      </c>
      <c r="F142" s="1" t="s">
        <v>323</v>
      </c>
      <c r="G142" s="1" t="s">
        <v>477</v>
      </c>
      <c r="H142" s="1" t="s">
        <v>42</v>
      </c>
      <c r="I142" s="1" t="s">
        <v>37</v>
      </c>
      <c r="J142" s="101" t="s">
        <v>30</v>
      </c>
      <c r="K142" s="101" t="s">
        <v>479</v>
      </c>
      <c r="L142" s="101" t="s">
        <v>323</v>
      </c>
      <c r="M142" s="101" t="s">
        <v>480</v>
      </c>
      <c r="N142" s="189">
        <v>12440</v>
      </c>
      <c r="O142" s="101" t="s">
        <v>568</v>
      </c>
      <c r="P142" s="101" t="s">
        <v>569</v>
      </c>
      <c r="Q142" s="101" t="s">
        <v>570</v>
      </c>
      <c r="R142" s="101" t="s">
        <v>571</v>
      </c>
      <c r="S142" s="101" t="s">
        <v>572</v>
      </c>
      <c r="T142" s="101" t="s">
        <v>573</v>
      </c>
      <c r="U142" s="101"/>
      <c r="V142" s="101"/>
      <c r="W142" s="101" t="s">
        <v>574</v>
      </c>
      <c r="X142" s="101" t="s">
        <v>575</v>
      </c>
      <c r="Y142" s="101"/>
      <c r="Z142" s="101" t="s">
        <v>576</v>
      </c>
      <c r="AA142" s="101" t="s">
        <v>577</v>
      </c>
      <c r="AB142" s="101" t="s">
        <v>578</v>
      </c>
      <c r="AC142" s="101" t="s">
        <v>579</v>
      </c>
      <c r="AD142" s="101" t="s">
        <v>580</v>
      </c>
      <c r="AE142" s="101" t="s">
        <v>581</v>
      </c>
      <c r="AF142" s="101" t="s">
        <v>582</v>
      </c>
      <c r="AG142" s="101" t="s">
        <v>583</v>
      </c>
      <c r="AH142" s="101" t="s">
        <v>584</v>
      </c>
      <c r="AI142" s="101" t="s">
        <v>585</v>
      </c>
      <c r="AJ142" s="101"/>
    </row>
    <row r="143" spans="1:36" x14ac:dyDescent="0.2">
      <c r="A143" s="1" t="s">
        <v>478</v>
      </c>
      <c r="B143" s="1" t="s">
        <v>30</v>
      </c>
      <c r="C143" s="1" t="s">
        <v>31</v>
      </c>
      <c r="D143" s="1" t="s">
        <v>32</v>
      </c>
      <c r="E143" s="1" t="s">
        <v>479</v>
      </c>
      <c r="F143" s="1" t="s">
        <v>323</v>
      </c>
      <c r="G143" s="1" t="s">
        <v>480</v>
      </c>
      <c r="H143" s="1" t="s">
        <v>42</v>
      </c>
      <c r="I143" s="1" t="s">
        <v>37</v>
      </c>
      <c r="J143" s="101" t="s">
        <v>30</v>
      </c>
      <c r="K143" s="101" t="s">
        <v>482</v>
      </c>
      <c r="L143" s="101" t="s">
        <v>323</v>
      </c>
      <c r="M143" s="101" t="s">
        <v>483</v>
      </c>
      <c r="N143" s="189">
        <v>12010</v>
      </c>
      <c r="O143" s="101" t="s">
        <v>568</v>
      </c>
      <c r="P143" s="101" t="s">
        <v>569</v>
      </c>
      <c r="Q143" s="101" t="s">
        <v>570</v>
      </c>
      <c r="R143" s="101" t="s">
        <v>571</v>
      </c>
      <c r="S143" s="101" t="s">
        <v>572</v>
      </c>
      <c r="T143" s="101" t="s">
        <v>573</v>
      </c>
      <c r="U143" s="101"/>
      <c r="V143" s="101"/>
      <c r="W143" s="101" t="s">
        <v>574</v>
      </c>
      <c r="X143" s="101" t="s">
        <v>575</v>
      </c>
      <c r="Y143" s="101"/>
      <c r="Z143" s="101" t="s">
        <v>576</v>
      </c>
      <c r="AA143" s="101" t="s">
        <v>577</v>
      </c>
      <c r="AB143" s="101" t="s">
        <v>578</v>
      </c>
      <c r="AC143" s="101" t="s">
        <v>579</v>
      </c>
      <c r="AD143" s="101" t="s">
        <v>580</v>
      </c>
      <c r="AE143" s="101" t="s">
        <v>581</v>
      </c>
      <c r="AF143" s="101" t="s">
        <v>582</v>
      </c>
      <c r="AG143" s="101" t="s">
        <v>583</v>
      </c>
      <c r="AH143" s="101" t="s">
        <v>584</v>
      </c>
      <c r="AI143" s="101" t="s">
        <v>585</v>
      </c>
      <c r="AJ143" s="101"/>
    </row>
    <row r="144" spans="1:36" x14ac:dyDescent="0.2">
      <c r="A144" s="1" t="s">
        <v>481</v>
      </c>
      <c r="B144" s="1" t="s">
        <v>30</v>
      </c>
      <c r="C144" s="1" t="s">
        <v>31</v>
      </c>
      <c r="D144" s="1" t="s">
        <v>32</v>
      </c>
      <c r="E144" s="1" t="s">
        <v>482</v>
      </c>
      <c r="F144" s="1" t="s">
        <v>323</v>
      </c>
      <c r="G144" s="1" t="s">
        <v>483</v>
      </c>
      <c r="H144" s="1" t="s">
        <v>42</v>
      </c>
      <c r="I144" s="1" t="s">
        <v>37</v>
      </c>
      <c r="J144" s="101" t="s">
        <v>30</v>
      </c>
      <c r="K144" s="101" t="s">
        <v>485</v>
      </c>
      <c r="L144" s="101" t="s">
        <v>323</v>
      </c>
      <c r="M144" s="101" t="s">
        <v>486</v>
      </c>
      <c r="N144" s="189">
        <v>11920</v>
      </c>
      <c r="O144" s="101" t="s">
        <v>568</v>
      </c>
      <c r="P144" s="101" t="s">
        <v>569</v>
      </c>
      <c r="Q144" s="101" t="s">
        <v>570</v>
      </c>
      <c r="R144" s="101" t="s">
        <v>571</v>
      </c>
      <c r="S144" s="101" t="s">
        <v>572</v>
      </c>
      <c r="T144" s="101" t="s">
        <v>573</v>
      </c>
      <c r="U144" s="101"/>
      <c r="V144" s="101"/>
      <c r="W144" s="101" t="s">
        <v>574</v>
      </c>
      <c r="X144" s="101" t="s">
        <v>575</v>
      </c>
      <c r="Y144" s="101"/>
      <c r="Z144" s="101" t="s">
        <v>576</v>
      </c>
      <c r="AA144" s="101" t="s">
        <v>577</v>
      </c>
      <c r="AB144" s="101" t="s">
        <v>578</v>
      </c>
      <c r="AC144" s="101" t="s">
        <v>579</v>
      </c>
      <c r="AD144" s="101" t="s">
        <v>580</v>
      </c>
      <c r="AE144" s="101" t="s">
        <v>581</v>
      </c>
      <c r="AF144" s="101" t="s">
        <v>582</v>
      </c>
      <c r="AG144" s="101" t="s">
        <v>583</v>
      </c>
      <c r="AH144" s="101" t="s">
        <v>584</v>
      </c>
      <c r="AI144" s="101" t="s">
        <v>585</v>
      </c>
      <c r="AJ144" s="101"/>
    </row>
    <row r="145" spans="1:36" x14ac:dyDescent="0.2">
      <c r="A145" s="1" t="s">
        <v>484</v>
      </c>
      <c r="B145" s="1" t="s">
        <v>30</v>
      </c>
      <c r="C145" s="1" t="s">
        <v>31</v>
      </c>
      <c r="D145" s="1" t="s">
        <v>32</v>
      </c>
      <c r="E145" s="1" t="s">
        <v>485</v>
      </c>
      <c r="F145" s="1" t="s">
        <v>323</v>
      </c>
      <c r="G145" s="1" t="s">
        <v>486</v>
      </c>
      <c r="H145" s="1" t="s">
        <v>59</v>
      </c>
      <c r="I145" s="1" t="s">
        <v>37</v>
      </c>
      <c r="J145" s="101" t="s">
        <v>30</v>
      </c>
      <c r="K145" s="101" t="s">
        <v>488</v>
      </c>
      <c r="L145" s="101" t="s">
        <v>323</v>
      </c>
      <c r="M145" s="101" t="s">
        <v>489</v>
      </c>
      <c r="N145" s="189">
        <v>4380</v>
      </c>
      <c r="O145" s="101" t="s">
        <v>568</v>
      </c>
      <c r="P145" s="101" t="s">
        <v>569</v>
      </c>
      <c r="Q145" s="101" t="s">
        <v>570</v>
      </c>
      <c r="R145" s="101" t="s">
        <v>571</v>
      </c>
      <c r="S145" s="101" t="s">
        <v>572</v>
      </c>
      <c r="T145" s="101" t="s">
        <v>573</v>
      </c>
      <c r="U145" s="101"/>
      <c r="V145" s="101"/>
      <c r="W145" s="101" t="s">
        <v>574</v>
      </c>
      <c r="X145" s="101" t="s">
        <v>575</v>
      </c>
      <c r="Y145" s="101"/>
      <c r="Z145" s="101" t="s">
        <v>576</v>
      </c>
      <c r="AA145" s="101" t="s">
        <v>577</v>
      </c>
      <c r="AB145" s="101" t="s">
        <v>578</v>
      </c>
      <c r="AC145" s="101" t="s">
        <v>579</v>
      </c>
      <c r="AD145" s="101" t="s">
        <v>580</v>
      </c>
      <c r="AE145" s="101" t="s">
        <v>581</v>
      </c>
      <c r="AF145" s="101" t="s">
        <v>582</v>
      </c>
      <c r="AG145" s="101" t="s">
        <v>583</v>
      </c>
      <c r="AH145" s="101" t="s">
        <v>584</v>
      </c>
      <c r="AI145" s="101" t="s">
        <v>585</v>
      </c>
      <c r="AJ145" s="101"/>
    </row>
    <row r="146" spans="1:36" x14ac:dyDescent="0.2">
      <c r="A146" s="1" t="s">
        <v>487</v>
      </c>
      <c r="B146" s="1" t="s">
        <v>30</v>
      </c>
      <c r="C146" s="1" t="s">
        <v>31</v>
      </c>
      <c r="D146" s="1" t="s">
        <v>32</v>
      </c>
      <c r="E146" s="1" t="s">
        <v>488</v>
      </c>
      <c r="F146" s="1" t="s">
        <v>323</v>
      </c>
      <c r="G146" s="1" t="s">
        <v>489</v>
      </c>
      <c r="H146" s="1" t="s">
        <v>42</v>
      </c>
      <c r="I146" s="1" t="s">
        <v>37</v>
      </c>
      <c r="J146" s="101" t="s">
        <v>30</v>
      </c>
      <c r="K146" s="101" t="s">
        <v>491</v>
      </c>
      <c r="L146" s="101" t="s">
        <v>323</v>
      </c>
      <c r="M146" s="101" t="s">
        <v>492</v>
      </c>
      <c r="N146" s="189">
        <v>12430</v>
      </c>
      <c r="O146" s="101" t="s">
        <v>568</v>
      </c>
      <c r="P146" s="101" t="s">
        <v>569</v>
      </c>
      <c r="Q146" s="101" t="s">
        <v>570</v>
      </c>
      <c r="R146" s="101" t="s">
        <v>571</v>
      </c>
      <c r="S146" s="101" t="s">
        <v>572</v>
      </c>
      <c r="T146" s="101" t="s">
        <v>573</v>
      </c>
      <c r="U146" s="101"/>
      <c r="V146" s="101"/>
      <c r="W146" s="101" t="s">
        <v>574</v>
      </c>
      <c r="X146" s="101" t="s">
        <v>575</v>
      </c>
      <c r="Y146" s="101"/>
      <c r="Z146" s="101" t="s">
        <v>576</v>
      </c>
      <c r="AA146" s="101" t="s">
        <v>577</v>
      </c>
      <c r="AB146" s="101" t="s">
        <v>578</v>
      </c>
      <c r="AC146" s="101" t="s">
        <v>579</v>
      </c>
      <c r="AD146" s="101" t="s">
        <v>580</v>
      </c>
      <c r="AE146" s="101" t="s">
        <v>581</v>
      </c>
      <c r="AF146" s="101" t="s">
        <v>582</v>
      </c>
      <c r="AG146" s="101" t="s">
        <v>583</v>
      </c>
      <c r="AH146" s="101" t="s">
        <v>584</v>
      </c>
      <c r="AI146" s="101" t="s">
        <v>585</v>
      </c>
      <c r="AJ146" s="101"/>
    </row>
    <row r="147" spans="1:36" x14ac:dyDescent="0.2">
      <c r="A147" s="1" t="s">
        <v>490</v>
      </c>
      <c r="B147" s="1" t="s">
        <v>30</v>
      </c>
      <c r="C147" s="1" t="s">
        <v>31</v>
      </c>
      <c r="D147" s="1" t="s">
        <v>32</v>
      </c>
      <c r="E147" s="1" t="s">
        <v>491</v>
      </c>
      <c r="F147" s="1" t="s">
        <v>323</v>
      </c>
      <c r="G147" s="1" t="s">
        <v>492</v>
      </c>
      <c r="H147" s="1" t="s">
        <v>42</v>
      </c>
      <c r="I147" s="1" t="s">
        <v>37</v>
      </c>
      <c r="J147" s="101" t="s">
        <v>30</v>
      </c>
      <c r="K147" s="101" t="s">
        <v>494</v>
      </c>
      <c r="L147" s="101" t="s">
        <v>323</v>
      </c>
      <c r="M147" s="101" t="s">
        <v>495</v>
      </c>
      <c r="N147" s="189">
        <v>12440</v>
      </c>
      <c r="O147" s="101" t="s">
        <v>568</v>
      </c>
      <c r="P147" s="101" t="s">
        <v>569</v>
      </c>
      <c r="Q147" s="101" t="s">
        <v>570</v>
      </c>
      <c r="R147" s="101" t="s">
        <v>571</v>
      </c>
      <c r="S147" s="101" t="s">
        <v>572</v>
      </c>
      <c r="T147" s="101" t="s">
        <v>573</v>
      </c>
      <c r="U147" s="101"/>
      <c r="V147" s="101"/>
      <c r="W147" s="101" t="s">
        <v>574</v>
      </c>
      <c r="X147" s="101" t="s">
        <v>575</v>
      </c>
      <c r="Y147" s="101"/>
      <c r="Z147" s="101" t="s">
        <v>576</v>
      </c>
      <c r="AA147" s="101" t="s">
        <v>577</v>
      </c>
      <c r="AB147" s="101" t="s">
        <v>578</v>
      </c>
      <c r="AC147" s="101" t="s">
        <v>579</v>
      </c>
      <c r="AD147" s="101" t="s">
        <v>580</v>
      </c>
      <c r="AE147" s="101" t="s">
        <v>581</v>
      </c>
      <c r="AF147" s="101" t="s">
        <v>582</v>
      </c>
      <c r="AG147" s="101" t="s">
        <v>583</v>
      </c>
      <c r="AH147" s="101" t="s">
        <v>584</v>
      </c>
      <c r="AI147" s="101" t="s">
        <v>585</v>
      </c>
      <c r="AJ147" s="101"/>
    </row>
    <row r="148" spans="1:36" x14ac:dyDescent="0.2">
      <c r="A148" s="1" t="s">
        <v>493</v>
      </c>
      <c r="B148" s="1" t="s">
        <v>30</v>
      </c>
      <c r="C148" s="1" t="s">
        <v>31</v>
      </c>
      <c r="D148" s="1" t="s">
        <v>32</v>
      </c>
      <c r="E148" s="1" t="s">
        <v>494</v>
      </c>
      <c r="F148" s="1" t="s">
        <v>323</v>
      </c>
      <c r="G148" s="1" t="s">
        <v>495</v>
      </c>
      <c r="H148" s="1" t="s">
        <v>42</v>
      </c>
      <c r="I148" s="1" t="s">
        <v>37</v>
      </c>
      <c r="J148" s="101" t="s">
        <v>30</v>
      </c>
      <c r="K148" s="101" t="s">
        <v>497</v>
      </c>
      <c r="L148" s="101" t="s">
        <v>323</v>
      </c>
      <c r="M148" s="101" t="s">
        <v>498</v>
      </c>
      <c r="N148" s="189">
        <v>12430</v>
      </c>
      <c r="O148" s="101" t="s">
        <v>568</v>
      </c>
      <c r="P148" s="101" t="s">
        <v>569</v>
      </c>
      <c r="Q148" s="101" t="s">
        <v>570</v>
      </c>
      <c r="R148" s="101" t="s">
        <v>571</v>
      </c>
      <c r="S148" s="101" t="s">
        <v>572</v>
      </c>
      <c r="T148" s="101" t="s">
        <v>573</v>
      </c>
      <c r="U148" s="101"/>
      <c r="V148" s="101"/>
      <c r="W148" s="101" t="s">
        <v>574</v>
      </c>
      <c r="X148" s="101" t="s">
        <v>575</v>
      </c>
      <c r="Y148" s="101"/>
      <c r="Z148" s="101" t="s">
        <v>576</v>
      </c>
      <c r="AA148" s="101" t="s">
        <v>577</v>
      </c>
      <c r="AB148" s="101" t="s">
        <v>578</v>
      </c>
      <c r="AC148" s="101" t="s">
        <v>579</v>
      </c>
      <c r="AD148" s="101" t="s">
        <v>580</v>
      </c>
      <c r="AE148" s="101" t="s">
        <v>581</v>
      </c>
      <c r="AF148" s="101" t="s">
        <v>582</v>
      </c>
      <c r="AG148" s="101" t="s">
        <v>583</v>
      </c>
      <c r="AH148" s="101" t="s">
        <v>584</v>
      </c>
      <c r="AI148" s="101" t="s">
        <v>585</v>
      </c>
      <c r="AJ148" s="101"/>
    </row>
    <row r="149" spans="1:36" x14ac:dyDescent="0.2">
      <c r="A149" s="1" t="s">
        <v>496</v>
      </c>
      <c r="B149" s="1" t="s">
        <v>30</v>
      </c>
      <c r="C149" s="1" t="s">
        <v>31</v>
      </c>
      <c r="D149" s="1" t="s">
        <v>32</v>
      </c>
      <c r="E149" s="1" t="s">
        <v>497</v>
      </c>
      <c r="F149" s="1" t="s">
        <v>323</v>
      </c>
      <c r="G149" s="1" t="s">
        <v>498</v>
      </c>
      <c r="H149" s="1" t="s">
        <v>50</v>
      </c>
      <c r="I149" s="1" t="s">
        <v>37</v>
      </c>
      <c r="J149" s="101" t="s">
        <v>30</v>
      </c>
      <c r="K149" s="101" t="s">
        <v>500</v>
      </c>
      <c r="L149" s="101" t="s">
        <v>323</v>
      </c>
      <c r="M149" s="101" t="s">
        <v>501</v>
      </c>
      <c r="N149" s="189">
        <v>12180</v>
      </c>
      <c r="O149" s="101" t="s">
        <v>568</v>
      </c>
      <c r="P149" s="101" t="s">
        <v>569</v>
      </c>
      <c r="Q149" s="101" t="s">
        <v>570</v>
      </c>
      <c r="R149" s="101" t="s">
        <v>571</v>
      </c>
      <c r="S149" s="101" t="s">
        <v>572</v>
      </c>
      <c r="T149" s="101" t="s">
        <v>573</v>
      </c>
      <c r="U149" s="101"/>
      <c r="V149" s="101"/>
      <c r="W149" s="101" t="s">
        <v>574</v>
      </c>
      <c r="X149" s="101" t="s">
        <v>575</v>
      </c>
      <c r="Y149" s="101"/>
      <c r="Z149" s="101" t="s">
        <v>576</v>
      </c>
      <c r="AA149" s="101" t="s">
        <v>577</v>
      </c>
      <c r="AB149" s="101" t="s">
        <v>578</v>
      </c>
      <c r="AC149" s="101" t="s">
        <v>579</v>
      </c>
      <c r="AD149" s="101" t="s">
        <v>580</v>
      </c>
      <c r="AE149" s="101" t="s">
        <v>581</v>
      </c>
      <c r="AF149" s="101" t="s">
        <v>582</v>
      </c>
      <c r="AG149" s="101" t="s">
        <v>583</v>
      </c>
      <c r="AH149" s="101" t="s">
        <v>584</v>
      </c>
      <c r="AI149" s="101" t="s">
        <v>585</v>
      </c>
      <c r="AJ149" s="101"/>
    </row>
    <row r="150" spans="1:36" x14ac:dyDescent="0.2">
      <c r="A150" s="1" t="s">
        <v>499</v>
      </c>
      <c r="B150" s="1" t="s">
        <v>30</v>
      </c>
      <c r="C150" s="1" t="s">
        <v>31</v>
      </c>
      <c r="D150" s="1" t="s">
        <v>32</v>
      </c>
      <c r="E150" s="1" t="s">
        <v>500</v>
      </c>
      <c r="F150" s="1" t="s">
        <v>323</v>
      </c>
      <c r="G150" s="1" t="s">
        <v>501</v>
      </c>
      <c r="H150" s="1" t="s">
        <v>50</v>
      </c>
      <c r="I150" s="1" t="s">
        <v>37</v>
      </c>
      <c r="J150" s="101" t="s">
        <v>30</v>
      </c>
      <c r="K150" s="101" t="s">
        <v>503</v>
      </c>
      <c r="L150" s="101" t="s">
        <v>40</v>
      </c>
      <c r="M150" s="101" t="s">
        <v>504</v>
      </c>
      <c r="N150" s="189">
        <v>12440</v>
      </c>
      <c r="O150" s="101" t="s">
        <v>568</v>
      </c>
      <c r="P150" s="101" t="s">
        <v>569</v>
      </c>
      <c r="Q150" s="101" t="s">
        <v>570</v>
      </c>
      <c r="R150" s="101" t="s">
        <v>571</v>
      </c>
      <c r="S150" s="101" t="s">
        <v>572</v>
      </c>
      <c r="T150" s="101" t="s">
        <v>573</v>
      </c>
      <c r="U150" s="101"/>
      <c r="V150" s="101"/>
      <c r="W150" s="101" t="s">
        <v>574</v>
      </c>
      <c r="X150" s="101" t="s">
        <v>575</v>
      </c>
      <c r="Y150" s="101"/>
      <c r="Z150" s="101" t="s">
        <v>576</v>
      </c>
      <c r="AA150" s="101" t="s">
        <v>577</v>
      </c>
      <c r="AB150" s="101" t="s">
        <v>578</v>
      </c>
      <c r="AC150" s="101" t="s">
        <v>579</v>
      </c>
      <c r="AD150" s="101" t="s">
        <v>580</v>
      </c>
      <c r="AE150" s="101" t="s">
        <v>581</v>
      </c>
      <c r="AF150" s="101" t="s">
        <v>582</v>
      </c>
      <c r="AG150" s="101" t="s">
        <v>583</v>
      </c>
      <c r="AH150" s="101" t="s">
        <v>584</v>
      </c>
      <c r="AI150" s="101" t="s">
        <v>585</v>
      </c>
      <c r="AJ150" s="101"/>
    </row>
    <row r="151" spans="1:36" x14ac:dyDescent="0.2">
      <c r="A151" s="1" t="s">
        <v>502</v>
      </c>
      <c r="B151" s="1" t="s">
        <v>30</v>
      </c>
      <c r="C151" s="1" t="s">
        <v>31</v>
      </c>
      <c r="D151" s="1" t="s">
        <v>32</v>
      </c>
      <c r="E151" s="1" t="s">
        <v>503</v>
      </c>
      <c r="F151" s="1" t="s">
        <v>40</v>
      </c>
      <c r="G151" s="1" t="s">
        <v>504</v>
      </c>
      <c r="H151" s="1" t="s">
        <v>42</v>
      </c>
      <c r="I151" s="1" t="s">
        <v>37</v>
      </c>
      <c r="J151" s="101" t="s">
        <v>30</v>
      </c>
      <c r="K151" s="101" t="s">
        <v>506</v>
      </c>
      <c r="L151" s="101" t="s">
        <v>40</v>
      </c>
      <c r="M151" s="101" t="s">
        <v>507</v>
      </c>
      <c r="N151" s="189">
        <v>12440</v>
      </c>
      <c r="O151" s="101" t="s">
        <v>568</v>
      </c>
      <c r="P151" s="101" t="s">
        <v>569</v>
      </c>
      <c r="Q151" s="101" t="s">
        <v>570</v>
      </c>
      <c r="R151" s="101" t="s">
        <v>571</v>
      </c>
      <c r="S151" s="101" t="s">
        <v>572</v>
      </c>
      <c r="T151" s="101" t="s">
        <v>573</v>
      </c>
      <c r="U151" s="101"/>
      <c r="V151" s="101"/>
      <c r="W151" s="101" t="s">
        <v>574</v>
      </c>
      <c r="X151" s="101" t="s">
        <v>575</v>
      </c>
      <c r="Y151" s="101"/>
      <c r="Z151" s="101" t="s">
        <v>576</v>
      </c>
      <c r="AA151" s="101" t="s">
        <v>577</v>
      </c>
      <c r="AB151" s="101" t="s">
        <v>578</v>
      </c>
      <c r="AC151" s="101" t="s">
        <v>579</v>
      </c>
      <c r="AD151" s="101" t="s">
        <v>580</v>
      </c>
      <c r="AE151" s="101" t="s">
        <v>581</v>
      </c>
      <c r="AF151" s="101" t="s">
        <v>582</v>
      </c>
      <c r="AG151" s="101" t="s">
        <v>583</v>
      </c>
      <c r="AH151" s="101" t="s">
        <v>584</v>
      </c>
      <c r="AI151" s="101" t="s">
        <v>585</v>
      </c>
      <c r="AJ151" s="101"/>
    </row>
    <row r="152" spans="1:36" x14ac:dyDescent="0.2">
      <c r="A152" s="1" t="s">
        <v>505</v>
      </c>
      <c r="B152" s="1" t="s">
        <v>30</v>
      </c>
      <c r="C152" s="1" t="s">
        <v>31</v>
      </c>
      <c r="D152" s="1" t="s">
        <v>32</v>
      </c>
      <c r="E152" s="1" t="s">
        <v>506</v>
      </c>
      <c r="F152" s="1" t="s">
        <v>40</v>
      </c>
      <c r="G152" s="1" t="s">
        <v>507</v>
      </c>
      <c r="H152" s="1" t="s">
        <v>42</v>
      </c>
      <c r="I152" s="1" t="s">
        <v>37</v>
      </c>
      <c r="J152" s="101" t="s">
        <v>30</v>
      </c>
      <c r="K152" s="101" t="s">
        <v>509</v>
      </c>
      <c r="L152" s="101" t="s">
        <v>72</v>
      </c>
      <c r="M152" s="101" t="s">
        <v>510</v>
      </c>
      <c r="N152" s="189">
        <v>12430</v>
      </c>
      <c r="O152" s="101" t="s">
        <v>568</v>
      </c>
      <c r="P152" s="101" t="s">
        <v>569</v>
      </c>
      <c r="Q152" s="101" t="s">
        <v>570</v>
      </c>
      <c r="R152" s="101" t="s">
        <v>571</v>
      </c>
      <c r="S152" s="101" t="s">
        <v>572</v>
      </c>
      <c r="T152" s="101" t="s">
        <v>573</v>
      </c>
      <c r="U152" s="101"/>
      <c r="V152" s="101"/>
      <c r="W152" s="101" t="s">
        <v>574</v>
      </c>
      <c r="X152" s="101" t="s">
        <v>575</v>
      </c>
      <c r="Y152" s="101"/>
      <c r="Z152" s="101" t="s">
        <v>576</v>
      </c>
      <c r="AA152" s="101" t="s">
        <v>577</v>
      </c>
      <c r="AB152" s="101" t="s">
        <v>578</v>
      </c>
      <c r="AC152" s="101" t="s">
        <v>579</v>
      </c>
      <c r="AD152" s="101" t="s">
        <v>580</v>
      </c>
      <c r="AE152" s="101" t="s">
        <v>581</v>
      </c>
      <c r="AF152" s="101" t="s">
        <v>582</v>
      </c>
      <c r="AG152" s="101" t="s">
        <v>583</v>
      </c>
      <c r="AH152" s="101" t="s">
        <v>584</v>
      </c>
      <c r="AI152" s="101" t="s">
        <v>585</v>
      </c>
      <c r="AJ152" s="101"/>
    </row>
    <row r="153" spans="1:36" x14ac:dyDescent="0.2">
      <c r="A153" s="1" t="s">
        <v>508</v>
      </c>
      <c r="B153" s="1" t="s">
        <v>30</v>
      </c>
      <c r="C153" s="1" t="s">
        <v>31</v>
      </c>
      <c r="D153" s="1" t="s">
        <v>32</v>
      </c>
      <c r="E153" s="1" t="s">
        <v>509</v>
      </c>
      <c r="F153" s="1" t="s">
        <v>72</v>
      </c>
      <c r="G153" s="1" t="s">
        <v>510</v>
      </c>
      <c r="H153" s="1" t="s">
        <v>50</v>
      </c>
      <c r="I153" s="1" t="s">
        <v>37</v>
      </c>
      <c r="J153" s="101" t="s">
        <v>30</v>
      </c>
      <c r="K153" s="101" t="s">
        <v>512</v>
      </c>
      <c r="L153" s="101" t="s">
        <v>72</v>
      </c>
      <c r="M153" s="101" t="s">
        <v>513</v>
      </c>
      <c r="N153" s="189">
        <v>12440</v>
      </c>
      <c r="O153" s="101" t="s">
        <v>568</v>
      </c>
      <c r="P153" s="101" t="s">
        <v>569</v>
      </c>
      <c r="Q153" s="101" t="s">
        <v>570</v>
      </c>
      <c r="R153" s="101" t="s">
        <v>571</v>
      </c>
      <c r="S153" s="101" t="s">
        <v>572</v>
      </c>
      <c r="T153" s="101" t="s">
        <v>573</v>
      </c>
      <c r="U153" s="101"/>
      <c r="V153" s="101"/>
      <c r="W153" s="101" t="s">
        <v>574</v>
      </c>
      <c r="X153" s="101" t="s">
        <v>575</v>
      </c>
      <c r="Y153" s="101"/>
      <c r="Z153" s="101" t="s">
        <v>576</v>
      </c>
      <c r="AA153" s="101" t="s">
        <v>577</v>
      </c>
      <c r="AB153" s="101" t="s">
        <v>578</v>
      </c>
      <c r="AC153" s="101" t="s">
        <v>579</v>
      </c>
      <c r="AD153" s="101" t="s">
        <v>580</v>
      </c>
      <c r="AE153" s="101" t="s">
        <v>581</v>
      </c>
      <c r="AF153" s="101" t="s">
        <v>582</v>
      </c>
      <c r="AG153" s="101" t="s">
        <v>583</v>
      </c>
      <c r="AH153" s="101" t="s">
        <v>584</v>
      </c>
      <c r="AI153" s="101" t="s">
        <v>585</v>
      </c>
      <c r="AJ153" s="101"/>
    </row>
    <row r="154" spans="1:36" x14ac:dyDescent="0.2">
      <c r="A154" s="1" t="s">
        <v>511</v>
      </c>
      <c r="B154" s="1" t="s">
        <v>30</v>
      </c>
      <c r="C154" s="1" t="s">
        <v>31</v>
      </c>
      <c r="D154" s="1" t="s">
        <v>32</v>
      </c>
      <c r="E154" s="1" t="s">
        <v>512</v>
      </c>
      <c r="F154" s="1" t="s">
        <v>72</v>
      </c>
      <c r="G154" s="1" t="s">
        <v>513</v>
      </c>
      <c r="H154" s="1" t="s">
        <v>271</v>
      </c>
      <c r="I154" s="1" t="s">
        <v>37</v>
      </c>
      <c r="J154" s="101" t="s">
        <v>30</v>
      </c>
      <c r="K154" s="101" t="s">
        <v>518</v>
      </c>
      <c r="L154" s="101" t="s">
        <v>72</v>
      </c>
      <c r="M154" s="101" t="s">
        <v>519</v>
      </c>
      <c r="N154" s="189">
        <v>12440</v>
      </c>
      <c r="O154" s="101" t="s">
        <v>568</v>
      </c>
      <c r="P154" s="101" t="s">
        <v>569</v>
      </c>
      <c r="Q154" s="101" t="s">
        <v>570</v>
      </c>
      <c r="R154" s="101" t="s">
        <v>571</v>
      </c>
      <c r="S154" s="101" t="s">
        <v>572</v>
      </c>
      <c r="T154" s="101" t="s">
        <v>573</v>
      </c>
      <c r="U154" s="101"/>
      <c r="V154" s="101"/>
      <c r="W154" s="101" t="s">
        <v>574</v>
      </c>
      <c r="X154" s="101" t="s">
        <v>575</v>
      </c>
      <c r="Y154" s="101"/>
      <c r="Z154" s="101" t="s">
        <v>576</v>
      </c>
      <c r="AA154" s="101" t="s">
        <v>577</v>
      </c>
      <c r="AB154" s="101" t="s">
        <v>578</v>
      </c>
      <c r="AC154" s="101" t="s">
        <v>579</v>
      </c>
      <c r="AD154" s="101" t="s">
        <v>580</v>
      </c>
      <c r="AE154" s="101" t="s">
        <v>581</v>
      </c>
      <c r="AF154" s="101" t="s">
        <v>582</v>
      </c>
      <c r="AG154" s="101" t="s">
        <v>583</v>
      </c>
      <c r="AH154" s="101" t="s">
        <v>584</v>
      </c>
      <c r="AI154" s="101" t="s">
        <v>585</v>
      </c>
      <c r="AJ154" s="101"/>
    </row>
    <row r="155" spans="1:36" x14ac:dyDescent="0.2">
      <c r="A155" s="1" t="s">
        <v>514</v>
      </c>
      <c r="B155" s="1" t="s">
        <v>30</v>
      </c>
      <c r="C155" s="1" t="s">
        <v>31</v>
      </c>
      <c r="D155" s="1" t="s">
        <v>32</v>
      </c>
      <c r="E155" s="1" t="s">
        <v>515</v>
      </c>
      <c r="F155" s="1" t="s">
        <v>72</v>
      </c>
      <c r="G155" s="1" t="s">
        <v>516</v>
      </c>
      <c r="H155" s="1" t="s">
        <v>59</v>
      </c>
      <c r="I155" s="1" t="s">
        <v>37</v>
      </c>
      <c r="J155" s="101" t="s">
        <v>30</v>
      </c>
      <c r="K155" s="101" t="s">
        <v>521</v>
      </c>
      <c r="L155" s="101" t="s">
        <v>72</v>
      </c>
      <c r="M155" s="101" t="s">
        <v>522</v>
      </c>
      <c r="N155" s="189">
        <v>12210</v>
      </c>
      <c r="O155" s="101" t="s">
        <v>568</v>
      </c>
      <c r="P155" s="101" t="s">
        <v>569</v>
      </c>
      <c r="Q155" s="101" t="s">
        <v>570</v>
      </c>
      <c r="R155" s="101" t="s">
        <v>571</v>
      </c>
      <c r="S155" s="101" t="s">
        <v>572</v>
      </c>
      <c r="T155" s="101" t="s">
        <v>573</v>
      </c>
      <c r="U155" s="101" t="s">
        <v>586</v>
      </c>
      <c r="V155" s="101"/>
      <c r="W155" s="101" t="s">
        <v>574</v>
      </c>
      <c r="X155" s="101" t="s">
        <v>575</v>
      </c>
      <c r="Y155" s="101"/>
      <c r="Z155" s="101" t="s">
        <v>576</v>
      </c>
      <c r="AA155" s="101" t="s">
        <v>577</v>
      </c>
      <c r="AB155" s="101" t="s">
        <v>578</v>
      </c>
      <c r="AC155" s="101"/>
      <c r="AD155" s="101"/>
      <c r="AE155" s="101"/>
      <c r="AF155" s="101"/>
      <c r="AG155" s="101"/>
      <c r="AH155" s="101"/>
      <c r="AI155" s="101"/>
      <c r="AJ155" s="101"/>
    </row>
    <row r="156" spans="1:36" x14ac:dyDescent="0.2">
      <c r="A156" s="1" t="s">
        <v>517</v>
      </c>
      <c r="B156" s="1" t="s">
        <v>30</v>
      </c>
      <c r="C156" s="1" t="s">
        <v>31</v>
      </c>
      <c r="D156" s="1" t="s">
        <v>32</v>
      </c>
      <c r="E156" s="1" t="s">
        <v>518</v>
      </c>
      <c r="F156" s="1" t="s">
        <v>72</v>
      </c>
      <c r="G156" s="1" t="s">
        <v>519</v>
      </c>
      <c r="H156" s="1" t="s">
        <v>50</v>
      </c>
      <c r="I156" s="1" t="s">
        <v>37</v>
      </c>
      <c r="J156" s="101" t="s">
        <v>30</v>
      </c>
      <c r="K156" s="101" t="s">
        <v>1372</v>
      </c>
      <c r="L156" s="101" t="s">
        <v>1373</v>
      </c>
      <c r="M156" s="101" t="s">
        <v>1374</v>
      </c>
      <c r="N156" s="189">
        <v>12460</v>
      </c>
      <c r="O156" s="101" t="s">
        <v>568</v>
      </c>
      <c r="P156" s="101" t="s">
        <v>569</v>
      </c>
      <c r="Q156" s="101" t="s">
        <v>570</v>
      </c>
      <c r="R156" s="101" t="s">
        <v>571</v>
      </c>
      <c r="S156" s="101"/>
      <c r="T156" s="101"/>
      <c r="U156" s="101"/>
      <c r="V156" s="101" t="s">
        <v>2361</v>
      </c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</row>
    <row r="157" spans="1:36" x14ac:dyDescent="0.2">
      <c r="A157" s="1" t="s">
        <v>520</v>
      </c>
      <c r="B157" s="1" t="s">
        <v>30</v>
      </c>
      <c r="C157" s="1" t="s">
        <v>31</v>
      </c>
      <c r="D157" s="1" t="s">
        <v>32</v>
      </c>
      <c r="E157" s="1" t="s">
        <v>521</v>
      </c>
      <c r="F157" s="1" t="s">
        <v>72</v>
      </c>
      <c r="G157" s="1" t="s">
        <v>522</v>
      </c>
      <c r="H157" s="1" t="s">
        <v>42</v>
      </c>
      <c r="I157" s="1" t="s">
        <v>37</v>
      </c>
      <c r="J157" s="101" t="s">
        <v>30</v>
      </c>
      <c r="K157" s="101" t="s">
        <v>527</v>
      </c>
      <c r="L157" s="101" t="s">
        <v>72</v>
      </c>
      <c r="M157" s="101" t="s">
        <v>528</v>
      </c>
      <c r="N157" s="189">
        <v>12440</v>
      </c>
      <c r="O157" s="101" t="s">
        <v>568</v>
      </c>
      <c r="P157" s="101" t="s">
        <v>569</v>
      </c>
      <c r="Q157" s="101" t="s">
        <v>570</v>
      </c>
      <c r="R157" s="101" t="s">
        <v>571</v>
      </c>
      <c r="S157" s="101" t="s">
        <v>572</v>
      </c>
      <c r="T157" s="101" t="s">
        <v>573</v>
      </c>
      <c r="U157" s="101"/>
      <c r="V157" s="101"/>
      <c r="W157" s="101" t="s">
        <v>574</v>
      </c>
      <c r="X157" s="101" t="s">
        <v>575</v>
      </c>
      <c r="Y157" s="101"/>
      <c r="Z157" s="101" t="s">
        <v>576</v>
      </c>
      <c r="AA157" s="101" t="s">
        <v>577</v>
      </c>
      <c r="AB157" s="101" t="s">
        <v>578</v>
      </c>
      <c r="AC157" s="101" t="s">
        <v>579</v>
      </c>
      <c r="AD157" s="101" t="s">
        <v>580</v>
      </c>
      <c r="AE157" s="101" t="s">
        <v>581</v>
      </c>
      <c r="AF157" s="101" t="s">
        <v>582</v>
      </c>
      <c r="AG157" s="101" t="s">
        <v>583</v>
      </c>
      <c r="AH157" s="101" t="s">
        <v>584</v>
      </c>
      <c r="AI157" s="101" t="s">
        <v>585</v>
      </c>
      <c r="AJ157" s="101"/>
    </row>
    <row r="158" spans="1:36" x14ac:dyDescent="0.2">
      <c r="A158" s="1" t="s">
        <v>523</v>
      </c>
      <c r="B158" s="1" t="s">
        <v>30</v>
      </c>
      <c r="C158" s="1" t="s">
        <v>31</v>
      </c>
      <c r="D158" s="1" t="s">
        <v>32</v>
      </c>
      <c r="E158" s="1" t="s">
        <v>524</v>
      </c>
      <c r="F158" s="1" t="s">
        <v>72</v>
      </c>
      <c r="G158" s="1" t="s">
        <v>525</v>
      </c>
      <c r="H158" s="1" t="s">
        <v>42</v>
      </c>
      <c r="I158" s="1" t="s">
        <v>37</v>
      </c>
      <c r="J158" s="101" t="s">
        <v>30</v>
      </c>
      <c r="K158" s="101" t="s">
        <v>530</v>
      </c>
      <c r="L158" s="101" t="s">
        <v>72</v>
      </c>
      <c r="M158" s="101" t="s">
        <v>531</v>
      </c>
      <c r="N158" s="189">
        <v>12430</v>
      </c>
      <c r="O158" s="101" t="s">
        <v>568</v>
      </c>
      <c r="P158" s="101" t="s">
        <v>569</v>
      </c>
      <c r="Q158" s="101" t="s">
        <v>570</v>
      </c>
      <c r="R158" s="101" t="s">
        <v>571</v>
      </c>
      <c r="S158" s="101" t="s">
        <v>572</v>
      </c>
      <c r="T158" s="101" t="s">
        <v>573</v>
      </c>
      <c r="U158" s="101" t="s">
        <v>586</v>
      </c>
      <c r="V158" s="101"/>
      <c r="W158" s="101" t="s">
        <v>574</v>
      </c>
      <c r="X158" s="101" t="s">
        <v>575</v>
      </c>
      <c r="Y158" s="101"/>
      <c r="Z158" s="101" t="s">
        <v>576</v>
      </c>
      <c r="AA158" s="101" t="s">
        <v>577</v>
      </c>
      <c r="AB158" s="101" t="s">
        <v>578</v>
      </c>
      <c r="AC158" s="101" t="s">
        <v>579</v>
      </c>
      <c r="AD158" s="101" t="s">
        <v>580</v>
      </c>
      <c r="AE158" s="101" t="s">
        <v>581</v>
      </c>
      <c r="AF158" s="101" t="s">
        <v>582</v>
      </c>
      <c r="AG158" s="101" t="s">
        <v>583</v>
      </c>
      <c r="AH158" s="101" t="s">
        <v>584</v>
      </c>
      <c r="AI158" s="101" t="s">
        <v>585</v>
      </c>
      <c r="AJ158" s="101"/>
    </row>
    <row r="159" spans="1:36" x14ac:dyDescent="0.2">
      <c r="A159" s="1" t="s">
        <v>526</v>
      </c>
      <c r="B159" s="1" t="s">
        <v>30</v>
      </c>
      <c r="C159" s="1" t="s">
        <v>31</v>
      </c>
      <c r="D159" s="1" t="s">
        <v>32</v>
      </c>
      <c r="E159" s="1" t="s">
        <v>527</v>
      </c>
      <c r="F159" s="1" t="s">
        <v>72</v>
      </c>
      <c r="G159" s="1" t="s">
        <v>528</v>
      </c>
      <c r="H159" s="1" t="s">
        <v>42</v>
      </c>
      <c r="I159" s="1" t="s">
        <v>37</v>
      </c>
      <c r="J159" s="101" t="s">
        <v>30</v>
      </c>
      <c r="K159" s="101" t="s">
        <v>533</v>
      </c>
      <c r="L159" s="101" t="s">
        <v>40</v>
      </c>
      <c r="M159" s="101" t="s">
        <v>534</v>
      </c>
      <c r="N159" s="189">
        <v>12320</v>
      </c>
      <c r="O159" s="101" t="s">
        <v>568</v>
      </c>
      <c r="P159" s="101" t="s">
        <v>569</v>
      </c>
      <c r="Q159" s="101" t="s">
        <v>570</v>
      </c>
      <c r="R159" s="101" t="s">
        <v>571</v>
      </c>
      <c r="S159" s="101" t="s">
        <v>572</v>
      </c>
      <c r="T159" s="101" t="s">
        <v>573</v>
      </c>
      <c r="U159" s="101"/>
      <c r="V159" s="101"/>
      <c r="W159" s="101" t="s">
        <v>574</v>
      </c>
      <c r="X159" s="101" t="s">
        <v>575</v>
      </c>
      <c r="Y159" s="101"/>
      <c r="Z159" s="101" t="s">
        <v>576</v>
      </c>
      <c r="AA159" s="101" t="s">
        <v>577</v>
      </c>
      <c r="AB159" s="101" t="s">
        <v>578</v>
      </c>
      <c r="AC159" s="101" t="s">
        <v>579</v>
      </c>
      <c r="AD159" s="101" t="s">
        <v>580</v>
      </c>
      <c r="AE159" s="101" t="s">
        <v>581</v>
      </c>
      <c r="AF159" s="101" t="s">
        <v>582</v>
      </c>
      <c r="AG159" s="101" t="s">
        <v>583</v>
      </c>
      <c r="AH159" s="101" t="s">
        <v>584</v>
      </c>
      <c r="AI159" s="101" t="s">
        <v>585</v>
      </c>
      <c r="AJ159" s="101"/>
    </row>
    <row r="160" spans="1:36" x14ac:dyDescent="0.2">
      <c r="A160" s="1" t="s">
        <v>529</v>
      </c>
      <c r="B160" s="1" t="s">
        <v>30</v>
      </c>
      <c r="C160" s="1" t="s">
        <v>31</v>
      </c>
      <c r="D160" s="1" t="s">
        <v>32</v>
      </c>
      <c r="E160" s="1" t="s">
        <v>530</v>
      </c>
      <c r="F160" s="1" t="s">
        <v>72</v>
      </c>
      <c r="G160" s="1" t="s">
        <v>531</v>
      </c>
      <c r="H160" s="1" t="s">
        <v>42</v>
      </c>
      <c r="I160" s="1" t="s">
        <v>37</v>
      </c>
      <c r="J160" s="101" t="s">
        <v>30</v>
      </c>
      <c r="K160" s="101" t="s">
        <v>536</v>
      </c>
      <c r="L160" s="101" t="s">
        <v>40</v>
      </c>
      <c r="M160" s="101" t="s">
        <v>537</v>
      </c>
      <c r="N160" s="189">
        <v>11810</v>
      </c>
      <c r="O160" s="101" t="s">
        <v>568</v>
      </c>
      <c r="P160" s="101" t="s">
        <v>569</v>
      </c>
      <c r="Q160" s="101" t="s">
        <v>570</v>
      </c>
      <c r="R160" s="101" t="s">
        <v>571</v>
      </c>
      <c r="S160" s="101" t="s">
        <v>572</v>
      </c>
      <c r="T160" s="101" t="s">
        <v>573</v>
      </c>
      <c r="U160" s="101"/>
      <c r="V160" s="101"/>
      <c r="W160" s="101" t="s">
        <v>574</v>
      </c>
      <c r="X160" s="101" t="s">
        <v>575</v>
      </c>
      <c r="Y160" s="101"/>
      <c r="Z160" s="101" t="s">
        <v>576</v>
      </c>
      <c r="AA160" s="101" t="s">
        <v>577</v>
      </c>
      <c r="AB160" s="101" t="s">
        <v>578</v>
      </c>
      <c r="AC160" s="101" t="s">
        <v>579</v>
      </c>
      <c r="AD160" s="101" t="s">
        <v>580</v>
      </c>
      <c r="AE160" s="101" t="s">
        <v>581</v>
      </c>
      <c r="AF160" s="101" t="s">
        <v>582</v>
      </c>
      <c r="AG160" s="101" t="s">
        <v>583</v>
      </c>
      <c r="AH160" s="101" t="s">
        <v>584</v>
      </c>
      <c r="AI160" s="101" t="s">
        <v>585</v>
      </c>
      <c r="AJ160" s="101"/>
    </row>
    <row r="161" spans="1:36" x14ac:dyDescent="0.2">
      <c r="A161" s="1" t="s">
        <v>532</v>
      </c>
      <c r="B161" s="1" t="s">
        <v>30</v>
      </c>
      <c r="C161" s="1" t="s">
        <v>31</v>
      </c>
      <c r="D161" s="1" t="s">
        <v>32</v>
      </c>
      <c r="E161" s="1" t="s">
        <v>533</v>
      </c>
      <c r="F161" s="1" t="s">
        <v>40</v>
      </c>
      <c r="G161" s="1" t="s">
        <v>534</v>
      </c>
      <c r="H161" s="1" t="s">
        <v>42</v>
      </c>
      <c r="I161" s="1" t="s">
        <v>37</v>
      </c>
      <c r="J161" s="101" t="s">
        <v>30</v>
      </c>
      <c r="K161" s="101" t="s">
        <v>539</v>
      </c>
      <c r="L161" s="101" t="s">
        <v>40</v>
      </c>
      <c r="M161" s="101" t="s">
        <v>540</v>
      </c>
      <c r="N161" s="189">
        <v>12240</v>
      </c>
      <c r="O161" s="101" t="s">
        <v>568</v>
      </c>
      <c r="P161" s="101" t="s">
        <v>569</v>
      </c>
      <c r="Q161" s="101" t="s">
        <v>570</v>
      </c>
      <c r="R161" s="101" t="s">
        <v>571</v>
      </c>
      <c r="S161" s="101" t="s">
        <v>572</v>
      </c>
      <c r="T161" s="101" t="s">
        <v>573</v>
      </c>
      <c r="U161" s="101"/>
      <c r="V161" s="101"/>
      <c r="W161" s="101" t="s">
        <v>574</v>
      </c>
      <c r="X161" s="101" t="s">
        <v>575</v>
      </c>
      <c r="Y161" s="101"/>
      <c r="Z161" s="101" t="s">
        <v>576</v>
      </c>
      <c r="AA161" s="101" t="s">
        <v>577</v>
      </c>
      <c r="AB161" s="101" t="s">
        <v>578</v>
      </c>
      <c r="AC161" s="101" t="s">
        <v>579</v>
      </c>
      <c r="AD161" s="101" t="s">
        <v>580</v>
      </c>
      <c r="AE161" s="101" t="s">
        <v>581</v>
      </c>
      <c r="AF161" s="101" t="s">
        <v>582</v>
      </c>
      <c r="AG161" s="101" t="s">
        <v>583</v>
      </c>
      <c r="AH161" s="101" t="s">
        <v>584</v>
      </c>
      <c r="AI161" s="101" t="s">
        <v>585</v>
      </c>
      <c r="AJ161" s="101"/>
    </row>
    <row r="162" spans="1:36" x14ac:dyDescent="0.2">
      <c r="A162" s="1" t="s">
        <v>535</v>
      </c>
      <c r="B162" s="1" t="s">
        <v>30</v>
      </c>
      <c r="C162" s="1" t="s">
        <v>31</v>
      </c>
      <c r="D162" s="1" t="s">
        <v>32</v>
      </c>
      <c r="E162" s="1" t="s">
        <v>536</v>
      </c>
      <c r="F162" s="1" t="s">
        <v>40</v>
      </c>
      <c r="G162" s="1" t="s">
        <v>537</v>
      </c>
      <c r="H162" s="1" t="s">
        <v>50</v>
      </c>
      <c r="I162" s="1" t="s">
        <v>37</v>
      </c>
      <c r="J162" s="101" t="s">
        <v>30</v>
      </c>
      <c r="K162" s="101" t="s">
        <v>542</v>
      </c>
      <c r="L162" s="101" t="s">
        <v>40</v>
      </c>
      <c r="M162" s="101" t="s">
        <v>543</v>
      </c>
      <c r="N162" s="189">
        <v>12190</v>
      </c>
      <c r="O162" s="101" t="s">
        <v>568</v>
      </c>
      <c r="P162" s="101" t="s">
        <v>569</v>
      </c>
      <c r="Q162" s="101" t="s">
        <v>570</v>
      </c>
      <c r="R162" s="101" t="s">
        <v>571</v>
      </c>
      <c r="S162" s="101" t="s">
        <v>572</v>
      </c>
      <c r="T162" s="101" t="s">
        <v>573</v>
      </c>
      <c r="U162" s="101"/>
      <c r="V162" s="101"/>
      <c r="W162" s="101" t="s">
        <v>574</v>
      </c>
      <c r="X162" s="101" t="s">
        <v>575</v>
      </c>
      <c r="Y162" s="101"/>
      <c r="Z162" s="101" t="s">
        <v>576</v>
      </c>
      <c r="AA162" s="101" t="s">
        <v>577</v>
      </c>
      <c r="AB162" s="101" t="s">
        <v>578</v>
      </c>
      <c r="AC162" s="101" t="s">
        <v>579</v>
      </c>
      <c r="AD162" s="101" t="s">
        <v>580</v>
      </c>
      <c r="AE162" s="101" t="s">
        <v>581</v>
      </c>
      <c r="AF162" s="101" t="s">
        <v>582</v>
      </c>
      <c r="AG162" s="101" t="s">
        <v>583</v>
      </c>
      <c r="AH162" s="101" t="s">
        <v>584</v>
      </c>
      <c r="AI162" s="101" t="s">
        <v>585</v>
      </c>
      <c r="AJ162" s="101"/>
    </row>
    <row r="163" spans="1:36" x14ac:dyDescent="0.2">
      <c r="A163" s="1" t="s">
        <v>538</v>
      </c>
      <c r="B163" s="1" t="s">
        <v>30</v>
      </c>
      <c r="C163" s="1" t="s">
        <v>31</v>
      </c>
      <c r="D163" s="1" t="s">
        <v>32</v>
      </c>
      <c r="E163" s="1" t="s">
        <v>539</v>
      </c>
      <c r="F163" s="1" t="s">
        <v>40</v>
      </c>
      <c r="G163" s="1" t="s">
        <v>540</v>
      </c>
      <c r="H163" s="1" t="s">
        <v>271</v>
      </c>
      <c r="I163" s="1" t="s">
        <v>37</v>
      </c>
      <c r="J163" s="101" t="s">
        <v>30</v>
      </c>
      <c r="K163" s="101" t="s">
        <v>545</v>
      </c>
      <c r="L163" s="101" t="s">
        <v>72</v>
      </c>
      <c r="M163" s="101" t="s">
        <v>546</v>
      </c>
      <c r="N163" s="189">
        <v>12430</v>
      </c>
      <c r="O163" s="101" t="s">
        <v>568</v>
      </c>
      <c r="P163" s="101" t="s">
        <v>569</v>
      </c>
      <c r="Q163" s="101" t="s">
        <v>570</v>
      </c>
      <c r="R163" s="101" t="s">
        <v>571</v>
      </c>
      <c r="S163" s="101" t="s">
        <v>572</v>
      </c>
      <c r="T163" s="101" t="s">
        <v>573</v>
      </c>
      <c r="U163" s="101"/>
      <c r="V163" s="101"/>
      <c r="W163" s="101" t="s">
        <v>574</v>
      </c>
      <c r="X163" s="101" t="s">
        <v>575</v>
      </c>
      <c r="Y163" s="101"/>
      <c r="Z163" s="101" t="s">
        <v>576</v>
      </c>
      <c r="AA163" s="101" t="s">
        <v>577</v>
      </c>
      <c r="AB163" s="101" t="s">
        <v>578</v>
      </c>
      <c r="AC163" s="101" t="s">
        <v>579</v>
      </c>
      <c r="AD163" s="101" t="s">
        <v>580</v>
      </c>
      <c r="AE163" s="101" t="s">
        <v>581</v>
      </c>
      <c r="AF163" s="101" t="s">
        <v>582</v>
      </c>
      <c r="AG163" s="101" t="s">
        <v>583</v>
      </c>
      <c r="AH163" s="101" t="s">
        <v>584</v>
      </c>
      <c r="AI163" s="101" t="s">
        <v>585</v>
      </c>
      <c r="AJ163" s="101"/>
    </row>
    <row r="164" spans="1:36" x14ac:dyDescent="0.2">
      <c r="A164" s="1" t="s">
        <v>541</v>
      </c>
      <c r="B164" s="1" t="s">
        <v>30</v>
      </c>
      <c r="C164" s="1" t="s">
        <v>31</v>
      </c>
      <c r="D164" s="1" t="s">
        <v>32</v>
      </c>
      <c r="E164" s="1" t="s">
        <v>542</v>
      </c>
      <c r="F164" s="1" t="s">
        <v>40</v>
      </c>
      <c r="G164" s="1" t="s">
        <v>543</v>
      </c>
      <c r="H164" s="1" t="s">
        <v>50</v>
      </c>
      <c r="I164" s="1" t="s">
        <v>37</v>
      </c>
      <c r="J164" s="101" t="s">
        <v>30</v>
      </c>
      <c r="K164" s="101" t="s">
        <v>548</v>
      </c>
      <c r="L164" s="101" t="s">
        <v>40</v>
      </c>
      <c r="M164" s="101" t="s">
        <v>549</v>
      </c>
      <c r="N164" s="189">
        <v>12440</v>
      </c>
      <c r="O164" s="101" t="s">
        <v>568</v>
      </c>
      <c r="P164" s="101" t="s">
        <v>569</v>
      </c>
      <c r="Q164" s="101" t="s">
        <v>570</v>
      </c>
      <c r="R164" s="101" t="s">
        <v>571</v>
      </c>
      <c r="S164" s="101" t="s">
        <v>572</v>
      </c>
      <c r="T164" s="101" t="s">
        <v>573</v>
      </c>
      <c r="U164" s="101"/>
      <c r="V164" s="101"/>
      <c r="W164" s="101" t="s">
        <v>574</v>
      </c>
      <c r="X164" s="101" t="s">
        <v>575</v>
      </c>
      <c r="Y164" s="101"/>
      <c r="Z164" s="101" t="s">
        <v>576</v>
      </c>
      <c r="AA164" s="101" t="s">
        <v>577</v>
      </c>
      <c r="AB164" s="101" t="s">
        <v>578</v>
      </c>
      <c r="AC164" s="101" t="s">
        <v>579</v>
      </c>
      <c r="AD164" s="101" t="s">
        <v>580</v>
      </c>
      <c r="AE164" s="101" t="s">
        <v>581</v>
      </c>
      <c r="AF164" s="101" t="s">
        <v>582</v>
      </c>
      <c r="AG164" s="101" t="s">
        <v>583</v>
      </c>
      <c r="AH164" s="101" t="s">
        <v>584</v>
      </c>
      <c r="AI164" s="101" t="s">
        <v>585</v>
      </c>
      <c r="AJ164" s="101"/>
    </row>
    <row r="165" spans="1:36" x14ac:dyDescent="0.2">
      <c r="A165" s="1" t="s">
        <v>544</v>
      </c>
      <c r="B165" s="1" t="s">
        <v>30</v>
      </c>
      <c r="C165" s="1" t="s">
        <v>31</v>
      </c>
      <c r="D165" s="1" t="s">
        <v>32</v>
      </c>
      <c r="E165" s="1" t="s">
        <v>545</v>
      </c>
      <c r="F165" s="1" t="s">
        <v>72</v>
      </c>
      <c r="G165" s="1" t="s">
        <v>546</v>
      </c>
      <c r="H165" s="1" t="s">
        <v>42</v>
      </c>
      <c r="I165" s="1" t="s">
        <v>37</v>
      </c>
      <c r="J165" s="101" t="s">
        <v>30</v>
      </c>
      <c r="K165" s="101" t="s">
        <v>554</v>
      </c>
      <c r="L165" s="101" t="s">
        <v>72</v>
      </c>
      <c r="M165" s="101" t="s">
        <v>555</v>
      </c>
      <c r="N165" s="189">
        <v>12330</v>
      </c>
      <c r="O165" s="101" t="s">
        <v>568</v>
      </c>
      <c r="P165" s="101" t="s">
        <v>569</v>
      </c>
      <c r="Q165" s="101" t="s">
        <v>570</v>
      </c>
      <c r="R165" s="101" t="s">
        <v>571</v>
      </c>
      <c r="S165" s="101" t="s">
        <v>572</v>
      </c>
      <c r="T165" s="101" t="s">
        <v>573</v>
      </c>
      <c r="U165" s="101"/>
      <c r="V165" s="101"/>
      <c r="W165" s="101" t="s">
        <v>574</v>
      </c>
      <c r="X165" s="101" t="s">
        <v>575</v>
      </c>
      <c r="Y165" s="101"/>
      <c r="Z165" s="101" t="s">
        <v>576</v>
      </c>
      <c r="AA165" s="101" t="s">
        <v>577</v>
      </c>
      <c r="AB165" s="101" t="s">
        <v>578</v>
      </c>
      <c r="AC165" s="101" t="s">
        <v>579</v>
      </c>
      <c r="AD165" s="101" t="s">
        <v>580</v>
      </c>
      <c r="AE165" s="101" t="s">
        <v>581</v>
      </c>
      <c r="AF165" s="101" t="s">
        <v>582</v>
      </c>
      <c r="AG165" s="101" t="s">
        <v>583</v>
      </c>
      <c r="AH165" s="101" t="s">
        <v>584</v>
      </c>
      <c r="AI165" s="101" t="s">
        <v>585</v>
      </c>
      <c r="AJ165" s="101"/>
    </row>
    <row r="166" spans="1:36" x14ac:dyDescent="0.2">
      <c r="A166" s="1" t="s">
        <v>547</v>
      </c>
      <c r="B166" s="1" t="s">
        <v>30</v>
      </c>
      <c r="C166" s="1" t="s">
        <v>31</v>
      </c>
      <c r="D166" s="1" t="s">
        <v>32</v>
      </c>
      <c r="E166" s="1" t="s">
        <v>548</v>
      </c>
      <c r="F166" s="1" t="s">
        <v>40</v>
      </c>
      <c r="G166" s="1" t="s">
        <v>549</v>
      </c>
      <c r="H166" s="1" t="s">
        <v>42</v>
      </c>
      <c r="I166" s="1" t="s">
        <v>37</v>
      </c>
      <c r="J166" s="101" t="s">
        <v>30</v>
      </c>
      <c r="K166" s="101" t="s">
        <v>557</v>
      </c>
      <c r="L166" s="101" t="s">
        <v>72</v>
      </c>
      <c r="M166" s="101" t="s">
        <v>558</v>
      </c>
      <c r="N166" s="189">
        <v>12470</v>
      </c>
      <c r="O166" s="101" t="s">
        <v>568</v>
      </c>
      <c r="P166" s="101" t="s">
        <v>569</v>
      </c>
      <c r="Q166" s="101" t="s">
        <v>570</v>
      </c>
      <c r="R166" s="101" t="s">
        <v>571</v>
      </c>
      <c r="S166" s="101" t="s">
        <v>572</v>
      </c>
      <c r="T166" s="101" t="s">
        <v>573</v>
      </c>
      <c r="U166" s="101"/>
      <c r="V166" s="101" t="s">
        <v>2361</v>
      </c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</row>
    <row r="167" spans="1:36" x14ac:dyDescent="0.2">
      <c r="A167" s="1" t="s">
        <v>550</v>
      </c>
      <c r="B167" s="1" t="s">
        <v>30</v>
      </c>
      <c r="C167" s="1" t="s">
        <v>31</v>
      </c>
      <c r="D167" s="1" t="s">
        <v>32</v>
      </c>
      <c r="E167" s="1" t="s">
        <v>551</v>
      </c>
      <c r="F167" s="1" t="s">
        <v>72</v>
      </c>
      <c r="G167" s="1" t="s">
        <v>552</v>
      </c>
      <c r="H167" s="1" t="s">
        <v>59</v>
      </c>
      <c r="I167" s="1" t="s">
        <v>37</v>
      </c>
      <c r="J167" s="101" t="s">
        <v>30</v>
      </c>
      <c r="K167" s="101" t="s">
        <v>560</v>
      </c>
      <c r="L167" s="101" t="s">
        <v>72</v>
      </c>
      <c r="M167" s="101" t="s">
        <v>561</v>
      </c>
      <c r="N167" s="189">
        <v>12310</v>
      </c>
      <c r="O167" s="101" t="s">
        <v>568</v>
      </c>
      <c r="P167" s="101" t="s">
        <v>569</v>
      </c>
      <c r="Q167" s="101" t="s">
        <v>570</v>
      </c>
      <c r="R167" s="101" t="s">
        <v>571</v>
      </c>
      <c r="S167" s="101" t="s">
        <v>572</v>
      </c>
      <c r="T167" s="101" t="s">
        <v>573</v>
      </c>
      <c r="U167" s="101"/>
      <c r="V167" s="101"/>
      <c r="W167" s="101" t="s">
        <v>574</v>
      </c>
      <c r="X167" s="101" t="s">
        <v>575</v>
      </c>
      <c r="Y167" s="101"/>
      <c r="Z167" s="101" t="s">
        <v>576</v>
      </c>
      <c r="AA167" s="101" t="s">
        <v>577</v>
      </c>
      <c r="AB167" s="101" t="s">
        <v>578</v>
      </c>
      <c r="AC167" s="101" t="s">
        <v>579</v>
      </c>
      <c r="AD167" s="101" t="s">
        <v>580</v>
      </c>
      <c r="AE167" s="101" t="s">
        <v>581</v>
      </c>
      <c r="AF167" s="101" t="s">
        <v>582</v>
      </c>
      <c r="AG167" s="101" t="s">
        <v>583</v>
      </c>
      <c r="AH167" s="101" t="s">
        <v>584</v>
      </c>
      <c r="AI167" s="101" t="s">
        <v>585</v>
      </c>
      <c r="AJ167" s="101"/>
    </row>
    <row r="168" spans="1:36" x14ac:dyDescent="0.2">
      <c r="A168" s="1" t="s">
        <v>553</v>
      </c>
      <c r="B168" s="1" t="s">
        <v>30</v>
      </c>
      <c r="C168" s="1" t="s">
        <v>31</v>
      </c>
      <c r="D168" s="1" t="s">
        <v>32</v>
      </c>
      <c r="E168" s="1" t="s">
        <v>554</v>
      </c>
      <c r="F168" s="1" t="s">
        <v>72</v>
      </c>
      <c r="G168" s="1" t="s">
        <v>555</v>
      </c>
      <c r="H168" s="1" t="s">
        <v>59</v>
      </c>
      <c r="I168" s="1" t="s">
        <v>37</v>
      </c>
      <c r="J168" s="101" t="s">
        <v>30</v>
      </c>
      <c r="K168" s="101" t="s">
        <v>563</v>
      </c>
      <c r="L168" s="101" t="s">
        <v>72</v>
      </c>
      <c r="M168" s="101" t="s">
        <v>564</v>
      </c>
      <c r="N168" s="189">
        <v>12430</v>
      </c>
      <c r="O168" s="101" t="s">
        <v>568</v>
      </c>
      <c r="P168" s="101" t="s">
        <v>569</v>
      </c>
      <c r="Q168" s="101" t="s">
        <v>570</v>
      </c>
      <c r="R168" s="101" t="s">
        <v>571</v>
      </c>
      <c r="S168" s="101" t="s">
        <v>572</v>
      </c>
      <c r="T168" s="101" t="s">
        <v>573</v>
      </c>
      <c r="U168" s="101"/>
      <c r="V168" s="101"/>
      <c r="W168" s="101" t="s">
        <v>574</v>
      </c>
      <c r="X168" s="101" t="s">
        <v>575</v>
      </c>
      <c r="Y168" s="101"/>
      <c r="Z168" s="101" t="s">
        <v>576</v>
      </c>
      <c r="AA168" s="101" t="s">
        <v>577</v>
      </c>
      <c r="AB168" s="101" t="s">
        <v>578</v>
      </c>
      <c r="AC168" s="101" t="s">
        <v>579</v>
      </c>
      <c r="AD168" s="101" t="s">
        <v>580</v>
      </c>
      <c r="AE168" s="101" t="s">
        <v>581</v>
      </c>
      <c r="AF168" s="101" t="s">
        <v>582</v>
      </c>
      <c r="AG168" s="101" t="s">
        <v>583</v>
      </c>
      <c r="AH168" s="101" t="s">
        <v>584</v>
      </c>
      <c r="AI168" s="101" t="s">
        <v>585</v>
      </c>
      <c r="AJ168" s="101"/>
    </row>
    <row r="169" spans="1:36" x14ac:dyDescent="0.2">
      <c r="A169" s="1" t="s">
        <v>556</v>
      </c>
      <c r="B169" s="1" t="s">
        <v>30</v>
      </c>
      <c r="C169" s="1" t="s">
        <v>31</v>
      </c>
      <c r="D169" s="1" t="s">
        <v>32</v>
      </c>
      <c r="E169" s="1" t="s">
        <v>557</v>
      </c>
      <c r="F169" s="1" t="s">
        <v>72</v>
      </c>
      <c r="G169" s="1" t="s">
        <v>558</v>
      </c>
      <c r="H169" s="1" t="s">
        <v>42</v>
      </c>
      <c r="I169" s="1" t="s">
        <v>37</v>
      </c>
      <c r="J169" s="101" t="s">
        <v>30</v>
      </c>
      <c r="K169" s="101" t="s">
        <v>824</v>
      </c>
      <c r="L169" s="101" t="s">
        <v>825</v>
      </c>
      <c r="M169" s="101" t="s">
        <v>826</v>
      </c>
      <c r="N169" s="189">
        <v>12430</v>
      </c>
      <c r="O169" s="101" t="s">
        <v>568</v>
      </c>
      <c r="P169" s="101" t="s">
        <v>569</v>
      </c>
      <c r="Q169" s="101" t="s">
        <v>570</v>
      </c>
      <c r="R169" s="101" t="s">
        <v>571</v>
      </c>
      <c r="S169" s="101" t="s">
        <v>572</v>
      </c>
      <c r="T169" s="101" t="s">
        <v>573</v>
      </c>
      <c r="U169" s="101"/>
      <c r="V169" s="101"/>
      <c r="W169" s="101" t="s">
        <v>574</v>
      </c>
      <c r="X169" s="101" t="s">
        <v>575</v>
      </c>
      <c r="Y169" s="101"/>
      <c r="Z169" s="101" t="s">
        <v>576</v>
      </c>
      <c r="AA169" s="101" t="s">
        <v>577</v>
      </c>
      <c r="AB169" s="101" t="s">
        <v>578</v>
      </c>
      <c r="AC169" s="101" t="s">
        <v>579</v>
      </c>
      <c r="AD169" s="101" t="s">
        <v>580</v>
      </c>
      <c r="AE169" s="101" t="s">
        <v>581</v>
      </c>
      <c r="AF169" s="101" t="s">
        <v>582</v>
      </c>
      <c r="AG169" s="101" t="s">
        <v>583</v>
      </c>
      <c r="AH169" s="101" t="s">
        <v>584</v>
      </c>
      <c r="AI169" s="101" t="s">
        <v>585</v>
      </c>
      <c r="AJ169" s="101"/>
    </row>
    <row r="170" spans="1:36" x14ac:dyDescent="0.2">
      <c r="A170" s="1" t="s">
        <v>559</v>
      </c>
      <c r="B170" s="1" t="s">
        <v>30</v>
      </c>
      <c r="C170" s="1" t="s">
        <v>31</v>
      </c>
      <c r="D170" s="1" t="s">
        <v>32</v>
      </c>
      <c r="E170" s="1" t="s">
        <v>560</v>
      </c>
      <c r="F170" s="1" t="s">
        <v>72</v>
      </c>
      <c r="G170" s="1" t="s">
        <v>561</v>
      </c>
      <c r="H170" s="1" t="s">
        <v>42</v>
      </c>
      <c r="I170" s="1" t="s">
        <v>37</v>
      </c>
      <c r="J170" s="101" t="s">
        <v>30</v>
      </c>
      <c r="K170" s="101" t="s">
        <v>827</v>
      </c>
      <c r="L170" s="101" t="s">
        <v>825</v>
      </c>
      <c r="M170" s="101" t="s">
        <v>828</v>
      </c>
      <c r="N170" s="189">
        <v>12140</v>
      </c>
      <c r="O170" s="101" t="s">
        <v>568</v>
      </c>
      <c r="P170" s="101" t="s">
        <v>569</v>
      </c>
      <c r="Q170" s="101" t="s">
        <v>570</v>
      </c>
      <c r="R170" s="101" t="s">
        <v>571</v>
      </c>
      <c r="S170" s="101" t="s">
        <v>572</v>
      </c>
      <c r="T170" s="101" t="s">
        <v>573</v>
      </c>
      <c r="U170" s="101"/>
      <c r="V170" s="101"/>
      <c r="W170" s="101" t="s">
        <v>574</v>
      </c>
      <c r="X170" s="101" t="s">
        <v>575</v>
      </c>
      <c r="Y170" s="101"/>
      <c r="Z170" s="101" t="s">
        <v>576</v>
      </c>
      <c r="AA170" s="101" t="s">
        <v>577</v>
      </c>
      <c r="AB170" s="101" t="s">
        <v>578</v>
      </c>
      <c r="AC170" s="101" t="s">
        <v>579</v>
      </c>
      <c r="AD170" s="101" t="s">
        <v>580</v>
      </c>
      <c r="AE170" s="101" t="s">
        <v>581</v>
      </c>
      <c r="AF170" s="101" t="s">
        <v>582</v>
      </c>
      <c r="AG170" s="101" t="s">
        <v>583</v>
      </c>
      <c r="AH170" s="101" t="s">
        <v>584</v>
      </c>
      <c r="AI170" s="101" t="s">
        <v>585</v>
      </c>
      <c r="AJ170" s="101" t="s">
        <v>2362</v>
      </c>
    </row>
    <row r="171" spans="1:36" x14ac:dyDescent="0.2">
      <c r="A171" s="1" t="s">
        <v>562</v>
      </c>
      <c r="B171" s="1" t="s">
        <v>30</v>
      </c>
      <c r="C171" s="1" t="s">
        <v>31</v>
      </c>
      <c r="D171" s="1" t="s">
        <v>32</v>
      </c>
      <c r="E171" s="1" t="s">
        <v>563</v>
      </c>
      <c r="F171" s="1" t="s">
        <v>72</v>
      </c>
      <c r="G171" s="1" t="s">
        <v>564</v>
      </c>
      <c r="H171" s="1" t="s">
        <v>42</v>
      </c>
      <c r="I171" s="1" t="s">
        <v>37</v>
      </c>
      <c r="J171" s="101" t="s">
        <v>30</v>
      </c>
      <c r="K171" s="101" t="s">
        <v>829</v>
      </c>
      <c r="L171" s="101" t="s">
        <v>825</v>
      </c>
      <c r="M171" s="101" t="s">
        <v>830</v>
      </c>
      <c r="N171" s="189">
        <v>12360</v>
      </c>
      <c r="O171" s="101" t="s">
        <v>568</v>
      </c>
      <c r="P171" s="101" t="s">
        <v>569</v>
      </c>
      <c r="Q171" s="101" t="s">
        <v>570</v>
      </c>
      <c r="R171" s="101" t="s">
        <v>571</v>
      </c>
      <c r="S171" s="101" t="s">
        <v>572</v>
      </c>
      <c r="T171" s="101" t="s">
        <v>573</v>
      </c>
      <c r="U171" s="101"/>
      <c r="V171" s="101"/>
      <c r="W171" s="101" t="s">
        <v>574</v>
      </c>
      <c r="X171" s="101" t="s">
        <v>575</v>
      </c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</row>
    <row r="172" spans="1:36" x14ac:dyDescent="0.2">
      <c r="A172" s="1" t="s">
        <v>565</v>
      </c>
      <c r="B172" s="1" t="s">
        <v>30</v>
      </c>
      <c r="C172" s="1" t="s">
        <v>31</v>
      </c>
      <c r="D172" s="1" t="s">
        <v>32</v>
      </c>
      <c r="E172" s="1" t="s">
        <v>566</v>
      </c>
      <c r="F172" s="1" t="s">
        <v>259</v>
      </c>
      <c r="G172" s="1" t="s">
        <v>567</v>
      </c>
      <c r="H172" s="1" t="s">
        <v>50</v>
      </c>
      <c r="I172" s="1" t="s">
        <v>37</v>
      </c>
      <c r="J172" s="101" t="s">
        <v>30</v>
      </c>
      <c r="K172" s="101" t="s">
        <v>831</v>
      </c>
      <c r="L172" s="101" t="s">
        <v>825</v>
      </c>
      <c r="M172" s="101" t="s">
        <v>832</v>
      </c>
      <c r="N172" s="189">
        <v>12070</v>
      </c>
      <c r="O172" s="101" t="s">
        <v>568</v>
      </c>
      <c r="P172" s="101" t="s">
        <v>569</v>
      </c>
      <c r="Q172" s="101" t="s">
        <v>570</v>
      </c>
      <c r="R172" s="101" t="s">
        <v>571</v>
      </c>
      <c r="S172" s="101" t="s">
        <v>572</v>
      </c>
      <c r="T172" s="101" t="s">
        <v>573</v>
      </c>
      <c r="U172" s="101"/>
      <c r="V172" s="101"/>
      <c r="W172" s="101" t="s">
        <v>574</v>
      </c>
      <c r="X172" s="101" t="s">
        <v>575</v>
      </c>
      <c r="Y172" s="101"/>
      <c r="Z172" s="101" t="s">
        <v>576</v>
      </c>
      <c r="AA172" s="101" t="s">
        <v>577</v>
      </c>
      <c r="AB172" s="101" t="s">
        <v>578</v>
      </c>
      <c r="AC172" s="101" t="s">
        <v>579</v>
      </c>
      <c r="AD172" s="101" t="s">
        <v>580</v>
      </c>
      <c r="AE172" s="101" t="s">
        <v>581</v>
      </c>
      <c r="AF172" s="101" t="s">
        <v>582</v>
      </c>
      <c r="AG172" s="101"/>
      <c r="AH172" s="101"/>
      <c r="AI172" s="101"/>
      <c r="AJ172" s="101"/>
    </row>
    <row r="173" spans="1:36" x14ac:dyDescent="0.2">
      <c r="A173" s="102"/>
      <c r="B173" s="102"/>
      <c r="C173" s="102"/>
      <c r="D173" s="102"/>
      <c r="E173" s="102"/>
      <c r="F173" s="102"/>
      <c r="G173" s="102"/>
      <c r="H173" s="102"/>
      <c r="I173" s="102"/>
      <c r="J173" s="101" t="s">
        <v>30</v>
      </c>
      <c r="K173" s="101" t="s">
        <v>833</v>
      </c>
      <c r="L173" s="101" t="s">
        <v>825</v>
      </c>
      <c r="M173" s="101" t="s">
        <v>834</v>
      </c>
      <c r="N173" s="189">
        <v>12300</v>
      </c>
      <c r="O173" s="101" t="s">
        <v>568</v>
      </c>
      <c r="P173" s="101" t="s">
        <v>569</v>
      </c>
      <c r="Q173" s="101" t="s">
        <v>570</v>
      </c>
      <c r="R173" s="101" t="s">
        <v>571</v>
      </c>
      <c r="S173" s="101" t="s">
        <v>572</v>
      </c>
      <c r="T173" s="101" t="s">
        <v>573</v>
      </c>
      <c r="U173" s="101"/>
      <c r="V173" s="101"/>
      <c r="W173" s="101" t="s">
        <v>574</v>
      </c>
      <c r="X173" s="101" t="s">
        <v>575</v>
      </c>
      <c r="Y173" s="101"/>
      <c r="Z173" s="101" t="s">
        <v>576</v>
      </c>
      <c r="AA173" s="101" t="s">
        <v>577</v>
      </c>
      <c r="AB173" s="101" t="s">
        <v>578</v>
      </c>
      <c r="AC173" s="101" t="s">
        <v>579</v>
      </c>
      <c r="AD173" s="101" t="s">
        <v>580</v>
      </c>
      <c r="AE173" s="101" t="s">
        <v>581</v>
      </c>
      <c r="AF173" s="101" t="s">
        <v>582</v>
      </c>
      <c r="AG173" s="101"/>
      <c r="AH173" s="101"/>
      <c r="AI173" s="101"/>
      <c r="AJ173" s="101"/>
    </row>
    <row r="174" spans="1:36" x14ac:dyDescent="0.2">
      <c r="A174" s="102"/>
      <c r="B174" s="102"/>
      <c r="C174" s="102"/>
      <c r="D174" s="102"/>
      <c r="E174" s="102"/>
      <c r="F174" s="102"/>
      <c r="G174" s="102"/>
      <c r="H174" s="102"/>
      <c r="I174" s="102"/>
      <c r="J174" s="101" t="s">
        <v>30</v>
      </c>
      <c r="K174" s="101" t="s">
        <v>835</v>
      </c>
      <c r="L174" s="101" t="s">
        <v>825</v>
      </c>
      <c r="M174" s="101" t="s">
        <v>836</v>
      </c>
      <c r="N174" s="189">
        <v>12470</v>
      </c>
      <c r="O174" s="101" t="s">
        <v>568</v>
      </c>
      <c r="P174" s="101" t="s">
        <v>569</v>
      </c>
      <c r="Q174" s="101" t="s">
        <v>570</v>
      </c>
      <c r="R174" s="101" t="s">
        <v>571</v>
      </c>
      <c r="S174" s="101" t="s">
        <v>572</v>
      </c>
      <c r="T174" s="101" t="s">
        <v>573</v>
      </c>
      <c r="U174" s="101"/>
      <c r="V174" s="101"/>
      <c r="W174" s="101" t="s">
        <v>574</v>
      </c>
      <c r="X174" s="101" t="s">
        <v>575</v>
      </c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</row>
    <row r="175" spans="1:36" x14ac:dyDescent="0.2">
      <c r="J175" s="101" t="s">
        <v>30</v>
      </c>
      <c r="K175" s="101" t="s">
        <v>837</v>
      </c>
      <c r="L175" s="101" t="s">
        <v>825</v>
      </c>
      <c r="M175" s="101" t="s">
        <v>838</v>
      </c>
      <c r="N175" s="189">
        <v>12470</v>
      </c>
      <c r="O175" s="101" t="s">
        <v>568</v>
      </c>
      <c r="P175" s="101" t="s">
        <v>569</v>
      </c>
      <c r="Q175" s="101" t="s">
        <v>570</v>
      </c>
      <c r="R175" s="101" t="s">
        <v>571</v>
      </c>
      <c r="S175" s="101" t="s">
        <v>572</v>
      </c>
      <c r="T175" s="101" t="s">
        <v>573</v>
      </c>
      <c r="U175" s="101"/>
      <c r="V175" s="101"/>
      <c r="W175" s="101" t="s">
        <v>574</v>
      </c>
      <c r="X175" s="101" t="s">
        <v>575</v>
      </c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</row>
    <row r="176" spans="1:36" x14ac:dyDescent="0.2">
      <c r="J176" s="101" t="s">
        <v>30</v>
      </c>
      <c r="K176" s="101" t="s">
        <v>839</v>
      </c>
      <c r="L176" s="101" t="s">
        <v>825</v>
      </c>
      <c r="M176" s="101" t="s">
        <v>840</v>
      </c>
      <c r="N176" s="189">
        <v>12370</v>
      </c>
      <c r="O176" s="101" t="s">
        <v>568</v>
      </c>
      <c r="P176" s="101" t="s">
        <v>569</v>
      </c>
      <c r="Q176" s="101" t="s">
        <v>570</v>
      </c>
      <c r="R176" s="101" t="s">
        <v>571</v>
      </c>
      <c r="S176" s="101" t="s">
        <v>572</v>
      </c>
      <c r="T176" s="101" t="s">
        <v>573</v>
      </c>
      <c r="U176" s="101"/>
      <c r="V176" s="101"/>
      <c r="W176" s="101" t="s">
        <v>574</v>
      </c>
      <c r="X176" s="101" t="s">
        <v>575</v>
      </c>
      <c r="Y176" s="101"/>
      <c r="Z176" s="101" t="s">
        <v>576</v>
      </c>
      <c r="AA176" s="101" t="s">
        <v>577</v>
      </c>
      <c r="AB176" s="101" t="s">
        <v>578</v>
      </c>
      <c r="AC176" s="101" t="s">
        <v>579</v>
      </c>
      <c r="AD176" s="101" t="s">
        <v>580</v>
      </c>
      <c r="AE176" s="101" t="s">
        <v>581</v>
      </c>
      <c r="AF176" s="101" t="s">
        <v>582</v>
      </c>
      <c r="AG176" s="101"/>
      <c r="AH176" s="101"/>
      <c r="AI176" s="101"/>
    </row>
    <row r="177" spans="10:36" x14ac:dyDescent="0.2">
      <c r="J177" s="101" t="s">
        <v>30</v>
      </c>
      <c r="K177" s="101" t="s">
        <v>841</v>
      </c>
      <c r="L177" s="101" t="s">
        <v>809</v>
      </c>
      <c r="M177" s="101" t="s">
        <v>842</v>
      </c>
      <c r="N177" s="189">
        <v>12240</v>
      </c>
      <c r="O177" s="101" t="s">
        <v>568</v>
      </c>
      <c r="P177" s="101" t="s">
        <v>569</v>
      </c>
      <c r="Q177" s="101" t="s">
        <v>570</v>
      </c>
      <c r="R177" s="101" t="s">
        <v>571</v>
      </c>
      <c r="S177" s="101" t="s">
        <v>572</v>
      </c>
      <c r="T177" s="101" t="s">
        <v>573</v>
      </c>
      <c r="U177" s="101"/>
      <c r="V177" s="101"/>
      <c r="W177" s="101" t="s">
        <v>574</v>
      </c>
      <c r="X177" s="101" t="s">
        <v>575</v>
      </c>
      <c r="Y177" s="101"/>
      <c r="Z177" s="101" t="s">
        <v>576</v>
      </c>
      <c r="AA177" s="101" t="s">
        <v>577</v>
      </c>
      <c r="AB177" s="101" t="s">
        <v>578</v>
      </c>
      <c r="AC177" s="101" t="s">
        <v>579</v>
      </c>
      <c r="AD177" s="101" t="s">
        <v>580</v>
      </c>
      <c r="AE177" s="101" t="s">
        <v>581</v>
      </c>
      <c r="AF177" s="101" t="s">
        <v>582</v>
      </c>
      <c r="AG177" s="101" t="s">
        <v>583</v>
      </c>
      <c r="AH177" s="101" t="s">
        <v>584</v>
      </c>
      <c r="AI177" s="101" t="s">
        <v>585</v>
      </c>
      <c r="AJ177" s="101" t="s">
        <v>2362</v>
      </c>
    </row>
    <row r="178" spans="10:36" x14ac:dyDescent="0.2">
      <c r="J178" s="101" t="s">
        <v>30</v>
      </c>
      <c r="K178" s="101" t="s">
        <v>843</v>
      </c>
      <c r="L178" s="101" t="s">
        <v>809</v>
      </c>
      <c r="M178" s="101" t="s">
        <v>844</v>
      </c>
      <c r="N178" s="189">
        <v>12460</v>
      </c>
      <c r="O178" s="101" t="s">
        <v>568</v>
      </c>
      <c r="P178" s="101" t="s">
        <v>569</v>
      </c>
      <c r="Q178" s="101" t="s">
        <v>570</v>
      </c>
      <c r="R178" s="101" t="s">
        <v>571</v>
      </c>
      <c r="S178" s="101" t="s">
        <v>572</v>
      </c>
      <c r="T178" s="101" t="s">
        <v>573</v>
      </c>
      <c r="U178" s="101"/>
      <c r="V178" s="101"/>
      <c r="W178" s="101" t="s">
        <v>574</v>
      </c>
      <c r="X178" s="101" t="s">
        <v>575</v>
      </c>
      <c r="Y178" s="101"/>
      <c r="Z178" s="101" t="s">
        <v>576</v>
      </c>
      <c r="AA178" s="101" t="s">
        <v>577</v>
      </c>
      <c r="AB178" s="101" t="s">
        <v>578</v>
      </c>
      <c r="AC178" s="101" t="s">
        <v>579</v>
      </c>
      <c r="AD178" s="101" t="s">
        <v>580</v>
      </c>
      <c r="AE178" s="101" t="s">
        <v>581</v>
      </c>
      <c r="AF178" s="101" t="s">
        <v>582</v>
      </c>
      <c r="AG178" s="101"/>
      <c r="AH178" s="101"/>
      <c r="AI178" s="101"/>
    </row>
    <row r="179" spans="10:36" x14ac:dyDescent="0.2">
      <c r="J179" s="101" t="s">
        <v>30</v>
      </c>
      <c r="K179" s="101" t="s">
        <v>845</v>
      </c>
      <c r="L179" s="101" t="s">
        <v>809</v>
      </c>
      <c r="M179" s="101" t="s">
        <v>846</v>
      </c>
      <c r="N179" s="189">
        <v>12420</v>
      </c>
      <c r="O179" s="101" t="s">
        <v>568</v>
      </c>
      <c r="P179" s="101" t="s">
        <v>569</v>
      </c>
      <c r="Q179" s="101" t="s">
        <v>570</v>
      </c>
      <c r="R179" s="101" t="s">
        <v>571</v>
      </c>
      <c r="S179" s="101" t="s">
        <v>572</v>
      </c>
      <c r="T179" s="101" t="s">
        <v>573</v>
      </c>
      <c r="U179" s="101"/>
      <c r="V179" s="101"/>
      <c r="W179" s="101"/>
      <c r="X179" s="101" t="s">
        <v>575</v>
      </c>
      <c r="Y179" s="101"/>
      <c r="Z179" s="101" t="s">
        <v>576</v>
      </c>
      <c r="AA179" s="101" t="s">
        <v>577</v>
      </c>
      <c r="AB179" s="101" t="s">
        <v>578</v>
      </c>
      <c r="AC179" s="101" t="s">
        <v>579</v>
      </c>
      <c r="AD179" s="101" t="s">
        <v>580</v>
      </c>
      <c r="AE179" s="101" t="s">
        <v>581</v>
      </c>
      <c r="AF179" s="101" t="s">
        <v>582</v>
      </c>
      <c r="AG179" s="101" t="s">
        <v>583</v>
      </c>
      <c r="AH179" s="101" t="s">
        <v>584</v>
      </c>
      <c r="AI179" s="101" t="s">
        <v>585</v>
      </c>
    </row>
    <row r="180" spans="10:36" x14ac:dyDescent="0.2">
      <c r="J180" s="101" t="s">
        <v>30</v>
      </c>
      <c r="K180" s="101" t="s">
        <v>847</v>
      </c>
      <c r="L180" s="101" t="s">
        <v>809</v>
      </c>
      <c r="M180" s="101" t="s">
        <v>848</v>
      </c>
      <c r="N180" s="189">
        <v>12460</v>
      </c>
      <c r="O180" s="101" t="s">
        <v>568</v>
      </c>
      <c r="P180" s="101" t="s">
        <v>569</v>
      </c>
      <c r="Q180" s="101" t="s">
        <v>570</v>
      </c>
      <c r="R180" s="101" t="s">
        <v>571</v>
      </c>
      <c r="S180" s="101" t="s">
        <v>572</v>
      </c>
      <c r="T180" s="101" t="s">
        <v>573</v>
      </c>
      <c r="U180" s="101"/>
      <c r="V180" s="101"/>
      <c r="W180" s="101" t="s">
        <v>574</v>
      </c>
      <c r="X180" s="101" t="s">
        <v>575</v>
      </c>
      <c r="Y180" s="101"/>
      <c r="Z180" s="101" t="s">
        <v>576</v>
      </c>
      <c r="AA180" s="101" t="s">
        <v>577</v>
      </c>
      <c r="AB180" s="101" t="s">
        <v>578</v>
      </c>
      <c r="AC180" s="101" t="s">
        <v>579</v>
      </c>
      <c r="AD180" s="101" t="s">
        <v>580</v>
      </c>
      <c r="AE180" s="101" t="s">
        <v>581</v>
      </c>
      <c r="AF180" s="101"/>
      <c r="AG180" s="101"/>
      <c r="AH180" s="101"/>
      <c r="AI180" s="101"/>
    </row>
    <row r="181" spans="10:36" x14ac:dyDescent="0.2">
      <c r="J181" s="101" t="s">
        <v>30</v>
      </c>
      <c r="K181" s="101" t="s">
        <v>849</v>
      </c>
      <c r="L181" s="101" t="s">
        <v>809</v>
      </c>
      <c r="M181" s="101" t="s">
        <v>850</v>
      </c>
      <c r="N181" s="189">
        <v>12460</v>
      </c>
      <c r="O181" s="101" t="s">
        <v>568</v>
      </c>
      <c r="P181" s="101" t="s">
        <v>569</v>
      </c>
      <c r="Q181" s="101" t="s">
        <v>570</v>
      </c>
      <c r="R181" s="101" t="s">
        <v>571</v>
      </c>
      <c r="S181" s="101" t="s">
        <v>572</v>
      </c>
      <c r="T181" s="101" t="s">
        <v>573</v>
      </c>
      <c r="U181" s="101"/>
      <c r="V181" s="101"/>
      <c r="W181" s="101" t="s">
        <v>574</v>
      </c>
      <c r="X181" s="101" t="s">
        <v>575</v>
      </c>
      <c r="Y181" s="101"/>
      <c r="Z181" s="101" t="s">
        <v>576</v>
      </c>
      <c r="AA181" s="101" t="s">
        <v>577</v>
      </c>
      <c r="AB181" s="101" t="s">
        <v>578</v>
      </c>
      <c r="AC181" s="101" t="s">
        <v>579</v>
      </c>
      <c r="AD181" s="101" t="s">
        <v>580</v>
      </c>
      <c r="AE181" s="101" t="s">
        <v>581</v>
      </c>
      <c r="AF181" s="101" t="s">
        <v>582</v>
      </c>
      <c r="AG181" s="101" t="s">
        <v>583</v>
      </c>
      <c r="AH181" s="101"/>
      <c r="AI181" s="101"/>
    </row>
    <row r="182" spans="10:36" x14ac:dyDescent="0.2">
      <c r="J182" s="101" t="s">
        <v>30</v>
      </c>
      <c r="K182" s="101" t="s">
        <v>851</v>
      </c>
      <c r="L182" s="101" t="s">
        <v>809</v>
      </c>
      <c r="M182" s="101" t="s">
        <v>852</v>
      </c>
      <c r="N182" s="189">
        <v>12460</v>
      </c>
      <c r="O182" s="101" t="s">
        <v>568</v>
      </c>
      <c r="P182" s="101" t="s">
        <v>569</v>
      </c>
      <c r="Q182" s="101" t="s">
        <v>570</v>
      </c>
      <c r="R182" s="101" t="s">
        <v>571</v>
      </c>
      <c r="S182" s="101" t="s">
        <v>572</v>
      </c>
      <c r="T182" s="101" t="s">
        <v>573</v>
      </c>
      <c r="U182" s="101"/>
      <c r="V182" s="101"/>
      <c r="W182" s="101" t="s">
        <v>574</v>
      </c>
      <c r="X182" s="101" t="s">
        <v>575</v>
      </c>
      <c r="Y182" s="101"/>
      <c r="Z182" s="101" t="s">
        <v>576</v>
      </c>
      <c r="AA182" s="101" t="s">
        <v>577</v>
      </c>
      <c r="AB182" s="101" t="s">
        <v>578</v>
      </c>
      <c r="AC182" s="101" t="s">
        <v>579</v>
      </c>
      <c r="AD182" s="101" t="s">
        <v>580</v>
      </c>
      <c r="AE182" s="101" t="s">
        <v>581</v>
      </c>
      <c r="AF182" s="101" t="s">
        <v>582</v>
      </c>
      <c r="AG182" s="101"/>
      <c r="AH182" s="101"/>
      <c r="AI182" s="101"/>
    </row>
    <row r="183" spans="10:36" x14ac:dyDescent="0.2">
      <c r="J183" s="101" t="s">
        <v>30</v>
      </c>
      <c r="K183" s="101" t="s">
        <v>853</v>
      </c>
      <c r="L183" s="101" t="s">
        <v>809</v>
      </c>
      <c r="M183" s="101" t="s">
        <v>854</v>
      </c>
      <c r="N183" s="189">
        <v>12420</v>
      </c>
      <c r="O183" s="101" t="s">
        <v>568</v>
      </c>
      <c r="P183" s="101" t="s">
        <v>569</v>
      </c>
      <c r="Q183" s="101" t="s">
        <v>570</v>
      </c>
      <c r="R183" s="101" t="s">
        <v>571</v>
      </c>
      <c r="S183" s="101" t="s">
        <v>572</v>
      </c>
      <c r="T183" s="101" t="s">
        <v>573</v>
      </c>
      <c r="U183" s="101"/>
      <c r="V183" s="101"/>
      <c r="W183" s="101" t="s">
        <v>574</v>
      </c>
      <c r="X183" s="101" t="s">
        <v>575</v>
      </c>
      <c r="Y183" s="101"/>
      <c r="Z183" s="101" t="s">
        <v>576</v>
      </c>
      <c r="AA183" s="101" t="s">
        <v>577</v>
      </c>
      <c r="AB183" s="101" t="s">
        <v>578</v>
      </c>
      <c r="AC183" s="101" t="s">
        <v>579</v>
      </c>
      <c r="AD183" s="101" t="s">
        <v>580</v>
      </c>
      <c r="AE183" s="101" t="s">
        <v>581</v>
      </c>
      <c r="AF183" s="101" t="s">
        <v>582</v>
      </c>
      <c r="AG183" s="101" t="s">
        <v>583</v>
      </c>
      <c r="AH183" s="101" t="s">
        <v>584</v>
      </c>
      <c r="AI183" s="101" t="s">
        <v>585</v>
      </c>
    </row>
    <row r="184" spans="10:36" x14ac:dyDescent="0.2">
      <c r="J184" s="101" t="s">
        <v>30</v>
      </c>
      <c r="K184" s="101" t="s">
        <v>855</v>
      </c>
      <c r="L184" s="101" t="s">
        <v>825</v>
      </c>
      <c r="M184" s="101" t="s">
        <v>856</v>
      </c>
      <c r="N184" s="189">
        <v>12460</v>
      </c>
      <c r="O184" s="101" t="s">
        <v>568</v>
      </c>
      <c r="P184" s="101" t="s">
        <v>569</v>
      </c>
      <c r="Q184" s="101" t="s">
        <v>570</v>
      </c>
      <c r="R184" s="101" t="s">
        <v>571</v>
      </c>
      <c r="S184" s="101" t="s">
        <v>572</v>
      </c>
      <c r="T184" s="101" t="s">
        <v>573</v>
      </c>
      <c r="U184" s="101"/>
      <c r="V184" s="101"/>
      <c r="W184" s="101" t="s">
        <v>574</v>
      </c>
      <c r="X184" s="101" t="s">
        <v>575</v>
      </c>
      <c r="Y184" s="101"/>
      <c r="Z184" s="101" t="s">
        <v>576</v>
      </c>
      <c r="AA184" s="101" t="s">
        <v>577</v>
      </c>
      <c r="AB184" s="101" t="s">
        <v>578</v>
      </c>
      <c r="AC184" s="101" t="s">
        <v>579</v>
      </c>
      <c r="AD184" s="101" t="s">
        <v>580</v>
      </c>
      <c r="AE184" s="101" t="s">
        <v>581</v>
      </c>
      <c r="AF184" s="101" t="s">
        <v>582</v>
      </c>
      <c r="AG184" s="101"/>
      <c r="AH184" s="101"/>
      <c r="AI184" s="101"/>
    </row>
    <row r="185" spans="10:36" x14ac:dyDescent="0.2">
      <c r="J185" s="101" t="s">
        <v>30</v>
      </c>
      <c r="K185" s="101" t="s">
        <v>857</v>
      </c>
      <c r="L185" s="101" t="s">
        <v>825</v>
      </c>
      <c r="M185" s="101" t="s">
        <v>858</v>
      </c>
      <c r="N185" s="189">
        <v>12460</v>
      </c>
      <c r="O185" s="101" t="s">
        <v>568</v>
      </c>
      <c r="P185" s="101" t="s">
        <v>569</v>
      </c>
      <c r="Q185" s="101" t="s">
        <v>570</v>
      </c>
      <c r="R185" s="101" t="s">
        <v>571</v>
      </c>
      <c r="S185" s="101" t="s">
        <v>572</v>
      </c>
      <c r="T185" s="101" t="s">
        <v>573</v>
      </c>
      <c r="U185" s="101"/>
      <c r="V185" s="101"/>
      <c r="W185" s="101" t="s">
        <v>574</v>
      </c>
      <c r="X185" s="101" t="s">
        <v>575</v>
      </c>
      <c r="Y185" s="101"/>
      <c r="Z185" s="101" t="s">
        <v>576</v>
      </c>
      <c r="AA185" s="101" t="s">
        <v>577</v>
      </c>
      <c r="AB185" s="101" t="s">
        <v>578</v>
      </c>
      <c r="AC185" s="101" t="s">
        <v>579</v>
      </c>
      <c r="AD185" s="101" t="s">
        <v>580</v>
      </c>
      <c r="AE185" s="101" t="s">
        <v>581</v>
      </c>
      <c r="AF185" s="101" t="s">
        <v>582</v>
      </c>
      <c r="AG185" s="101"/>
      <c r="AH185" s="101"/>
      <c r="AI185" s="101"/>
    </row>
    <row r="186" spans="10:36" x14ac:dyDescent="0.2">
      <c r="J186" s="101" t="s">
        <v>30</v>
      </c>
      <c r="K186" s="101" t="s">
        <v>859</v>
      </c>
      <c r="L186" s="101" t="s">
        <v>825</v>
      </c>
      <c r="M186" s="101" t="s">
        <v>860</v>
      </c>
      <c r="N186" s="189">
        <v>12420</v>
      </c>
      <c r="O186" s="101" t="s">
        <v>568</v>
      </c>
      <c r="P186" s="101" t="s">
        <v>569</v>
      </c>
      <c r="Q186" s="101" t="s">
        <v>570</v>
      </c>
      <c r="R186" s="101" t="s">
        <v>571</v>
      </c>
      <c r="S186" s="101" t="s">
        <v>572</v>
      </c>
      <c r="T186" s="101" t="s">
        <v>573</v>
      </c>
      <c r="U186" s="101"/>
      <c r="V186" s="101"/>
      <c r="W186" s="101" t="s">
        <v>574</v>
      </c>
      <c r="X186" s="101" t="s">
        <v>575</v>
      </c>
      <c r="Y186" s="101"/>
      <c r="Z186" s="101" t="s">
        <v>576</v>
      </c>
      <c r="AA186" s="101" t="s">
        <v>577</v>
      </c>
      <c r="AB186" s="101" t="s">
        <v>578</v>
      </c>
      <c r="AC186" s="101" t="s">
        <v>579</v>
      </c>
      <c r="AD186" s="101" t="s">
        <v>580</v>
      </c>
      <c r="AE186" s="101" t="s">
        <v>581</v>
      </c>
      <c r="AF186" s="101" t="s">
        <v>582</v>
      </c>
      <c r="AG186" s="101" t="s">
        <v>583</v>
      </c>
      <c r="AH186" s="101" t="s">
        <v>584</v>
      </c>
      <c r="AI186" s="101" t="s">
        <v>585</v>
      </c>
    </row>
    <row r="187" spans="10:36" x14ac:dyDescent="0.2">
      <c r="J187" s="101" t="s">
        <v>30</v>
      </c>
      <c r="K187" s="101" t="s">
        <v>861</v>
      </c>
      <c r="L187" s="101" t="s">
        <v>809</v>
      </c>
      <c r="M187" s="101" t="s">
        <v>862</v>
      </c>
      <c r="N187" s="189">
        <v>12470</v>
      </c>
      <c r="O187" s="101" t="s">
        <v>568</v>
      </c>
      <c r="P187" s="101" t="s">
        <v>569</v>
      </c>
      <c r="Q187" s="101" t="s">
        <v>570</v>
      </c>
      <c r="R187" s="101" t="s">
        <v>571</v>
      </c>
      <c r="S187" s="101" t="s">
        <v>572</v>
      </c>
      <c r="T187" s="101" t="s">
        <v>573</v>
      </c>
      <c r="U187" s="101"/>
      <c r="V187" s="101"/>
      <c r="W187" s="101" t="s">
        <v>574</v>
      </c>
      <c r="X187" s="101" t="s">
        <v>575</v>
      </c>
      <c r="Y187" s="101"/>
      <c r="Z187" s="101" t="s">
        <v>576</v>
      </c>
      <c r="AA187" s="101" t="s">
        <v>577</v>
      </c>
      <c r="AB187" s="101" t="s">
        <v>578</v>
      </c>
      <c r="AC187" s="101" t="s">
        <v>579</v>
      </c>
      <c r="AD187" s="101" t="s">
        <v>580</v>
      </c>
      <c r="AE187" s="101" t="s">
        <v>581</v>
      </c>
      <c r="AF187" s="101" t="s">
        <v>582</v>
      </c>
      <c r="AG187" s="101"/>
      <c r="AH187" s="101"/>
      <c r="AI187" s="101"/>
    </row>
    <row r="188" spans="10:36" x14ac:dyDescent="0.2">
      <c r="J188" s="101" t="s">
        <v>30</v>
      </c>
      <c r="K188" s="101" t="s">
        <v>1242</v>
      </c>
      <c r="L188" s="101" t="s">
        <v>864</v>
      </c>
      <c r="M188" s="101" t="s">
        <v>1243</v>
      </c>
      <c r="N188" s="189">
        <v>12410</v>
      </c>
      <c r="O188" s="101" t="s">
        <v>568</v>
      </c>
      <c r="P188" s="101" t="s">
        <v>569</v>
      </c>
      <c r="Q188" s="101" t="s">
        <v>570</v>
      </c>
      <c r="R188" s="101" t="s">
        <v>571</v>
      </c>
      <c r="S188" s="101" t="s">
        <v>572</v>
      </c>
      <c r="T188" s="101" t="s">
        <v>573</v>
      </c>
      <c r="U188" s="101"/>
      <c r="V188" s="101"/>
      <c r="W188" s="101"/>
      <c r="X188" s="101" t="s">
        <v>575</v>
      </c>
      <c r="Y188" s="101"/>
      <c r="Z188" s="101" t="s">
        <v>576</v>
      </c>
      <c r="AA188" s="101" t="s">
        <v>577</v>
      </c>
      <c r="AB188" s="101" t="s">
        <v>578</v>
      </c>
      <c r="AC188" s="101" t="s">
        <v>579</v>
      </c>
      <c r="AD188" s="101" t="s">
        <v>580</v>
      </c>
      <c r="AE188" s="101" t="s">
        <v>581</v>
      </c>
      <c r="AF188" s="101" t="s">
        <v>582</v>
      </c>
      <c r="AG188" s="101" t="s">
        <v>583</v>
      </c>
      <c r="AH188" s="101" t="s">
        <v>584</v>
      </c>
      <c r="AI188" s="101" t="s">
        <v>585</v>
      </c>
    </row>
    <row r="189" spans="10:36" x14ac:dyDescent="0.2">
      <c r="J189" s="101" t="s">
        <v>30</v>
      </c>
      <c r="K189" s="101" t="s">
        <v>866</v>
      </c>
      <c r="L189" s="101" t="s">
        <v>809</v>
      </c>
      <c r="M189" s="101" t="s">
        <v>867</v>
      </c>
      <c r="N189" s="189">
        <v>12360</v>
      </c>
      <c r="O189" s="101" t="s">
        <v>568</v>
      </c>
      <c r="P189" s="101" t="s">
        <v>569</v>
      </c>
      <c r="Q189" s="101" t="s">
        <v>570</v>
      </c>
      <c r="R189" s="101" t="s">
        <v>571</v>
      </c>
      <c r="S189" s="101" t="s">
        <v>572</v>
      </c>
      <c r="T189" s="101" t="s">
        <v>573</v>
      </c>
      <c r="U189" s="101"/>
      <c r="V189" s="101"/>
      <c r="W189" s="101" t="s">
        <v>574</v>
      </c>
      <c r="X189" s="101" t="s">
        <v>575</v>
      </c>
      <c r="Y189" s="101"/>
      <c r="Z189" s="101" t="s">
        <v>576</v>
      </c>
      <c r="AA189" s="101" t="s">
        <v>577</v>
      </c>
      <c r="AB189" s="101" t="s">
        <v>578</v>
      </c>
      <c r="AC189" s="101"/>
      <c r="AD189" s="101"/>
      <c r="AE189" s="101"/>
      <c r="AF189" s="101"/>
      <c r="AG189" s="101"/>
      <c r="AH189" s="101"/>
      <c r="AI189" s="101"/>
    </row>
    <row r="190" spans="10:36" x14ac:dyDescent="0.2">
      <c r="J190" s="101" t="s">
        <v>30</v>
      </c>
      <c r="K190" s="101" t="s">
        <v>868</v>
      </c>
      <c r="L190" s="101" t="s">
        <v>809</v>
      </c>
      <c r="M190" s="101" t="s">
        <v>869</v>
      </c>
      <c r="N190" s="189">
        <v>12410</v>
      </c>
      <c r="O190" s="101" t="s">
        <v>568</v>
      </c>
      <c r="P190" s="101" t="s">
        <v>569</v>
      </c>
      <c r="Q190" s="101" t="s">
        <v>570</v>
      </c>
      <c r="R190" s="101" t="s">
        <v>571</v>
      </c>
      <c r="S190" s="101" t="s">
        <v>572</v>
      </c>
      <c r="T190" s="101" t="s">
        <v>573</v>
      </c>
      <c r="U190" s="101"/>
      <c r="V190" s="101"/>
      <c r="W190" s="101" t="s">
        <v>574</v>
      </c>
      <c r="X190" s="101" t="s">
        <v>575</v>
      </c>
      <c r="Y190" s="101"/>
      <c r="Z190" s="101" t="s">
        <v>576</v>
      </c>
      <c r="AA190" s="101" t="s">
        <v>577</v>
      </c>
      <c r="AB190" s="101" t="s">
        <v>578</v>
      </c>
      <c r="AC190" s="101" t="s">
        <v>579</v>
      </c>
      <c r="AD190" s="101" t="s">
        <v>580</v>
      </c>
      <c r="AE190" s="101" t="s">
        <v>581</v>
      </c>
      <c r="AF190" s="101" t="s">
        <v>582</v>
      </c>
      <c r="AG190" s="101"/>
      <c r="AH190" s="101"/>
      <c r="AI190" s="101"/>
    </row>
    <row r="191" spans="10:36" x14ac:dyDescent="0.2">
      <c r="J191" s="101" t="s">
        <v>30</v>
      </c>
      <c r="K191" s="101" t="s">
        <v>870</v>
      </c>
      <c r="L191" s="101" t="s">
        <v>809</v>
      </c>
      <c r="M191" s="101" t="s">
        <v>871</v>
      </c>
      <c r="N191" s="189">
        <v>12460</v>
      </c>
      <c r="O191" s="101" t="s">
        <v>568</v>
      </c>
      <c r="P191" s="101" t="s">
        <v>569</v>
      </c>
      <c r="Q191" s="101" t="s">
        <v>570</v>
      </c>
      <c r="R191" s="101" t="s">
        <v>571</v>
      </c>
      <c r="S191" s="101" t="s">
        <v>572</v>
      </c>
      <c r="T191" s="101" t="s">
        <v>573</v>
      </c>
      <c r="U191" s="101"/>
      <c r="V191" s="101"/>
      <c r="W191" s="101" t="s">
        <v>574</v>
      </c>
      <c r="X191" s="101" t="s">
        <v>575</v>
      </c>
      <c r="Y191" s="101"/>
      <c r="Z191" s="101" t="s">
        <v>576</v>
      </c>
      <c r="AA191" s="101" t="s">
        <v>577</v>
      </c>
      <c r="AB191" s="101" t="s">
        <v>578</v>
      </c>
      <c r="AC191" s="101" t="s">
        <v>579</v>
      </c>
      <c r="AD191" s="101" t="s">
        <v>580</v>
      </c>
      <c r="AE191" s="101" t="s">
        <v>581</v>
      </c>
      <c r="AF191" s="101" t="s">
        <v>582</v>
      </c>
      <c r="AG191" s="101"/>
      <c r="AH191" s="101"/>
      <c r="AI191" s="101"/>
    </row>
    <row r="192" spans="10:36" x14ac:dyDescent="0.2">
      <c r="J192" s="101" t="s">
        <v>30</v>
      </c>
      <c r="K192" s="101" t="s">
        <v>872</v>
      </c>
      <c r="L192" s="101" t="s">
        <v>809</v>
      </c>
      <c r="M192" s="101" t="s">
        <v>873</v>
      </c>
      <c r="N192" s="189">
        <v>12460</v>
      </c>
      <c r="O192" s="101" t="s">
        <v>568</v>
      </c>
      <c r="P192" s="101" t="s">
        <v>569</v>
      </c>
      <c r="Q192" s="101" t="s">
        <v>570</v>
      </c>
      <c r="R192" s="101" t="s">
        <v>571</v>
      </c>
      <c r="S192" s="101" t="s">
        <v>572</v>
      </c>
      <c r="T192" s="101" t="s">
        <v>573</v>
      </c>
      <c r="U192" s="101"/>
      <c r="V192" s="101"/>
      <c r="W192" s="101" t="s">
        <v>574</v>
      </c>
      <c r="X192" s="101" t="s">
        <v>575</v>
      </c>
      <c r="Y192" s="101"/>
      <c r="Z192" s="101" t="s">
        <v>576</v>
      </c>
      <c r="AA192" s="101" t="s">
        <v>577</v>
      </c>
      <c r="AB192" s="101" t="s">
        <v>578</v>
      </c>
      <c r="AC192" s="101" t="s">
        <v>579</v>
      </c>
      <c r="AD192" s="101" t="s">
        <v>580</v>
      </c>
      <c r="AE192" s="101" t="s">
        <v>581</v>
      </c>
      <c r="AF192" s="101" t="s">
        <v>582</v>
      </c>
      <c r="AG192" s="101"/>
      <c r="AH192" s="101"/>
      <c r="AI192" s="101"/>
    </row>
    <row r="193" spans="10:36" x14ac:dyDescent="0.2">
      <c r="J193" s="101" t="s">
        <v>30</v>
      </c>
      <c r="K193" s="101" t="s">
        <v>874</v>
      </c>
      <c r="L193" s="101" t="s">
        <v>809</v>
      </c>
      <c r="M193" s="101" t="s">
        <v>875</v>
      </c>
      <c r="N193" s="189">
        <v>12320</v>
      </c>
      <c r="O193" s="101" t="s">
        <v>568</v>
      </c>
      <c r="P193" s="101" t="s">
        <v>569</v>
      </c>
      <c r="Q193" s="101" t="s">
        <v>570</v>
      </c>
      <c r="R193" s="101" t="s">
        <v>571</v>
      </c>
      <c r="S193" s="101" t="s">
        <v>572</v>
      </c>
      <c r="T193" s="101" t="s">
        <v>573</v>
      </c>
      <c r="U193" s="101"/>
      <c r="V193" s="101"/>
      <c r="W193" s="101" t="s">
        <v>574</v>
      </c>
      <c r="X193" s="101" t="s">
        <v>575</v>
      </c>
      <c r="Y193" s="101"/>
      <c r="Z193" s="101" t="s">
        <v>576</v>
      </c>
      <c r="AA193" s="101" t="s">
        <v>577</v>
      </c>
      <c r="AB193" s="101" t="s">
        <v>578</v>
      </c>
      <c r="AC193" s="101" t="s">
        <v>579</v>
      </c>
      <c r="AD193" s="101" t="s">
        <v>580</v>
      </c>
      <c r="AE193" s="101" t="s">
        <v>581</v>
      </c>
      <c r="AF193" s="101" t="s">
        <v>582</v>
      </c>
      <c r="AG193" s="101" t="s">
        <v>583</v>
      </c>
      <c r="AH193" s="101" t="s">
        <v>584</v>
      </c>
      <c r="AI193" s="101" t="s">
        <v>585</v>
      </c>
    </row>
    <row r="194" spans="10:36" x14ac:dyDescent="0.2">
      <c r="J194" s="101" t="s">
        <v>30</v>
      </c>
      <c r="K194" s="101" t="s">
        <v>876</v>
      </c>
      <c r="L194" s="101" t="s">
        <v>825</v>
      </c>
      <c r="M194" s="101" t="s">
        <v>877</v>
      </c>
      <c r="N194" s="189">
        <v>12370</v>
      </c>
      <c r="O194" s="101" t="s">
        <v>568</v>
      </c>
      <c r="P194" s="101" t="s">
        <v>569</v>
      </c>
      <c r="Q194" s="101" t="s">
        <v>570</v>
      </c>
      <c r="R194" s="101" t="s">
        <v>571</v>
      </c>
      <c r="S194" s="101" t="s">
        <v>572</v>
      </c>
      <c r="T194" s="101" t="s">
        <v>573</v>
      </c>
      <c r="U194" s="101"/>
      <c r="V194" s="101"/>
      <c r="W194" s="101" t="s">
        <v>574</v>
      </c>
      <c r="X194" s="101" t="s">
        <v>575</v>
      </c>
      <c r="Y194" s="101"/>
      <c r="Z194" s="101" t="s">
        <v>576</v>
      </c>
      <c r="AA194" s="101" t="s">
        <v>577</v>
      </c>
      <c r="AB194" s="101" t="s">
        <v>578</v>
      </c>
      <c r="AC194" s="101" t="s">
        <v>579</v>
      </c>
      <c r="AD194" s="101" t="s">
        <v>580</v>
      </c>
      <c r="AE194" s="101" t="s">
        <v>581</v>
      </c>
      <c r="AF194" s="101" t="s">
        <v>582</v>
      </c>
      <c r="AG194" s="101"/>
      <c r="AH194" s="101"/>
      <c r="AI194" s="101"/>
    </row>
    <row r="195" spans="10:36" x14ac:dyDescent="0.2">
      <c r="J195" s="101" t="s">
        <v>30</v>
      </c>
      <c r="K195" s="101" t="s">
        <v>878</v>
      </c>
      <c r="L195" s="101" t="s">
        <v>809</v>
      </c>
      <c r="M195" s="101" t="s">
        <v>879</v>
      </c>
      <c r="N195" s="189">
        <v>12460</v>
      </c>
      <c r="O195" s="101" t="s">
        <v>568</v>
      </c>
      <c r="P195" s="101" t="s">
        <v>569</v>
      </c>
      <c r="Q195" s="101" t="s">
        <v>570</v>
      </c>
      <c r="R195" s="101" t="s">
        <v>571</v>
      </c>
      <c r="S195" s="101" t="s">
        <v>572</v>
      </c>
      <c r="T195" s="101" t="s">
        <v>573</v>
      </c>
      <c r="U195" s="101"/>
      <c r="V195" s="101"/>
      <c r="W195" s="101" t="s">
        <v>574</v>
      </c>
      <c r="X195" s="101" t="s">
        <v>575</v>
      </c>
      <c r="Y195" s="101"/>
      <c r="Z195" s="101" t="s">
        <v>576</v>
      </c>
      <c r="AA195" s="101" t="s">
        <v>577</v>
      </c>
      <c r="AB195" s="101" t="s">
        <v>578</v>
      </c>
      <c r="AC195" s="101" t="s">
        <v>579</v>
      </c>
      <c r="AD195" s="101" t="s">
        <v>580</v>
      </c>
      <c r="AE195" s="101" t="s">
        <v>581</v>
      </c>
      <c r="AF195" s="101" t="s">
        <v>582</v>
      </c>
      <c r="AG195" s="101"/>
      <c r="AH195" s="101"/>
      <c r="AI195" s="101"/>
    </row>
    <row r="196" spans="10:36" x14ac:dyDescent="0.2">
      <c r="J196" s="101" t="s">
        <v>30</v>
      </c>
      <c r="K196" s="101" t="s">
        <v>880</v>
      </c>
      <c r="L196" s="101" t="s">
        <v>809</v>
      </c>
      <c r="M196" s="101" t="s">
        <v>881</v>
      </c>
      <c r="N196" s="189">
        <v>12430</v>
      </c>
      <c r="O196" s="101" t="s">
        <v>568</v>
      </c>
      <c r="P196" s="101" t="s">
        <v>569</v>
      </c>
      <c r="Q196" s="101" t="s">
        <v>570</v>
      </c>
      <c r="R196" s="101" t="s">
        <v>571</v>
      </c>
      <c r="S196" s="101" t="s">
        <v>572</v>
      </c>
      <c r="T196" s="101" t="s">
        <v>573</v>
      </c>
      <c r="U196" s="101"/>
      <c r="V196" s="101"/>
      <c r="W196" s="101" t="s">
        <v>574</v>
      </c>
      <c r="X196" s="101" t="s">
        <v>575</v>
      </c>
      <c r="Y196" s="101"/>
      <c r="Z196" s="101" t="s">
        <v>576</v>
      </c>
      <c r="AA196" s="101" t="s">
        <v>577</v>
      </c>
      <c r="AB196" s="101" t="s">
        <v>578</v>
      </c>
      <c r="AC196" s="101" t="s">
        <v>579</v>
      </c>
      <c r="AD196" s="101" t="s">
        <v>580</v>
      </c>
      <c r="AE196" s="101" t="s">
        <v>581</v>
      </c>
      <c r="AF196" s="101" t="s">
        <v>582</v>
      </c>
      <c r="AG196" s="101" t="s">
        <v>583</v>
      </c>
      <c r="AH196" s="101" t="s">
        <v>584</v>
      </c>
      <c r="AI196" s="101" t="s">
        <v>585</v>
      </c>
    </row>
    <row r="197" spans="10:36" x14ac:dyDescent="0.2">
      <c r="J197" s="101" t="s">
        <v>30</v>
      </c>
      <c r="K197" s="101" t="s">
        <v>882</v>
      </c>
      <c r="L197" s="101" t="s">
        <v>825</v>
      </c>
      <c r="M197" s="101" t="s">
        <v>883</v>
      </c>
      <c r="N197" s="189">
        <v>12230</v>
      </c>
      <c r="O197" s="101" t="s">
        <v>568</v>
      </c>
      <c r="P197" s="101" t="s">
        <v>569</v>
      </c>
      <c r="Q197" s="101" t="s">
        <v>570</v>
      </c>
      <c r="R197" s="101" t="s">
        <v>571</v>
      </c>
      <c r="S197" s="101" t="s">
        <v>572</v>
      </c>
      <c r="T197" s="101" t="s">
        <v>573</v>
      </c>
      <c r="U197" s="101"/>
      <c r="V197" s="101"/>
      <c r="W197" s="101" t="s">
        <v>574</v>
      </c>
      <c r="X197" s="101" t="s">
        <v>575</v>
      </c>
      <c r="Y197" s="101"/>
      <c r="Z197" s="101" t="s">
        <v>576</v>
      </c>
      <c r="AA197" s="101" t="s">
        <v>577</v>
      </c>
      <c r="AB197" s="101" t="s">
        <v>578</v>
      </c>
      <c r="AC197" s="101" t="s">
        <v>579</v>
      </c>
      <c r="AD197" s="101" t="s">
        <v>580</v>
      </c>
      <c r="AE197" s="101" t="s">
        <v>581</v>
      </c>
      <c r="AF197" s="101" t="s">
        <v>582</v>
      </c>
      <c r="AG197" s="101" t="s">
        <v>583</v>
      </c>
      <c r="AH197" s="101" t="s">
        <v>584</v>
      </c>
      <c r="AI197" s="101" t="s">
        <v>585</v>
      </c>
    </row>
    <row r="198" spans="10:36" x14ac:dyDescent="0.2">
      <c r="J198" s="101" t="s">
        <v>30</v>
      </c>
      <c r="K198" s="101" t="s">
        <v>884</v>
      </c>
      <c r="L198" s="101" t="s">
        <v>825</v>
      </c>
      <c r="M198" s="101" t="s">
        <v>885</v>
      </c>
      <c r="N198" s="189">
        <v>12440</v>
      </c>
      <c r="O198" s="101" t="s">
        <v>568</v>
      </c>
      <c r="P198" s="101" t="s">
        <v>569</v>
      </c>
      <c r="Q198" s="101" t="s">
        <v>570</v>
      </c>
      <c r="R198" s="101" t="s">
        <v>571</v>
      </c>
      <c r="S198" s="101" t="s">
        <v>572</v>
      </c>
      <c r="T198" s="101" t="s">
        <v>573</v>
      </c>
      <c r="U198" s="101"/>
      <c r="V198" s="101"/>
      <c r="W198" s="101" t="s">
        <v>574</v>
      </c>
      <c r="X198" s="101" t="s">
        <v>575</v>
      </c>
      <c r="Y198" s="101"/>
      <c r="Z198" s="101" t="s">
        <v>576</v>
      </c>
      <c r="AA198" s="101" t="s">
        <v>577</v>
      </c>
      <c r="AB198" s="101" t="s">
        <v>578</v>
      </c>
      <c r="AC198" s="101" t="s">
        <v>579</v>
      </c>
      <c r="AD198" s="101" t="s">
        <v>580</v>
      </c>
      <c r="AE198" s="101" t="s">
        <v>581</v>
      </c>
      <c r="AF198" s="101" t="s">
        <v>582</v>
      </c>
      <c r="AG198" s="101" t="s">
        <v>583</v>
      </c>
      <c r="AH198" s="101" t="s">
        <v>584</v>
      </c>
      <c r="AI198" s="101" t="s">
        <v>585</v>
      </c>
      <c r="AJ198" s="101" t="s">
        <v>2362</v>
      </c>
    </row>
    <row r="199" spans="10:36" x14ac:dyDescent="0.2">
      <c r="J199" s="101" t="s">
        <v>30</v>
      </c>
      <c r="K199" s="101" t="s">
        <v>886</v>
      </c>
      <c r="L199" s="101" t="s">
        <v>825</v>
      </c>
      <c r="M199" s="101" t="s">
        <v>887</v>
      </c>
      <c r="N199" s="189">
        <v>12160</v>
      </c>
      <c r="O199" s="101" t="s">
        <v>568</v>
      </c>
      <c r="P199" s="101" t="s">
        <v>569</v>
      </c>
      <c r="Q199" s="101" t="s">
        <v>570</v>
      </c>
      <c r="R199" s="101" t="s">
        <v>571</v>
      </c>
      <c r="S199" s="101" t="s">
        <v>572</v>
      </c>
      <c r="T199" s="101" t="s">
        <v>573</v>
      </c>
      <c r="U199" s="101"/>
      <c r="V199" s="101"/>
      <c r="W199" s="101" t="s">
        <v>574</v>
      </c>
      <c r="X199" s="101" t="s">
        <v>575</v>
      </c>
      <c r="Y199" s="101"/>
      <c r="Z199" s="101" t="s">
        <v>576</v>
      </c>
      <c r="AA199" s="101" t="s">
        <v>577</v>
      </c>
      <c r="AB199" s="101" t="s">
        <v>578</v>
      </c>
      <c r="AC199" s="101" t="s">
        <v>579</v>
      </c>
      <c r="AD199" s="101" t="s">
        <v>580</v>
      </c>
      <c r="AE199" s="101" t="s">
        <v>581</v>
      </c>
      <c r="AF199" s="101" t="s">
        <v>582</v>
      </c>
      <c r="AG199" s="101"/>
      <c r="AH199" s="101"/>
      <c r="AI199" s="101"/>
    </row>
    <row r="200" spans="10:36" x14ac:dyDescent="0.2">
      <c r="J200" s="101" t="s">
        <v>30</v>
      </c>
      <c r="K200" s="101" t="s">
        <v>888</v>
      </c>
      <c r="L200" s="101" t="s">
        <v>825</v>
      </c>
      <c r="M200" s="101" t="s">
        <v>889</v>
      </c>
      <c r="N200" s="189">
        <v>12460</v>
      </c>
      <c r="O200" s="101" t="s">
        <v>568</v>
      </c>
      <c r="P200" s="101" t="s">
        <v>569</v>
      </c>
      <c r="Q200" s="101" t="s">
        <v>570</v>
      </c>
      <c r="R200" s="101" t="s">
        <v>571</v>
      </c>
      <c r="S200" s="101" t="s">
        <v>572</v>
      </c>
      <c r="T200" s="101" t="s">
        <v>573</v>
      </c>
      <c r="U200" s="101"/>
      <c r="V200" s="101"/>
      <c r="W200" s="101" t="s">
        <v>574</v>
      </c>
      <c r="X200" s="101" t="s">
        <v>575</v>
      </c>
      <c r="Y200" s="101"/>
      <c r="Z200" s="101" t="s">
        <v>576</v>
      </c>
      <c r="AA200" s="101" t="s">
        <v>577</v>
      </c>
      <c r="AB200" s="101" t="s">
        <v>578</v>
      </c>
      <c r="AC200" s="101" t="s">
        <v>579</v>
      </c>
      <c r="AD200" s="101" t="s">
        <v>580</v>
      </c>
      <c r="AE200" s="101" t="s">
        <v>581</v>
      </c>
      <c r="AF200" s="101" t="s">
        <v>582</v>
      </c>
      <c r="AG200" s="101"/>
      <c r="AH200" s="101"/>
      <c r="AI200" s="101"/>
    </row>
    <row r="201" spans="10:36" x14ac:dyDescent="0.2">
      <c r="J201" s="101" t="s">
        <v>30</v>
      </c>
      <c r="K201" s="101" t="s">
        <v>890</v>
      </c>
      <c r="L201" s="101" t="s">
        <v>825</v>
      </c>
      <c r="M201" s="101" t="s">
        <v>891</v>
      </c>
      <c r="N201" s="189">
        <v>12460</v>
      </c>
      <c r="O201" s="101" t="s">
        <v>568</v>
      </c>
      <c r="P201" s="101" t="s">
        <v>569</v>
      </c>
      <c r="Q201" s="101" t="s">
        <v>570</v>
      </c>
      <c r="R201" s="101" t="s">
        <v>571</v>
      </c>
      <c r="S201" s="101" t="s">
        <v>572</v>
      </c>
      <c r="T201" s="101" t="s">
        <v>573</v>
      </c>
      <c r="U201" s="101"/>
      <c r="V201" s="101"/>
      <c r="W201" s="101" t="s">
        <v>574</v>
      </c>
      <c r="X201" s="101" t="s">
        <v>575</v>
      </c>
      <c r="Y201" s="101"/>
      <c r="Z201" s="101" t="s">
        <v>576</v>
      </c>
      <c r="AA201" s="101" t="s">
        <v>577</v>
      </c>
      <c r="AB201" s="101" t="s">
        <v>578</v>
      </c>
      <c r="AC201" s="101" t="s">
        <v>579</v>
      </c>
      <c r="AD201" s="101" t="s">
        <v>580</v>
      </c>
      <c r="AE201" s="101" t="s">
        <v>581</v>
      </c>
      <c r="AF201" s="101" t="s">
        <v>582</v>
      </c>
      <c r="AG201" s="101"/>
      <c r="AH201" s="101"/>
      <c r="AI201" s="101"/>
    </row>
    <row r="202" spans="10:36" x14ac:dyDescent="0.2">
      <c r="J202" s="101" t="s">
        <v>30</v>
      </c>
      <c r="K202" s="101" t="s">
        <v>892</v>
      </c>
      <c r="L202" s="101" t="s">
        <v>825</v>
      </c>
      <c r="M202" s="101" t="s">
        <v>893</v>
      </c>
      <c r="N202" s="189">
        <v>12430</v>
      </c>
      <c r="O202" s="101" t="s">
        <v>568</v>
      </c>
      <c r="P202" s="101" t="s">
        <v>569</v>
      </c>
      <c r="Q202" s="101" t="s">
        <v>570</v>
      </c>
      <c r="R202" s="101" t="s">
        <v>571</v>
      </c>
      <c r="S202" s="101" t="s">
        <v>572</v>
      </c>
      <c r="T202" s="101" t="s">
        <v>573</v>
      </c>
      <c r="U202" s="101"/>
      <c r="V202" s="101"/>
      <c r="W202" s="101" t="s">
        <v>574</v>
      </c>
      <c r="X202" s="101" t="s">
        <v>575</v>
      </c>
      <c r="Y202" s="101"/>
      <c r="Z202" s="101" t="s">
        <v>576</v>
      </c>
      <c r="AA202" s="101" t="s">
        <v>577</v>
      </c>
      <c r="AB202" s="101" t="s">
        <v>578</v>
      </c>
      <c r="AC202" s="101" t="s">
        <v>579</v>
      </c>
      <c r="AD202" s="101" t="s">
        <v>580</v>
      </c>
      <c r="AE202" s="101" t="s">
        <v>581</v>
      </c>
      <c r="AF202" s="101" t="s">
        <v>582</v>
      </c>
      <c r="AG202" s="101" t="s">
        <v>583</v>
      </c>
      <c r="AH202" s="101" t="s">
        <v>584</v>
      </c>
      <c r="AI202" s="101" t="s">
        <v>585</v>
      </c>
    </row>
    <row r="203" spans="10:36" x14ac:dyDescent="0.2">
      <c r="J203" s="101" t="s">
        <v>30</v>
      </c>
      <c r="K203" s="101" t="s">
        <v>894</v>
      </c>
      <c r="L203" s="101" t="s">
        <v>825</v>
      </c>
      <c r="M203" s="101" t="s">
        <v>895</v>
      </c>
      <c r="N203" s="189">
        <v>12370</v>
      </c>
      <c r="O203" s="101" t="s">
        <v>568</v>
      </c>
      <c r="P203" s="101" t="s">
        <v>569</v>
      </c>
      <c r="Q203" s="101" t="s">
        <v>570</v>
      </c>
      <c r="R203" s="101" t="s">
        <v>571</v>
      </c>
      <c r="S203" s="101" t="s">
        <v>572</v>
      </c>
      <c r="T203" s="101" t="s">
        <v>573</v>
      </c>
      <c r="U203" s="101"/>
      <c r="V203" s="101"/>
      <c r="W203" s="101" t="s">
        <v>574</v>
      </c>
      <c r="X203" s="101" t="s">
        <v>575</v>
      </c>
      <c r="Y203" s="101"/>
      <c r="Z203" s="101" t="s">
        <v>576</v>
      </c>
      <c r="AA203" s="101" t="s">
        <v>577</v>
      </c>
      <c r="AB203" s="101" t="s">
        <v>578</v>
      </c>
      <c r="AC203" s="101" t="s">
        <v>579</v>
      </c>
      <c r="AD203" s="101" t="s">
        <v>580</v>
      </c>
      <c r="AE203" s="101" t="s">
        <v>581</v>
      </c>
      <c r="AF203" s="101" t="s">
        <v>582</v>
      </c>
      <c r="AG203" s="101"/>
      <c r="AH203" s="101"/>
      <c r="AI203" s="101"/>
    </row>
    <row r="204" spans="10:36" x14ac:dyDescent="0.2">
      <c r="J204" s="101" t="s">
        <v>30</v>
      </c>
      <c r="K204" s="101" t="s">
        <v>811</v>
      </c>
      <c r="L204" s="101" t="s">
        <v>809</v>
      </c>
      <c r="M204" s="101" t="s">
        <v>812</v>
      </c>
      <c r="N204" s="189">
        <v>12440</v>
      </c>
      <c r="O204" s="101" t="s">
        <v>568</v>
      </c>
      <c r="P204" s="101" t="s">
        <v>569</v>
      </c>
      <c r="Q204" s="101" t="s">
        <v>570</v>
      </c>
      <c r="R204" s="101" t="s">
        <v>571</v>
      </c>
      <c r="S204" s="101" t="s">
        <v>572</v>
      </c>
      <c r="T204" s="101" t="s">
        <v>573</v>
      </c>
      <c r="U204" s="101"/>
      <c r="V204" s="101"/>
      <c r="W204" s="101" t="s">
        <v>574</v>
      </c>
      <c r="X204" s="101" t="s">
        <v>575</v>
      </c>
      <c r="Y204" s="101"/>
      <c r="Z204" s="101" t="s">
        <v>576</v>
      </c>
      <c r="AA204" s="101" t="s">
        <v>577</v>
      </c>
      <c r="AB204" s="101" t="s">
        <v>578</v>
      </c>
      <c r="AC204" s="101" t="s">
        <v>579</v>
      </c>
      <c r="AD204" s="101" t="s">
        <v>580</v>
      </c>
      <c r="AE204" s="101" t="s">
        <v>581</v>
      </c>
      <c r="AF204" s="101" t="s">
        <v>582</v>
      </c>
      <c r="AG204" s="101" t="s">
        <v>583</v>
      </c>
      <c r="AH204" s="101" t="s">
        <v>584</v>
      </c>
      <c r="AI204" s="101" t="s">
        <v>585</v>
      </c>
      <c r="AJ204" s="101" t="s">
        <v>2362</v>
      </c>
    </row>
    <row r="205" spans="10:36" x14ac:dyDescent="0.2">
      <c r="J205" s="101" t="s">
        <v>30</v>
      </c>
      <c r="K205" s="101" t="s">
        <v>898</v>
      </c>
      <c r="L205" s="101" t="s">
        <v>825</v>
      </c>
      <c r="M205" s="101" t="s">
        <v>899</v>
      </c>
      <c r="N205" s="189">
        <v>12010</v>
      </c>
      <c r="O205" s="101" t="s">
        <v>568</v>
      </c>
      <c r="P205" s="101" t="s">
        <v>569</v>
      </c>
      <c r="Q205" s="101" t="s">
        <v>570</v>
      </c>
      <c r="R205" s="101" t="s">
        <v>571</v>
      </c>
      <c r="S205" s="101" t="s">
        <v>572</v>
      </c>
      <c r="T205" s="101" t="s">
        <v>573</v>
      </c>
      <c r="U205" s="101"/>
      <c r="V205" s="101"/>
      <c r="W205" s="101" t="s">
        <v>574</v>
      </c>
      <c r="X205" s="101" t="s">
        <v>575</v>
      </c>
      <c r="Y205" s="101"/>
      <c r="Z205" s="101" t="s">
        <v>576</v>
      </c>
      <c r="AA205" s="101" t="s">
        <v>577</v>
      </c>
      <c r="AB205" s="101" t="s">
        <v>578</v>
      </c>
      <c r="AC205" s="101" t="s">
        <v>579</v>
      </c>
      <c r="AD205" s="101" t="s">
        <v>580</v>
      </c>
      <c r="AE205" s="101" t="s">
        <v>581</v>
      </c>
      <c r="AF205" s="101" t="s">
        <v>582</v>
      </c>
      <c r="AG205" s="101" t="s">
        <v>583</v>
      </c>
      <c r="AH205" s="101" t="s">
        <v>584</v>
      </c>
      <c r="AI205" s="101" t="s">
        <v>585</v>
      </c>
    </row>
    <row r="206" spans="10:36" x14ac:dyDescent="0.2">
      <c r="J206" s="101" t="s">
        <v>30</v>
      </c>
      <c r="K206" s="101" t="s">
        <v>900</v>
      </c>
      <c r="L206" s="101" t="s">
        <v>825</v>
      </c>
      <c r="M206" s="101" t="s">
        <v>901</v>
      </c>
      <c r="N206" s="189">
        <v>12310</v>
      </c>
      <c r="O206" s="101" t="s">
        <v>568</v>
      </c>
      <c r="P206" s="101" t="s">
        <v>569</v>
      </c>
      <c r="Q206" s="101" t="s">
        <v>570</v>
      </c>
      <c r="R206" s="101" t="s">
        <v>571</v>
      </c>
      <c r="S206" s="101" t="s">
        <v>572</v>
      </c>
      <c r="T206" s="101" t="s">
        <v>573</v>
      </c>
      <c r="U206" s="101"/>
      <c r="V206" s="101"/>
      <c r="W206" s="101" t="s">
        <v>574</v>
      </c>
      <c r="X206" s="101" t="s">
        <v>575</v>
      </c>
      <c r="Y206" s="101"/>
      <c r="Z206" s="101" t="s">
        <v>576</v>
      </c>
      <c r="AA206" s="101" t="s">
        <v>577</v>
      </c>
      <c r="AB206" s="101" t="s">
        <v>578</v>
      </c>
      <c r="AC206" s="101" t="s">
        <v>579</v>
      </c>
      <c r="AD206" s="101" t="s">
        <v>580</v>
      </c>
      <c r="AE206" s="101" t="s">
        <v>581</v>
      </c>
      <c r="AF206" s="101" t="s">
        <v>582</v>
      </c>
      <c r="AG206" s="101" t="s">
        <v>583</v>
      </c>
      <c r="AH206" s="101" t="s">
        <v>584</v>
      </c>
      <c r="AI206" s="101" t="s">
        <v>585</v>
      </c>
      <c r="AJ206" s="101" t="s">
        <v>2362</v>
      </c>
    </row>
    <row r="207" spans="10:36" x14ac:dyDescent="0.2">
      <c r="J207" s="101" t="s">
        <v>30</v>
      </c>
      <c r="K207" s="101" t="s">
        <v>902</v>
      </c>
      <c r="L207" s="101" t="s">
        <v>809</v>
      </c>
      <c r="M207" s="101" t="s">
        <v>903</v>
      </c>
      <c r="N207" s="189">
        <v>12460</v>
      </c>
      <c r="O207" s="101" t="s">
        <v>568</v>
      </c>
      <c r="P207" s="101" t="s">
        <v>569</v>
      </c>
      <c r="Q207" s="101" t="s">
        <v>570</v>
      </c>
      <c r="R207" s="101" t="s">
        <v>571</v>
      </c>
      <c r="S207" s="101" t="s">
        <v>572</v>
      </c>
      <c r="T207" s="101" t="s">
        <v>573</v>
      </c>
      <c r="U207" s="101"/>
      <c r="V207" s="101"/>
      <c r="W207" s="101" t="s">
        <v>574</v>
      </c>
      <c r="X207" s="101" t="s">
        <v>575</v>
      </c>
      <c r="Y207" s="101"/>
      <c r="Z207" s="101" t="s">
        <v>576</v>
      </c>
      <c r="AA207" s="101" t="s">
        <v>577</v>
      </c>
      <c r="AB207" s="101" t="s">
        <v>578</v>
      </c>
      <c r="AC207" s="101" t="s">
        <v>579</v>
      </c>
      <c r="AD207" s="101" t="s">
        <v>580</v>
      </c>
      <c r="AE207" s="101" t="s">
        <v>581</v>
      </c>
      <c r="AF207" s="101" t="s">
        <v>582</v>
      </c>
      <c r="AG207" s="101"/>
      <c r="AH207" s="101"/>
      <c r="AI207" s="101"/>
    </row>
    <row r="208" spans="10:36" x14ac:dyDescent="0.2">
      <c r="J208" s="101" t="s">
        <v>30</v>
      </c>
      <c r="K208" s="101" t="s">
        <v>904</v>
      </c>
      <c r="L208" s="101" t="s">
        <v>809</v>
      </c>
      <c r="M208" s="101" t="s">
        <v>905</v>
      </c>
      <c r="N208" s="189">
        <v>12430</v>
      </c>
      <c r="O208" s="101" t="s">
        <v>568</v>
      </c>
      <c r="P208" s="101" t="s">
        <v>569</v>
      </c>
      <c r="Q208" s="101" t="s">
        <v>570</v>
      </c>
      <c r="R208" s="101" t="s">
        <v>571</v>
      </c>
      <c r="S208" s="101" t="s">
        <v>572</v>
      </c>
      <c r="T208" s="101" t="s">
        <v>573</v>
      </c>
      <c r="U208" s="101"/>
      <c r="V208" s="101"/>
      <c r="W208" s="101" t="s">
        <v>574</v>
      </c>
      <c r="X208" s="101" t="s">
        <v>575</v>
      </c>
      <c r="Y208" s="101"/>
      <c r="Z208" s="101" t="s">
        <v>576</v>
      </c>
      <c r="AA208" s="101" t="s">
        <v>577</v>
      </c>
      <c r="AB208" s="101" t="s">
        <v>578</v>
      </c>
      <c r="AC208" s="101" t="s">
        <v>579</v>
      </c>
      <c r="AD208" s="101" t="s">
        <v>580</v>
      </c>
      <c r="AE208" s="101" t="s">
        <v>581</v>
      </c>
      <c r="AF208" s="101" t="s">
        <v>582</v>
      </c>
      <c r="AG208" s="101" t="s">
        <v>583</v>
      </c>
      <c r="AH208" s="101" t="s">
        <v>584</v>
      </c>
      <c r="AI208" s="101" t="s">
        <v>585</v>
      </c>
    </row>
    <row r="209" spans="10:36" x14ac:dyDescent="0.2">
      <c r="J209" s="101" t="s">
        <v>30</v>
      </c>
      <c r="K209" s="101" t="s">
        <v>1318</v>
      </c>
      <c r="L209" s="101" t="s">
        <v>825</v>
      </c>
      <c r="M209" s="101" t="s">
        <v>1319</v>
      </c>
      <c r="N209" s="189">
        <v>12360</v>
      </c>
      <c r="O209" s="101" t="s">
        <v>568</v>
      </c>
      <c r="P209" s="101" t="s">
        <v>569</v>
      </c>
      <c r="Q209" s="101" t="s">
        <v>570</v>
      </c>
      <c r="R209" s="101" t="s">
        <v>571</v>
      </c>
      <c r="S209" s="101" t="s">
        <v>572</v>
      </c>
      <c r="T209" s="101" t="s">
        <v>573</v>
      </c>
      <c r="U209" s="101"/>
      <c r="V209" s="101"/>
      <c r="W209" s="101" t="s">
        <v>574</v>
      </c>
      <c r="X209" s="101" t="s">
        <v>575</v>
      </c>
      <c r="Y209" s="101"/>
      <c r="Z209" s="101" t="s">
        <v>576</v>
      </c>
      <c r="AA209" s="101" t="s">
        <v>577</v>
      </c>
      <c r="AB209" s="101" t="s">
        <v>578</v>
      </c>
      <c r="AC209" s="101" t="s">
        <v>579</v>
      </c>
      <c r="AD209" s="101" t="s">
        <v>580</v>
      </c>
      <c r="AE209" s="101" t="s">
        <v>581</v>
      </c>
      <c r="AF209" s="101" t="s">
        <v>582</v>
      </c>
      <c r="AG209" s="101"/>
      <c r="AH209" s="101"/>
      <c r="AI209" s="101"/>
    </row>
    <row r="210" spans="10:36" x14ac:dyDescent="0.2">
      <c r="J210" s="101" t="s">
        <v>30</v>
      </c>
      <c r="K210" s="101" t="s">
        <v>808</v>
      </c>
      <c r="L210" s="101" t="s">
        <v>809</v>
      </c>
      <c r="M210" s="101" t="s">
        <v>810</v>
      </c>
      <c r="N210" s="189">
        <v>11960</v>
      </c>
      <c r="O210" s="101" t="s">
        <v>568</v>
      </c>
      <c r="P210" s="101" t="s">
        <v>569</v>
      </c>
      <c r="Q210" s="101" t="s">
        <v>570</v>
      </c>
      <c r="R210" s="101" t="s">
        <v>571</v>
      </c>
      <c r="S210" s="101" t="s">
        <v>572</v>
      </c>
      <c r="T210" s="101" t="s">
        <v>573</v>
      </c>
      <c r="U210" s="101"/>
      <c r="V210" s="101"/>
      <c r="W210" s="101" t="s">
        <v>574</v>
      </c>
      <c r="X210" s="101" t="s">
        <v>575</v>
      </c>
      <c r="Y210" s="101"/>
      <c r="Z210" s="101" t="s">
        <v>576</v>
      </c>
      <c r="AA210" s="101" t="s">
        <v>577</v>
      </c>
      <c r="AB210" s="101" t="s">
        <v>578</v>
      </c>
      <c r="AC210" s="101" t="s">
        <v>579</v>
      </c>
      <c r="AD210" s="101" t="s">
        <v>580</v>
      </c>
      <c r="AE210" s="101" t="s">
        <v>581</v>
      </c>
      <c r="AF210" s="101" t="s">
        <v>582</v>
      </c>
      <c r="AG210" s="101" t="s">
        <v>583</v>
      </c>
      <c r="AH210" s="101" t="s">
        <v>584</v>
      </c>
      <c r="AI210" s="101" t="s">
        <v>585</v>
      </c>
      <c r="AJ210" s="101" t="s">
        <v>2362</v>
      </c>
    </row>
    <row r="211" spans="10:36" x14ac:dyDescent="0.2">
      <c r="J211" s="101" t="s">
        <v>30</v>
      </c>
      <c r="K211" s="101" t="s">
        <v>906</v>
      </c>
      <c r="L211" s="101" t="s">
        <v>809</v>
      </c>
      <c r="M211" s="101" t="s">
        <v>907</v>
      </c>
      <c r="N211" s="189">
        <v>12040</v>
      </c>
      <c r="O211" s="101" t="s">
        <v>568</v>
      </c>
      <c r="P211" s="101" t="s">
        <v>569</v>
      </c>
      <c r="Q211" s="101" t="s">
        <v>570</v>
      </c>
      <c r="R211" s="101" t="s">
        <v>571</v>
      </c>
      <c r="S211" s="101" t="s">
        <v>572</v>
      </c>
      <c r="T211" s="101" t="s">
        <v>573</v>
      </c>
      <c r="U211" s="101"/>
      <c r="V211" s="101"/>
      <c r="W211" s="101" t="s">
        <v>574</v>
      </c>
      <c r="X211" s="101" t="s">
        <v>575</v>
      </c>
      <c r="Y211" s="101"/>
      <c r="Z211" s="101" t="s">
        <v>576</v>
      </c>
      <c r="AA211" s="101" t="s">
        <v>577</v>
      </c>
      <c r="AB211" s="101" t="s">
        <v>578</v>
      </c>
      <c r="AC211" s="101" t="s">
        <v>579</v>
      </c>
      <c r="AD211" s="101" t="s">
        <v>580</v>
      </c>
      <c r="AE211" s="101" t="s">
        <v>581</v>
      </c>
      <c r="AF211" s="101" t="s">
        <v>582</v>
      </c>
      <c r="AG211" s="101"/>
      <c r="AH211" s="101"/>
      <c r="AI211" s="101"/>
    </row>
    <row r="212" spans="10:36" x14ac:dyDescent="0.2">
      <c r="J212" s="101" t="s">
        <v>30</v>
      </c>
      <c r="K212" s="101" t="s">
        <v>908</v>
      </c>
      <c r="L212" s="101" t="s">
        <v>809</v>
      </c>
      <c r="M212" s="101" t="s">
        <v>909</v>
      </c>
      <c r="N212" s="189">
        <v>12380</v>
      </c>
      <c r="O212" s="101" t="s">
        <v>568</v>
      </c>
      <c r="P212" s="101" t="s">
        <v>569</v>
      </c>
      <c r="Q212" s="101" t="s">
        <v>570</v>
      </c>
      <c r="R212" s="101" t="s">
        <v>571</v>
      </c>
      <c r="S212" s="101" t="s">
        <v>572</v>
      </c>
      <c r="T212" s="101" t="s">
        <v>573</v>
      </c>
      <c r="U212" s="101"/>
      <c r="V212" s="101"/>
      <c r="W212" s="101" t="s">
        <v>574</v>
      </c>
      <c r="X212" s="101" t="s">
        <v>575</v>
      </c>
      <c r="Y212" s="101"/>
      <c r="Z212" s="101" t="s">
        <v>576</v>
      </c>
      <c r="AA212" s="101" t="s">
        <v>577</v>
      </c>
      <c r="AB212" s="101" t="s">
        <v>578</v>
      </c>
      <c r="AC212" s="101" t="s">
        <v>579</v>
      </c>
      <c r="AD212" s="101" t="s">
        <v>580</v>
      </c>
      <c r="AE212" s="101" t="s">
        <v>581</v>
      </c>
      <c r="AF212" s="101" t="s">
        <v>582</v>
      </c>
      <c r="AG212" s="101"/>
      <c r="AH212" s="101"/>
      <c r="AI212" s="101"/>
    </row>
    <row r="213" spans="10:36" x14ac:dyDescent="0.2">
      <c r="J213" s="101" t="s">
        <v>30</v>
      </c>
      <c r="K213" s="101" t="s">
        <v>910</v>
      </c>
      <c r="L213" s="101" t="s">
        <v>809</v>
      </c>
      <c r="M213" s="101" t="s">
        <v>911</v>
      </c>
      <c r="N213" s="189">
        <v>12480</v>
      </c>
      <c r="O213" s="101" t="s">
        <v>568</v>
      </c>
      <c r="P213" s="101" t="s">
        <v>569</v>
      </c>
      <c r="Q213" s="101" t="s">
        <v>570</v>
      </c>
      <c r="R213" s="101" t="s">
        <v>571</v>
      </c>
      <c r="S213" s="101" t="s">
        <v>572</v>
      </c>
      <c r="T213" s="101" t="s">
        <v>573</v>
      </c>
      <c r="U213" s="101"/>
      <c r="V213" s="101"/>
      <c r="W213" s="101" t="s">
        <v>574</v>
      </c>
      <c r="X213" s="101" t="s">
        <v>575</v>
      </c>
      <c r="Y213" s="101"/>
      <c r="Z213" s="101" t="s">
        <v>576</v>
      </c>
      <c r="AA213" s="101" t="s">
        <v>577</v>
      </c>
      <c r="AB213" s="101" t="s">
        <v>578</v>
      </c>
      <c r="AC213" s="101" t="s">
        <v>579</v>
      </c>
      <c r="AD213" s="101" t="s">
        <v>580</v>
      </c>
      <c r="AE213" s="101" t="s">
        <v>581</v>
      </c>
      <c r="AF213" s="101" t="s">
        <v>582</v>
      </c>
      <c r="AG213" s="101"/>
      <c r="AH213" s="101"/>
      <c r="AI213" s="101"/>
    </row>
    <row r="214" spans="10:36" x14ac:dyDescent="0.2">
      <c r="J214" s="101" t="s">
        <v>30</v>
      </c>
      <c r="K214" s="101" t="s">
        <v>912</v>
      </c>
      <c r="L214" s="101" t="s">
        <v>809</v>
      </c>
      <c r="M214" s="101" t="s">
        <v>913</v>
      </c>
      <c r="N214" s="189">
        <v>12430</v>
      </c>
      <c r="O214" s="101" t="s">
        <v>568</v>
      </c>
      <c r="P214" s="101" t="s">
        <v>569</v>
      </c>
      <c r="Q214" s="101" t="s">
        <v>570</v>
      </c>
      <c r="R214" s="101" t="s">
        <v>571</v>
      </c>
      <c r="S214" s="101" t="s">
        <v>572</v>
      </c>
      <c r="T214" s="101" t="s">
        <v>573</v>
      </c>
      <c r="U214" s="101"/>
      <c r="V214" s="101"/>
      <c r="W214" s="101" t="s">
        <v>574</v>
      </c>
      <c r="X214" s="101" t="s">
        <v>575</v>
      </c>
      <c r="Y214" s="101"/>
      <c r="Z214" s="101" t="s">
        <v>576</v>
      </c>
      <c r="AA214" s="101" t="s">
        <v>577</v>
      </c>
      <c r="AB214" s="101" t="s">
        <v>578</v>
      </c>
      <c r="AC214" s="101" t="s">
        <v>579</v>
      </c>
      <c r="AD214" s="101" t="s">
        <v>580</v>
      </c>
      <c r="AE214" s="101" t="s">
        <v>581</v>
      </c>
      <c r="AF214" s="101" t="s">
        <v>582</v>
      </c>
      <c r="AG214" s="101" t="s">
        <v>583</v>
      </c>
      <c r="AH214" s="101" t="s">
        <v>584</v>
      </c>
      <c r="AI214" s="101" t="s">
        <v>585</v>
      </c>
    </row>
    <row r="215" spans="10:36" x14ac:dyDescent="0.2">
      <c r="J215" s="101" t="s">
        <v>30</v>
      </c>
      <c r="K215" s="101" t="s">
        <v>914</v>
      </c>
      <c r="L215" s="101" t="s">
        <v>809</v>
      </c>
      <c r="M215" s="101" t="s">
        <v>915</v>
      </c>
      <c r="N215" s="189">
        <v>12050</v>
      </c>
      <c r="O215" s="101" t="s">
        <v>568</v>
      </c>
      <c r="P215" s="101" t="s">
        <v>569</v>
      </c>
      <c r="Q215" s="101" t="s">
        <v>570</v>
      </c>
      <c r="R215" s="101" t="s">
        <v>571</v>
      </c>
      <c r="S215" s="101" t="s">
        <v>572</v>
      </c>
      <c r="T215" s="101" t="s">
        <v>573</v>
      </c>
      <c r="U215" s="101"/>
      <c r="V215" s="101"/>
      <c r="W215" s="101" t="s">
        <v>574</v>
      </c>
      <c r="X215" s="101" t="s">
        <v>575</v>
      </c>
      <c r="Y215" s="101"/>
      <c r="Z215" s="101" t="s">
        <v>576</v>
      </c>
      <c r="AA215" s="101" t="s">
        <v>577</v>
      </c>
      <c r="AB215" s="101" t="s">
        <v>578</v>
      </c>
      <c r="AC215" s="101" t="s">
        <v>579</v>
      </c>
      <c r="AD215" s="101" t="s">
        <v>580</v>
      </c>
      <c r="AE215" s="101" t="s">
        <v>581</v>
      </c>
      <c r="AF215" s="101" t="s">
        <v>582</v>
      </c>
      <c r="AG215" s="101" t="s">
        <v>583</v>
      </c>
      <c r="AH215" s="101" t="s">
        <v>584</v>
      </c>
      <c r="AI215" s="101" t="s">
        <v>585</v>
      </c>
      <c r="AJ215" s="101" t="s">
        <v>2362</v>
      </c>
    </row>
    <row r="216" spans="10:36" x14ac:dyDescent="0.2">
      <c r="J216" s="101" t="s">
        <v>30</v>
      </c>
      <c r="K216" s="101" t="s">
        <v>916</v>
      </c>
      <c r="L216" s="101" t="s">
        <v>819</v>
      </c>
      <c r="M216" s="101" t="s">
        <v>917</v>
      </c>
      <c r="N216" s="189">
        <v>11870</v>
      </c>
      <c r="O216" s="101" t="s">
        <v>568</v>
      </c>
      <c r="P216" s="101" t="s">
        <v>569</v>
      </c>
      <c r="Q216" s="101" t="s">
        <v>570</v>
      </c>
      <c r="R216" s="101" t="s">
        <v>571</v>
      </c>
      <c r="S216" s="101" t="s">
        <v>572</v>
      </c>
      <c r="T216" s="101" t="s">
        <v>573</v>
      </c>
      <c r="U216" s="101"/>
      <c r="V216" s="101"/>
      <c r="W216" s="101" t="s">
        <v>574</v>
      </c>
      <c r="X216" s="101" t="s">
        <v>575</v>
      </c>
      <c r="Y216" s="101"/>
      <c r="Z216" s="101" t="s">
        <v>576</v>
      </c>
      <c r="AA216" s="101" t="s">
        <v>577</v>
      </c>
      <c r="AB216" s="101" t="s">
        <v>578</v>
      </c>
      <c r="AC216" s="101" t="s">
        <v>579</v>
      </c>
      <c r="AD216" s="101" t="s">
        <v>580</v>
      </c>
      <c r="AE216" s="101" t="s">
        <v>581</v>
      </c>
      <c r="AF216" s="101" t="s">
        <v>582</v>
      </c>
      <c r="AG216" s="101" t="s">
        <v>583</v>
      </c>
      <c r="AH216" s="101" t="s">
        <v>584</v>
      </c>
      <c r="AI216" s="101" t="s">
        <v>585</v>
      </c>
    </row>
    <row r="217" spans="10:36" x14ac:dyDescent="0.2">
      <c r="J217" s="101" t="s">
        <v>30</v>
      </c>
      <c r="K217" s="101" t="s">
        <v>918</v>
      </c>
      <c r="L217" s="101" t="s">
        <v>819</v>
      </c>
      <c r="M217" s="101" t="s">
        <v>919</v>
      </c>
      <c r="N217" s="189">
        <v>12470</v>
      </c>
      <c r="O217" s="101" t="s">
        <v>568</v>
      </c>
      <c r="P217" s="101" t="s">
        <v>569</v>
      </c>
      <c r="Q217" s="101" t="s">
        <v>570</v>
      </c>
      <c r="R217" s="101" t="s">
        <v>571</v>
      </c>
      <c r="S217" s="101" t="s">
        <v>572</v>
      </c>
      <c r="T217" s="101" t="s">
        <v>573</v>
      </c>
      <c r="U217" s="101"/>
      <c r="V217" s="101"/>
      <c r="W217" s="101" t="s">
        <v>574</v>
      </c>
      <c r="X217" s="101" t="s">
        <v>575</v>
      </c>
      <c r="Y217" s="101"/>
      <c r="Z217" s="101" t="s">
        <v>576</v>
      </c>
      <c r="AA217" s="101" t="s">
        <v>577</v>
      </c>
      <c r="AB217" s="101" t="s">
        <v>578</v>
      </c>
      <c r="AC217" s="101" t="s">
        <v>579</v>
      </c>
      <c r="AD217" s="101" t="s">
        <v>580</v>
      </c>
      <c r="AE217" s="101" t="s">
        <v>581</v>
      </c>
      <c r="AF217" s="101" t="s">
        <v>582</v>
      </c>
      <c r="AG217" s="101"/>
      <c r="AH217" s="101"/>
      <c r="AI217" s="101"/>
    </row>
    <row r="218" spans="10:36" x14ac:dyDescent="0.2">
      <c r="J218" s="101" t="s">
        <v>30</v>
      </c>
      <c r="K218" s="101" t="s">
        <v>920</v>
      </c>
      <c r="L218" s="101" t="s">
        <v>819</v>
      </c>
      <c r="M218" s="101" t="s">
        <v>921</v>
      </c>
      <c r="N218" s="189">
        <v>12230</v>
      </c>
      <c r="O218" s="101" t="s">
        <v>568</v>
      </c>
      <c r="P218" s="101" t="s">
        <v>569</v>
      </c>
      <c r="Q218" s="101" t="s">
        <v>570</v>
      </c>
      <c r="R218" s="101" t="s">
        <v>571</v>
      </c>
      <c r="S218" s="101" t="s">
        <v>572</v>
      </c>
      <c r="T218" s="101" t="s">
        <v>573</v>
      </c>
      <c r="U218" s="101"/>
      <c r="V218" s="101"/>
      <c r="W218" s="101" t="s">
        <v>574</v>
      </c>
      <c r="X218" s="101" t="s">
        <v>575</v>
      </c>
      <c r="Y218" s="101"/>
      <c r="Z218" s="101" t="s">
        <v>576</v>
      </c>
      <c r="AA218" s="101" t="s">
        <v>577</v>
      </c>
      <c r="AB218" s="101" t="s">
        <v>578</v>
      </c>
      <c r="AC218" s="101" t="s">
        <v>579</v>
      </c>
      <c r="AD218" s="101" t="s">
        <v>580</v>
      </c>
      <c r="AE218" s="101" t="s">
        <v>581</v>
      </c>
      <c r="AF218" s="101" t="s">
        <v>582</v>
      </c>
      <c r="AG218" s="101"/>
      <c r="AH218" s="101"/>
      <c r="AI218" s="101"/>
    </row>
    <row r="219" spans="10:36" x14ac:dyDescent="0.2">
      <c r="J219" s="101" t="s">
        <v>30</v>
      </c>
      <c r="K219" s="101" t="s">
        <v>818</v>
      </c>
      <c r="L219" s="101" t="s">
        <v>819</v>
      </c>
      <c r="M219" s="101" t="s">
        <v>820</v>
      </c>
      <c r="N219" s="189">
        <v>12460</v>
      </c>
      <c r="O219" s="101" t="s">
        <v>568</v>
      </c>
      <c r="P219" s="101" t="s">
        <v>569</v>
      </c>
      <c r="Q219" s="101" t="s">
        <v>570</v>
      </c>
      <c r="R219" s="101" t="s">
        <v>571</v>
      </c>
      <c r="S219" s="101" t="s">
        <v>572</v>
      </c>
      <c r="T219" s="101" t="s">
        <v>573</v>
      </c>
      <c r="U219" s="101"/>
      <c r="V219" s="101"/>
      <c r="W219" s="101" t="s">
        <v>574</v>
      </c>
      <c r="X219" s="101" t="s">
        <v>575</v>
      </c>
      <c r="Y219" s="101"/>
      <c r="Z219" s="101" t="s">
        <v>576</v>
      </c>
      <c r="AA219" s="101" t="s">
        <v>577</v>
      </c>
      <c r="AB219" s="101" t="s">
        <v>578</v>
      </c>
      <c r="AC219" s="101" t="s">
        <v>579</v>
      </c>
      <c r="AD219" s="101" t="s">
        <v>580</v>
      </c>
      <c r="AE219" s="101" t="s">
        <v>581</v>
      </c>
      <c r="AF219" s="101" t="s">
        <v>582</v>
      </c>
      <c r="AG219" s="101" t="s">
        <v>583</v>
      </c>
      <c r="AH219" s="101" t="s">
        <v>584</v>
      </c>
      <c r="AI219" s="101"/>
    </row>
    <row r="220" spans="10:36" x14ac:dyDescent="0.2">
      <c r="J220" s="101" t="s">
        <v>30</v>
      </c>
      <c r="K220" s="101" t="s">
        <v>924</v>
      </c>
      <c r="L220" s="101" t="s">
        <v>819</v>
      </c>
      <c r="M220" s="101" t="s">
        <v>925</v>
      </c>
      <c r="N220" s="189">
        <v>12340</v>
      </c>
      <c r="O220" s="101" t="s">
        <v>568</v>
      </c>
      <c r="P220" s="101" t="s">
        <v>569</v>
      </c>
      <c r="Q220" s="101" t="s">
        <v>570</v>
      </c>
      <c r="R220" s="101" t="s">
        <v>571</v>
      </c>
      <c r="S220" s="101" t="s">
        <v>572</v>
      </c>
      <c r="T220" s="101" t="s">
        <v>573</v>
      </c>
      <c r="U220" s="101"/>
      <c r="V220" s="101"/>
      <c r="W220" s="101"/>
      <c r="X220" s="101" t="s">
        <v>575</v>
      </c>
      <c r="Y220" s="101"/>
      <c r="Z220" s="101" t="s">
        <v>576</v>
      </c>
      <c r="AA220" s="101" t="s">
        <v>577</v>
      </c>
      <c r="AB220" s="101" t="s">
        <v>578</v>
      </c>
      <c r="AC220" s="101" t="s">
        <v>579</v>
      </c>
      <c r="AD220" s="101" t="s">
        <v>580</v>
      </c>
      <c r="AE220" s="101" t="s">
        <v>581</v>
      </c>
      <c r="AF220" s="101" t="s">
        <v>582</v>
      </c>
      <c r="AG220" s="101" t="s">
        <v>583</v>
      </c>
      <c r="AH220" s="101" t="s">
        <v>584</v>
      </c>
      <c r="AI220" s="101" t="s">
        <v>585</v>
      </c>
    </row>
    <row r="221" spans="10:36" x14ac:dyDescent="0.2">
      <c r="J221" s="101" t="s">
        <v>30</v>
      </c>
      <c r="K221" s="101" t="s">
        <v>926</v>
      </c>
      <c r="L221" s="101" t="s">
        <v>819</v>
      </c>
      <c r="M221" s="101" t="s">
        <v>927</v>
      </c>
      <c r="N221" s="189">
        <v>12450</v>
      </c>
      <c r="O221" s="101" t="s">
        <v>568</v>
      </c>
      <c r="P221" s="101" t="s">
        <v>569</v>
      </c>
      <c r="Q221" s="101" t="s">
        <v>570</v>
      </c>
      <c r="R221" s="101" t="s">
        <v>571</v>
      </c>
      <c r="S221" s="101" t="s">
        <v>572</v>
      </c>
      <c r="T221" s="101" t="s">
        <v>573</v>
      </c>
      <c r="U221" s="101"/>
      <c r="V221" s="101"/>
      <c r="W221" s="101" t="s">
        <v>574</v>
      </c>
      <c r="X221" s="101" t="s">
        <v>575</v>
      </c>
      <c r="Y221" s="101"/>
      <c r="Z221" s="101" t="s">
        <v>576</v>
      </c>
      <c r="AA221" s="101" t="s">
        <v>577</v>
      </c>
      <c r="AB221" s="101" t="s">
        <v>578</v>
      </c>
      <c r="AC221" s="101" t="s">
        <v>579</v>
      </c>
      <c r="AD221" s="101" t="s">
        <v>580</v>
      </c>
      <c r="AE221" s="101" t="s">
        <v>581</v>
      </c>
      <c r="AF221" s="101" t="s">
        <v>582</v>
      </c>
      <c r="AG221" s="101"/>
      <c r="AH221" s="101"/>
      <c r="AI221" s="101"/>
    </row>
    <row r="222" spans="10:36" x14ac:dyDescent="0.2">
      <c r="J222" s="101" t="s">
        <v>30</v>
      </c>
      <c r="K222" s="101" t="s">
        <v>928</v>
      </c>
      <c r="L222" s="101" t="s">
        <v>819</v>
      </c>
      <c r="M222" s="101" t="s">
        <v>929</v>
      </c>
      <c r="N222" s="189">
        <v>12470</v>
      </c>
      <c r="O222" s="101" t="s">
        <v>568</v>
      </c>
      <c r="P222" s="101" t="s">
        <v>569</v>
      </c>
      <c r="Q222" s="101" t="s">
        <v>570</v>
      </c>
      <c r="R222" s="101" t="s">
        <v>571</v>
      </c>
      <c r="S222" s="101" t="s">
        <v>572</v>
      </c>
      <c r="T222" s="101" t="s">
        <v>573</v>
      </c>
      <c r="U222" s="101"/>
      <c r="V222" s="101"/>
      <c r="W222" s="101" t="s">
        <v>574</v>
      </c>
      <c r="X222" s="101" t="s">
        <v>575</v>
      </c>
      <c r="Y222" s="101"/>
      <c r="Z222" s="101" t="s">
        <v>576</v>
      </c>
      <c r="AA222" s="101" t="s">
        <v>577</v>
      </c>
      <c r="AB222" s="101" t="s">
        <v>578</v>
      </c>
      <c r="AC222" s="101" t="s">
        <v>579</v>
      </c>
      <c r="AD222" s="101" t="s">
        <v>580</v>
      </c>
      <c r="AE222" s="101" t="s">
        <v>581</v>
      </c>
      <c r="AF222" s="101" t="s">
        <v>582</v>
      </c>
      <c r="AG222" s="101"/>
      <c r="AH222" s="101"/>
      <c r="AI222" s="101"/>
    </row>
    <row r="223" spans="10:36" x14ac:dyDescent="0.2">
      <c r="J223" s="101" t="s">
        <v>30</v>
      </c>
      <c r="K223" s="101" t="s">
        <v>930</v>
      </c>
      <c r="L223" s="101" t="s">
        <v>819</v>
      </c>
      <c r="M223" s="101" t="s">
        <v>931</v>
      </c>
      <c r="N223" s="189">
        <v>12370</v>
      </c>
      <c r="O223" s="101" t="s">
        <v>568</v>
      </c>
      <c r="P223" s="101" t="s">
        <v>569</v>
      </c>
      <c r="Q223" s="101" t="s">
        <v>570</v>
      </c>
      <c r="R223" s="101" t="s">
        <v>571</v>
      </c>
      <c r="S223" s="101" t="s">
        <v>572</v>
      </c>
      <c r="T223" s="101" t="s">
        <v>573</v>
      </c>
      <c r="U223" s="101"/>
      <c r="V223" s="101"/>
      <c r="W223" s="101" t="s">
        <v>574</v>
      </c>
      <c r="X223" s="101" t="s">
        <v>575</v>
      </c>
      <c r="Y223" s="101"/>
      <c r="Z223" s="101" t="s">
        <v>576</v>
      </c>
      <c r="AA223" s="101" t="s">
        <v>577</v>
      </c>
      <c r="AB223" s="101" t="s">
        <v>578</v>
      </c>
      <c r="AC223" s="101" t="s">
        <v>579</v>
      </c>
      <c r="AD223" s="101" t="s">
        <v>580</v>
      </c>
      <c r="AE223" s="101" t="s">
        <v>581</v>
      </c>
      <c r="AF223" s="101" t="s">
        <v>582</v>
      </c>
      <c r="AG223" s="101"/>
      <c r="AH223" s="101"/>
      <c r="AI223" s="101"/>
    </row>
    <row r="224" spans="10:36" x14ac:dyDescent="0.2">
      <c r="J224" s="101" t="s">
        <v>30</v>
      </c>
      <c r="K224" s="101" t="s">
        <v>787</v>
      </c>
      <c r="L224" s="101" t="s">
        <v>323</v>
      </c>
      <c r="M224" s="101" t="s">
        <v>489</v>
      </c>
      <c r="N224" s="189">
        <v>3540</v>
      </c>
      <c r="O224" s="101" t="s">
        <v>568</v>
      </c>
      <c r="P224" s="101" t="s">
        <v>569</v>
      </c>
      <c r="Q224" s="101" t="s">
        <v>570</v>
      </c>
      <c r="R224" s="101" t="s">
        <v>571</v>
      </c>
      <c r="S224" s="101" t="s">
        <v>572</v>
      </c>
      <c r="T224" s="101" t="s">
        <v>573</v>
      </c>
      <c r="U224" s="101"/>
      <c r="V224" s="101"/>
      <c r="W224" s="101" t="s">
        <v>574</v>
      </c>
      <c r="X224" s="101" t="s">
        <v>575</v>
      </c>
      <c r="Y224" s="101"/>
      <c r="Z224" s="101" t="s">
        <v>576</v>
      </c>
      <c r="AA224" s="101" t="s">
        <v>577</v>
      </c>
      <c r="AB224" s="101" t="s">
        <v>578</v>
      </c>
      <c r="AC224" s="101" t="s">
        <v>579</v>
      </c>
      <c r="AD224" s="101" t="s">
        <v>580</v>
      </c>
      <c r="AE224" s="101" t="s">
        <v>581</v>
      </c>
      <c r="AF224" s="101" t="s">
        <v>582</v>
      </c>
      <c r="AG224" s="101" t="s">
        <v>583</v>
      </c>
      <c r="AH224" s="101" t="s">
        <v>584</v>
      </c>
      <c r="AI224" s="101" t="s">
        <v>585</v>
      </c>
    </row>
    <row r="225" spans="10:35" x14ac:dyDescent="0.2">
      <c r="J225" s="101" t="s">
        <v>30</v>
      </c>
      <c r="K225" s="101" t="s">
        <v>98</v>
      </c>
      <c r="L225" s="101" t="s">
        <v>34</v>
      </c>
      <c r="M225" s="101" t="s">
        <v>99</v>
      </c>
      <c r="N225" s="189">
        <v>12330</v>
      </c>
      <c r="O225" s="101" t="s">
        <v>568</v>
      </c>
      <c r="P225" s="101" t="s">
        <v>569</v>
      </c>
      <c r="Q225" s="101" t="s">
        <v>570</v>
      </c>
      <c r="R225" s="101" t="s">
        <v>571</v>
      </c>
      <c r="S225" s="101" t="s">
        <v>572</v>
      </c>
      <c r="T225" s="101" t="s">
        <v>573</v>
      </c>
      <c r="U225" s="101"/>
      <c r="V225" s="101"/>
      <c r="W225" s="101" t="s">
        <v>574</v>
      </c>
      <c r="X225" s="101" t="s">
        <v>575</v>
      </c>
      <c r="Y225" s="101"/>
      <c r="Z225" s="101" t="s">
        <v>576</v>
      </c>
      <c r="AA225" s="101" t="s">
        <v>577</v>
      </c>
      <c r="AB225" s="101" t="s">
        <v>578</v>
      </c>
      <c r="AC225" s="101" t="s">
        <v>579</v>
      </c>
      <c r="AD225" s="101" t="s">
        <v>580</v>
      </c>
      <c r="AE225" s="101" t="s">
        <v>581</v>
      </c>
      <c r="AF225" s="101" t="s">
        <v>582</v>
      </c>
      <c r="AG225" s="101" t="s">
        <v>583</v>
      </c>
      <c r="AH225" s="101" t="s">
        <v>584</v>
      </c>
      <c r="AI225" s="101" t="s">
        <v>585</v>
      </c>
    </row>
    <row r="226" spans="10:35" x14ac:dyDescent="0.2">
      <c r="J226" s="101" t="s">
        <v>30</v>
      </c>
      <c r="K226" s="101" t="s">
        <v>936</v>
      </c>
      <c r="L226" s="101" t="s">
        <v>937</v>
      </c>
      <c r="M226" s="101" t="s">
        <v>938</v>
      </c>
      <c r="N226" s="189">
        <v>12470</v>
      </c>
      <c r="O226" s="101" t="s">
        <v>568</v>
      </c>
      <c r="P226" s="101" t="s">
        <v>569</v>
      </c>
      <c r="Q226" s="101" t="s">
        <v>570</v>
      </c>
      <c r="R226" s="101" t="s">
        <v>571</v>
      </c>
      <c r="S226" s="101" t="s">
        <v>572</v>
      </c>
      <c r="T226" s="101" t="s">
        <v>573</v>
      </c>
      <c r="U226" s="101"/>
      <c r="V226" s="101"/>
      <c r="W226" s="101" t="s">
        <v>574</v>
      </c>
      <c r="X226" s="101" t="s">
        <v>575</v>
      </c>
      <c r="Y226" s="101"/>
      <c r="Z226" s="101" t="s">
        <v>576</v>
      </c>
      <c r="AA226" s="101" t="s">
        <v>577</v>
      </c>
      <c r="AB226" s="101" t="s">
        <v>578</v>
      </c>
      <c r="AC226" s="101" t="s">
        <v>579</v>
      </c>
      <c r="AD226" s="101" t="s">
        <v>580</v>
      </c>
      <c r="AE226" s="101" t="s">
        <v>581</v>
      </c>
      <c r="AF226" s="101" t="s">
        <v>582</v>
      </c>
      <c r="AG226" s="101"/>
      <c r="AH226" s="101"/>
      <c r="AI226" s="101"/>
    </row>
    <row r="227" spans="10:35" x14ac:dyDescent="0.2">
      <c r="J227" s="101" t="s">
        <v>30</v>
      </c>
      <c r="K227" s="101" t="s">
        <v>939</v>
      </c>
      <c r="L227" s="101" t="s">
        <v>937</v>
      </c>
      <c r="M227" s="101" t="s">
        <v>940</v>
      </c>
      <c r="N227" s="189">
        <v>12460</v>
      </c>
      <c r="O227" s="101" t="s">
        <v>568</v>
      </c>
      <c r="P227" s="101" t="s">
        <v>569</v>
      </c>
      <c r="Q227" s="101" t="s">
        <v>570</v>
      </c>
      <c r="R227" s="101" t="s">
        <v>571</v>
      </c>
      <c r="S227" s="101" t="s">
        <v>572</v>
      </c>
      <c r="T227" s="101" t="s">
        <v>573</v>
      </c>
      <c r="U227" s="101"/>
      <c r="V227" s="101"/>
      <c r="W227" s="101" t="s">
        <v>574</v>
      </c>
      <c r="X227" s="101" t="s">
        <v>575</v>
      </c>
      <c r="Y227" s="101"/>
      <c r="Z227" s="101" t="s">
        <v>576</v>
      </c>
      <c r="AA227" s="101" t="s">
        <v>577</v>
      </c>
      <c r="AB227" s="101" t="s">
        <v>578</v>
      </c>
      <c r="AC227" s="101" t="s">
        <v>579</v>
      </c>
      <c r="AD227" s="101" t="s">
        <v>580</v>
      </c>
      <c r="AE227" s="101" t="s">
        <v>581</v>
      </c>
      <c r="AF227" s="101" t="s">
        <v>582</v>
      </c>
      <c r="AG227" s="101"/>
      <c r="AH227" s="101"/>
      <c r="AI227" s="101"/>
    </row>
    <row r="228" spans="10:35" x14ac:dyDescent="0.2">
      <c r="J228" s="101" t="s">
        <v>30</v>
      </c>
      <c r="K228" s="101" t="s">
        <v>941</v>
      </c>
      <c r="L228" s="101" t="s">
        <v>937</v>
      </c>
      <c r="M228" s="101" t="s">
        <v>942</v>
      </c>
      <c r="N228" s="189">
        <v>12450</v>
      </c>
      <c r="O228" s="101" t="s">
        <v>568</v>
      </c>
      <c r="P228" s="101" t="s">
        <v>569</v>
      </c>
      <c r="Q228" s="101" t="s">
        <v>570</v>
      </c>
      <c r="R228" s="101" t="s">
        <v>571</v>
      </c>
      <c r="S228" s="101" t="s">
        <v>572</v>
      </c>
      <c r="T228" s="101" t="s">
        <v>573</v>
      </c>
      <c r="U228" s="101"/>
      <c r="V228" s="101"/>
      <c r="W228" s="101" t="s">
        <v>574</v>
      </c>
      <c r="X228" s="101" t="s">
        <v>575</v>
      </c>
      <c r="Y228" s="101"/>
      <c r="Z228" s="101" t="s">
        <v>576</v>
      </c>
      <c r="AA228" s="101" t="s">
        <v>577</v>
      </c>
      <c r="AB228" s="101" t="s">
        <v>578</v>
      </c>
      <c r="AC228" s="101" t="s">
        <v>579</v>
      </c>
      <c r="AD228" s="101" t="s">
        <v>580</v>
      </c>
      <c r="AE228" s="101" t="s">
        <v>581</v>
      </c>
      <c r="AF228" s="101" t="s">
        <v>582</v>
      </c>
      <c r="AG228" s="101"/>
      <c r="AH228" s="101"/>
      <c r="AI228" s="101"/>
    </row>
    <row r="229" spans="10:35" x14ac:dyDescent="0.2">
      <c r="J229" s="101" t="s">
        <v>30</v>
      </c>
      <c r="K229" s="101" t="s">
        <v>943</v>
      </c>
      <c r="L229" s="101" t="s">
        <v>937</v>
      </c>
      <c r="M229" s="101" t="s">
        <v>944</v>
      </c>
      <c r="N229" s="189">
        <v>12460</v>
      </c>
      <c r="O229" s="101" t="s">
        <v>568</v>
      </c>
      <c r="P229" s="101" t="s">
        <v>569</v>
      </c>
      <c r="Q229" s="101" t="s">
        <v>570</v>
      </c>
      <c r="R229" s="101" t="s">
        <v>571</v>
      </c>
      <c r="S229" s="101" t="s">
        <v>572</v>
      </c>
      <c r="T229" s="101" t="s">
        <v>573</v>
      </c>
      <c r="U229" s="101"/>
      <c r="V229" s="101"/>
      <c r="W229" s="101" t="s">
        <v>574</v>
      </c>
      <c r="X229" s="101" t="s">
        <v>575</v>
      </c>
      <c r="Y229" s="101"/>
      <c r="Z229" s="101" t="s">
        <v>576</v>
      </c>
      <c r="AA229" s="101" t="s">
        <v>577</v>
      </c>
      <c r="AB229" s="101" t="s">
        <v>578</v>
      </c>
      <c r="AC229" s="101" t="s">
        <v>579</v>
      </c>
      <c r="AD229" s="101" t="s">
        <v>580</v>
      </c>
      <c r="AE229" s="101" t="s">
        <v>581</v>
      </c>
      <c r="AF229" s="101" t="s">
        <v>582</v>
      </c>
      <c r="AG229" s="101"/>
      <c r="AH229" s="101"/>
      <c r="AI229" s="101"/>
    </row>
    <row r="230" spans="10:35" x14ac:dyDescent="0.2">
      <c r="J230" s="101" t="s">
        <v>30</v>
      </c>
      <c r="K230" s="101" t="s">
        <v>945</v>
      </c>
      <c r="L230" s="101" t="s">
        <v>819</v>
      </c>
      <c r="M230" s="101" t="s">
        <v>946</v>
      </c>
      <c r="N230" s="189">
        <v>12470</v>
      </c>
      <c r="O230" s="101" t="s">
        <v>568</v>
      </c>
      <c r="P230" s="101" t="s">
        <v>569</v>
      </c>
      <c r="Q230" s="101" t="s">
        <v>570</v>
      </c>
      <c r="R230" s="101" t="s">
        <v>571</v>
      </c>
      <c r="S230" s="101" t="s">
        <v>572</v>
      </c>
      <c r="T230" s="101" t="s">
        <v>573</v>
      </c>
      <c r="U230" s="101"/>
      <c r="V230" s="101"/>
      <c r="W230" s="101" t="s">
        <v>574</v>
      </c>
      <c r="X230" s="101" t="s">
        <v>575</v>
      </c>
      <c r="Y230" s="101"/>
      <c r="Z230" s="101" t="s">
        <v>576</v>
      </c>
      <c r="AA230" s="101" t="s">
        <v>577</v>
      </c>
      <c r="AB230" s="101" t="s">
        <v>578</v>
      </c>
      <c r="AC230" s="101" t="s">
        <v>579</v>
      </c>
      <c r="AD230" s="101" t="s">
        <v>580</v>
      </c>
      <c r="AE230" s="101" t="s">
        <v>581</v>
      </c>
      <c r="AF230" s="101" t="s">
        <v>582</v>
      </c>
      <c r="AG230" s="101" t="s">
        <v>583</v>
      </c>
      <c r="AH230" s="101"/>
      <c r="AI230" s="101"/>
    </row>
    <row r="231" spans="10:35" x14ac:dyDescent="0.2">
      <c r="J231" s="101" t="s">
        <v>30</v>
      </c>
      <c r="K231" s="101" t="s">
        <v>947</v>
      </c>
      <c r="L231" s="101" t="s">
        <v>937</v>
      </c>
      <c r="M231" s="101" t="s">
        <v>948</v>
      </c>
      <c r="N231" s="189">
        <v>12470</v>
      </c>
      <c r="O231" s="101" t="s">
        <v>568</v>
      </c>
      <c r="P231" s="101" t="s">
        <v>569</v>
      </c>
      <c r="Q231" s="101" t="s">
        <v>570</v>
      </c>
      <c r="R231" s="101" t="s">
        <v>571</v>
      </c>
      <c r="S231" s="101" t="s">
        <v>572</v>
      </c>
      <c r="T231" s="101" t="s">
        <v>573</v>
      </c>
      <c r="U231" s="101"/>
      <c r="V231" s="101"/>
      <c r="W231" s="101" t="s">
        <v>574</v>
      </c>
      <c r="X231" s="101" t="s">
        <v>575</v>
      </c>
      <c r="Y231" s="101"/>
      <c r="Z231" s="101" t="s">
        <v>576</v>
      </c>
      <c r="AA231" s="101" t="s">
        <v>577</v>
      </c>
      <c r="AB231" s="101" t="s">
        <v>578</v>
      </c>
      <c r="AC231" s="101" t="s">
        <v>579</v>
      </c>
      <c r="AD231" s="101" t="s">
        <v>580</v>
      </c>
      <c r="AE231" s="101" t="s">
        <v>581</v>
      </c>
      <c r="AF231" s="101" t="s">
        <v>582</v>
      </c>
      <c r="AG231" s="101" t="s">
        <v>583</v>
      </c>
      <c r="AH231" s="101" t="s">
        <v>584</v>
      </c>
      <c r="AI231" s="101"/>
    </row>
    <row r="232" spans="10:35" x14ac:dyDescent="0.2">
      <c r="J232" s="101" t="s">
        <v>30</v>
      </c>
      <c r="K232" s="101" t="s">
        <v>949</v>
      </c>
      <c r="L232" s="101" t="s">
        <v>819</v>
      </c>
      <c r="M232" s="101" t="s">
        <v>950</v>
      </c>
      <c r="N232" s="189">
        <v>12460</v>
      </c>
      <c r="O232" s="101" t="s">
        <v>568</v>
      </c>
      <c r="P232" s="101" t="s">
        <v>569</v>
      </c>
      <c r="Q232" s="101" t="s">
        <v>570</v>
      </c>
      <c r="R232" s="101" t="s">
        <v>571</v>
      </c>
      <c r="S232" s="101" t="s">
        <v>572</v>
      </c>
      <c r="T232" s="101" t="s">
        <v>573</v>
      </c>
      <c r="U232" s="101"/>
      <c r="V232" s="101"/>
      <c r="W232" s="101" t="s">
        <v>574</v>
      </c>
      <c r="X232" s="101" t="s">
        <v>575</v>
      </c>
      <c r="Y232" s="101"/>
      <c r="Z232" s="101" t="s">
        <v>576</v>
      </c>
      <c r="AA232" s="101" t="s">
        <v>577</v>
      </c>
      <c r="AB232" s="101" t="s">
        <v>578</v>
      </c>
      <c r="AC232" s="101" t="s">
        <v>579</v>
      </c>
      <c r="AD232" s="101" t="s">
        <v>580</v>
      </c>
      <c r="AE232" s="101" t="s">
        <v>581</v>
      </c>
      <c r="AF232" s="101" t="s">
        <v>582</v>
      </c>
      <c r="AG232" s="101"/>
      <c r="AH232" s="101"/>
      <c r="AI232" s="101"/>
    </row>
    <row r="233" spans="10:35" x14ac:dyDescent="0.2">
      <c r="J233" s="101" t="s">
        <v>30</v>
      </c>
      <c r="K233" s="101" t="s">
        <v>951</v>
      </c>
      <c r="L233" s="101" t="s">
        <v>819</v>
      </c>
      <c r="M233" s="101" t="s">
        <v>952</v>
      </c>
      <c r="N233" s="189">
        <v>12450</v>
      </c>
      <c r="O233" s="101" t="s">
        <v>568</v>
      </c>
      <c r="P233" s="101" t="s">
        <v>569</v>
      </c>
      <c r="Q233" s="101" t="s">
        <v>570</v>
      </c>
      <c r="R233" s="101" t="s">
        <v>571</v>
      </c>
      <c r="S233" s="101" t="s">
        <v>572</v>
      </c>
      <c r="T233" s="101" t="s">
        <v>573</v>
      </c>
      <c r="U233" s="101"/>
      <c r="V233" s="101"/>
      <c r="W233" s="101" t="s">
        <v>574</v>
      </c>
      <c r="X233" s="101" t="s">
        <v>575</v>
      </c>
      <c r="Y233" s="101"/>
      <c r="Z233" s="101" t="s">
        <v>576</v>
      </c>
      <c r="AA233" s="101" t="s">
        <v>577</v>
      </c>
      <c r="AB233" s="101" t="s">
        <v>578</v>
      </c>
      <c r="AC233" s="101" t="s">
        <v>579</v>
      </c>
      <c r="AD233" s="101" t="s">
        <v>580</v>
      </c>
      <c r="AE233" s="101" t="s">
        <v>581</v>
      </c>
      <c r="AF233" s="101" t="s">
        <v>582</v>
      </c>
      <c r="AG233" s="101"/>
      <c r="AH233" s="101"/>
      <c r="AI233" s="101"/>
    </row>
    <row r="234" spans="10:35" x14ac:dyDescent="0.2">
      <c r="J234" s="101" t="s">
        <v>30</v>
      </c>
      <c r="K234" s="101" t="s">
        <v>953</v>
      </c>
      <c r="L234" s="101" t="s">
        <v>819</v>
      </c>
      <c r="M234" s="101" t="s">
        <v>954</v>
      </c>
      <c r="N234" s="189">
        <v>12360</v>
      </c>
      <c r="O234" s="101" t="s">
        <v>568</v>
      </c>
      <c r="P234" s="101" t="s">
        <v>569</v>
      </c>
      <c r="Q234" s="101" t="s">
        <v>570</v>
      </c>
      <c r="R234" s="101" t="s">
        <v>571</v>
      </c>
      <c r="S234" s="101" t="s">
        <v>572</v>
      </c>
      <c r="T234" s="101" t="s">
        <v>573</v>
      </c>
      <c r="U234" s="101"/>
      <c r="V234" s="101"/>
      <c r="W234" s="101" t="s">
        <v>574</v>
      </c>
      <c r="X234" s="101" t="s">
        <v>575</v>
      </c>
      <c r="Y234" s="101"/>
      <c r="Z234" s="101" t="s">
        <v>576</v>
      </c>
      <c r="AA234" s="101" t="s">
        <v>577</v>
      </c>
      <c r="AB234" s="101" t="s">
        <v>578</v>
      </c>
      <c r="AC234" s="101" t="s">
        <v>579</v>
      </c>
      <c r="AD234" s="101" t="s">
        <v>580</v>
      </c>
      <c r="AE234" s="101" t="s">
        <v>581</v>
      </c>
      <c r="AF234" s="101" t="s">
        <v>582</v>
      </c>
      <c r="AG234" s="101"/>
      <c r="AH234" s="101"/>
      <c r="AI234" s="101"/>
    </row>
    <row r="235" spans="10:35" x14ac:dyDescent="0.2">
      <c r="J235" s="101" t="s">
        <v>30</v>
      </c>
      <c r="K235" s="101" t="s">
        <v>955</v>
      </c>
      <c r="L235" s="101" t="s">
        <v>819</v>
      </c>
      <c r="M235" s="101" t="s">
        <v>956</v>
      </c>
      <c r="N235" s="189">
        <v>12470</v>
      </c>
      <c r="O235" s="101" t="s">
        <v>568</v>
      </c>
      <c r="P235" s="101" t="s">
        <v>569</v>
      </c>
      <c r="Q235" s="101" t="s">
        <v>570</v>
      </c>
      <c r="R235" s="101" t="s">
        <v>571</v>
      </c>
      <c r="S235" s="101" t="s">
        <v>572</v>
      </c>
      <c r="T235" s="101" t="s">
        <v>573</v>
      </c>
      <c r="U235" s="101"/>
      <c r="V235" s="101"/>
      <c r="W235" s="101" t="s">
        <v>574</v>
      </c>
      <c r="X235" s="101" t="s">
        <v>575</v>
      </c>
      <c r="Y235" s="101"/>
      <c r="Z235" s="101" t="s">
        <v>576</v>
      </c>
      <c r="AA235" s="101" t="s">
        <v>577</v>
      </c>
      <c r="AB235" s="101" t="s">
        <v>578</v>
      </c>
      <c r="AC235" s="101" t="s">
        <v>579</v>
      </c>
      <c r="AD235" s="101" t="s">
        <v>580</v>
      </c>
      <c r="AE235" s="101" t="s">
        <v>581</v>
      </c>
      <c r="AF235" s="101" t="s">
        <v>582</v>
      </c>
      <c r="AG235" s="101"/>
      <c r="AH235" s="101"/>
      <c r="AI235" s="101"/>
    </row>
    <row r="236" spans="10:35" x14ac:dyDescent="0.2">
      <c r="J236" s="101" t="s">
        <v>30</v>
      </c>
      <c r="K236" s="101" t="s">
        <v>957</v>
      </c>
      <c r="L236" s="101" t="s">
        <v>819</v>
      </c>
      <c r="M236" s="101" t="s">
        <v>958</v>
      </c>
      <c r="N236" s="189">
        <v>12350</v>
      </c>
      <c r="O236" s="101" t="s">
        <v>568</v>
      </c>
      <c r="P236" s="101" t="s">
        <v>569</v>
      </c>
      <c r="Q236" s="101" t="s">
        <v>570</v>
      </c>
      <c r="R236" s="101" t="s">
        <v>571</v>
      </c>
      <c r="S236" s="101" t="s">
        <v>572</v>
      </c>
      <c r="T236" s="101" t="s">
        <v>573</v>
      </c>
      <c r="U236" s="101"/>
      <c r="V236" s="101"/>
      <c r="W236" s="101" t="s">
        <v>574</v>
      </c>
      <c r="X236" s="101" t="s">
        <v>575</v>
      </c>
      <c r="Y236" s="101"/>
      <c r="Z236" s="101" t="s">
        <v>576</v>
      </c>
      <c r="AA236" s="101" t="s">
        <v>577</v>
      </c>
      <c r="AB236" s="101" t="s">
        <v>578</v>
      </c>
      <c r="AC236" s="101" t="s">
        <v>579</v>
      </c>
      <c r="AD236" s="101" t="s">
        <v>580</v>
      </c>
      <c r="AE236" s="101" t="s">
        <v>581</v>
      </c>
      <c r="AF236" s="101" t="s">
        <v>582</v>
      </c>
      <c r="AG236" s="101"/>
      <c r="AH236" s="101"/>
      <c r="AI236" s="101"/>
    </row>
    <row r="237" spans="10:35" x14ac:dyDescent="0.2">
      <c r="J237" s="101" t="s">
        <v>30</v>
      </c>
      <c r="K237" s="101" t="s">
        <v>959</v>
      </c>
      <c r="L237" s="101" t="s">
        <v>819</v>
      </c>
      <c r="M237" s="101" t="s">
        <v>960</v>
      </c>
      <c r="N237" s="189">
        <v>12470</v>
      </c>
      <c r="O237" s="101" t="s">
        <v>568</v>
      </c>
      <c r="P237" s="101" t="s">
        <v>569</v>
      </c>
      <c r="Q237" s="101" t="s">
        <v>570</v>
      </c>
      <c r="R237" s="101" t="s">
        <v>571</v>
      </c>
      <c r="S237" s="101" t="s">
        <v>572</v>
      </c>
      <c r="T237" s="101" t="s">
        <v>573</v>
      </c>
      <c r="U237" s="101"/>
      <c r="V237" s="101"/>
      <c r="W237" s="101" t="s">
        <v>574</v>
      </c>
      <c r="X237" s="101" t="s">
        <v>575</v>
      </c>
      <c r="Y237" s="101"/>
      <c r="Z237" s="101" t="s">
        <v>576</v>
      </c>
      <c r="AA237" s="101" t="s">
        <v>577</v>
      </c>
      <c r="AB237" s="101" t="s">
        <v>578</v>
      </c>
      <c r="AC237" s="101" t="s">
        <v>579</v>
      </c>
      <c r="AD237" s="101" t="s">
        <v>580</v>
      </c>
      <c r="AE237" s="101" t="s">
        <v>581</v>
      </c>
      <c r="AF237" s="101" t="s">
        <v>582</v>
      </c>
      <c r="AG237" s="101"/>
      <c r="AH237" s="101"/>
      <c r="AI237" s="101"/>
    </row>
    <row r="238" spans="10:35" x14ac:dyDescent="0.2">
      <c r="J238" s="101" t="s">
        <v>30</v>
      </c>
      <c r="K238" s="101" t="s">
        <v>961</v>
      </c>
      <c r="L238" s="101" t="s">
        <v>819</v>
      </c>
      <c r="M238" s="101" t="s">
        <v>962</v>
      </c>
      <c r="N238" s="189">
        <v>12460</v>
      </c>
      <c r="O238" s="101" t="s">
        <v>568</v>
      </c>
      <c r="P238" s="101" t="s">
        <v>569</v>
      </c>
      <c r="Q238" s="101" t="s">
        <v>570</v>
      </c>
      <c r="R238" s="101" t="s">
        <v>571</v>
      </c>
      <c r="S238" s="101" t="s">
        <v>572</v>
      </c>
      <c r="T238" s="101" t="s">
        <v>573</v>
      </c>
      <c r="U238" s="101"/>
      <c r="V238" s="101"/>
      <c r="W238" s="101" t="s">
        <v>574</v>
      </c>
      <c r="X238" s="101" t="s">
        <v>575</v>
      </c>
      <c r="Y238" s="101"/>
      <c r="Z238" s="101" t="s">
        <v>576</v>
      </c>
      <c r="AA238" s="101" t="s">
        <v>577</v>
      </c>
      <c r="AB238" s="101" t="s">
        <v>578</v>
      </c>
      <c r="AC238" s="101" t="s">
        <v>579</v>
      </c>
      <c r="AD238" s="101" t="s">
        <v>580</v>
      </c>
      <c r="AE238" s="101" t="s">
        <v>581</v>
      </c>
      <c r="AF238" s="101" t="s">
        <v>582</v>
      </c>
      <c r="AG238" s="101"/>
      <c r="AH238" s="101"/>
      <c r="AI238" s="101"/>
    </row>
    <row r="239" spans="10:35" x14ac:dyDescent="0.2">
      <c r="J239" s="101" t="s">
        <v>30</v>
      </c>
      <c r="K239" s="101" t="s">
        <v>963</v>
      </c>
      <c r="L239" s="101" t="s">
        <v>937</v>
      </c>
      <c r="M239" s="101" t="s">
        <v>964</v>
      </c>
      <c r="N239" s="189">
        <v>12000</v>
      </c>
      <c r="O239" s="101" t="s">
        <v>568</v>
      </c>
      <c r="P239" s="101" t="s">
        <v>569</v>
      </c>
      <c r="Q239" s="101" t="s">
        <v>570</v>
      </c>
      <c r="R239" s="101" t="s">
        <v>571</v>
      </c>
      <c r="S239" s="101" t="s">
        <v>572</v>
      </c>
      <c r="T239" s="101" t="s">
        <v>573</v>
      </c>
      <c r="U239" s="101"/>
      <c r="V239" s="101"/>
      <c r="W239" s="101" t="s">
        <v>574</v>
      </c>
      <c r="X239" s="101" t="s">
        <v>575</v>
      </c>
      <c r="Y239" s="101"/>
      <c r="Z239" s="101" t="s">
        <v>576</v>
      </c>
      <c r="AA239" s="101" t="s">
        <v>577</v>
      </c>
      <c r="AB239" s="101" t="s">
        <v>578</v>
      </c>
      <c r="AC239" s="101" t="s">
        <v>579</v>
      </c>
      <c r="AD239" s="101" t="s">
        <v>580</v>
      </c>
      <c r="AE239" s="101" t="s">
        <v>581</v>
      </c>
      <c r="AF239" s="101" t="s">
        <v>582</v>
      </c>
      <c r="AG239" s="101"/>
      <c r="AH239" s="101"/>
      <c r="AI239" s="101"/>
    </row>
    <row r="240" spans="10:35" x14ac:dyDescent="0.2">
      <c r="J240" s="101" t="s">
        <v>30</v>
      </c>
      <c r="K240" s="101" t="s">
        <v>965</v>
      </c>
      <c r="L240" s="101" t="s">
        <v>937</v>
      </c>
      <c r="M240" s="101" t="s">
        <v>966</v>
      </c>
      <c r="N240" s="189">
        <v>12120</v>
      </c>
      <c r="O240" s="101" t="s">
        <v>568</v>
      </c>
      <c r="P240" s="101" t="s">
        <v>569</v>
      </c>
      <c r="Q240" s="101" t="s">
        <v>570</v>
      </c>
      <c r="R240" s="101" t="s">
        <v>571</v>
      </c>
      <c r="S240" s="101" t="s">
        <v>572</v>
      </c>
      <c r="T240" s="101" t="s">
        <v>573</v>
      </c>
      <c r="U240" s="101"/>
      <c r="V240" s="101"/>
      <c r="W240" s="101" t="s">
        <v>574</v>
      </c>
      <c r="X240" s="101" t="s">
        <v>575</v>
      </c>
      <c r="Y240" s="101"/>
      <c r="Z240" s="101" t="s">
        <v>576</v>
      </c>
      <c r="AA240" s="101" t="s">
        <v>577</v>
      </c>
      <c r="AB240" s="101" t="s">
        <v>578</v>
      </c>
      <c r="AC240" s="101" t="s">
        <v>579</v>
      </c>
      <c r="AD240" s="101" t="s">
        <v>580</v>
      </c>
      <c r="AE240" s="101" t="s">
        <v>581</v>
      </c>
      <c r="AF240" s="101" t="s">
        <v>582</v>
      </c>
      <c r="AG240" s="101"/>
      <c r="AH240" s="101"/>
      <c r="AI240" s="101"/>
    </row>
    <row r="241" spans="10:35" x14ac:dyDescent="0.2">
      <c r="J241" s="101" t="s">
        <v>30</v>
      </c>
      <c r="K241" s="101" t="s">
        <v>967</v>
      </c>
      <c r="L241" s="101" t="s">
        <v>937</v>
      </c>
      <c r="M241" s="101" t="s">
        <v>968</v>
      </c>
      <c r="N241" s="189">
        <v>12460</v>
      </c>
      <c r="O241" s="101" t="s">
        <v>568</v>
      </c>
      <c r="P241" s="101" t="s">
        <v>569</v>
      </c>
      <c r="Q241" s="101" t="s">
        <v>570</v>
      </c>
      <c r="R241" s="101" t="s">
        <v>571</v>
      </c>
      <c r="S241" s="101" t="s">
        <v>572</v>
      </c>
      <c r="T241" s="101" t="s">
        <v>573</v>
      </c>
      <c r="U241" s="101"/>
      <c r="V241" s="101"/>
      <c r="W241" s="101" t="s">
        <v>574</v>
      </c>
      <c r="X241" s="101" t="s">
        <v>575</v>
      </c>
      <c r="Y241" s="101"/>
      <c r="Z241" s="101" t="s">
        <v>576</v>
      </c>
      <c r="AA241" s="101" t="s">
        <v>577</v>
      </c>
      <c r="AB241" s="101" t="s">
        <v>578</v>
      </c>
      <c r="AC241" s="101" t="s">
        <v>579</v>
      </c>
      <c r="AD241" s="101" t="s">
        <v>580</v>
      </c>
      <c r="AE241" s="101" t="s">
        <v>581</v>
      </c>
      <c r="AF241" s="101" t="s">
        <v>582</v>
      </c>
      <c r="AG241" s="101"/>
      <c r="AH241" s="101"/>
      <c r="AI241" s="101"/>
    </row>
    <row r="242" spans="10:35" x14ac:dyDescent="0.2">
      <c r="J242" s="101" t="s">
        <v>30</v>
      </c>
      <c r="K242" s="101" t="s">
        <v>969</v>
      </c>
      <c r="L242" s="101" t="s">
        <v>937</v>
      </c>
      <c r="M242" s="101" t="s">
        <v>970</v>
      </c>
      <c r="N242" s="189">
        <v>12060</v>
      </c>
      <c r="O242" s="101" t="s">
        <v>568</v>
      </c>
      <c r="P242" s="101" t="s">
        <v>569</v>
      </c>
      <c r="Q242" s="101" t="s">
        <v>570</v>
      </c>
      <c r="R242" s="101" t="s">
        <v>571</v>
      </c>
      <c r="S242" s="101" t="s">
        <v>572</v>
      </c>
      <c r="T242" s="101" t="s">
        <v>573</v>
      </c>
      <c r="U242" s="101"/>
      <c r="V242" s="101"/>
      <c r="W242" s="101" t="s">
        <v>574</v>
      </c>
      <c r="X242" s="101" t="s">
        <v>575</v>
      </c>
      <c r="Y242" s="101"/>
      <c r="Z242" s="101" t="s">
        <v>576</v>
      </c>
      <c r="AA242" s="101" t="s">
        <v>577</v>
      </c>
      <c r="AB242" s="101" t="s">
        <v>578</v>
      </c>
      <c r="AC242" s="101" t="s">
        <v>579</v>
      </c>
      <c r="AD242" s="101" t="s">
        <v>580</v>
      </c>
      <c r="AE242" s="101" t="s">
        <v>581</v>
      </c>
      <c r="AF242" s="101" t="s">
        <v>582</v>
      </c>
      <c r="AG242" s="101"/>
      <c r="AH242" s="101"/>
      <c r="AI242" s="101"/>
    </row>
    <row r="243" spans="10:35" x14ac:dyDescent="0.2">
      <c r="J243" s="101" t="s">
        <v>30</v>
      </c>
      <c r="K243" s="101" t="s">
        <v>971</v>
      </c>
      <c r="L243" s="101" t="s">
        <v>937</v>
      </c>
      <c r="M243" s="101" t="s">
        <v>972</v>
      </c>
      <c r="N243" s="189">
        <v>12470</v>
      </c>
      <c r="O243" s="101" t="s">
        <v>568</v>
      </c>
      <c r="P243" s="101" t="s">
        <v>569</v>
      </c>
      <c r="Q243" s="101" t="s">
        <v>570</v>
      </c>
      <c r="R243" s="101" t="s">
        <v>571</v>
      </c>
      <c r="S243" s="101" t="s">
        <v>572</v>
      </c>
      <c r="T243" s="101" t="s">
        <v>573</v>
      </c>
      <c r="U243" s="101"/>
      <c r="V243" s="101"/>
      <c r="W243" s="101" t="s">
        <v>574</v>
      </c>
      <c r="X243" s="101" t="s">
        <v>575</v>
      </c>
      <c r="Y243" s="101"/>
      <c r="Z243" s="101" t="s">
        <v>576</v>
      </c>
      <c r="AA243" s="101" t="s">
        <v>577</v>
      </c>
      <c r="AB243" s="101" t="s">
        <v>578</v>
      </c>
      <c r="AC243" s="101" t="s">
        <v>579</v>
      </c>
      <c r="AD243" s="101" t="s">
        <v>580</v>
      </c>
      <c r="AE243" s="101" t="s">
        <v>581</v>
      </c>
      <c r="AF243" s="101" t="s">
        <v>582</v>
      </c>
      <c r="AG243" s="101"/>
      <c r="AH243" s="101"/>
      <c r="AI243" s="101"/>
    </row>
    <row r="244" spans="10:35" x14ac:dyDescent="0.2">
      <c r="J244" s="101" t="s">
        <v>30</v>
      </c>
      <c r="K244" s="101" t="s">
        <v>973</v>
      </c>
      <c r="L244" s="101" t="s">
        <v>937</v>
      </c>
      <c r="M244" s="101" t="s">
        <v>974</v>
      </c>
      <c r="N244" s="189">
        <v>12460</v>
      </c>
      <c r="O244" s="101" t="s">
        <v>568</v>
      </c>
      <c r="P244" s="101" t="s">
        <v>569</v>
      </c>
      <c r="Q244" s="101" t="s">
        <v>570</v>
      </c>
      <c r="R244" s="101" t="s">
        <v>571</v>
      </c>
      <c r="S244" s="101" t="s">
        <v>572</v>
      </c>
      <c r="T244" s="101" t="s">
        <v>573</v>
      </c>
      <c r="U244" s="101"/>
      <c r="V244" s="101"/>
      <c r="W244" s="101" t="s">
        <v>574</v>
      </c>
      <c r="X244" s="101" t="s">
        <v>575</v>
      </c>
      <c r="Y244" s="101"/>
      <c r="Z244" s="101" t="s">
        <v>576</v>
      </c>
      <c r="AA244" s="101" t="s">
        <v>577</v>
      </c>
      <c r="AB244" s="101" t="s">
        <v>578</v>
      </c>
      <c r="AC244" s="101" t="s">
        <v>579</v>
      </c>
      <c r="AD244" s="101" t="s">
        <v>580</v>
      </c>
      <c r="AE244" s="101" t="s">
        <v>581</v>
      </c>
      <c r="AF244" s="101" t="s">
        <v>582</v>
      </c>
      <c r="AG244" s="101"/>
      <c r="AH244" s="101"/>
      <c r="AI244" s="101"/>
    </row>
    <row r="245" spans="10:35" x14ac:dyDescent="0.2">
      <c r="J245" s="101" t="s">
        <v>30</v>
      </c>
      <c r="K245" s="101" t="s">
        <v>975</v>
      </c>
      <c r="L245" s="101" t="s">
        <v>937</v>
      </c>
      <c r="M245" s="101" t="s">
        <v>976</v>
      </c>
      <c r="N245" s="189">
        <v>12460</v>
      </c>
      <c r="O245" s="101" t="s">
        <v>568</v>
      </c>
      <c r="P245" s="101" t="s">
        <v>569</v>
      </c>
      <c r="Q245" s="101" t="s">
        <v>570</v>
      </c>
      <c r="R245" s="101" t="s">
        <v>571</v>
      </c>
      <c r="S245" s="101" t="s">
        <v>572</v>
      </c>
      <c r="T245" s="101" t="s">
        <v>573</v>
      </c>
      <c r="U245" s="101"/>
      <c r="V245" s="101"/>
      <c r="W245" s="101" t="s">
        <v>574</v>
      </c>
      <c r="X245" s="101" t="s">
        <v>575</v>
      </c>
      <c r="Y245" s="101"/>
      <c r="Z245" s="101" t="s">
        <v>576</v>
      </c>
      <c r="AA245" s="101" t="s">
        <v>577</v>
      </c>
      <c r="AB245" s="101" t="s">
        <v>578</v>
      </c>
      <c r="AC245" s="101" t="s">
        <v>579</v>
      </c>
      <c r="AD245" s="101" t="s">
        <v>580</v>
      </c>
      <c r="AE245" s="101" t="s">
        <v>581</v>
      </c>
      <c r="AF245" s="101" t="s">
        <v>582</v>
      </c>
      <c r="AG245" s="101"/>
      <c r="AH245" s="101"/>
      <c r="AI245" s="101"/>
    </row>
    <row r="246" spans="10:35" x14ac:dyDescent="0.2">
      <c r="J246" s="101" t="s">
        <v>30</v>
      </c>
      <c r="K246" s="101" t="s">
        <v>977</v>
      </c>
      <c r="L246" s="101" t="s">
        <v>937</v>
      </c>
      <c r="M246" s="101" t="s">
        <v>978</v>
      </c>
      <c r="N246" s="189">
        <v>12420</v>
      </c>
      <c r="O246" s="101" t="s">
        <v>568</v>
      </c>
      <c r="P246" s="101" t="s">
        <v>569</v>
      </c>
      <c r="Q246" s="101" t="s">
        <v>570</v>
      </c>
      <c r="R246" s="101" t="s">
        <v>571</v>
      </c>
      <c r="S246" s="101" t="s">
        <v>572</v>
      </c>
      <c r="T246" s="101" t="s">
        <v>573</v>
      </c>
      <c r="U246" s="101"/>
      <c r="V246" s="101"/>
      <c r="W246" s="101"/>
      <c r="X246" s="101" t="s">
        <v>575</v>
      </c>
      <c r="Y246" s="101"/>
      <c r="Z246" s="101" t="s">
        <v>576</v>
      </c>
      <c r="AA246" s="101" t="s">
        <v>577</v>
      </c>
      <c r="AB246" s="101" t="s">
        <v>578</v>
      </c>
      <c r="AC246" s="101" t="s">
        <v>579</v>
      </c>
      <c r="AD246" s="101" t="s">
        <v>580</v>
      </c>
      <c r="AE246" s="101" t="s">
        <v>581</v>
      </c>
      <c r="AF246" s="101" t="s">
        <v>582</v>
      </c>
      <c r="AG246" s="101" t="s">
        <v>583</v>
      </c>
      <c r="AH246" s="101" t="s">
        <v>584</v>
      </c>
      <c r="AI246" s="101" t="s">
        <v>585</v>
      </c>
    </row>
    <row r="247" spans="10:35" x14ac:dyDescent="0.2">
      <c r="J247" s="101" t="s">
        <v>30</v>
      </c>
      <c r="K247" s="101" t="s">
        <v>979</v>
      </c>
      <c r="L247" s="101" t="s">
        <v>937</v>
      </c>
      <c r="M247" s="101" t="s">
        <v>980</v>
      </c>
      <c r="N247" s="189">
        <v>12460</v>
      </c>
      <c r="O247" s="101" t="s">
        <v>568</v>
      </c>
      <c r="P247" s="101" t="s">
        <v>569</v>
      </c>
      <c r="Q247" s="101" t="s">
        <v>570</v>
      </c>
      <c r="R247" s="101" t="s">
        <v>571</v>
      </c>
      <c r="S247" s="101" t="s">
        <v>572</v>
      </c>
      <c r="T247" s="101" t="s">
        <v>573</v>
      </c>
      <c r="U247" s="101"/>
      <c r="V247" s="101"/>
      <c r="W247" s="101" t="s">
        <v>574</v>
      </c>
      <c r="X247" s="101" t="s">
        <v>575</v>
      </c>
      <c r="Y247" s="101"/>
      <c r="Z247" s="101" t="s">
        <v>576</v>
      </c>
      <c r="AA247" s="101" t="s">
        <v>577</v>
      </c>
      <c r="AB247" s="101" t="s">
        <v>578</v>
      </c>
      <c r="AC247" s="101" t="s">
        <v>579</v>
      </c>
      <c r="AD247" s="101" t="s">
        <v>580</v>
      </c>
      <c r="AE247" s="101" t="s">
        <v>581</v>
      </c>
      <c r="AF247" s="101" t="s">
        <v>582</v>
      </c>
      <c r="AG247" s="101"/>
      <c r="AH247" s="101"/>
      <c r="AI247" s="101"/>
    </row>
    <row r="248" spans="10:35" x14ac:dyDescent="0.2">
      <c r="J248" s="101" t="s">
        <v>30</v>
      </c>
      <c r="K248" s="101" t="s">
        <v>981</v>
      </c>
      <c r="L248" s="101" t="s">
        <v>937</v>
      </c>
      <c r="M248" s="101" t="s">
        <v>982</v>
      </c>
      <c r="N248" s="189">
        <v>12460</v>
      </c>
      <c r="O248" s="101" t="s">
        <v>568</v>
      </c>
      <c r="P248" s="101" t="s">
        <v>569</v>
      </c>
      <c r="Q248" s="101" t="s">
        <v>570</v>
      </c>
      <c r="R248" s="101" t="s">
        <v>571</v>
      </c>
      <c r="S248" s="101" t="s">
        <v>572</v>
      </c>
      <c r="T248" s="101" t="s">
        <v>573</v>
      </c>
      <c r="U248" s="101"/>
      <c r="V248" s="101"/>
      <c r="W248" s="101" t="s">
        <v>574</v>
      </c>
      <c r="X248" s="101" t="s">
        <v>575</v>
      </c>
      <c r="Y248" s="101"/>
      <c r="Z248" s="101" t="s">
        <v>576</v>
      </c>
      <c r="AA248" s="101" t="s">
        <v>577</v>
      </c>
      <c r="AB248" s="101" t="s">
        <v>578</v>
      </c>
      <c r="AC248" s="101" t="s">
        <v>579</v>
      </c>
      <c r="AD248" s="101" t="s">
        <v>580</v>
      </c>
      <c r="AE248" s="101" t="s">
        <v>581</v>
      </c>
      <c r="AF248" s="101" t="s">
        <v>582</v>
      </c>
      <c r="AG248" s="101"/>
      <c r="AH248" s="101"/>
      <c r="AI248" s="101"/>
    </row>
    <row r="249" spans="10:35" x14ac:dyDescent="0.2">
      <c r="J249" s="101" t="s">
        <v>30</v>
      </c>
      <c r="K249" s="101" t="s">
        <v>983</v>
      </c>
      <c r="L249" s="101" t="s">
        <v>937</v>
      </c>
      <c r="M249" s="101" t="s">
        <v>984</v>
      </c>
      <c r="N249" s="189">
        <v>12460</v>
      </c>
      <c r="O249" s="101" t="s">
        <v>568</v>
      </c>
      <c r="P249" s="101" t="s">
        <v>569</v>
      </c>
      <c r="Q249" s="101" t="s">
        <v>570</v>
      </c>
      <c r="R249" s="101" t="s">
        <v>571</v>
      </c>
      <c r="S249" s="101" t="s">
        <v>572</v>
      </c>
      <c r="T249" s="101" t="s">
        <v>573</v>
      </c>
      <c r="U249" s="101"/>
      <c r="V249" s="101"/>
      <c r="W249" s="101" t="s">
        <v>574</v>
      </c>
      <c r="X249" s="101" t="s">
        <v>575</v>
      </c>
      <c r="Y249" s="101"/>
      <c r="Z249" s="101" t="s">
        <v>576</v>
      </c>
      <c r="AA249" s="101" t="s">
        <v>577</v>
      </c>
      <c r="AB249" s="101" t="s">
        <v>578</v>
      </c>
      <c r="AC249" s="101" t="s">
        <v>579</v>
      </c>
      <c r="AD249" s="101" t="s">
        <v>580</v>
      </c>
      <c r="AE249" s="101" t="s">
        <v>581</v>
      </c>
      <c r="AF249" s="101" t="s">
        <v>582</v>
      </c>
      <c r="AG249" s="101"/>
      <c r="AH249" s="101"/>
      <c r="AI249" s="101"/>
    </row>
    <row r="250" spans="10:35" x14ac:dyDescent="0.2">
      <c r="J250" s="101" t="s">
        <v>30</v>
      </c>
      <c r="K250" s="101" t="s">
        <v>985</v>
      </c>
      <c r="L250" s="101" t="s">
        <v>819</v>
      </c>
      <c r="M250" s="101" t="s">
        <v>986</v>
      </c>
      <c r="N250" s="189">
        <v>12070</v>
      </c>
      <c r="O250" s="101" t="s">
        <v>568</v>
      </c>
      <c r="P250" s="101" t="s">
        <v>569</v>
      </c>
      <c r="Q250" s="101" t="s">
        <v>570</v>
      </c>
      <c r="R250" s="101" t="s">
        <v>571</v>
      </c>
      <c r="S250" s="101" t="s">
        <v>572</v>
      </c>
      <c r="T250" s="101" t="s">
        <v>573</v>
      </c>
      <c r="U250" s="101"/>
      <c r="V250" s="101"/>
      <c r="W250" s="101" t="s">
        <v>574</v>
      </c>
      <c r="X250" s="101" t="s">
        <v>575</v>
      </c>
      <c r="Y250" s="101"/>
      <c r="Z250" s="101" t="s">
        <v>576</v>
      </c>
      <c r="AA250" s="101" t="s">
        <v>577</v>
      </c>
      <c r="AB250" s="101" t="s">
        <v>578</v>
      </c>
      <c r="AC250" s="101" t="s">
        <v>579</v>
      </c>
      <c r="AD250" s="101" t="s">
        <v>580</v>
      </c>
      <c r="AE250" s="101" t="s">
        <v>581</v>
      </c>
      <c r="AF250" s="101" t="s">
        <v>582</v>
      </c>
      <c r="AG250" s="101"/>
      <c r="AH250" s="101"/>
      <c r="AI250" s="101"/>
    </row>
    <row r="251" spans="10:35" x14ac:dyDescent="0.2">
      <c r="J251" s="101" t="s">
        <v>30</v>
      </c>
      <c r="K251" s="101" t="s">
        <v>991</v>
      </c>
      <c r="L251" s="101" t="s">
        <v>819</v>
      </c>
      <c r="M251" s="101" t="s">
        <v>992</v>
      </c>
      <c r="N251" s="189">
        <v>12140</v>
      </c>
      <c r="O251" s="101" t="s">
        <v>568</v>
      </c>
      <c r="P251" s="101" t="s">
        <v>569</v>
      </c>
      <c r="Q251" s="101" t="s">
        <v>570</v>
      </c>
      <c r="R251" s="101" t="s">
        <v>571</v>
      </c>
      <c r="S251" s="101" t="s">
        <v>572</v>
      </c>
      <c r="T251" s="101" t="s">
        <v>573</v>
      </c>
      <c r="U251" s="101"/>
      <c r="V251" s="101"/>
      <c r="W251" s="101" t="s">
        <v>574</v>
      </c>
      <c r="X251" s="101" t="s">
        <v>575</v>
      </c>
      <c r="Y251" s="101"/>
      <c r="Z251" s="101" t="s">
        <v>576</v>
      </c>
      <c r="AA251" s="101" t="s">
        <v>577</v>
      </c>
      <c r="AB251" s="101" t="s">
        <v>578</v>
      </c>
      <c r="AC251" s="101" t="s">
        <v>579</v>
      </c>
      <c r="AD251" s="101" t="s">
        <v>580</v>
      </c>
      <c r="AE251" s="101" t="s">
        <v>581</v>
      </c>
      <c r="AF251" s="101" t="s">
        <v>582</v>
      </c>
      <c r="AG251" s="101"/>
      <c r="AH251" s="101"/>
      <c r="AI251" s="101"/>
    </row>
    <row r="252" spans="10:35" x14ac:dyDescent="0.2">
      <c r="J252" s="101" t="s">
        <v>30</v>
      </c>
      <c r="K252" s="101" t="s">
        <v>997</v>
      </c>
      <c r="L252" s="101" t="s">
        <v>998</v>
      </c>
      <c r="M252" s="101" t="s">
        <v>999</v>
      </c>
      <c r="N252" s="189">
        <v>12410</v>
      </c>
      <c r="O252" s="101" t="s">
        <v>568</v>
      </c>
      <c r="P252" s="101" t="s">
        <v>569</v>
      </c>
      <c r="Q252" s="101" t="s">
        <v>570</v>
      </c>
      <c r="R252" s="101" t="s">
        <v>571</v>
      </c>
      <c r="S252" s="101" t="s">
        <v>572</v>
      </c>
      <c r="T252" s="101" t="s">
        <v>573</v>
      </c>
      <c r="U252" s="101"/>
      <c r="V252" s="101"/>
      <c r="W252" s="101" t="s">
        <v>574</v>
      </c>
      <c r="X252" s="101" t="s">
        <v>575</v>
      </c>
      <c r="Y252" s="101"/>
      <c r="Z252" s="101" t="s">
        <v>576</v>
      </c>
      <c r="AA252" s="101" t="s">
        <v>577</v>
      </c>
      <c r="AB252" s="101" t="s">
        <v>578</v>
      </c>
      <c r="AC252" s="101" t="s">
        <v>579</v>
      </c>
      <c r="AD252" s="101" t="s">
        <v>580</v>
      </c>
      <c r="AE252" s="101" t="s">
        <v>581</v>
      </c>
      <c r="AF252" s="101" t="s">
        <v>582</v>
      </c>
      <c r="AG252" s="101"/>
      <c r="AH252" s="101"/>
      <c r="AI252" s="101"/>
    </row>
    <row r="253" spans="10:35" x14ac:dyDescent="0.2">
      <c r="J253" s="101" t="s">
        <v>30</v>
      </c>
      <c r="K253" s="101" t="s">
        <v>995</v>
      </c>
      <c r="L253" s="101" t="s">
        <v>819</v>
      </c>
      <c r="M253" s="101" t="s">
        <v>996</v>
      </c>
      <c r="N253" s="189">
        <v>12460</v>
      </c>
      <c r="O253" s="101" t="s">
        <v>568</v>
      </c>
      <c r="P253" s="101" t="s">
        <v>569</v>
      </c>
      <c r="Q253" s="101" t="s">
        <v>570</v>
      </c>
      <c r="R253" s="101" t="s">
        <v>571</v>
      </c>
      <c r="S253" s="101" t="s">
        <v>572</v>
      </c>
      <c r="T253" s="101" t="s">
        <v>573</v>
      </c>
      <c r="U253" s="101"/>
      <c r="V253" s="101"/>
      <c r="W253" s="101" t="s">
        <v>574</v>
      </c>
      <c r="X253" s="101" t="s">
        <v>575</v>
      </c>
      <c r="Y253" s="101"/>
      <c r="Z253" s="101" t="s">
        <v>576</v>
      </c>
      <c r="AA253" s="101" t="s">
        <v>577</v>
      </c>
      <c r="AB253" s="101" t="s">
        <v>578</v>
      </c>
      <c r="AC253" s="101" t="s">
        <v>579</v>
      </c>
      <c r="AD253" s="101" t="s">
        <v>580</v>
      </c>
      <c r="AE253" s="101" t="s">
        <v>581</v>
      </c>
      <c r="AF253" s="101" t="s">
        <v>582</v>
      </c>
      <c r="AG253" s="101"/>
      <c r="AH253" s="101"/>
      <c r="AI253" s="101"/>
    </row>
    <row r="254" spans="10:35" x14ac:dyDescent="0.2">
      <c r="J254" s="101" t="s">
        <v>30</v>
      </c>
      <c r="K254" s="101" t="s">
        <v>431</v>
      </c>
      <c r="L254" s="101" t="s">
        <v>40</v>
      </c>
      <c r="M254" s="101" t="s">
        <v>432</v>
      </c>
      <c r="N254" s="189">
        <v>12010</v>
      </c>
      <c r="O254" s="101" t="s">
        <v>568</v>
      </c>
      <c r="P254" s="101" t="s">
        <v>569</v>
      </c>
      <c r="Q254" s="101" t="s">
        <v>570</v>
      </c>
      <c r="R254" s="101" t="s">
        <v>571</v>
      </c>
      <c r="S254" s="101" t="s">
        <v>572</v>
      </c>
      <c r="T254" s="101" t="s">
        <v>573</v>
      </c>
      <c r="U254" s="101"/>
      <c r="V254" s="101"/>
      <c r="W254" s="101" t="s">
        <v>574</v>
      </c>
      <c r="X254" s="101" t="s">
        <v>575</v>
      </c>
      <c r="Y254" s="101"/>
      <c r="Z254" s="101" t="s">
        <v>576</v>
      </c>
      <c r="AA254" s="101" t="s">
        <v>577</v>
      </c>
      <c r="AB254" s="101" t="s">
        <v>578</v>
      </c>
      <c r="AC254" s="101" t="s">
        <v>579</v>
      </c>
      <c r="AD254" s="101" t="s">
        <v>580</v>
      </c>
      <c r="AE254" s="101" t="s">
        <v>581</v>
      </c>
      <c r="AF254" s="101" t="s">
        <v>582</v>
      </c>
      <c r="AG254" s="101" t="s">
        <v>583</v>
      </c>
      <c r="AH254" s="101" t="s">
        <v>584</v>
      </c>
      <c r="AI254" s="101" t="s">
        <v>585</v>
      </c>
    </row>
    <row r="255" spans="10:35" x14ac:dyDescent="0.2">
      <c r="J255" s="101" t="s">
        <v>30</v>
      </c>
      <c r="K255" s="101" t="s">
        <v>222</v>
      </c>
      <c r="L255" s="101" t="s">
        <v>150</v>
      </c>
      <c r="M255" s="101" t="s">
        <v>223</v>
      </c>
      <c r="N255" s="189">
        <v>12430</v>
      </c>
      <c r="O255" s="101" t="s">
        <v>568</v>
      </c>
      <c r="P255" s="101" t="s">
        <v>569</v>
      </c>
      <c r="Q255" s="101" t="s">
        <v>570</v>
      </c>
      <c r="R255" s="101" t="s">
        <v>571</v>
      </c>
      <c r="S255" s="101" t="s">
        <v>572</v>
      </c>
      <c r="T255" s="101" t="s">
        <v>573</v>
      </c>
      <c r="U255" s="101"/>
      <c r="V255" s="101"/>
      <c r="W255" s="101" t="s">
        <v>574</v>
      </c>
      <c r="X255" s="101" t="s">
        <v>575</v>
      </c>
      <c r="Y255" s="101"/>
      <c r="Z255" s="101" t="s">
        <v>576</v>
      </c>
      <c r="AA255" s="101" t="s">
        <v>577</v>
      </c>
      <c r="AB255" s="101" t="s">
        <v>578</v>
      </c>
      <c r="AC255" s="101" t="s">
        <v>579</v>
      </c>
      <c r="AD255" s="101" t="s">
        <v>580</v>
      </c>
      <c r="AE255" s="101" t="s">
        <v>581</v>
      </c>
      <c r="AF255" s="101" t="s">
        <v>582</v>
      </c>
      <c r="AG255" s="101" t="s">
        <v>583</v>
      </c>
      <c r="AH255" s="101" t="s">
        <v>584</v>
      </c>
      <c r="AI255" s="101" t="s">
        <v>585</v>
      </c>
    </row>
    <row r="256" spans="10:35" x14ac:dyDescent="0.2">
      <c r="J256" s="101" t="s">
        <v>30</v>
      </c>
      <c r="K256" s="101" t="s">
        <v>993</v>
      </c>
      <c r="L256" s="101" t="s">
        <v>819</v>
      </c>
      <c r="M256" s="101" t="s">
        <v>994</v>
      </c>
      <c r="N256" s="189">
        <v>12460</v>
      </c>
      <c r="O256" s="101" t="s">
        <v>568</v>
      </c>
      <c r="P256" s="101" t="s">
        <v>569</v>
      </c>
      <c r="Q256" s="101" t="s">
        <v>570</v>
      </c>
      <c r="R256" s="101" t="s">
        <v>571</v>
      </c>
      <c r="S256" s="101" t="s">
        <v>572</v>
      </c>
      <c r="T256" s="101" t="s">
        <v>573</v>
      </c>
      <c r="U256" s="101"/>
      <c r="V256" s="101"/>
      <c r="W256" s="101" t="s">
        <v>574</v>
      </c>
      <c r="X256" s="101" t="s">
        <v>575</v>
      </c>
      <c r="Y256" s="101"/>
      <c r="Z256" s="101" t="s">
        <v>576</v>
      </c>
      <c r="AA256" s="101" t="s">
        <v>577</v>
      </c>
      <c r="AB256" s="101" t="s">
        <v>578</v>
      </c>
      <c r="AC256" s="101" t="s">
        <v>579</v>
      </c>
      <c r="AD256" s="101" t="s">
        <v>580</v>
      </c>
      <c r="AE256" s="101" t="s">
        <v>581</v>
      </c>
      <c r="AF256" s="101" t="s">
        <v>582</v>
      </c>
      <c r="AG256" s="101"/>
      <c r="AH256" s="101"/>
      <c r="AI256" s="101"/>
    </row>
    <row r="257" spans="10:36" x14ac:dyDescent="0.2">
      <c r="J257" s="101" t="s">
        <v>30</v>
      </c>
      <c r="K257" s="101" t="s">
        <v>1375</v>
      </c>
      <c r="L257" s="101" t="s">
        <v>1376</v>
      </c>
      <c r="M257" s="101" t="s">
        <v>1377</v>
      </c>
      <c r="N257" s="189">
        <v>12420</v>
      </c>
      <c r="O257" s="101" t="s">
        <v>568</v>
      </c>
      <c r="P257" s="101" t="s">
        <v>569</v>
      </c>
      <c r="Q257" s="101" t="s">
        <v>570</v>
      </c>
      <c r="R257" s="101" t="s">
        <v>571</v>
      </c>
      <c r="S257" s="101" t="s">
        <v>572</v>
      </c>
      <c r="T257" s="101" t="s">
        <v>573</v>
      </c>
      <c r="U257" s="101"/>
      <c r="V257" s="101"/>
      <c r="W257" s="101"/>
      <c r="X257" s="101" t="s">
        <v>575</v>
      </c>
      <c r="Y257" s="101"/>
      <c r="Z257" s="101" t="s">
        <v>576</v>
      </c>
      <c r="AA257" s="101" t="s">
        <v>577</v>
      </c>
      <c r="AB257" s="101" t="s">
        <v>578</v>
      </c>
      <c r="AC257" s="101" t="s">
        <v>579</v>
      </c>
      <c r="AD257" s="101" t="s">
        <v>580</v>
      </c>
      <c r="AE257" s="101" t="s">
        <v>581</v>
      </c>
      <c r="AF257" s="101" t="s">
        <v>582</v>
      </c>
      <c r="AG257" s="101" t="s">
        <v>583</v>
      </c>
      <c r="AH257" s="101" t="s">
        <v>584</v>
      </c>
      <c r="AI257" s="101" t="s">
        <v>585</v>
      </c>
    </row>
    <row r="258" spans="10:36" x14ac:dyDescent="0.2">
      <c r="J258" s="101" t="s">
        <v>30</v>
      </c>
      <c r="K258" s="101" t="s">
        <v>1000</v>
      </c>
      <c r="L258" s="101" t="s">
        <v>1001</v>
      </c>
      <c r="M258" s="101" t="s">
        <v>1002</v>
      </c>
      <c r="N258" s="189">
        <v>12460</v>
      </c>
      <c r="O258" s="101" t="s">
        <v>568</v>
      </c>
      <c r="P258" s="101" t="s">
        <v>569</v>
      </c>
      <c r="Q258" s="101" t="s">
        <v>570</v>
      </c>
      <c r="R258" s="101" t="s">
        <v>571</v>
      </c>
      <c r="S258" s="101" t="s">
        <v>572</v>
      </c>
      <c r="T258" s="101" t="s">
        <v>573</v>
      </c>
      <c r="U258" s="101"/>
      <c r="V258" s="101"/>
      <c r="W258" s="101" t="s">
        <v>574</v>
      </c>
      <c r="X258" s="101" t="s">
        <v>575</v>
      </c>
      <c r="Y258" s="101"/>
      <c r="Z258" s="101" t="s">
        <v>576</v>
      </c>
      <c r="AA258" s="101" t="s">
        <v>577</v>
      </c>
      <c r="AB258" s="101" t="s">
        <v>578</v>
      </c>
      <c r="AC258" s="101" t="s">
        <v>579</v>
      </c>
      <c r="AD258" s="101" t="s">
        <v>580</v>
      </c>
      <c r="AE258" s="101" t="s">
        <v>581</v>
      </c>
      <c r="AF258" s="101" t="s">
        <v>582</v>
      </c>
      <c r="AG258" s="101"/>
      <c r="AH258" s="101"/>
      <c r="AI258" s="101"/>
    </row>
    <row r="259" spans="10:36" x14ac:dyDescent="0.2">
      <c r="J259" s="101" t="s">
        <v>30</v>
      </c>
      <c r="K259" s="101" t="s">
        <v>1003</v>
      </c>
      <c r="L259" s="101" t="s">
        <v>1001</v>
      </c>
      <c r="M259" s="101" t="s">
        <v>1004</v>
      </c>
      <c r="N259" s="189">
        <v>12440</v>
      </c>
      <c r="O259" s="101" t="s">
        <v>568</v>
      </c>
      <c r="P259" s="101" t="s">
        <v>569</v>
      </c>
      <c r="Q259" s="101" t="s">
        <v>570</v>
      </c>
      <c r="R259" s="101" t="s">
        <v>571</v>
      </c>
      <c r="S259" s="101" t="s">
        <v>572</v>
      </c>
      <c r="T259" s="101" t="s">
        <v>573</v>
      </c>
      <c r="U259" s="101"/>
      <c r="V259" s="101"/>
      <c r="W259" s="101" t="s">
        <v>574</v>
      </c>
      <c r="X259" s="101" t="s">
        <v>575</v>
      </c>
      <c r="Y259" s="101"/>
      <c r="Z259" s="101" t="s">
        <v>576</v>
      </c>
      <c r="AA259" s="101" t="s">
        <v>577</v>
      </c>
      <c r="AB259" s="101" t="s">
        <v>578</v>
      </c>
      <c r="AC259" s="101" t="s">
        <v>579</v>
      </c>
      <c r="AD259" s="101" t="s">
        <v>580</v>
      </c>
      <c r="AE259" s="101" t="s">
        <v>581</v>
      </c>
      <c r="AF259" s="101" t="s">
        <v>582</v>
      </c>
      <c r="AG259" s="101" t="s">
        <v>583</v>
      </c>
      <c r="AH259" s="101" t="s">
        <v>584</v>
      </c>
      <c r="AI259" s="101" t="s">
        <v>585</v>
      </c>
      <c r="AJ259" s="101" t="s">
        <v>2362</v>
      </c>
    </row>
    <row r="260" spans="10:36" x14ac:dyDescent="0.2">
      <c r="J260" s="101" t="s">
        <v>30</v>
      </c>
      <c r="K260" s="101" t="s">
        <v>1005</v>
      </c>
      <c r="L260" s="101" t="s">
        <v>1001</v>
      </c>
      <c r="M260" s="101" t="s">
        <v>1006</v>
      </c>
      <c r="N260" s="189">
        <v>12158</v>
      </c>
      <c r="O260" s="101" t="s">
        <v>568</v>
      </c>
      <c r="P260" s="101" t="s">
        <v>569</v>
      </c>
      <c r="Q260" s="101" t="s">
        <v>570</v>
      </c>
      <c r="R260" s="101" t="s">
        <v>571</v>
      </c>
      <c r="S260" s="101" t="s">
        <v>572</v>
      </c>
      <c r="T260" s="101" t="s">
        <v>573</v>
      </c>
      <c r="U260" s="101"/>
      <c r="V260" s="101"/>
      <c r="W260" s="101" t="s">
        <v>574</v>
      </c>
      <c r="X260" s="101" t="s">
        <v>575</v>
      </c>
      <c r="Y260" s="101"/>
      <c r="Z260" s="101" t="s">
        <v>576</v>
      </c>
      <c r="AA260" s="101" t="s">
        <v>577</v>
      </c>
      <c r="AB260" s="101" t="s">
        <v>578</v>
      </c>
      <c r="AC260" s="101" t="s">
        <v>579</v>
      </c>
      <c r="AD260" s="101" t="s">
        <v>580</v>
      </c>
      <c r="AE260" s="101" t="s">
        <v>581</v>
      </c>
      <c r="AF260" s="101" t="s">
        <v>582</v>
      </c>
      <c r="AG260" s="101"/>
      <c r="AH260" s="101"/>
      <c r="AI260" s="101"/>
    </row>
    <row r="261" spans="10:36" x14ac:dyDescent="0.2">
      <c r="J261" s="101" t="s">
        <v>30</v>
      </c>
      <c r="K261" s="101" t="s">
        <v>1007</v>
      </c>
      <c r="L261" s="101" t="s">
        <v>1001</v>
      </c>
      <c r="M261" s="101" t="s">
        <v>1008</v>
      </c>
      <c r="N261" s="189">
        <v>12460</v>
      </c>
      <c r="O261" s="101" t="s">
        <v>568</v>
      </c>
      <c r="P261" s="101" t="s">
        <v>569</v>
      </c>
      <c r="Q261" s="101" t="s">
        <v>570</v>
      </c>
      <c r="R261" s="101" t="s">
        <v>571</v>
      </c>
      <c r="S261" s="101" t="s">
        <v>572</v>
      </c>
      <c r="T261" s="101" t="s">
        <v>573</v>
      </c>
      <c r="U261" s="101"/>
      <c r="V261" s="101"/>
      <c r="W261" s="101" t="s">
        <v>574</v>
      </c>
      <c r="X261" s="101" t="s">
        <v>575</v>
      </c>
      <c r="Y261" s="101"/>
      <c r="Z261" s="101" t="s">
        <v>576</v>
      </c>
      <c r="AA261" s="101" t="s">
        <v>577</v>
      </c>
      <c r="AB261" s="101" t="s">
        <v>578</v>
      </c>
      <c r="AC261" s="101" t="s">
        <v>579</v>
      </c>
      <c r="AD261" s="101" t="s">
        <v>580</v>
      </c>
      <c r="AE261" s="101" t="s">
        <v>581</v>
      </c>
      <c r="AF261" s="101" t="s">
        <v>582</v>
      </c>
      <c r="AG261" s="101"/>
      <c r="AH261" s="101"/>
      <c r="AI261" s="101"/>
    </row>
    <row r="262" spans="10:36" x14ac:dyDescent="0.2">
      <c r="J262" s="101" t="s">
        <v>30</v>
      </c>
      <c r="K262" s="101" t="s">
        <v>1009</v>
      </c>
      <c r="L262" s="101" t="s">
        <v>998</v>
      </c>
      <c r="M262" s="101" t="s">
        <v>1010</v>
      </c>
      <c r="N262" s="189">
        <v>12460</v>
      </c>
      <c r="O262" s="101" t="s">
        <v>568</v>
      </c>
      <c r="P262" s="101" t="s">
        <v>569</v>
      </c>
      <c r="Q262" s="101" t="s">
        <v>570</v>
      </c>
      <c r="R262" s="101" t="s">
        <v>571</v>
      </c>
      <c r="S262" s="101" t="s">
        <v>572</v>
      </c>
      <c r="T262" s="101" t="s">
        <v>573</v>
      </c>
      <c r="U262" s="101"/>
      <c r="V262" s="101"/>
      <c r="W262" s="101" t="s">
        <v>574</v>
      </c>
      <c r="X262" s="101" t="s">
        <v>575</v>
      </c>
      <c r="Y262" s="101"/>
      <c r="Z262" s="101" t="s">
        <v>576</v>
      </c>
      <c r="AA262" s="101" t="s">
        <v>577</v>
      </c>
      <c r="AB262" s="101" t="s">
        <v>578</v>
      </c>
      <c r="AC262" s="101" t="s">
        <v>579</v>
      </c>
      <c r="AD262" s="101" t="s">
        <v>580</v>
      </c>
      <c r="AE262" s="101" t="s">
        <v>581</v>
      </c>
      <c r="AF262" s="101" t="s">
        <v>582</v>
      </c>
      <c r="AG262" s="101"/>
      <c r="AH262" s="101"/>
      <c r="AI262" s="101"/>
    </row>
    <row r="263" spans="10:36" x14ac:dyDescent="0.2">
      <c r="J263" s="101" t="s">
        <v>30</v>
      </c>
      <c r="K263" s="101" t="s">
        <v>1011</v>
      </c>
      <c r="L263" s="101" t="s">
        <v>998</v>
      </c>
      <c r="M263" s="101" t="s">
        <v>1012</v>
      </c>
      <c r="N263" s="189">
        <v>12480</v>
      </c>
      <c r="O263" s="101" t="s">
        <v>568</v>
      </c>
      <c r="P263" s="101" t="s">
        <v>569</v>
      </c>
      <c r="Q263" s="101" t="s">
        <v>570</v>
      </c>
      <c r="R263" s="101" t="s">
        <v>571</v>
      </c>
      <c r="S263" s="101" t="s">
        <v>572</v>
      </c>
      <c r="T263" s="101" t="s">
        <v>573</v>
      </c>
      <c r="U263" s="101"/>
      <c r="V263" s="101"/>
      <c r="W263" s="101" t="s">
        <v>574</v>
      </c>
      <c r="X263" s="101" t="s">
        <v>575</v>
      </c>
      <c r="Y263" s="101"/>
      <c r="Z263" s="101" t="s">
        <v>576</v>
      </c>
      <c r="AA263" s="101" t="s">
        <v>577</v>
      </c>
      <c r="AB263" s="101" t="s">
        <v>578</v>
      </c>
      <c r="AC263" s="101" t="s">
        <v>579</v>
      </c>
      <c r="AD263" s="101" t="s">
        <v>580</v>
      </c>
      <c r="AE263" s="101" t="s">
        <v>581</v>
      </c>
      <c r="AF263" s="101" t="s">
        <v>582</v>
      </c>
      <c r="AG263" s="101"/>
      <c r="AH263" s="101"/>
      <c r="AI263" s="101"/>
    </row>
    <row r="264" spans="10:36" x14ac:dyDescent="0.2">
      <c r="J264" s="101" t="s">
        <v>30</v>
      </c>
      <c r="K264" s="101" t="s">
        <v>1013</v>
      </c>
      <c r="L264" s="101" t="s">
        <v>998</v>
      </c>
      <c r="M264" s="101" t="s">
        <v>1014</v>
      </c>
      <c r="N264" s="189">
        <v>12360</v>
      </c>
      <c r="O264" s="101" t="s">
        <v>568</v>
      </c>
      <c r="P264" s="101" t="s">
        <v>569</v>
      </c>
      <c r="Q264" s="101" t="s">
        <v>570</v>
      </c>
      <c r="R264" s="101" t="s">
        <v>571</v>
      </c>
      <c r="S264" s="101" t="s">
        <v>572</v>
      </c>
      <c r="T264" s="101" t="s">
        <v>573</v>
      </c>
      <c r="U264" s="101"/>
      <c r="V264" s="101"/>
      <c r="W264" s="101" t="s">
        <v>574</v>
      </c>
      <c r="X264" s="101" t="s">
        <v>575</v>
      </c>
      <c r="Y264" s="101"/>
      <c r="Z264" s="101" t="s">
        <v>576</v>
      </c>
      <c r="AA264" s="101" t="s">
        <v>577</v>
      </c>
      <c r="AB264" s="101" t="s">
        <v>578</v>
      </c>
      <c r="AC264" s="101" t="s">
        <v>579</v>
      </c>
      <c r="AD264" s="101" t="s">
        <v>580</v>
      </c>
      <c r="AE264" s="101" t="s">
        <v>581</v>
      </c>
      <c r="AF264" s="101" t="s">
        <v>582</v>
      </c>
      <c r="AG264" s="101"/>
      <c r="AH264" s="101"/>
      <c r="AI264" s="101"/>
    </row>
    <row r="265" spans="10:36" x14ac:dyDescent="0.2">
      <c r="J265" s="101" t="s">
        <v>30</v>
      </c>
      <c r="K265" s="101" t="s">
        <v>1015</v>
      </c>
      <c r="L265" s="101" t="s">
        <v>998</v>
      </c>
      <c r="M265" s="101" t="s">
        <v>1016</v>
      </c>
      <c r="N265" s="189">
        <v>12450</v>
      </c>
      <c r="O265" s="101" t="s">
        <v>568</v>
      </c>
      <c r="P265" s="101" t="s">
        <v>569</v>
      </c>
      <c r="Q265" s="101" t="s">
        <v>570</v>
      </c>
      <c r="R265" s="101" t="s">
        <v>571</v>
      </c>
      <c r="S265" s="101" t="s">
        <v>572</v>
      </c>
      <c r="T265" s="101" t="s">
        <v>573</v>
      </c>
      <c r="U265" s="101"/>
      <c r="V265" s="101"/>
      <c r="W265" s="101" t="s">
        <v>574</v>
      </c>
      <c r="X265" s="101" t="s">
        <v>575</v>
      </c>
      <c r="Y265" s="101"/>
      <c r="Z265" s="101" t="s">
        <v>576</v>
      </c>
      <c r="AA265" s="101" t="s">
        <v>577</v>
      </c>
      <c r="AB265" s="101" t="s">
        <v>578</v>
      </c>
      <c r="AC265" s="101" t="s">
        <v>579</v>
      </c>
      <c r="AD265" s="101" t="s">
        <v>580</v>
      </c>
      <c r="AE265" s="101" t="s">
        <v>581</v>
      </c>
      <c r="AF265" s="101" t="s">
        <v>582</v>
      </c>
      <c r="AG265" s="101"/>
      <c r="AH265" s="101"/>
      <c r="AI265" s="101"/>
    </row>
    <row r="266" spans="10:36" x14ac:dyDescent="0.2">
      <c r="J266" s="101" t="s">
        <v>30</v>
      </c>
      <c r="K266" s="101" t="s">
        <v>1017</v>
      </c>
      <c r="L266" s="101" t="s">
        <v>998</v>
      </c>
      <c r="M266" s="101" t="s">
        <v>1018</v>
      </c>
      <c r="N266" s="189">
        <v>11900</v>
      </c>
      <c r="O266" s="101" t="s">
        <v>568</v>
      </c>
      <c r="P266" s="101" t="s">
        <v>569</v>
      </c>
      <c r="Q266" s="101" t="s">
        <v>570</v>
      </c>
      <c r="R266" s="101" t="s">
        <v>571</v>
      </c>
      <c r="S266" s="101" t="s">
        <v>572</v>
      </c>
      <c r="T266" s="101" t="s">
        <v>573</v>
      </c>
      <c r="U266" s="101"/>
      <c r="V266" s="101"/>
      <c r="W266" s="101" t="s">
        <v>574</v>
      </c>
      <c r="X266" s="101" t="s">
        <v>575</v>
      </c>
      <c r="Y266" s="101"/>
      <c r="Z266" s="101" t="s">
        <v>576</v>
      </c>
      <c r="AA266" s="101" t="s">
        <v>577</v>
      </c>
      <c r="AB266" s="101" t="s">
        <v>578</v>
      </c>
      <c r="AC266" s="101" t="s">
        <v>579</v>
      </c>
      <c r="AD266" s="101" t="s">
        <v>580</v>
      </c>
      <c r="AE266" s="101" t="s">
        <v>581</v>
      </c>
      <c r="AF266" s="101" t="s">
        <v>582</v>
      </c>
      <c r="AG266" s="101"/>
      <c r="AH266" s="101"/>
      <c r="AI266" s="101"/>
    </row>
    <row r="267" spans="10:36" x14ac:dyDescent="0.2">
      <c r="J267" s="101" t="s">
        <v>30</v>
      </c>
      <c r="K267" s="101" t="s">
        <v>1019</v>
      </c>
      <c r="L267" s="101" t="s">
        <v>1001</v>
      </c>
      <c r="M267" s="101" t="s">
        <v>1020</v>
      </c>
      <c r="N267" s="189">
        <v>12470</v>
      </c>
      <c r="O267" s="101" t="s">
        <v>568</v>
      </c>
      <c r="P267" s="101" t="s">
        <v>569</v>
      </c>
      <c r="Q267" s="101" t="s">
        <v>570</v>
      </c>
      <c r="R267" s="101" t="s">
        <v>571</v>
      </c>
      <c r="S267" s="101" t="s">
        <v>572</v>
      </c>
      <c r="T267" s="101" t="s">
        <v>573</v>
      </c>
      <c r="U267" s="101"/>
      <c r="V267" s="101"/>
      <c r="W267" s="101" t="s">
        <v>574</v>
      </c>
      <c r="X267" s="101" t="s">
        <v>575</v>
      </c>
      <c r="Y267" s="101"/>
      <c r="Z267" s="101" t="s">
        <v>576</v>
      </c>
      <c r="AA267" s="101" t="s">
        <v>577</v>
      </c>
      <c r="AB267" s="101"/>
      <c r="AC267" s="101"/>
      <c r="AD267" s="101"/>
      <c r="AE267" s="101"/>
      <c r="AF267" s="101"/>
      <c r="AG267" s="101"/>
      <c r="AH267" s="101"/>
      <c r="AI267" s="101"/>
    </row>
    <row r="268" spans="10:36" x14ac:dyDescent="0.2">
      <c r="J268" s="101" t="s">
        <v>30</v>
      </c>
      <c r="K268" s="101" t="s">
        <v>1021</v>
      </c>
      <c r="L268" s="101" t="s">
        <v>1001</v>
      </c>
      <c r="M268" s="101" t="s">
        <v>1022</v>
      </c>
      <c r="N268" s="189">
        <v>12430</v>
      </c>
      <c r="O268" s="101" t="s">
        <v>568</v>
      </c>
      <c r="P268" s="101" t="s">
        <v>569</v>
      </c>
      <c r="Q268" s="101" t="s">
        <v>570</v>
      </c>
      <c r="R268" s="101" t="s">
        <v>571</v>
      </c>
      <c r="S268" s="101" t="s">
        <v>572</v>
      </c>
      <c r="T268" s="101" t="s">
        <v>573</v>
      </c>
      <c r="U268" s="101"/>
      <c r="V268" s="101"/>
      <c r="W268" s="101" t="s">
        <v>574</v>
      </c>
      <c r="X268" s="101" t="s">
        <v>575</v>
      </c>
      <c r="Y268" s="101"/>
      <c r="Z268" s="101" t="s">
        <v>576</v>
      </c>
      <c r="AA268" s="101" t="s">
        <v>577</v>
      </c>
      <c r="AB268" s="101" t="s">
        <v>578</v>
      </c>
      <c r="AC268" s="101" t="s">
        <v>579</v>
      </c>
      <c r="AD268" s="101" t="s">
        <v>580</v>
      </c>
      <c r="AE268" s="101" t="s">
        <v>581</v>
      </c>
      <c r="AF268" s="101" t="s">
        <v>582</v>
      </c>
      <c r="AG268" s="101" t="s">
        <v>583</v>
      </c>
      <c r="AH268" s="101" t="s">
        <v>584</v>
      </c>
      <c r="AI268" s="101" t="s">
        <v>585</v>
      </c>
      <c r="AJ268" s="101" t="s">
        <v>2362</v>
      </c>
    </row>
    <row r="269" spans="10:36" x14ac:dyDescent="0.2">
      <c r="J269" s="101" t="s">
        <v>30</v>
      </c>
      <c r="K269" s="101" t="s">
        <v>1023</v>
      </c>
      <c r="L269" s="101" t="s">
        <v>1001</v>
      </c>
      <c r="M269" s="101" t="s">
        <v>1024</v>
      </c>
      <c r="N269" s="189">
        <v>12430</v>
      </c>
      <c r="O269" s="101" t="s">
        <v>568</v>
      </c>
      <c r="P269" s="101" t="s">
        <v>569</v>
      </c>
      <c r="Q269" s="101" t="s">
        <v>570</v>
      </c>
      <c r="R269" s="101" t="s">
        <v>571</v>
      </c>
      <c r="S269" s="101" t="s">
        <v>572</v>
      </c>
      <c r="T269" s="101" t="s">
        <v>573</v>
      </c>
      <c r="U269" s="101"/>
      <c r="V269" s="101"/>
      <c r="W269" s="101" t="s">
        <v>574</v>
      </c>
      <c r="X269" s="101" t="s">
        <v>575</v>
      </c>
      <c r="Y269" s="101"/>
      <c r="Z269" s="101" t="s">
        <v>576</v>
      </c>
      <c r="AA269" s="101" t="s">
        <v>577</v>
      </c>
      <c r="AB269" s="101" t="s">
        <v>578</v>
      </c>
      <c r="AC269" s="101" t="s">
        <v>579</v>
      </c>
      <c r="AD269" s="101" t="s">
        <v>580</v>
      </c>
      <c r="AE269" s="101" t="s">
        <v>581</v>
      </c>
      <c r="AF269" s="101" t="s">
        <v>582</v>
      </c>
      <c r="AG269" s="101" t="s">
        <v>583</v>
      </c>
      <c r="AH269" s="101" t="s">
        <v>584</v>
      </c>
      <c r="AI269" s="101" t="s">
        <v>585</v>
      </c>
    </row>
    <row r="270" spans="10:36" x14ac:dyDescent="0.2">
      <c r="J270" s="101" t="s">
        <v>30</v>
      </c>
      <c r="K270" s="101" t="s">
        <v>1025</v>
      </c>
      <c r="L270" s="101" t="s">
        <v>998</v>
      </c>
      <c r="M270" s="101" t="s">
        <v>1026</v>
      </c>
      <c r="N270" s="189">
        <v>11990</v>
      </c>
      <c r="O270" s="101" t="s">
        <v>568</v>
      </c>
      <c r="P270" s="101" t="s">
        <v>569</v>
      </c>
      <c r="Q270" s="101" t="s">
        <v>570</v>
      </c>
      <c r="R270" s="101" t="s">
        <v>571</v>
      </c>
      <c r="S270" s="101" t="s">
        <v>572</v>
      </c>
      <c r="T270" s="101" t="s">
        <v>573</v>
      </c>
      <c r="U270" s="101"/>
      <c r="V270" s="101"/>
      <c r="W270" s="101" t="s">
        <v>574</v>
      </c>
      <c r="X270" s="101" t="s">
        <v>575</v>
      </c>
      <c r="Y270" s="101"/>
      <c r="Z270" s="101" t="s">
        <v>576</v>
      </c>
      <c r="AA270" s="101" t="s">
        <v>577</v>
      </c>
      <c r="AB270" s="101" t="s">
        <v>578</v>
      </c>
      <c r="AC270" s="101" t="s">
        <v>579</v>
      </c>
      <c r="AD270" s="101" t="s">
        <v>580</v>
      </c>
      <c r="AE270" s="101" t="s">
        <v>581</v>
      </c>
      <c r="AF270" s="101"/>
      <c r="AG270" s="101"/>
      <c r="AH270" s="101"/>
      <c r="AI270" s="101"/>
    </row>
    <row r="271" spans="10:36" x14ac:dyDescent="0.2">
      <c r="J271" s="101" t="s">
        <v>30</v>
      </c>
      <c r="K271" s="101" t="s">
        <v>1027</v>
      </c>
      <c r="L271" s="101" t="s">
        <v>998</v>
      </c>
      <c r="M271" s="101" t="s">
        <v>1028</v>
      </c>
      <c r="N271" s="189">
        <v>12460</v>
      </c>
      <c r="O271" s="101" t="s">
        <v>568</v>
      </c>
      <c r="P271" s="101" t="s">
        <v>569</v>
      </c>
      <c r="Q271" s="101" t="s">
        <v>570</v>
      </c>
      <c r="R271" s="101" t="s">
        <v>571</v>
      </c>
      <c r="S271" s="101" t="s">
        <v>572</v>
      </c>
      <c r="T271" s="101" t="s">
        <v>573</v>
      </c>
      <c r="U271" s="101"/>
      <c r="V271" s="101"/>
      <c r="W271" s="101" t="s">
        <v>574</v>
      </c>
      <c r="X271" s="101" t="s">
        <v>575</v>
      </c>
      <c r="Y271" s="101"/>
      <c r="Z271" s="101" t="s">
        <v>576</v>
      </c>
      <c r="AA271" s="101" t="s">
        <v>577</v>
      </c>
      <c r="AB271" s="101" t="s">
        <v>578</v>
      </c>
      <c r="AC271" s="101" t="s">
        <v>579</v>
      </c>
      <c r="AD271" s="101" t="s">
        <v>580</v>
      </c>
      <c r="AE271" s="101" t="s">
        <v>581</v>
      </c>
      <c r="AF271" s="101" t="s">
        <v>582</v>
      </c>
      <c r="AG271" s="101"/>
      <c r="AH271" s="101"/>
      <c r="AI271" s="101"/>
    </row>
    <row r="272" spans="10:36" x14ac:dyDescent="0.2">
      <c r="J272" s="101" t="s">
        <v>30</v>
      </c>
      <c r="K272" s="101" t="s">
        <v>1029</v>
      </c>
      <c r="L272" s="101" t="s">
        <v>998</v>
      </c>
      <c r="M272" s="101" t="s">
        <v>1030</v>
      </c>
      <c r="N272" s="189">
        <v>12360</v>
      </c>
      <c r="O272" s="101" t="s">
        <v>568</v>
      </c>
      <c r="P272" s="101" t="s">
        <v>569</v>
      </c>
      <c r="Q272" s="101" t="s">
        <v>570</v>
      </c>
      <c r="R272" s="101" t="s">
        <v>571</v>
      </c>
      <c r="S272" s="101" t="s">
        <v>572</v>
      </c>
      <c r="T272" s="101" t="s">
        <v>573</v>
      </c>
      <c r="U272" s="101"/>
      <c r="V272" s="101"/>
      <c r="W272" s="101" t="s">
        <v>574</v>
      </c>
      <c r="X272" s="101" t="s">
        <v>575</v>
      </c>
      <c r="Y272" s="101"/>
      <c r="Z272" s="101" t="s">
        <v>576</v>
      </c>
      <c r="AA272" s="101" t="s">
        <v>577</v>
      </c>
      <c r="AB272" s="101" t="s">
        <v>578</v>
      </c>
      <c r="AC272" s="101" t="s">
        <v>579</v>
      </c>
      <c r="AD272" s="101" t="s">
        <v>580</v>
      </c>
      <c r="AE272" s="101" t="s">
        <v>581</v>
      </c>
      <c r="AF272" s="101" t="s">
        <v>582</v>
      </c>
      <c r="AG272" s="101"/>
      <c r="AH272" s="101"/>
      <c r="AI272" s="101"/>
    </row>
    <row r="273" spans="10:35" x14ac:dyDescent="0.2">
      <c r="J273" s="101" t="s">
        <v>30</v>
      </c>
      <c r="K273" s="101" t="s">
        <v>1031</v>
      </c>
      <c r="L273" s="101" t="s">
        <v>998</v>
      </c>
      <c r="M273" s="101" t="s">
        <v>1032</v>
      </c>
      <c r="N273" s="189">
        <v>12460</v>
      </c>
      <c r="O273" s="101" t="s">
        <v>568</v>
      </c>
      <c r="P273" s="101" t="s">
        <v>569</v>
      </c>
      <c r="Q273" s="101" t="s">
        <v>570</v>
      </c>
      <c r="R273" s="101" t="s">
        <v>571</v>
      </c>
      <c r="S273" s="101" t="s">
        <v>572</v>
      </c>
      <c r="T273" s="101" t="s">
        <v>573</v>
      </c>
      <c r="U273" s="101"/>
      <c r="V273" s="101" t="s">
        <v>2361</v>
      </c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</row>
    <row r="274" spans="10:35" x14ac:dyDescent="0.2">
      <c r="J274" s="101" t="s">
        <v>30</v>
      </c>
      <c r="K274" s="101" t="s">
        <v>1033</v>
      </c>
      <c r="L274" s="101" t="s">
        <v>998</v>
      </c>
      <c r="M274" s="101" t="s">
        <v>1034</v>
      </c>
      <c r="N274" s="189">
        <v>12420</v>
      </c>
      <c r="O274" s="101" t="s">
        <v>568</v>
      </c>
      <c r="P274" s="101" t="s">
        <v>569</v>
      </c>
      <c r="Q274" s="101" t="s">
        <v>570</v>
      </c>
      <c r="R274" s="101" t="s">
        <v>571</v>
      </c>
      <c r="S274" s="101" t="s">
        <v>572</v>
      </c>
      <c r="T274" s="101" t="s">
        <v>573</v>
      </c>
      <c r="U274" s="101"/>
      <c r="V274" s="101"/>
      <c r="W274" s="101"/>
      <c r="X274" s="101" t="s">
        <v>575</v>
      </c>
      <c r="Y274" s="101"/>
      <c r="Z274" s="101" t="s">
        <v>576</v>
      </c>
      <c r="AA274" s="101" t="s">
        <v>577</v>
      </c>
      <c r="AB274" s="101" t="s">
        <v>578</v>
      </c>
      <c r="AC274" s="101" t="s">
        <v>579</v>
      </c>
      <c r="AD274" s="101" t="s">
        <v>580</v>
      </c>
      <c r="AE274" s="101" t="s">
        <v>581</v>
      </c>
      <c r="AF274" s="101" t="s">
        <v>582</v>
      </c>
      <c r="AG274" s="101" t="s">
        <v>583</v>
      </c>
      <c r="AH274" s="101" t="s">
        <v>584</v>
      </c>
      <c r="AI274" s="101" t="s">
        <v>585</v>
      </c>
    </row>
    <row r="275" spans="10:35" x14ac:dyDescent="0.2">
      <c r="J275" s="101" t="s">
        <v>30</v>
      </c>
      <c r="K275" s="101" t="s">
        <v>1035</v>
      </c>
      <c r="L275" s="101" t="s">
        <v>998</v>
      </c>
      <c r="M275" s="101" t="s">
        <v>1036</v>
      </c>
      <c r="N275" s="189">
        <v>12470</v>
      </c>
      <c r="O275" s="101" t="s">
        <v>568</v>
      </c>
      <c r="P275" s="101" t="s">
        <v>569</v>
      </c>
      <c r="Q275" s="101" t="s">
        <v>570</v>
      </c>
      <c r="R275" s="101" t="s">
        <v>571</v>
      </c>
      <c r="S275" s="101" t="s">
        <v>572</v>
      </c>
      <c r="T275" s="101" t="s">
        <v>573</v>
      </c>
      <c r="U275" s="101"/>
      <c r="V275" s="101" t="s">
        <v>2361</v>
      </c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</row>
    <row r="276" spans="10:35" x14ac:dyDescent="0.2">
      <c r="J276" s="101" t="s">
        <v>30</v>
      </c>
      <c r="K276" s="101" t="s">
        <v>1037</v>
      </c>
      <c r="L276" s="101" t="s">
        <v>998</v>
      </c>
      <c r="M276" s="101" t="s">
        <v>1038</v>
      </c>
      <c r="N276" s="189">
        <v>12470</v>
      </c>
      <c r="O276" s="101" t="s">
        <v>568</v>
      </c>
      <c r="P276" s="101" t="s">
        <v>569</v>
      </c>
      <c r="Q276" s="101" t="s">
        <v>570</v>
      </c>
      <c r="R276" s="101"/>
      <c r="S276" s="101"/>
      <c r="T276" s="101"/>
      <c r="U276" s="101"/>
      <c r="V276" s="101" t="s">
        <v>2361</v>
      </c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</row>
    <row r="277" spans="10:35" x14ac:dyDescent="0.2">
      <c r="J277" s="101" t="s">
        <v>30</v>
      </c>
      <c r="K277" s="101" t="s">
        <v>1039</v>
      </c>
      <c r="L277" s="101" t="s">
        <v>998</v>
      </c>
      <c r="M277" s="101" t="s">
        <v>1040</v>
      </c>
      <c r="N277" s="189">
        <v>12460</v>
      </c>
      <c r="O277" s="101" t="s">
        <v>568</v>
      </c>
      <c r="P277" s="101" t="s">
        <v>569</v>
      </c>
      <c r="Q277" s="101" t="s">
        <v>570</v>
      </c>
      <c r="R277" s="101" t="s">
        <v>571</v>
      </c>
      <c r="S277" s="101" t="s">
        <v>572</v>
      </c>
      <c r="T277" s="101" t="s">
        <v>573</v>
      </c>
      <c r="U277" s="101"/>
      <c r="V277" s="101"/>
      <c r="W277" s="101" t="s">
        <v>574</v>
      </c>
      <c r="X277" s="101" t="s">
        <v>575</v>
      </c>
      <c r="Y277" s="101"/>
      <c r="Z277" s="101" t="s">
        <v>576</v>
      </c>
      <c r="AA277" s="101" t="s">
        <v>577</v>
      </c>
      <c r="AB277" s="101" t="s">
        <v>578</v>
      </c>
      <c r="AC277" s="101" t="s">
        <v>579</v>
      </c>
      <c r="AD277" s="101" t="s">
        <v>580</v>
      </c>
      <c r="AE277" s="101" t="s">
        <v>581</v>
      </c>
      <c r="AF277" s="101" t="s">
        <v>582</v>
      </c>
      <c r="AG277" s="101"/>
      <c r="AH277" s="101"/>
      <c r="AI277" s="101"/>
    </row>
    <row r="278" spans="10:35" x14ac:dyDescent="0.2">
      <c r="J278" s="101" t="s">
        <v>30</v>
      </c>
      <c r="K278" s="101" t="s">
        <v>1041</v>
      </c>
      <c r="L278" s="101" t="s">
        <v>998</v>
      </c>
      <c r="M278" s="101" t="s">
        <v>1042</v>
      </c>
      <c r="N278" s="189">
        <v>12420</v>
      </c>
      <c r="O278" s="101" t="s">
        <v>568</v>
      </c>
      <c r="P278" s="101" t="s">
        <v>569</v>
      </c>
      <c r="Q278" s="101" t="s">
        <v>570</v>
      </c>
      <c r="R278" s="101" t="s">
        <v>571</v>
      </c>
      <c r="S278" s="101" t="s">
        <v>572</v>
      </c>
      <c r="T278" s="101" t="s">
        <v>573</v>
      </c>
      <c r="U278" s="101"/>
      <c r="V278" s="101"/>
      <c r="W278" s="101" t="s">
        <v>574</v>
      </c>
      <c r="X278" s="101" t="s">
        <v>575</v>
      </c>
      <c r="Y278" s="101"/>
      <c r="Z278" s="101" t="s">
        <v>576</v>
      </c>
      <c r="AA278" s="101" t="s">
        <v>577</v>
      </c>
      <c r="AB278" s="101" t="s">
        <v>578</v>
      </c>
      <c r="AC278" s="101" t="s">
        <v>579</v>
      </c>
      <c r="AD278" s="101" t="s">
        <v>580</v>
      </c>
      <c r="AE278" s="101" t="s">
        <v>581</v>
      </c>
      <c r="AF278" s="101" t="s">
        <v>582</v>
      </c>
      <c r="AG278" s="101" t="s">
        <v>583</v>
      </c>
      <c r="AH278" s="101" t="s">
        <v>584</v>
      </c>
      <c r="AI278" s="101" t="s">
        <v>585</v>
      </c>
    </row>
    <row r="279" spans="10:35" x14ac:dyDescent="0.2">
      <c r="J279" s="101" t="s">
        <v>30</v>
      </c>
      <c r="K279" s="101" t="s">
        <v>1043</v>
      </c>
      <c r="L279" s="101" t="s">
        <v>998</v>
      </c>
      <c r="M279" s="101" t="s">
        <v>1044</v>
      </c>
      <c r="N279" s="189">
        <v>12150</v>
      </c>
      <c r="O279" s="101" t="s">
        <v>568</v>
      </c>
      <c r="P279" s="101" t="s">
        <v>569</v>
      </c>
      <c r="Q279" s="101" t="s">
        <v>570</v>
      </c>
      <c r="R279" s="101" t="s">
        <v>571</v>
      </c>
      <c r="S279" s="101" t="s">
        <v>572</v>
      </c>
      <c r="T279" s="101" t="s">
        <v>573</v>
      </c>
      <c r="U279" s="101"/>
      <c r="V279" s="101"/>
      <c r="W279" s="101" t="s">
        <v>574</v>
      </c>
      <c r="X279" s="101" t="s">
        <v>575</v>
      </c>
      <c r="Y279" s="101"/>
      <c r="Z279" s="101" t="s">
        <v>576</v>
      </c>
      <c r="AA279" s="101" t="s">
        <v>577</v>
      </c>
      <c r="AB279" s="101" t="s">
        <v>578</v>
      </c>
      <c r="AC279" s="101" t="s">
        <v>579</v>
      </c>
      <c r="AD279" s="101" t="s">
        <v>580</v>
      </c>
      <c r="AE279" s="101" t="s">
        <v>581</v>
      </c>
      <c r="AF279" s="101" t="s">
        <v>582</v>
      </c>
      <c r="AG279" s="101"/>
      <c r="AH279" s="101"/>
      <c r="AI279" s="101"/>
    </row>
    <row r="280" spans="10:35" x14ac:dyDescent="0.2">
      <c r="J280" s="101" t="s">
        <v>30</v>
      </c>
      <c r="K280" s="101" t="s">
        <v>1045</v>
      </c>
      <c r="L280" s="101" t="s">
        <v>1001</v>
      </c>
      <c r="M280" s="101" t="s">
        <v>1046</v>
      </c>
      <c r="N280" s="189">
        <v>12470</v>
      </c>
      <c r="O280" s="101" t="s">
        <v>568</v>
      </c>
      <c r="P280" s="101" t="s">
        <v>569</v>
      </c>
      <c r="Q280" s="101" t="s">
        <v>570</v>
      </c>
      <c r="R280" s="101" t="s">
        <v>571</v>
      </c>
      <c r="S280" s="101" t="s">
        <v>572</v>
      </c>
      <c r="T280" s="101" t="s">
        <v>573</v>
      </c>
      <c r="U280" s="101"/>
      <c r="V280" s="101"/>
      <c r="W280" s="101" t="s">
        <v>574</v>
      </c>
      <c r="X280" s="101" t="s">
        <v>575</v>
      </c>
      <c r="Y280" s="101"/>
      <c r="Z280" s="101" t="s">
        <v>576</v>
      </c>
      <c r="AA280" s="101" t="s">
        <v>577</v>
      </c>
      <c r="AB280" s="101" t="s">
        <v>578</v>
      </c>
      <c r="AC280" s="101" t="s">
        <v>579</v>
      </c>
      <c r="AD280" s="101" t="s">
        <v>580</v>
      </c>
      <c r="AE280" s="101" t="s">
        <v>581</v>
      </c>
      <c r="AF280" s="101" t="s">
        <v>582</v>
      </c>
      <c r="AG280" s="101"/>
      <c r="AH280" s="101"/>
      <c r="AI280" s="101"/>
    </row>
    <row r="281" spans="10:35" x14ac:dyDescent="0.2">
      <c r="J281" s="101" t="s">
        <v>30</v>
      </c>
      <c r="K281" s="101" t="s">
        <v>1047</v>
      </c>
      <c r="L281" s="101" t="s">
        <v>1001</v>
      </c>
      <c r="M281" s="101" t="s">
        <v>1048</v>
      </c>
      <c r="N281" s="189">
        <v>12260</v>
      </c>
      <c r="O281" s="101" t="s">
        <v>568</v>
      </c>
      <c r="P281" s="101" t="s">
        <v>569</v>
      </c>
      <c r="Q281" s="101" t="s">
        <v>570</v>
      </c>
      <c r="R281" s="101" t="s">
        <v>571</v>
      </c>
      <c r="S281" s="101" t="s">
        <v>572</v>
      </c>
      <c r="T281" s="101" t="s">
        <v>573</v>
      </c>
      <c r="U281" s="101"/>
      <c r="V281" s="101"/>
      <c r="W281" s="101" t="s">
        <v>574</v>
      </c>
      <c r="X281" s="101" t="s">
        <v>575</v>
      </c>
      <c r="Y281" s="101"/>
      <c r="Z281" s="101" t="s">
        <v>576</v>
      </c>
      <c r="AA281" s="101" t="s">
        <v>577</v>
      </c>
      <c r="AB281" s="101" t="s">
        <v>578</v>
      </c>
      <c r="AC281" s="101" t="s">
        <v>579</v>
      </c>
      <c r="AD281" s="101" t="s">
        <v>580</v>
      </c>
      <c r="AE281" s="101" t="s">
        <v>581</v>
      </c>
      <c r="AF281" s="101" t="s">
        <v>582</v>
      </c>
      <c r="AG281" s="101"/>
      <c r="AH281" s="101"/>
      <c r="AI281" s="101"/>
    </row>
    <row r="282" spans="10:35" x14ac:dyDescent="0.2">
      <c r="J282" s="101" t="s">
        <v>30</v>
      </c>
      <c r="K282" s="101" t="s">
        <v>1049</v>
      </c>
      <c r="L282" s="101" t="s">
        <v>1001</v>
      </c>
      <c r="M282" s="101" t="s">
        <v>1050</v>
      </c>
      <c r="N282" s="189">
        <v>12460</v>
      </c>
      <c r="O282" s="101" t="s">
        <v>568</v>
      </c>
      <c r="P282" s="101" t="s">
        <v>569</v>
      </c>
      <c r="Q282" s="101" t="s">
        <v>570</v>
      </c>
      <c r="R282" s="101" t="s">
        <v>571</v>
      </c>
      <c r="S282" s="101" t="s">
        <v>572</v>
      </c>
      <c r="T282" s="101" t="s">
        <v>573</v>
      </c>
      <c r="U282" s="101"/>
      <c r="V282" s="101"/>
      <c r="W282" s="101" t="s">
        <v>574</v>
      </c>
      <c r="X282" s="101" t="s">
        <v>575</v>
      </c>
      <c r="Y282" s="101"/>
      <c r="Z282" s="101" t="s">
        <v>576</v>
      </c>
      <c r="AA282" s="101" t="s">
        <v>577</v>
      </c>
      <c r="AB282" s="101" t="s">
        <v>578</v>
      </c>
      <c r="AC282" s="101" t="s">
        <v>579</v>
      </c>
      <c r="AD282" s="101" t="s">
        <v>580</v>
      </c>
      <c r="AE282" s="101" t="s">
        <v>581</v>
      </c>
      <c r="AF282" s="101" t="s">
        <v>582</v>
      </c>
      <c r="AG282" s="101"/>
      <c r="AH282" s="101"/>
      <c r="AI282" s="101"/>
    </row>
    <row r="283" spans="10:35" x14ac:dyDescent="0.2">
      <c r="J283" s="101" t="s">
        <v>30</v>
      </c>
      <c r="K283" s="101" t="s">
        <v>1051</v>
      </c>
      <c r="L283" s="101" t="s">
        <v>1001</v>
      </c>
      <c r="M283" s="101" t="s">
        <v>1052</v>
      </c>
      <c r="N283" s="189">
        <v>12380</v>
      </c>
      <c r="O283" s="101" t="s">
        <v>568</v>
      </c>
      <c r="P283" s="101" t="s">
        <v>569</v>
      </c>
      <c r="Q283" s="101" t="s">
        <v>570</v>
      </c>
      <c r="R283" s="101" t="s">
        <v>571</v>
      </c>
      <c r="S283" s="101" t="s">
        <v>572</v>
      </c>
      <c r="T283" s="101" t="s">
        <v>573</v>
      </c>
      <c r="U283" s="101"/>
      <c r="V283" s="101"/>
      <c r="W283" s="101" t="s">
        <v>574</v>
      </c>
      <c r="X283" s="101" t="s">
        <v>575</v>
      </c>
      <c r="Y283" s="101"/>
      <c r="Z283" s="101" t="s">
        <v>576</v>
      </c>
      <c r="AA283" s="101" t="s">
        <v>577</v>
      </c>
      <c r="AB283" s="101" t="s">
        <v>578</v>
      </c>
      <c r="AC283" s="101" t="s">
        <v>579</v>
      </c>
      <c r="AD283" s="101" t="s">
        <v>580</v>
      </c>
      <c r="AE283" s="101" t="s">
        <v>581</v>
      </c>
      <c r="AF283" s="101" t="s">
        <v>582</v>
      </c>
      <c r="AG283" s="101"/>
      <c r="AH283" s="101"/>
      <c r="AI283" s="101"/>
    </row>
    <row r="284" spans="10:35" x14ac:dyDescent="0.2">
      <c r="J284" s="101" t="s">
        <v>30</v>
      </c>
      <c r="K284" s="101" t="s">
        <v>1378</v>
      </c>
      <c r="L284" s="101" t="s">
        <v>1379</v>
      </c>
      <c r="M284" s="101" t="s">
        <v>1380</v>
      </c>
      <c r="N284" s="189">
        <v>12460</v>
      </c>
      <c r="O284" s="101" t="s">
        <v>568</v>
      </c>
      <c r="P284" s="101" t="s">
        <v>569</v>
      </c>
      <c r="Q284" s="101" t="s">
        <v>570</v>
      </c>
      <c r="R284" s="101" t="s">
        <v>571</v>
      </c>
      <c r="S284" s="101" t="s">
        <v>572</v>
      </c>
      <c r="T284" s="101" t="s">
        <v>573</v>
      </c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</row>
    <row r="285" spans="10:35" x14ac:dyDescent="0.2">
      <c r="J285" s="101" t="s">
        <v>30</v>
      </c>
      <c r="K285" s="101" t="s">
        <v>1055</v>
      </c>
      <c r="L285" s="101" t="s">
        <v>1001</v>
      </c>
      <c r="M285" s="101" t="s">
        <v>1056</v>
      </c>
      <c r="N285" s="189">
        <v>12430</v>
      </c>
      <c r="O285" s="101" t="s">
        <v>568</v>
      </c>
      <c r="P285" s="101" t="s">
        <v>569</v>
      </c>
      <c r="Q285" s="101" t="s">
        <v>570</v>
      </c>
      <c r="R285" s="101" t="s">
        <v>571</v>
      </c>
      <c r="S285" s="101" t="s">
        <v>572</v>
      </c>
      <c r="T285" s="101" t="s">
        <v>573</v>
      </c>
      <c r="U285" s="101"/>
      <c r="V285" s="101"/>
      <c r="W285" s="101" t="s">
        <v>574</v>
      </c>
      <c r="X285" s="101" t="s">
        <v>575</v>
      </c>
      <c r="Y285" s="101"/>
      <c r="Z285" s="101" t="s">
        <v>576</v>
      </c>
      <c r="AA285" s="101" t="s">
        <v>577</v>
      </c>
      <c r="AB285" s="101" t="s">
        <v>578</v>
      </c>
      <c r="AC285" s="101" t="s">
        <v>579</v>
      </c>
      <c r="AD285" s="101" t="s">
        <v>580</v>
      </c>
      <c r="AE285" s="101" t="s">
        <v>581</v>
      </c>
      <c r="AF285" s="101" t="s">
        <v>582</v>
      </c>
      <c r="AG285" s="101" t="s">
        <v>583</v>
      </c>
      <c r="AH285" s="101" t="s">
        <v>584</v>
      </c>
      <c r="AI285" s="101" t="s">
        <v>585</v>
      </c>
    </row>
    <row r="286" spans="10:35" x14ac:dyDescent="0.2">
      <c r="J286" s="101" t="s">
        <v>30</v>
      </c>
      <c r="K286" s="101" t="s">
        <v>1057</v>
      </c>
      <c r="L286" s="101" t="s">
        <v>1001</v>
      </c>
      <c r="M286" s="101" t="s">
        <v>1058</v>
      </c>
      <c r="N286" s="189">
        <v>12460</v>
      </c>
      <c r="O286" s="101" t="s">
        <v>568</v>
      </c>
      <c r="P286" s="101" t="s">
        <v>569</v>
      </c>
      <c r="Q286" s="101" t="s">
        <v>570</v>
      </c>
      <c r="R286" s="101" t="s">
        <v>571</v>
      </c>
      <c r="S286" s="101" t="s">
        <v>572</v>
      </c>
      <c r="T286" s="101" t="s">
        <v>573</v>
      </c>
      <c r="U286" s="101"/>
      <c r="V286" s="101"/>
      <c r="W286" s="101" t="s">
        <v>574</v>
      </c>
      <c r="X286" s="101" t="s">
        <v>575</v>
      </c>
      <c r="Y286" s="101"/>
      <c r="Z286" s="101" t="s">
        <v>576</v>
      </c>
      <c r="AA286" s="101" t="s">
        <v>577</v>
      </c>
      <c r="AB286" s="101" t="s">
        <v>578</v>
      </c>
      <c r="AC286" s="101" t="s">
        <v>579</v>
      </c>
      <c r="AD286" s="101" t="s">
        <v>580</v>
      </c>
      <c r="AE286" s="101" t="s">
        <v>581</v>
      </c>
      <c r="AF286" s="101" t="s">
        <v>582</v>
      </c>
      <c r="AG286" s="101"/>
      <c r="AH286" s="101"/>
      <c r="AI286" s="101"/>
    </row>
    <row r="287" spans="10:35" x14ac:dyDescent="0.2">
      <c r="J287" s="101" t="s">
        <v>30</v>
      </c>
      <c r="K287" s="101" t="s">
        <v>1059</v>
      </c>
      <c r="L287" s="101" t="s">
        <v>1001</v>
      </c>
      <c r="M287" s="101" t="s">
        <v>1060</v>
      </c>
      <c r="N287" s="189">
        <v>12350</v>
      </c>
      <c r="O287" s="101" t="s">
        <v>568</v>
      </c>
      <c r="P287" s="101" t="s">
        <v>569</v>
      </c>
      <c r="Q287" s="101" t="s">
        <v>570</v>
      </c>
      <c r="R287" s="101" t="s">
        <v>571</v>
      </c>
      <c r="S287" s="101" t="s">
        <v>572</v>
      </c>
      <c r="T287" s="101" t="s">
        <v>573</v>
      </c>
      <c r="U287" s="101"/>
      <c r="V287" s="101"/>
      <c r="W287" s="101" t="s">
        <v>574</v>
      </c>
      <c r="X287" s="101" t="s">
        <v>575</v>
      </c>
      <c r="Y287" s="101"/>
      <c r="Z287" s="101" t="s">
        <v>576</v>
      </c>
      <c r="AA287" s="101" t="s">
        <v>577</v>
      </c>
      <c r="AB287" s="101" t="s">
        <v>578</v>
      </c>
      <c r="AC287" s="101" t="s">
        <v>579</v>
      </c>
      <c r="AD287" s="101" t="s">
        <v>580</v>
      </c>
      <c r="AE287" s="101" t="s">
        <v>581</v>
      </c>
      <c r="AF287" s="101" t="s">
        <v>582</v>
      </c>
      <c r="AG287" s="101"/>
      <c r="AH287" s="101"/>
      <c r="AI287" s="101"/>
    </row>
    <row r="288" spans="10:35" x14ac:dyDescent="0.2">
      <c r="J288" s="101" t="s">
        <v>30</v>
      </c>
      <c r="K288" s="101" t="s">
        <v>1061</v>
      </c>
      <c r="L288" s="101" t="s">
        <v>1001</v>
      </c>
      <c r="M288" s="101" t="s">
        <v>1062</v>
      </c>
      <c r="N288" s="189">
        <v>12470</v>
      </c>
      <c r="O288" s="101" t="s">
        <v>568</v>
      </c>
      <c r="P288" s="101" t="s">
        <v>569</v>
      </c>
      <c r="Q288" s="101" t="s">
        <v>570</v>
      </c>
      <c r="R288" s="101" t="s">
        <v>571</v>
      </c>
      <c r="S288" s="101" t="s">
        <v>572</v>
      </c>
      <c r="T288" s="101" t="s">
        <v>573</v>
      </c>
      <c r="U288" s="101"/>
      <c r="V288" s="101"/>
      <c r="W288" s="101" t="s">
        <v>574</v>
      </c>
      <c r="X288" s="101" t="s">
        <v>575</v>
      </c>
      <c r="Y288" s="101"/>
      <c r="Z288" s="101" t="s">
        <v>576</v>
      </c>
      <c r="AA288" s="101" t="s">
        <v>577</v>
      </c>
      <c r="AB288" s="101" t="s">
        <v>578</v>
      </c>
      <c r="AC288" s="101" t="s">
        <v>579</v>
      </c>
      <c r="AD288" s="101" t="s">
        <v>580</v>
      </c>
      <c r="AE288" s="101" t="s">
        <v>581</v>
      </c>
      <c r="AF288" s="101" t="s">
        <v>582</v>
      </c>
      <c r="AG288" s="101"/>
      <c r="AH288" s="101"/>
      <c r="AI288" s="101"/>
    </row>
    <row r="289" spans="10:35" x14ac:dyDescent="0.2">
      <c r="J289" s="101" t="s">
        <v>30</v>
      </c>
      <c r="K289" s="101" t="s">
        <v>1063</v>
      </c>
      <c r="L289" s="101" t="s">
        <v>1001</v>
      </c>
      <c r="M289" s="101" t="s">
        <v>1064</v>
      </c>
      <c r="N289" s="189">
        <v>12470</v>
      </c>
      <c r="O289" s="101" t="s">
        <v>568</v>
      </c>
      <c r="P289" s="101" t="s">
        <v>569</v>
      </c>
      <c r="Q289" s="101" t="s">
        <v>570</v>
      </c>
      <c r="R289" s="101" t="s">
        <v>571</v>
      </c>
      <c r="S289" s="101" t="s">
        <v>572</v>
      </c>
      <c r="T289" s="101" t="s">
        <v>573</v>
      </c>
      <c r="U289" s="101"/>
      <c r="V289" s="101"/>
      <c r="W289" s="101" t="s">
        <v>574</v>
      </c>
      <c r="X289" s="101" t="s">
        <v>575</v>
      </c>
      <c r="Y289" s="101"/>
      <c r="Z289" s="101" t="s">
        <v>576</v>
      </c>
      <c r="AA289" s="101" t="s">
        <v>577</v>
      </c>
      <c r="AB289" s="101" t="s">
        <v>578</v>
      </c>
      <c r="AC289" s="101" t="s">
        <v>579</v>
      </c>
      <c r="AD289" s="101" t="s">
        <v>580</v>
      </c>
      <c r="AE289" s="101" t="s">
        <v>581</v>
      </c>
      <c r="AF289" s="101" t="s">
        <v>582</v>
      </c>
      <c r="AG289" s="101"/>
      <c r="AH289" s="101"/>
      <c r="AI289" s="101"/>
    </row>
    <row r="290" spans="10:35" x14ac:dyDescent="0.2">
      <c r="J290" s="101" t="s">
        <v>30</v>
      </c>
      <c r="K290" s="101" t="s">
        <v>1065</v>
      </c>
      <c r="L290" s="101" t="s">
        <v>1001</v>
      </c>
      <c r="M290" s="101" t="s">
        <v>1066</v>
      </c>
      <c r="N290" s="189">
        <v>12450</v>
      </c>
      <c r="O290" s="101" t="s">
        <v>568</v>
      </c>
      <c r="P290" s="101" t="s">
        <v>569</v>
      </c>
      <c r="Q290" s="101" t="s">
        <v>570</v>
      </c>
      <c r="R290" s="101" t="s">
        <v>571</v>
      </c>
      <c r="S290" s="101" t="s">
        <v>572</v>
      </c>
      <c r="T290" s="101" t="s">
        <v>573</v>
      </c>
      <c r="U290" s="101"/>
      <c r="V290" s="101"/>
      <c r="W290" s="101" t="s">
        <v>574</v>
      </c>
      <c r="X290" s="101" t="s">
        <v>575</v>
      </c>
      <c r="Y290" s="101"/>
      <c r="Z290" s="101" t="s">
        <v>576</v>
      </c>
      <c r="AA290" s="101" t="s">
        <v>577</v>
      </c>
      <c r="AB290" s="101" t="s">
        <v>578</v>
      </c>
      <c r="AC290" s="101" t="s">
        <v>579</v>
      </c>
      <c r="AD290" s="101" t="s">
        <v>580</v>
      </c>
      <c r="AE290" s="101" t="s">
        <v>581</v>
      </c>
      <c r="AF290" s="101" t="s">
        <v>582</v>
      </c>
      <c r="AG290" s="101"/>
      <c r="AH290" s="101"/>
      <c r="AI290" s="101"/>
    </row>
    <row r="291" spans="10:35" x14ac:dyDescent="0.2">
      <c r="J291" s="101" t="s">
        <v>30</v>
      </c>
      <c r="K291" s="101" t="s">
        <v>1067</v>
      </c>
      <c r="L291" s="101" t="s">
        <v>1001</v>
      </c>
      <c r="M291" s="101" t="s">
        <v>1068</v>
      </c>
      <c r="N291" s="189">
        <v>12140</v>
      </c>
      <c r="O291" s="101" t="s">
        <v>568</v>
      </c>
      <c r="P291" s="101" t="s">
        <v>569</v>
      </c>
      <c r="Q291" s="101" t="s">
        <v>570</v>
      </c>
      <c r="R291" s="101" t="s">
        <v>571</v>
      </c>
      <c r="S291" s="101" t="s">
        <v>572</v>
      </c>
      <c r="T291" s="101" t="s">
        <v>573</v>
      </c>
      <c r="U291" s="101"/>
      <c r="V291" s="101"/>
      <c r="W291" s="101" t="s">
        <v>574</v>
      </c>
      <c r="X291" s="101" t="s">
        <v>575</v>
      </c>
      <c r="Y291" s="101"/>
      <c r="Z291" s="101" t="s">
        <v>576</v>
      </c>
      <c r="AA291" s="101" t="s">
        <v>577</v>
      </c>
      <c r="AB291" s="101" t="s">
        <v>578</v>
      </c>
      <c r="AC291" s="101" t="s">
        <v>579</v>
      </c>
      <c r="AD291" s="101" t="s">
        <v>580</v>
      </c>
      <c r="AE291" s="101" t="s">
        <v>581</v>
      </c>
      <c r="AF291" s="101" t="s">
        <v>582</v>
      </c>
      <c r="AG291" s="101"/>
      <c r="AH291" s="101"/>
      <c r="AI291" s="101"/>
    </row>
    <row r="292" spans="10:35" x14ac:dyDescent="0.2">
      <c r="J292" s="101" t="s">
        <v>30</v>
      </c>
      <c r="K292" s="101" t="s">
        <v>1069</v>
      </c>
      <c r="L292" s="101" t="s">
        <v>1001</v>
      </c>
      <c r="M292" s="101" t="s">
        <v>1070</v>
      </c>
      <c r="N292" s="189">
        <v>11990</v>
      </c>
      <c r="O292" s="101" t="s">
        <v>568</v>
      </c>
      <c r="P292" s="101" t="s">
        <v>569</v>
      </c>
      <c r="Q292" s="101" t="s">
        <v>570</v>
      </c>
      <c r="R292" s="101" t="s">
        <v>571</v>
      </c>
      <c r="S292" s="101" t="s">
        <v>572</v>
      </c>
      <c r="T292" s="101" t="s">
        <v>573</v>
      </c>
      <c r="U292" s="101"/>
      <c r="V292" s="101"/>
      <c r="W292" s="101" t="s">
        <v>574</v>
      </c>
      <c r="X292" s="101" t="s">
        <v>575</v>
      </c>
      <c r="Y292" s="101"/>
      <c r="Z292" s="101" t="s">
        <v>576</v>
      </c>
      <c r="AA292" s="101" t="s">
        <v>577</v>
      </c>
      <c r="AB292" s="101" t="s">
        <v>578</v>
      </c>
      <c r="AC292" s="101" t="s">
        <v>579</v>
      </c>
      <c r="AD292" s="101" t="s">
        <v>580</v>
      </c>
      <c r="AE292" s="101" t="s">
        <v>581</v>
      </c>
      <c r="AF292" s="101" t="s">
        <v>582</v>
      </c>
      <c r="AG292" s="101" t="s">
        <v>583</v>
      </c>
      <c r="AH292" s="101" t="s">
        <v>584</v>
      </c>
      <c r="AI292" s="101" t="s">
        <v>585</v>
      </c>
    </row>
    <row r="293" spans="10:35" x14ac:dyDescent="0.2">
      <c r="J293" s="101" t="s">
        <v>30</v>
      </c>
      <c r="K293" s="101" t="s">
        <v>1071</v>
      </c>
      <c r="L293" s="101" t="s">
        <v>998</v>
      </c>
      <c r="M293" s="101" t="s">
        <v>1072</v>
      </c>
      <c r="N293" s="189">
        <v>12370</v>
      </c>
      <c r="O293" s="101" t="s">
        <v>568</v>
      </c>
      <c r="P293" s="101" t="s">
        <v>569</v>
      </c>
      <c r="Q293" s="101" t="s">
        <v>570</v>
      </c>
      <c r="R293" s="101" t="s">
        <v>571</v>
      </c>
      <c r="S293" s="101" t="s">
        <v>572</v>
      </c>
      <c r="T293" s="101" t="s">
        <v>573</v>
      </c>
      <c r="U293" s="101"/>
      <c r="V293" s="101"/>
      <c r="W293" s="101" t="s">
        <v>574</v>
      </c>
      <c r="X293" s="101" t="s">
        <v>575</v>
      </c>
      <c r="Y293" s="101"/>
      <c r="Z293" s="101" t="s">
        <v>576</v>
      </c>
      <c r="AA293" s="101" t="s">
        <v>577</v>
      </c>
      <c r="AB293" s="101" t="s">
        <v>578</v>
      </c>
      <c r="AC293" s="101" t="s">
        <v>579</v>
      </c>
      <c r="AD293" s="101" t="s">
        <v>580</v>
      </c>
      <c r="AE293" s="101" t="s">
        <v>581</v>
      </c>
      <c r="AF293" s="101" t="s">
        <v>582</v>
      </c>
      <c r="AG293" s="101"/>
      <c r="AH293" s="101"/>
      <c r="AI293" s="101"/>
    </row>
    <row r="294" spans="10:35" x14ac:dyDescent="0.2">
      <c r="J294" s="101" t="s">
        <v>30</v>
      </c>
      <c r="K294" s="101" t="s">
        <v>1073</v>
      </c>
      <c r="L294" s="101" t="s">
        <v>998</v>
      </c>
      <c r="M294" s="101" t="s">
        <v>1074</v>
      </c>
      <c r="N294" s="189">
        <v>11970</v>
      </c>
      <c r="O294" s="101" t="s">
        <v>568</v>
      </c>
      <c r="P294" s="101" t="s">
        <v>569</v>
      </c>
      <c r="Q294" s="101" t="s">
        <v>570</v>
      </c>
      <c r="R294" s="101" t="s">
        <v>571</v>
      </c>
      <c r="S294" s="101" t="s">
        <v>572</v>
      </c>
      <c r="T294" s="101" t="s">
        <v>573</v>
      </c>
      <c r="U294" s="101"/>
      <c r="V294" s="101"/>
      <c r="W294" s="101" t="s">
        <v>574</v>
      </c>
      <c r="X294" s="101" t="s">
        <v>575</v>
      </c>
      <c r="Y294" s="101"/>
      <c r="Z294" s="101" t="s">
        <v>576</v>
      </c>
      <c r="AA294" s="101" t="s">
        <v>577</v>
      </c>
      <c r="AB294" s="101" t="s">
        <v>578</v>
      </c>
      <c r="AC294" s="101" t="s">
        <v>579</v>
      </c>
      <c r="AD294" s="101" t="s">
        <v>580</v>
      </c>
      <c r="AE294" s="101" t="s">
        <v>581</v>
      </c>
      <c r="AF294" s="101" t="s">
        <v>582</v>
      </c>
      <c r="AG294" s="101" t="s">
        <v>583</v>
      </c>
      <c r="AH294" s="101" t="s">
        <v>584</v>
      </c>
      <c r="AI294" s="101" t="s">
        <v>585</v>
      </c>
    </row>
    <row r="295" spans="10:35" x14ac:dyDescent="0.2">
      <c r="J295" s="101" t="s">
        <v>30</v>
      </c>
      <c r="K295" s="101" t="s">
        <v>1075</v>
      </c>
      <c r="L295" s="101" t="s">
        <v>998</v>
      </c>
      <c r="M295" s="101" t="s">
        <v>1076</v>
      </c>
      <c r="N295" s="189">
        <v>12370</v>
      </c>
      <c r="O295" s="101" t="s">
        <v>568</v>
      </c>
      <c r="P295" s="101" t="s">
        <v>569</v>
      </c>
      <c r="Q295" s="101" t="s">
        <v>570</v>
      </c>
      <c r="R295" s="101" t="s">
        <v>571</v>
      </c>
      <c r="S295" s="101" t="s">
        <v>572</v>
      </c>
      <c r="T295" s="101" t="s">
        <v>573</v>
      </c>
      <c r="U295" s="101"/>
      <c r="V295" s="101"/>
      <c r="W295" s="101" t="s">
        <v>574</v>
      </c>
      <c r="X295" s="101" t="s">
        <v>575</v>
      </c>
      <c r="Y295" s="101"/>
      <c r="Z295" s="101" t="s">
        <v>576</v>
      </c>
      <c r="AA295" s="101" t="s">
        <v>577</v>
      </c>
      <c r="AB295" s="101" t="s">
        <v>578</v>
      </c>
      <c r="AC295" s="101" t="s">
        <v>579</v>
      </c>
      <c r="AD295" s="101" t="s">
        <v>580</v>
      </c>
      <c r="AE295" s="101" t="s">
        <v>581</v>
      </c>
      <c r="AF295" s="101" t="s">
        <v>582</v>
      </c>
      <c r="AG295" s="101"/>
      <c r="AH295" s="101"/>
      <c r="AI295" s="101"/>
    </row>
    <row r="296" spans="10:35" x14ac:dyDescent="0.2">
      <c r="J296" s="101" t="s">
        <v>30</v>
      </c>
      <c r="K296" s="101" t="s">
        <v>1077</v>
      </c>
      <c r="L296" s="101" t="s">
        <v>998</v>
      </c>
      <c r="M296" s="101" t="s">
        <v>1078</v>
      </c>
      <c r="N296" s="189">
        <v>12140</v>
      </c>
      <c r="O296" s="101" t="s">
        <v>568</v>
      </c>
      <c r="P296" s="101" t="s">
        <v>569</v>
      </c>
      <c r="Q296" s="101" t="s">
        <v>570</v>
      </c>
      <c r="R296" s="101" t="s">
        <v>571</v>
      </c>
      <c r="S296" s="101" t="s">
        <v>572</v>
      </c>
      <c r="T296" s="101" t="s">
        <v>573</v>
      </c>
      <c r="U296" s="101"/>
      <c r="V296" s="101"/>
      <c r="W296" s="101" t="s">
        <v>574</v>
      </c>
      <c r="X296" s="101" t="s">
        <v>575</v>
      </c>
      <c r="Y296" s="101"/>
      <c r="Z296" s="101" t="s">
        <v>576</v>
      </c>
      <c r="AA296" s="101" t="s">
        <v>577</v>
      </c>
      <c r="AB296" s="101" t="s">
        <v>578</v>
      </c>
      <c r="AC296" s="101" t="s">
        <v>579</v>
      </c>
      <c r="AD296" s="101" t="s">
        <v>580</v>
      </c>
      <c r="AE296" s="101" t="s">
        <v>581</v>
      </c>
      <c r="AF296" s="101" t="s">
        <v>582</v>
      </c>
      <c r="AG296" s="101"/>
      <c r="AH296" s="101"/>
      <c r="AI296" s="101"/>
    </row>
    <row r="297" spans="10:35" x14ac:dyDescent="0.2">
      <c r="J297" s="101" t="s">
        <v>30</v>
      </c>
      <c r="K297" s="101" t="s">
        <v>1079</v>
      </c>
      <c r="L297" s="101" t="s">
        <v>998</v>
      </c>
      <c r="M297" s="101" t="s">
        <v>1080</v>
      </c>
      <c r="N297" s="189">
        <v>12350</v>
      </c>
      <c r="O297" s="101" t="s">
        <v>568</v>
      </c>
      <c r="P297" s="101" t="s">
        <v>569</v>
      </c>
      <c r="Q297" s="101" t="s">
        <v>570</v>
      </c>
      <c r="R297" s="101" t="s">
        <v>571</v>
      </c>
      <c r="S297" s="101" t="s">
        <v>572</v>
      </c>
      <c r="T297" s="101" t="s">
        <v>573</v>
      </c>
      <c r="U297" s="101"/>
      <c r="V297" s="101"/>
      <c r="W297" s="101" t="s">
        <v>574</v>
      </c>
      <c r="X297" s="101" t="s">
        <v>575</v>
      </c>
      <c r="Y297" s="101"/>
      <c r="Z297" s="101" t="s">
        <v>576</v>
      </c>
      <c r="AA297" s="101" t="s">
        <v>577</v>
      </c>
      <c r="AB297" s="101" t="s">
        <v>578</v>
      </c>
      <c r="AC297" s="101" t="s">
        <v>579</v>
      </c>
      <c r="AD297" s="101" t="s">
        <v>580</v>
      </c>
      <c r="AE297" s="101" t="s">
        <v>581</v>
      </c>
      <c r="AF297" s="101" t="s">
        <v>582</v>
      </c>
      <c r="AG297" s="101"/>
      <c r="AH297" s="101"/>
      <c r="AI297" s="101"/>
    </row>
    <row r="298" spans="10:35" x14ac:dyDescent="0.2">
      <c r="J298" s="101" t="s">
        <v>30</v>
      </c>
      <c r="K298" s="101" t="s">
        <v>1081</v>
      </c>
      <c r="L298" s="101" t="s">
        <v>998</v>
      </c>
      <c r="M298" s="101" t="s">
        <v>1082</v>
      </c>
      <c r="N298" s="189">
        <v>12370</v>
      </c>
      <c r="O298" s="101" t="s">
        <v>568</v>
      </c>
      <c r="P298" s="101" t="s">
        <v>569</v>
      </c>
      <c r="Q298" s="101" t="s">
        <v>570</v>
      </c>
      <c r="R298" s="101" t="s">
        <v>571</v>
      </c>
      <c r="S298" s="101" t="s">
        <v>572</v>
      </c>
      <c r="T298" s="101" t="s">
        <v>573</v>
      </c>
      <c r="U298" s="101"/>
      <c r="V298" s="101"/>
      <c r="W298" s="101" t="s">
        <v>574</v>
      </c>
      <c r="X298" s="101" t="s">
        <v>575</v>
      </c>
      <c r="Y298" s="101"/>
      <c r="Z298" s="101" t="s">
        <v>576</v>
      </c>
      <c r="AA298" s="101" t="s">
        <v>577</v>
      </c>
      <c r="AB298" s="101" t="s">
        <v>578</v>
      </c>
      <c r="AC298" s="101" t="s">
        <v>579</v>
      </c>
      <c r="AD298" s="101" t="s">
        <v>580</v>
      </c>
      <c r="AE298" s="101" t="s">
        <v>581</v>
      </c>
      <c r="AF298" s="101" t="s">
        <v>582</v>
      </c>
      <c r="AG298" s="101"/>
      <c r="AH298" s="101"/>
      <c r="AI298" s="101"/>
    </row>
    <row r="299" spans="10:35" x14ac:dyDescent="0.2">
      <c r="J299" s="101" t="s">
        <v>30</v>
      </c>
      <c r="K299" s="101" t="s">
        <v>1083</v>
      </c>
      <c r="L299" s="101" t="s">
        <v>1001</v>
      </c>
      <c r="M299" s="101" t="s">
        <v>1084</v>
      </c>
      <c r="N299" s="189">
        <v>12470</v>
      </c>
      <c r="O299" s="101" t="s">
        <v>568</v>
      </c>
      <c r="P299" s="101" t="s">
        <v>569</v>
      </c>
      <c r="Q299" s="101" t="s">
        <v>570</v>
      </c>
      <c r="R299" s="101" t="s">
        <v>571</v>
      </c>
      <c r="S299" s="101" t="s">
        <v>572</v>
      </c>
      <c r="T299" s="101"/>
      <c r="U299" s="101"/>
      <c r="V299" s="101" t="s">
        <v>2361</v>
      </c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</row>
    <row r="300" spans="10:35" x14ac:dyDescent="0.2">
      <c r="J300" s="101" t="s">
        <v>30</v>
      </c>
      <c r="K300" s="101" t="s">
        <v>1085</v>
      </c>
      <c r="L300" s="101" t="s">
        <v>1001</v>
      </c>
      <c r="M300" s="101" t="s">
        <v>1086</v>
      </c>
      <c r="N300" s="189">
        <v>12370</v>
      </c>
      <c r="O300" s="101" t="s">
        <v>568</v>
      </c>
      <c r="P300" s="101" t="s">
        <v>569</v>
      </c>
      <c r="Q300" s="101" t="s">
        <v>570</v>
      </c>
      <c r="R300" s="101" t="s">
        <v>571</v>
      </c>
      <c r="S300" s="101" t="s">
        <v>572</v>
      </c>
      <c r="T300" s="101" t="s">
        <v>573</v>
      </c>
      <c r="U300" s="101"/>
      <c r="V300" s="101"/>
      <c r="W300" s="101" t="s">
        <v>574</v>
      </c>
      <c r="X300" s="101" t="s">
        <v>575</v>
      </c>
      <c r="Y300" s="101"/>
      <c r="Z300" s="101" t="s">
        <v>576</v>
      </c>
      <c r="AA300" s="101" t="s">
        <v>577</v>
      </c>
      <c r="AB300" s="101" t="s">
        <v>578</v>
      </c>
      <c r="AC300" s="101" t="s">
        <v>579</v>
      </c>
      <c r="AD300" s="101" t="s">
        <v>580</v>
      </c>
      <c r="AE300" s="101" t="s">
        <v>581</v>
      </c>
      <c r="AF300" s="101" t="s">
        <v>582</v>
      </c>
      <c r="AG300" s="101"/>
      <c r="AH300" s="101"/>
      <c r="AI300" s="101"/>
    </row>
    <row r="301" spans="10:35" x14ac:dyDescent="0.2">
      <c r="J301" s="101" t="s">
        <v>30</v>
      </c>
      <c r="K301" s="101" t="s">
        <v>1087</v>
      </c>
      <c r="L301" s="101" t="s">
        <v>1001</v>
      </c>
      <c r="M301" s="101" t="s">
        <v>1088</v>
      </c>
      <c r="N301" s="189">
        <v>12470</v>
      </c>
      <c r="O301" s="101" t="s">
        <v>568</v>
      </c>
      <c r="P301" s="101" t="s">
        <v>569</v>
      </c>
      <c r="Q301" s="101" t="s">
        <v>570</v>
      </c>
      <c r="R301" s="101" t="s">
        <v>571</v>
      </c>
      <c r="S301" s="101" t="s">
        <v>572</v>
      </c>
      <c r="T301" s="101" t="s">
        <v>573</v>
      </c>
      <c r="U301" s="101"/>
      <c r="V301" s="101"/>
      <c r="W301" s="101" t="s">
        <v>574</v>
      </c>
      <c r="X301" s="101" t="s">
        <v>575</v>
      </c>
      <c r="Y301" s="101"/>
      <c r="Z301" s="101" t="s">
        <v>576</v>
      </c>
      <c r="AA301" s="101" t="s">
        <v>577</v>
      </c>
      <c r="AB301" s="101" t="s">
        <v>578</v>
      </c>
      <c r="AC301" s="101" t="s">
        <v>579</v>
      </c>
      <c r="AD301" s="101" t="s">
        <v>580</v>
      </c>
      <c r="AE301" s="101" t="s">
        <v>581</v>
      </c>
      <c r="AF301" s="101" t="s">
        <v>582</v>
      </c>
      <c r="AG301" s="101"/>
      <c r="AH301" s="101"/>
      <c r="AI301" s="101"/>
    </row>
    <row r="302" spans="10:35" x14ac:dyDescent="0.2">
      <c r="J302" s="101" t="s">
        <v>30</v>
      </c>
      <c r="K302" s="101" t="s">
        <v>1089</v>
      </c>
      <c r="L302" s="101" t="s">
        <v>1001</v>
      </c>
      <c r="M302" s="101" t="s">
        <v>1090</v>
      </c>
      <c r="N302" s="189">
        <v>12460</v>
      </c>
      <c r="O302" s="101" t="s">
        <v>568</v>
      </c>
      <c r="P302" s="101" t="s">
        <v>569</v>
      </c>
      <c r="Q302" s="101" t="s">
        <v>570</v>
      </c>
      <c r="R302" s="101" t="s">
        <v>571</v>
      </c>
      <c r="S302" s="101" t="s">
        <v>572</v>
      </c>
      <c r="T302" s="101" t="s">
        <v>573</v>
      </c>
      <c r="U302" s="101"/>
      <c r="V302" s="101"/>
      <c r="W302" s="101" t="s">
        <v>574</v>
      </c>
      <c r="X302" s="101" t="s">
        <v>575</v>
      </c>
      <c r="Y302" s="101"/>
      <c r="Z302" s="101" t="s">
        <v>576</v>
      </c>
      <c r="AA302" s="101" t="s">
        <v>577</v>
      </c>
      <c r="AB302" s="101" t="s">
        <v>578</v>
      </c>
      <c r="AC302" s="101" t="s">
        <v>579</v>
      </c>
      <c r="AD302" s="101" t="s">
        <v>580</v>
      </c>
      <c r="AE302" s="101" t="s">
        <v>581</v>
      </c>
      <c r="AF302" s="101" t="s">
        <v>582</v>
      </c>
      <c r="AG302" s="101"/>
      <c r="AH302" s="101"/>
      <c r="AI302" s="101"/>
    </row>
    <row r="303" spans="10:35" x14ac:dyDescent="0.2">
      <c r="J303" s="101" t="s">
        <v>30</v>
      </c>
      <c r="K303" s="101" t="s">
        <v>1091</v>
      </c>
      <c r="L303" s="101" t="s">
        <v>1001</v>
      </c>
      <c r="M303" s="101" t="s">
        <v>1092</v>
      </c>
      <c r="N303" s="189">
        <v>12000</v>
      </c>
      <c r="O303" s="101" t="s">
        <v>568</v>
      </c>
      <c r="P303" s="101" t="s">
        <v>569</v>
      </c>
      <c r="Q303" s="101" t="s">
        <v>570</v>
      </c>
      <c r="R303" s="101" t="s">
        <v>571</v>
      </c>
      <c r="S303" s="101" t="s">
        <v>572</v>
      </c>
      <c r="T303" s="101" t="s">
        <v>573</v>
      </c>
      <c r="U303" s="101"/>
      <c r="V303" s="101"/>
      <c r="W303" s="101" t="s">
        <v>574</v>
      </c>
      <c r="X303" s="101" t="s">
        <v>575</v>
      </c>
      <c r="Y303" s="101"/>
      <c r="Z303" s="101" t="s">
        <v>576</v>
      </c>
      <c r="AA303" s="101" t="s">
        <v>577</v>
      </c>
      <c r="AB303" s="101" t="s">
        <v>578</v>
      </c>
      <c r="AC303" s="101" t="s">
        <v>579</v>
      </c>
      <c r="AD303" s="101" t="s">
        <v>580</v>
      </c>
      <c r="AE303" s="101" t="s">
        <v>581</v>
      </c>
      <c r="AF303" s="101" t="s">
        <v>582</v>
      </c>
      <c r="AG303" s="101"/>
      <c r="AH303" s="101"/>
      <c r="AI303" s="101"/>
    </row>
    <row r="304" spans="10:35" x14ac:dyDescent="0.2">
      <c r="J304" s="101" t="s">
        <v>30</v>
      </c>
      <c r="K304" s="101" t="s">
        <v>1093</v>
      </c>
      <c r="L304" s="101" t="s">
        <v>1001</v>
      </c>
      <c r="M304" s="101" t="s">
        <v>1094</v>
      </c>
      <c r="N304" s="189">
        <v>12430</v>
      </c>
      <c r="O304" s="101" t="s">
        <v>568</v>
      </c>
      <c r="P304" s="101" t="s">
        <v>569</v>
      </c>
      <c r="Q304" s="101" t="s">
        <v>570</v>
      </c>
      <c r="R304" s="101" t="s">
        <v>571</v>
      </c>
      <c r="S304" s="101" t="s">
        <v>572</v>
      </c>
      <c r="T304" s="101" t="s">
        <v>573</v>
      </c>
      <c r="U304" s="101"/>
      <c r="V304" s="101"/>
      <c r="W304" s="101" t="s">
        <v>574</v>
      </c>
      <c r="X304" s="101" t="s">
        <v>575</v>
      </c>
      <c r="Y304" s="101"/>
      <c r="Z304" s="101" t="s">
        <v>576</v>
      </c>
      <c r="AA304" s="101" t="s">
        <v>577</v>
      </c>
      <c r="AB304" s="101" t="s">
        <v>578</v>
      </c>
      <c r="AC304" s="101" t="s">
        <v>579</v>
      </c>
      <c r="AD304" s="101" t="s">
        <v>580</v>
      </c>
      <c r="AE304" s="101" t="s">
        <v>581</v>
      </c>
      <c r="AF304" s="101" t="s">
        <v>582</v>
      </c>
      <c r="AG304" s="101" t="s">
        <v>583</v>
      </c>
      <c r="AH304" s="101" t="s">
        <v>584</v>
      </c>
      <c r="AI304" s="101" t="s">
        <v>585</v>
      </c>
    </row>
    <row r="305" spans="10:36" x14ac:dyDescent="0.2">
      <c r="J305" s="101" t="s">
        <v>30</v>
      </c>
      <c r="K305" s="101" t="s">
        <v>1095</v>
      </c>
      <c r="L305" s="101" t="s">
        <v>1001</v>
      </c>
      <c r="M305" s="101" t="s">
        <v>1096</v>
      </c>
      <c r="N305" s="189">
        <v>12440</v>
      </c>
      <c r="O305" s="101" t="s">
        <v>568</v>
      </c>
      <c r="P305" s="101" t="s">
        <v>569</v>
      </c>
      <c r="Q305" s="101" t="s">
        <v>570</v>
      </c>
      <c r="R305" s="101" t="s">
        <v>571</v>
      </c>
      <c r="S305" s="101" t="s">
        <v>572</v>
      </c>
      <c r="T305" s="101" t="s">
        <v>573</v>
      </c>
      <c r="U305" s="101"/>
      <c r="V305" s="101"/>
      <c r="W305" s="101" t="s">
        <v>574</v>
      </c>
      <c r="X305" s="101" t="s">
        <v>575</v>
      </c>
      <c r="Y305" s="101"/>
      <c r="Z305" s="101" t="s">
        <v>576</v>
      </c>
      <c r="AA305" s="101" t="s">
        <v>577</v>
      </c>
      <c r="AB305" s="101" t="s">
        <v>578</v>
      </c>
      <c r="AC305" s="101" t="s">
        <v>579</v>
      </c>
      <c r="AD305" s="101" t="s">
        <v>580</v>
      </c>
      <c r="AE305" s="101" t="s">
        <v>581</v>
      </c>
      <c r="AF305" s="101" t="s">
        <v>582</v>
      </c>
      <c r="AG305" s="101" t="s">
        <v>583</v>
      </c>
      <c r="AH305" s="101" t="s">
        <v>584</v>
      </c>
      <c r="AI305" s="101" t="s">
        <v>585</v>
      </c>
      <c r="AJ305" s="101" t="s">
        <v>2362</v>
      </c>
    </row>
    <row r="306" spans="10:36" x14ac:dyDescent="0.2">
      <c r="J306" s="101" t="s">
        <v>30</v>
      </c>
      <c r="K306" s="101" t="s">
        <v>1097</v>
      </c>
      <c r="L306" s="101" t="s">
        <v>998</v>
      </c>
      <c r="M306" s="101" t="s">
        <v>1098</v>
      </c>
      <c r="N306" s="189">
        <v>12460</v>
      </c>
      <c r="O306" s="101" t="s">
        <v>568</v>
      </c>
      <c r="P306" s="101" t="s">
        <v>569</v>
      </c>
      <c r="Q306" s="101" t="s">
        <v>570</v>
      </c>
      <c r="R306" s="101" t="s">
        <v>571</v>
      </c>
      <c r="S306" s="101" t="s">
        <v>572</v>
      </c>
      <c r="T306" s="101" t="s">
        <v>573</v>
      </c>
      <c r="U306" s="101"/>
      <c r="V306" s="101"/>
      <c r="W306" s="101" t="s">
        <v>574</v>
      </c>
      <c r="X306" s="101" t="s">
        <v>575</v>
      </c>
      <c r="Y306" s="101"/>
      <c r="Z306" s="101" t="s">
        <v>576</v>
      </c>
      <c r="AA306" s="101" t="s">
        <v>577</v>
      </c>
      <c r="AB306" s="101" t="s">
        <v>578</v>
      </c>
      <c r="AC306" s="101" t="s">
        <v>579</v>
      </c>
      <c r="AD306" s="101" t="s">
        <v>580</v>
      </c>
      <c r="AE306" s="101" t="s">
        <v>581</v>
      </c>
      <c r="AF306" s="101" t="s">
        <v>582</v>
      </c>
      <c r="AG306" s="101"/>
      <c r="AH306" s="101"/>
      <c r="AI306" s="101"/>
    </row>
    <row r="307" spans="10:36" x14ac:dyDescent="0.2">
      <c r="J307" s="101" t="s">
        <v>30</v>
      </c>
      <c r="K307" s="101" t="s">
        <v>1099</v>
      </c>
      <c r="L307" s="101" t="s">
        <v>998</v>
      </c>
      <c r="M307" s="101" t="s">
        <v>1100</v>
      </c>
      <c r="N307" s="189">
        <v>12420</v>
      </c>
      <c r="O307" s="101" t="s">
        <v>568</v>
      </c>
      <c r="P307" s="101" t="s">
        <v>569</v>
      </c>
      <c r="Q307" s="101" t="s">
        <v>570</v>
      </c>
      <c r="R307" s="101" t="s">
        <v>571</v>
      </c>
      <c r="S307" s="101" t="s">
        <v>572</v>
      </c>
      <c r="T307" s="101" t="s">
        <v>573</v>
      </c>
      <c r="U307" s="101"/>
      <c r="V307" s="101"/>
      <c r="W307" s="101" t="s">
        <v>574</v>
      </c>
      <c r="X307" s="101" t="s">
        <v>575</v>
      </c>
      <c r="Y307" s="101"/>
      <c r="Z307" s="101" t="s">
        <v>576</v>
      </c>
      <c r="AA307" s="101" t="s">
        <v>577</v>
      </c>
      <c r="AB307" s="101" t="s">
        <v>578</v>
      </c>
      <c r="AC307" s="101" t="s">
        <v>579</v>
      </c>
      <c r="AD307" s="101" t="s">
        <v>580</v>
      </c>
      <c r="AE307" s="101" t="s">
        <v>581</v>
      </c>
      <c r="AF307" s="101" t="s">
        <v>582</v>
      </c>
      <c r="AG307" s="101" t="s">
        <v>583</v>
      </c>
      <c r="AH307" s="101" t="s">
        <v>584</v>
      </c>
      <c r="AI307" s="101" t="s">
        <v>585</v>
      </c>
      <c r="AJ307" s="101" t="s">
        <v>2362</v>
      </c>
    </row>
    <row r="308" spans="10:36" x14ac:dyDescent="0.2">
      <c r="J308" s="101" t="s">
        <v>30</v>
      </c>
      <c r="K308" s="101" t="s">
        <v>1101</v>
      </c>
      <c r="L308" s="101" t="s">
        <v>998</v>
      </c>
      <c r="M308" s="101" t="s">
        <v>1102</v>
      </c>
      <c r="N308" s="189">
        <v>12460</v>
      </c>
      <c r="O308" s="101" t="s">
        <v>568</v>
      </c>
      <c r="P308" s="101" t="s">
        <v>569</v>
      </c>
      <c r="Q308" s="101" t="s">
        <v>570</v>
      </c>
      <c r="R308" s="101" t="s">
        <v>571</v>
      </c>
      <c r="S308" s="101" t="s">
        <v>572</v>
      </c>
      <c r="T308" s="101" t="s">
        <v>573</v>
      </c>
      <c r="U308" s="101"/>
      <c r="V308" s="101"/>
      <c r="W308" s="101" t="s">
        <v>574</v>
      </c>
      <c r="X308" s="101" t="s">
        <v>575</v>
      </c>
      <c r="Y308" s="101"/>
      <c r="Z308" s="101" t="s">
        <v>576</v>
      </c>
      <c r="AA308" s="101" t="s">
        <v>577</v>
      </c>
      <c r="AB308" s="101" t="s">
        <v>578</v>
      </c>
      <c r="AC308" s="101" t="s">
        <v>579</v>
      </c>
      <c r="AD308" s="101" t="s">
        <v>580</v>
      </c>
      <c r="AE308" s="101" t="s">
        <v>581</v>
      </c>
      <c r="AF308" s="101" t="s">
        <v>582</v>
      </c>
      <c r="AG308" s="101"/>
      <c r="AH308" s="101"/>
      <c r="AI308" s="101"/>
    </row>
    <row r="309" spans="10:36" x14ac:dyDescent="0.2">
      <c r="J309" s="101" t="s">
        <v>30</v>
      </c>
      <c r="K309" s="101" t="s">
        <v>1103</v>
      </c>
      <c r="L309" s="101" t="s">
        <v>822</v>
      </c>
      <c r="M309" s="101" t="s">
        <v>1104</v>
      </c>
      <c r="N309" s="189">
        <v>12000</v>
      </c>
      <c r="O309" s="101" t="s">
        <v>568</v>
      </c>
      <c r="P309" s="101" t="s">
        <v>569</v>
      </c>
      <c r="Q309" s="101" t="s">
        <v>570</v>
      </c>
      <c r="R309" s="101" t="s">
        <v>571</v>
      </c>
      <c r="S309" s="101" t="s">
        <v>572</v>
      </c>
      <c r="T309" s="101" t="s">
        <v>573</v>
      </c>
      <c r="U309" s="101"/>
      <c r="V309" s="101"/>
      <c r="W309" s="101" t="s">
        <v>574</v>
      </c>
      <c r="X309" s="101" t="s">
        <v>575</v>
      </c>
      <c r="Y309" s="101"/>
      <c r="Z309" s="101" t="s">
        <v>576</v>
      </c>
      <c r="AA309" s="101" t="s">
        <v>577</v>
      </c>
      <c r="AB309" s="101" t="s">
        <v>578</v>
      </c>
      <c r="AC309" s="101" t="s">
        <v>579</v>
      </c>
      <c r="AD309" s="101" t="s">
        <v>580</v>
      </c>
      <c r="AE309" s="101" t="s">
        <v>581</v>
      </c>
      <c r="AF309" s="101" t="s">
        <v>582</v>
      </c>
      <c r="AG309" s="101"/>
      <c r="AH309" s="101"/>
      <c r="AI309" s="101"/>
    </row>
    <row r="310" spans="10:36" x14ac:dyDescent="0.2">
      <c r="J310" s="101" t="s">
        <v>30</v>
      </c>
      <c r="K310" s="101" t="s">
        <v>1105</v>
      </c>
      <c r="L310" s="101" t="s">
        <v>822</v>
      </c>
      <c r="M310" s="101" t="s">
        <v>1106</v>
      </c>
      <c r="N310" s="189">
        <v>12460</v>
      </c>
      <c r="O310" s="101" t="s">
        <v>568</v>
      </c>
      <c r="P310" s="101" t="s">
        <v>569</v>
      </c>
      <c r="Q310" s="101" t="s">
        <v>570</v>
      </c>
      <c r="R310" s="101" t="s">
        <v>571</v>
      </c>
      <c r="S310" s="101" t="s">
        <v>572</v>
      </c>
      <c r="T310" s="101" t="s">
        <v>573</v>
      </c>
      <c r="U310" s="101"/>
      <c r="V310" s="101"/>
      <c r="W310" s="101" t="s">
        <v>574</v>
      </c>
      <c r="X310" s="101" t="s">
        <v>575</v>
      </c>
      <c r="Y310" s="101"/>
      <c r="Z310" s="101" t="s">
        <v>576</v>
      </c>
      <c r="AA310" s="101" t="s">
        <v>577</v>
      </c>
      <c r="AB310" s="101" t="s">
        <v>578</v>
      </c>
      <c r="AC310" s="101" t="s">
        <v>579</v>
      </c>
      <c r="AD310" s="101" t="s">
        <v>580</v>
      </c>
      <c r="AE310" s="101" t="s">
        <v>581</v>
      </c>
      <c r="AF310" s="101"/>
      <c r="AG310" s="101"/>
      <c r="AH310" s="101"/>
      <c r="AI310" s="101"/>
    </row>
    <row r="311" spans="10:36" x14ac:dyDescent="0.2">
      <c r="J311" s="101" t="s">
        <v>30</v>
      </c>
      <c r="K311" s="101" t="s">
        <v>1107</v>
      </c>
      <c r="L311" s="101" t="s">
        <v>1108</v>
      </c>
      <c r="M311" s="101" t="s">
        <v>1109</v>
      </c>
      <c r="N311" s="189">
        <v>12470</v>
      </c>
      <c r="O311" s="101" t="s">
        <v>568</v>
      </c>
      <c r="P311" s="101" t="s">
        <v>569</v>
      </c>
      <c r="Q311" s="101" t="s">
        <v>570</v>
      </c>
      <c r="R311" s="101" t="s">
        <v>571</v>
      </c>
      <c r="S311" s="101" t="s">
        <v>572</v>
      </c>
      <c r="T311" s="101" t="s">
        <v>573</v>
      </c>
      <c r="U311" s="101"/>
      <c r="V311" s="101"/>
      <c r="W311" s="101" t="s">
        <v>574</v>
      </c>
      <c r="X311" s="101" t="s">
        <v>575</v>
      </c>
      <c r="Y311" s="101"/>
      <c r="Z311" s="101" t="s">
        <v>576</v>
      </c>
      <c r="AA311" s="101" t="s">
        <v>577</v>
      </c>
      <c r="AB311" s="101" t="s">
        <v>578</v>
      </c>
      <c r="AC311" s="101" t="s">
        <v>579</v>
      </c>
      <c r="AD311" s="101" t="s">
        <v>580</v>
      </c>
      <c r="AE311" s="101" t="s">
        <v>581</v>
      </c>
      <c r="AF311" s="101" t="s">
        <v>582</v>
      </c>
      <c r="AG311" s="101"/>
      <c r="AH311" s="101"/>
      <c r="AI311" s="101"/>
    </row>
    <row r="312" spans="10:36" x14ac:dyDescent="0.2">
      <c r="J312" s="101" t="s">
        <v>30</v>
      </c>
      <c r="K312" s="101" t="s">
        <v>1110</v>
      </c>
      <c r="L312" s="101" t="s">
        <v>1108</v>
      </c>
      <c r="M312" s="101" t="s">
        <v>1111</v>
      </c>
      <c r="N312" s="189">
        <v>12460</v>
      </c>
      <c r="O312" s="101" t="s">
        <v>568</v>
      </c>
      <c r="P312" s="101" t="s">
        <v>569</v>
      </c>
      <c r="Q312" s="101" t="s">
        <v>570</v>
      </c>
      <c r="R312" s="101" t="s">
        <v>571</v>
      </c>
      <c r="S312" s="101" t="s">
        <v>572</v>
      </c>
      <c r="T312" s="101" t="s">
        <v>573</v>
      </c>
      <c r="U312" s="101"/>
      <c r="V312" s="101"/>
      <c r="W312" s="101" t="s">
        <v>574</v>
      </c>
      <c r="X312" s="101" t="s">
        <v>575</v>
      </c>
      <c r="Y312" s="101"/>
      <c r="Z312" s="101" t="s">
        <v>576</v>
      </c>
      <c r="AA312" s="101" t="s">
        <v>577</v>
      </c>
      <c r="AB312" s="101" t="s">
        <v>578</v>
      </c>
      <c r="AC312" s="101" t="s">
        <v>579</v>
      </c>
      <c r="AD312" s="101" t="s">
        <v>580</v>
      </c>
      <c r="AE312" s="101" t="s">
        <v>581</v>
      </c>
      <c r="AF312" s="101" t="s">
        <v>582</v>
      </c>
      <c r="AG312" s="101"/>
      <c r="AH312" s="101"/>
      <c r="AI312" s="101"/>
    </row>
    <row r="313" spans="10:36" x14ac:dyDescent="0.2">
      <c r="J313" s="101" t="s">
        <v>30</v>
      </c>
      <c r="K313" s="101" t="s">
        <v>821</v>
      </c>
      <c r="L313" s="101" t="s">
        <v>822</v>
      </c>
      <c r="M313" s="101" t="s">
        <v>823</v>
      </c>
      <c r="N313" s="189">
        <v>12450</v>
      </c>
      <c r="O313" s="101" t="s">
        <v>568</v>
      </c>
      <c r="P313" s="101" t="s">
        <v>569</v>
      </c>
      <c r="Q313" s="101" t="s">
        <v>570</v>
      </c>
      <c r="R313" s="101" t="s">
        <v>571</v>
      </c>
      <c r="S313" s="101" t="s">
        <v>572</v>
      </c>
      <c r="T313" s="101" t="s">
        <v>573</v>
      </c>
      <c r="U313" s="101"/>
      <c r="V313" s="101"/>
      <c r="W313" s="101" t="s">
        <v>574</v>
      </c>
      <c r="X313" s="101" t="s">
        <v>575</v>
      </c>
      <c r="Y313" s="101"/>
      <c r="Z313" s="101" t="s">
        <v>576</v>
      </c>
      <c r="AA313" s="101" t="s">
        <v>577</v>
      </c>
      <c r="AB313" s="101"/>
      <c r="AC313" s="101"/>
      <c r="AD313" s="101"/>
      <c r="AE313" s="101"/>
      <c r="AF313" s="101"/>
      <c r="AG313" s="101"/>
      <c r="AH313" s="101"/>
      <c r="AI313" s="101"/>
    </row>
    <row r="314" spans="10:36" x14ac:dyDescent="0.2">
      <c r="J314" s="101" t="s">
        <v>30</v>
      </c>
      <c r="K314" s="101" t="s">
        <v>1112</v>
      </c>
      <c r="L314" s="101" t="s">
        <v>1108</v>
      </c>
      <c r="M314" s="101" t="s">
        <v>1113</v>
      </c>
      <c r="N314" s="189">
        <v>12360</v>
      </c>
      <c r="O314" s="101" t="s">
        <v>568</v>
      </c>
      <c r="P314" s="101" t="s">
        <v>569</v>
      </c>
      <c r="Q314" s="101" t="s">
        <v>570</v>
      </c>
      <c r="R314" s="101" t="s">
        <v>571</v>
      </c>
      <c r="S314" s="101" t="s">
        <v>572</v>
      </c>
      <c r="T314" s="101" t="s">
        <v>573</v>
      </c>
      <c r="U314" s="101"/>
      <c r="V314" s="101"/>
      <c r="W314" s="101" t="s">
        <v>574</v>
      </c>
      <c r="X314" s="101" t="s">
        <v>575</v>
      </c>
      <c r="Y314" s="101"/>
      <c r="Z314" s="101" t="s">
        <v>576</v>
      </c>
      <c r="AA314" s="101" t="s">
        <v>577</v>
      </c>
      <c r="AB314" s="101" t="s">
        <v>578</v>
      </c>
      <c r="AC314" s="101" t="s">
        <v>579</v>
      </c>
      <c r="AD314" s="101" t="s">
        <v>580</v>
      </c>
      <c r="AE314" s="101" t="s">
        <v>581</v>
      </c>
      <c r="AF314" s="101" t="s">
        <v>582</v>
      </c>
      <c r="AG314" s="101"/>
      <c r="AH314" s="101"/>
      <c r="AI314" s="101"/>
    </row>
    <row r="315" spans="10:36" x14ac:dyDescent="0.2">
      <c r="J315" s="101" t="s">
        <v>30</v>
      </c>
      <c r="K315" s="101" t="s">
        <v>1114</v>
      </c>
      <c r="L315" s="101" t="s">
        <v>1108</v>
      </c>
      <c r="M315" s="101" t="s">
        <v>1115</v>
      </c>
      <c r="N315" s="189">
        <v>12350</v>
      </c>
      <c r="O315" s="101" t="s">
        <v>568</v>
      </c>
      <c r="P315" s="101" t="s">
        <v>569</v>
      </c>
      <c r="Q315" s="101" t="s">
        <v>570</v>
      </c>
      <c r="R315" s="101" t="s">
        <v>571</v>
      </c>
      <c r="S315" s="101" t="s">
        <v>572</v>
      </c>
      <c r="T315" s="101" t="s">
        <v>573</v>
      </c>
      <c r="U315" s="101"/>
      <c r="V315" s="101"/>
      <c r="W315" s="101" t="s">
        <v>574</v>
      </c>
      <c r="X315" s="101" t="s">
        <v>575</v>
      </c>
      <c r="Y315" s="101"/>
      <c r="Z315" s="101" t="s">
        <v>576</v>
      </c>
      <c r="AA315" s="101" t="s">
        <v>577</v>
      </c>
      <c r="AB315" s="101" t="s">
        <v>578</v>
      </c>
      <c r="AC315" s="101" t="s">
        <v>579</v>
      </c>
      <c r="AD315" s="101" t="s">
        <v>580</v>
      </c>
      <c r="AE315" s="101" t="s">
        <v>581</v>
      </c>
      <c r="AF315" s="101" t="s">
        <v>582</v>
      </c>
      <c r="AG315" s="101"/>
      <c r="AH315" s="101"/>
      <c r="AI315" s="101"/>
    </row>
    <row r="316" spans="10:36" x14ac:dyDescent="0.2">
      <c r="J316" s="101" t="s">
        <v>30</v>
      </c>
      <c r="K316" s="101" t="s">
        <v>1381</v>
      </c>
      <c r="L316" s="101" t="s">
        <v>1382</v>
      </c>
      <c r="M316" s="101" t="s">
        <v>1383</v>
      </c>
      <c r="N316" s="189">
        <v>12460</v>
      </c>
      <c r="O316" s="101" t="s">
        <v>568</v>
      </c>
      <c r="P316" s="101" t="s">
        <v>569</v>
      </c>
      <c r="Q316" s="101" t="s">
        <v>570</v>
      </c>
      <c r="R316" s="101" t="s">
        <v>571</v>
      </c>
      <c r="S316" s="101" t="s">
        <v>572</v>
      </c>
      <c r="T316" s="101" t="s">
        <v>573</v>
      </c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</row>
    <row r="317" spans="10:36" x14ac:dyDescent="0.2">
      <c r="J317" s="101" t="s">
        <v>30</v>
      </c>
      <c r="K317" s="101" t="s">
        <v>1118</v>
      </c>
      <c r="L317" s="101" t="s">
        <v>1108</v>
      </c>
      <c r="M317" s="101" t="s">
        <v>1119</v>
      </c>
      <c r="N317" s="189">
        <v>12360</v>
      </c>
      <c r="O317" s="101" t="s">
        <v>568</v>
      </c>
      <c r="P317" s="101" t="s">
        <v>569</v>
      </c>
      <c r="Q317" s="101" t="s">
        <v>570</v>
      </c>
      <c r="R317" s="101" t="s">
        <v>571</v>
      </c>
      <c r="S317" s="101" t="s">
        <v>572</v>
      </c>
      <c r="T317" s="101" t="s">
        <v>573</v>
      </c>
      <c r="U317" s="101"/>
      <c r="V317" s="101"/>
      <c r="W317" s="101" t="s">
        <v>574</v>
      </c>
      <c r="X317" s="101" t="s">
        <v>575</v>
      </c>
      <c r="Y317" s="101"/>
      <c r="Z317" s="101" t="s">
        <v>576</v>
      </c>
      <c r="AA317" s="101" t="s">
        <v>577</v>
      </c>
      <c r="AB317" s="101" t="s">
        <v>578</v>
      </c>
      <c r="AC317" s="101" t="s">
        <v>579</v>
      </c>
      <c r="AD317" s="101" t="s">
        <v>580</v>
      </c>
      <c r="AE317" s="101" t="s">
        <v>581</v>
      </c>
      <c r="AF317" s="101" t="s">
        <v>582</v>
      </c>
      <c r="AG317" s="101"/>
      <c r="AH317" s="101"/>
      <c r="AI317" s="101"/>
    </row>
    <row r="318" spans="10:36" x14ac:dyDescent="0.2">
      <c r="J318" s="101" t="s">
        <v>30</v>
      </c>
      <c r="K318" s="101" t="s">
        <v>1120</v>
      </c>
      <c r="L318" s="101" t="s">
        <v>1108</v>
      </c>
      <c r="M318" s="101" t="s">
        <v>1121</v>
      </c>
      <c r="N318" s="189">
        <v>12460</v>
      </c>
      <c r="O318" s="101" t="s">
        <v>568</v>
      </c>
      <c r="P318" s="101" t="s">
        <v>569</v>
      </c>
      <c r="Q318" s="101" t="s">
        <v>570</v>
      </c>
      <c r="R318" s="101" t="s">
        <v>571</v>
      </c>
      <c r="S318" s="101" t="s">
        <v>572</v>
      </c>
      <c r="T318" s="101" t="s">
        <v>573</v>
      </c>
      <c r="U318" s="101"/>
      <c r="V318" s="101"/>
      <c r="W318" s="101" t="s">
        <v>574</v>
      </c>
      <c r="X318" s="101" t="s">
        <v>575</v>
      </c>
      <c r="Y318" s="101"/>
      <c r="Z318" s="101" t="s">
        <v>576</v>
      </c>
      <c r="AA318" s="101" t="s">
        <v>577</v>
      </c>
      <c r="AB318" s="101" t="s">
        <v>578</v>
      </c>
      <c r="AC318" s="101" t="s">
        <v>579</v>
      </c>
      <c r="AD318" s="101" t="s">
        <v>580</v>
      </c>
      <c r="AE318" s="101" t="s">
        <v>581</v>
      </c>
      <c r="AF318" s="101"/>
      <c r="AG318" s="101"/>
      <c r="AH318" s="101"/>
      <c r="AI318" s="101"/>
    </row>
    <row r="319" spans="10:36" x14ac:dyDescent="0.2">
      <c r="J319" s="101" t="s">
        <v>30</v>
      </c>
      <c r="K319" s="101" t="s">
        <v>1122</v>
      </c>
      <c r="L319" s="101" t="s">
        <v>822</v>
      </c>
      <c r="M319" s="101" t="s">
        <v>1123</v>
      </c>
      <c r="N319" s="189">
        <v>11980</v>
      </c>
      <c r="O319" s="101" t="s">
        <v>568</v>
      </c>
      <c r="P319" s="101" t="s">
        <v>569</v>
      </c>
      <c r="Q319" s="101" t="s">
        <v>570</v>
      </c>
      <c r="R319" s="101" t="s">
        <v>571</v>
      </c>
      <c r="S319" s="101" t="s">
        <v>572</v>
      </c>
      <c r="T319" s="101" t="s">
        <v>573</v>
      </c>
      <c r="U319" s="101"/>
      <c r="V319" s="101"/>
      <c r="W319" s="101" t="s">
        <v>574</v>
      </c>
      <c r="X319" s="101" t="s">
        <v>575</v>
      </c>
      <c r="Y319" s="101"/>
      <c r="Z319" s="101" t="s">
        <v>576</v>
      </c>
      <c r="AA319" s="101" t="s">
        <v>577</v>
      </c>
      <c r="AB319" s="101" t="s">
        <v>578</v>
      </c>
      <c r="AC319" s="101" t="s">
        <v>579</v>
      </c>
      <c r="AD319" s="101" t="s">
        <v>580</v>
      </c>
      <c r="AE319" s="101" t="s">
        <v>581</v>
      </c>
      <c r="AF319" s="101" t="s">
        <v>582</v>
      </c>
      <c r="AG319" s="101"/>
      <c r="AH319" s="101"/>
      <c r="AI319" s="101"/>
    </row>
    <row r="320" spans="10:36" x14ac:dyDescent="0.2">
      <c r="J320" s="101" t="s">
        <v>30</v>
      </c>
      <c r="K320" s="101" t="s">
        <v>1124</v>
      </c>
      <c r="L320" s="101" t="s">
        <v>822</v>
      </c>
      <c r="M320" s="101" t="s">
        <v>1125</v>
      </c>
      <c r="N320" s="189">
        <v>12460</v>
      </c>
      <c r="O320" s="101" t="s">
        <v>568</v>
      </c>
      <c r="P320" s="101" t="s">
        <v>569</v>
      </c>
      <c r="Q320" s="101" t="s">
        <v>570</v>
      </c>
      <c r="R320" s="101" t="s">
        <v>571</v>
      </c>
      <c r="S320" s="101" t="s">
        <v>572</v>
      </c>
      <c r="T320" s="101" t="s">
        <v>573</v>
      </c>
      <c r="U320" s="101"/>
      <c r="V320" s="101"/>
      <c r="W320" s="101"/>
      <c r="X320" s="101" t="s">
        <v>575</v>
      </c>
      <c r="Y320" s="101"/>
      <c r="Z320" s="101" t="s">
        <v>576</v>
      </c>
      <c r="AA320" s="101" t="s">
        <v>577</v>
      </c>
      <c r="AB320" s="101"/>
      <c r="AC320" s="101"/>
      <c r="AD320" s="101"/>
      <c r="AE320" s="101"/>
      <c r="AF320" s="101"/>
      <c r="AG320" s="101"/>
      <c r="AH320" s="101"/>
      <c r="AI320" s="101"/>
    </row>
    <row r="321" spans="10:35" x14ac:dyDescent="0.2">
      <c r="J321" s="101" t="s">
        <v>30</v>
      </c>
      <c r="K321" s="101" t="s">
        <v>1126</v>
      </c>
      <c r="L321" s="101" t="s">
        <v>822</v>
      </c>
      <c r="M321" s="101" t="s">
        <v>1127</v>
      </c>
      <c r="N321" s="189">
        <v>12460</v>
      </c>
      <c r="O321" s="101" t="s">
        <v>568</v>
      </c>
      <c r="P321" s="101" t="s">
        <v>569</v>
      </c>
      <c r="Q321" s="101" t="s">
        <v>570</v>
      </c>
      <c r="R321" s="101"/>
      <c r="S321" s="101"/>
      <c r="T321" s="101"/>
      <c r="U321" s="101"/>
      <c r="V321" s="101" t="s">
        <v>2361</v>
      </c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</row>
    <row r="322" spans="10:35" x14ac:dyDescent="0.2">
      <c r="J322" s="101" t="s">
        <v>30</v>
      </c>
      <c r="K322" s="101" t="s">
        <v>1128</v>
      </c>
      <c r="L322" s="101" t="s">
        <v>822</v>
      </c>
      <c r="M322" s="101" t="s">
        <v>1129</v>
      </c>
      <c r="N322" s="189">
        <v>12460</v>
      </c>
      <c r="O322" s="101" t="s">
        <v>568</v>
      </c>
      <c r="P322" s="101" t="s">
        <v>569</v>
      </c>
      <c r="Q322" s="101" t="s">
        <v>570</v>
      </c>
      <c r="R322" s="101" t="s">
        <v>571</v>
      </c>
      <c r="S322" s="101" t="s">
        <v>572</v>
      </c>
      <c r="T322" s="101" t="s">
        <v>573</v>
      </c>
      <c r="U322" s="101"/>
      <c r="V322" s="101"/>
      <c r="W322" s="101" t="s">
        <v>574</v>
      </c>
      <c r="X322" s="101" t="s">
        <v>575</v>
      </c>
      <c r="Y322" s="101"/>
      <c r="Z322" s="101" t="s">
        <v>576</v>
      </c>
      <c r="AA322" s="101" t="s">
        <v>577</v>
      </c>
      <c r="AB322" s="101" t="s">
        <v>578</v>
      </c>
      <c r="AC322" s="101" t="s">
        <v>579</v>
      </c>
      <c r="AD322" s="101" t="s">
        <v>580</v>
      </c>
      <c r="AE322" s="101" t="s">
        <v>581</v>
      </c>
      <c r="AF322" s="101" t="s">
        <v>582</v>
      </c>
      <c r="AG322" s="101"/>
      <c r="AH322" s="101"/>
      <c r="AI322" s="101"/>
    </row>
    <row r="323" spans="10:35" x14ac:dyDescent="0.2">
      <c r="J323" s="101" t="s">
        <v>30</v>
      </c>
      <c r="K323" s="101" t="s">
        <v>1130</v>
      </c>
      <c r="L323" s="101" t="s">
        <v>1108</v>
      </c>
      <c r="M323" s="101" t="s">
        <v>1131</v>
      </c>
      <c r="N323" s="189">
        <v>12460</v>
      </c>
      <c r="O323" s="101" t="s">
        <v>568</v>
      </c>
      <c r="P323" s="101" t="s">
        <v>569</v>
      </c>
      <c r="Q323" s="101" t="s">
        <v>570</v>
      </c>
      <c r="R323" s="101" t="s">
        <v>571</v>
      </c>
      <c r="S323" s="101" t="s">
        <v>572</v>
      </c>
      <c r="T323" s="101" t="s">
        <v>573</v>
      </c>
      <c r="U323" s="101"/>
      <c r="V323" s="101"/>
      <c r="W323" s="101"/>
      <c r="X323" s="101" t="s">
        <v>575</v>
      </c>
      <c r="Y323" s="101"/>
      <c r="Z323" s="101" t="s">
        <v>576</v>
      </c>
      <c r="AA323" s="101" t="s">
        <v>577</v>
      </c>
      <c r="AB323" s="101" t="s">
        <v>578</v>
      </c>
      <c r="AC323" s="101" t="s">
        <v>579</v>
      </c>
      <c r="AD323" s="101" t="s">
        <v>580</v>
      </c>
      <c r="AE323" s="101" t="s">
        <v>581</v>
      </c>
      <c r="AF323" s="101" t="s">
        <v>582</v>
      </c>
      <c r="AG323" s="101"/>
      <c r="AH323" s="101"/>
      <c r="AI323" s="101"/>
    </row>
    <row r="324" spans="10:35" x14ac:dyDescent="0.2">
      <c r="J324" s="101" t="s">
        <v>30</v>
      </c>
      <c r="K324" s="101" t="s">
        <v>1132</v>
      </c>
      <c r="L324" s="101" t="s">
        <v>822</v>
      </c>
      <c r="M324" s="101" t="s">
        <v>1133</v>
      </c>
      <c r="N324" s="189">
        <v>12460</v>
      </c>
      <c r="O324" s="101" t="s">
        <v>568</v>
      </c>
      <c r="P324" s="101" t="s">
        <v>569</v>
      </c>
      <c r="Q324" s="101" t="s">
        <v>570</v>
      </c>
      <c r="R324" s="101" t="s">
        <v>571</v>
      </c>
      <c r="S324" s="101" t="s">
        <v>572</v>
      </c>
      <c r="T324" s="101" t="s">
        <v>573</v>
      </c>
      <c r="U324" s="101"/>
      <c r="V324" s="101"/>
      <c r="W324" s="101"/>
      <c r="X324" s="101" t="s">
        <v>575</v>
      </c>
      <c r="Y324" s="101"/>
      <c r="Z324" s="101" t="s">
        <v>576</v>
      </c>
      <c r="AA324" s="101" t="s">
        <v>577</v>
      </c>
      <c r="AB324" s="101"/>
      <c r="AC324" s="101"/>
      <c r="AD324" s="101"/>
      <c r="AE324" s="101"/>
      <c r="AF324" s="101"/>
      <c r="AG324" s="101"/>
      <c r="AH324" s="101"/>
      <c r="AI324" s="101"/>
    </row>
    <row r="325" spans="10:35" x14ac:dyDescent="0.2">
      <c r="J325" s="101" t="s">
        <v>30</v>
      </c>
      <c r="K325" s="101" t="s">
        <v>1134</v>
      </c>
      <c r="L325" s="101" t="s">
        <v>822</v>
      </c>
      <c r="M325" s="101" t="s">
        <v>1135</v>
      </c>
      <c r="N325" s="189">
        <v>12430</v>
      </c>
      <c r="O325" s="101" t="s">
        <v>568</v>
      </c>
      <c r="P325" s="101" t="s">
        <v>569</v>
      </c>
      <c r="Q325" s="101" t="s">
        <v>570</v>
      </c>
      <c r="R325" s="101" t="s">
        <v>571</v>
      </c>
      <c r="S325" s="101" t="s">
        <v>572</v>
      </c>
      <c r="T325" s="101" t="s">
        <v>573</v>
      </c>
      <c r="U325" s="101"/>
      <c r="V325" s="101"/>
      <c r="W325" s="101"/>
      <c r="X325" s="101" t="s">
        <v>575</v>
      </c>
      <c r="Y325" s="101"/>
      <c r="Z325" s="101" t="s">
        <v>576</v>
      </c>
      <c r="AA325" s="101" t="s">
        <v>577</v>
      </c>
      <c r="AB325" s="101" t="s">
        <v>578</v>
      </c>
      <c r="AC325" s="101" t="s">
        <v>579</v>
      </c>
      <c r="AD325" s="101" t="s">
        <v>580</v>
      </c>
      <c r="AE325" s="101" t="s">
        <v>581</v>
      </c>
      <c r="AF325" s="101" t="s">
        <v>582</v>
      </c>
      <c r="AG325" s="101" t="s">
        <v>583</v>
      </c>
      <c r="AH325" s="101" t="s">
        <v>584</v>
      </c>
      <c r="AI325" s="101" t="s">
        <v>585</v>
      </c>
    </row>
    <row r="326" spans="10:35" x14ac:dyDescent="0.2">
      <c r="J326" s="101" t="s">
        <v>30</v>
      </c>
      <c r="K326" s="101" t="s">
        <v>1136</v>
      </c>
      <c r="L326" s="101" t="s">
        <v>822</v>
      </c>
      <c r="M326" s="101" t="s">
        <v>1137</v>
      </c>
      <c r="N326" s="189">
        <v>12460</v>
      </c>
      <c r="O326" s="101" t="s">
        <v>568</v>
      </c>
      <c r="P326" s="101" t="s">
        <v>569</v>
      </c>
      <c r="Q326" s="101" t="s">
        <v>570</v>
      </c>
      <c r="R326" s="101" t="s">
        <v>571</v>
      </c>
      <c r="S326" s="101" t="s">
        <v>572</v>
      </c>
      <c r="T326" s="101" t="s">
        <v>573</v>
      </c>
      <c r="U326" s="101"/>
      <c r="V326" s="101"/>
      <c r="W326" s="101" t="s">
        <v>574</v>
      </c>
      <c r="X326" s="101" t="s">
        <v>575</v>
      </c>
      <c r="Y326" s="101"/>
      <c r="Z326" s="101" t="s">
        <v>576</v>
      </c>
      <c r="AA326" s="101" t="s">
        <v>577</v>
      </c>
      <c r="AB326" s="101" t="s">
        <v>578</v>
      </c>
      <c r="AC326" s="101" t="s">
        <v>579</v>
      </c>
      <c r="AD326" s="101" t="s">
        <v>580</v>
      </c>
      <c r="AE326" s="101" t="s">
        <v>581</v>
      </c>
      <c r="AF326" s="101" t="s">
        <v>582</v>
      </c>
      <c r="AG326" s="101"/>
      <c r="AH326" s="101"/>
      <c r="AI326" s="101"/>
    </row>
    <row r="327" spans="10:35" x14ac:dyDescent="0.2">
      <c r="J327" s="101" t="s">
        <v>30</v>
      </c>
      <c r="K327" s="101" t="s">
        <v>1138</v>
      </c>
      <c r="L327" s="101" t="s">
        <v>822</v>
      </c>
      <c r="M327" s="101" t="s">
        <v>1139</v>
      </c>
      <c r="N327" s="189">
        <v>12460</v>
      </c>
      <c r="O327" s="101" t="s">
        <v>568</v>
      </c>
      <c r="P327" s="101" t="s">
        <v>569</v>
      </c>
      <c r="Q327" s="101" t="s">
        <v>570</v>
      </c>
      <c r="R327" s="101" t="s">
        <v>571</v>
      </c>
      <c r="S327" s="101" t="s">
        <v>572</v>
      </c>
      <c r="T327" s="101" t="s">
        <v>573</v>
      </c>
      <c r="U327" s="101"/>
      <c r="V327" s="101"/>
      <c r="W327" s="101" t="s">
        <v>574</v>
      </c>
      <c r="X327" s="101" t="s">
        <v>575</v>
      </c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</row>
    <row r="328" spans="10:35" x14ac:dyDescent="0.2">
      <c r="J328" s="101" t="s">
        <v>30</v>
      </c>
      <c r="K328" s="101" t="s">
        <v>1140</v>
      </c>
      <c r="L328" s="101" t="s">
        <v>1108</v>
      </c>
      <c r="M328" s="101" t="s">
        <v>1141</v>
      </c>
      <c r="N328" s="189">
        <v>12470</v>
      </c>
      <c r="O328" s="101" t="s">
        <v>568</v>
      </c>
      <c r="P328" s="101" t="s">
        <v>569</v>
      </c>
      <c r="Q328" s="101" t="s">
        <v>570</v>
      </c>
      <c r="R328" s="101" t="s">
        <v>571</v>
      </c>
      <c r="S328" s="101" t="s">
        <v>572</v>
      </c>
      <c r="T328" s="101" t="s">
        <v>573</v>
      </c>
      <c r="U328" s="101"/>
      <c r="V328" s="101"/>
      <c r="W328" s="101" t="s">
        <v>574</v>
      </c>
      <c r="X328" s="101" t="s">
        <v>575</v>
      </c>
      <c r="Y328" s="101"/>
      <c r="Z328" s="101" t="s">
        <v>576</v>
      </c>
      <c r="AA328" s="101" t="s">
        <v>577</v>
      </c>
      <c r="AB328" s="101" t="s">
        <v>578</v>
      </c>
      <c r="AC328" s="101" t="s">
        <v>579</v>
      </c>
      <c r="AD328" s="101" t="s">
        <v>580</v>
      </c>
      <c r="AE328" s="101" t="s">
        <v>581</v>
      </c>
      <c r="AF328" s="101" t="s">
        <v>582</v>
      </c>
      <c r="AG328" s="101"/>
      <c r="AH328" s="101"/>
      <c r="AI328" s="101"/>
    </row>
    <row r="329" spans="10:35" x14ac:dyDescent="0.2">
      <c r="J329" s="101" t="s">
        <v>30</v>
      </c>
      <c r="K329" s="101" t="s">
        <v>1142</v>
      </c>
      <c r="L329" s="101" t="s">
        <v>1108</v>
      </c>
      <c r="M329" s="101" t="s">
        <v>1143</v>
      </c>
      <c r="N329" s="189">
        <v>12010</v>
      </c>
      <c r="O329" s="101" t="s">
        <v>568</v>
      </c>
      <c r="P329" s="101" t="s">
        <v>569</v>
      </c>
      <c r="Q329" s="101" t="s">
        <v>570</v>
      </c>
      <c r="R329" s="101" t="s">
        <v>571</v>
      </c>
      <c r="S329" s="101" t="s">
        <v>572</v>
      </c>
      <c r="T329" s="101" t="s">
        <v>573</v>
      </c>
      <c r="U329" s="101"/>
      <c r="V329" s="101"/>
      <c r="W329" s="101" t="s">
        <v>574</v>
      </c>
      <c r="X329" s="101" t="s">
        <v>575</v>
      </c>
      <c r="Y329" s="101"/>
      <c r="Z329" s="101" t="s">
        <v>576</v>
      </c>
      <c r="AA329" s="101" t="s">
        <v>577</v>
      </c>
      <c r="AB329" s="101" t="s">
        <v>578</v>
      </c>
      <c r="AC329" s="101" t="s">
        <v>579</v>
      </c>
      <c r="AD329" s="101" t="s">
        <v>580</v>
      </c>
      <c r="AE329" s="101" t="s">
        <v>581</v>
      </c>
      <c r="AF329" s="101" t="s">
        <v>582</v>
      </c>
      <c r="AG329" s="101"/>
      <c r="AH329" s="101"/>
      <c r="AI329" s="101"/>
    </row>
    <row r="330" spans="10:35" x14ac:dyDescent="0.2">
      <c r="J330" s="101" t="s">
        <v>30</v>
      </c>
      <c r="K330" s="101" t="s">
        <v>1144</v>
      </c>
      <c r="L330" s="101" t="s">
        <v>1108</v>
      </c>
      <c r="M330" s="101" t="s">
        <v>1145</v>
      </c>
      <c r="N330" s="189">
        <v>11990</v>
      </c>
      <c r="O330" s="101" t="s">
        <v>568</v>
      </c>
      <c r="P330" s="101" t="s">
        <v>569</v>
      </c>
      <c r="Q330" s="101" t="s">
        <v>570</v>
      </c>
      <c r="R330" s="101" t="s">
        <v>571</v>
      </c>
      <c r="S330" s="101" t="s">
        <v>572</v>
      </c>
      <c r="T330" s="101" t="s">
        <v>573</v>
      </c>
      <c r="U330" s="101"/>
      <c r="V330" s="101"/>
      <c r="W330" s="101" t="s">
        <v>574</v>
      </c>
      <c r="X330" s="101" t="s">
        <v>575</v>
      </c>
      <c r="Y330" s="101"/>
      <c r="Z330" s="101" t="s">
        <v>576</v>
      </c>
      <c r="AA330" s="101" t="s">
        <v>577</v>
      </c>
      <c r="AB330" s="101" t="s">
        <v>578</v>
      </c>
      <c r="AC330" s="101" t="s">
        <v>579</v>
      </c>
      <c r="AD330" s="101" t="s">
        <v>580</v>
      </c>
      <c r="AE330" s="101" t="s">
        <v>581</v>
      </c>
      <c r="AF330" s="101" t="s">
        <v>582</v>
      </c>
      <c r="AG330" s="101"/>
      <c r="AH330" s="101"/>
      <c r="AI330" s="101"/>
    </row>
    <row r="331" spans="10:35" x14ac:dyDescent="0.2">
      <c r="J331" s="101" t="s">
        <v>30</v>
      </c>
      <c r="K331" s="101" t="s">
        <v>1146</v>
      </c>
      <c r="L331" s="101" t="s">
        <v>1108</v>
      </c>
      <c r="M331" s="101" t="s">
        <v>1147</v>
      </c>
      <c r="N331" s="189">
        <v>12470</v>
      </c>
      <c r="O331" s="101" t="s">
        <v>568</v>
      </c>
      <c r="P331" s="101" t="s">
        <v>569</v>
      </c>
      <c r="Q331" s="101" t="s">
        <v>570</v>
      </c>
      <c r="R331" s="101" t="s">
        <v>571</v>
      </c>
      <c r="S331" s="101" t="s">
        <v>572</v>
      </c>
      <c r="T331" s="101" t="s">
        <v>573</v>
      </c>
      <c r="U331" s="101"/>
      <c r="V331" s="101"/>
      <c r="W331" s="101" t="s">
        <v>574</v>
      </c>
      <c r="X331" s="101" t="s">
        <v>575</v>
      </c>
      <c r="Y331" s="101"/>
      <c r="Z331" s="101" t="s">
        <v>576</v>
      </c>
      <c r="AA331" s="101" t="s">
        <v>577</v>
      </c>
      <c r="AB331" s="101" t="s">
        <v>578</v>
      </c>
      <c r="AC331" s="101" t="s">
        <v>579</v>
      </c>
      <c r="AD331" s="101" t="s">
        <v>580</v>
      </c>
      <c r="AE331" s="101" t="s">
        <v>581</v>
      </c>
      <c r="AF331" s="101" t="s">
        <v>582</v>
      </c>
      <c r="AG331" s="101"/>
      <c r="AH331" s="101"/>
      <c r="AI331" s="101"/>
    </row>
    <row r="332" spans="10:35" x14ac:dyDescent="0.2">
      <c r="J332" s="101" t="s">
        <v>30</v>
      </c>
      <c r="K332" s="101" t="s">
        <v>1148</v>
      </c>
      <c r="L332" s="101" t="s">
        <v>822</v>
      </c>
      <c r="M332" s="101" t="s">
        <v>1149</v>
      </c>
      <c r="N332" s="189">
        <v>12470</v>
      </c>
      <c r="O332" s="101" t="s">
        <v>568</v>
      </c>
      <c r="P332" s="101" t="s">
        <v>569</v>
      </c>
      <c r="Q332" s="101" t="s">
        <v>570</v>
      </c>
      <c r="R332" s="101" t="s">
        <v>571</v>
      </c>
      <c r="S332" s="101" t="s">
        <v>572</v>
      </c>
      <c r="T332" s="101" t="s">
        <v>573</v>
      </c>
      <c r="U332" s="101"/>
      <c r="V332" s="101"/>
      <c r="W332" s="101" t="s">
        <v>574</v>
      </c>
      <c r="X332" s="101" t="s">
        <v>575</v>
      </c>
      <c r="Y332" s="101"/>
      <c r="Z332" s="101" t="s">
        <v>576</v>
      </c>
      <c r="AA332" s="101" t="s">
        <v>577</v>
      </c>
      <c r="AB332" s="101" t="s">
        <v>578</v>
      </c>
      <c r="AC332" s="101" t="s">
        <v>579</v>
      </c>
      <c r="AD332" s="101" t="s">
        <v>580</v>
      </c>
      <c r="AE332" s="101" t="s">
        <v>581</v>
      </c>
      <c r="AF332" s="101" t="s">
        <v>582</v>
      </c>
      <c r="AG332" s="101"/>
      <c r="AH332" s="101"/>
      <c r="AI332" s="101"/>
    </row>
    <row r="333" spans="10:35" x14ac:dyDescent="0.2">
      <c r="J333" s="101" t="s">
        <v>30</v>
      </c>
      <c r="K333" s="101" t="s">
        <v>1150</v>
      </c>
      <c r="L333" s="101" t="s">
        <v>1108</v>
      </c>
      <c r="M333" s="101" t="s">
        <v>1151</v>
      </c>
      <c r="N333" s="189">
        <v>12460</v>
      </c>
      <c r="O333" s="101" t="s">
        <v>568</v>
      </c>
      <c r="P333" s="101" t="s">
        <v>569</v>
      </c>
      <c r="Q333" s="101" t="s">
        <v>570</v>
      </c>
      <c r="R333" s="101" t="s">
        <v>571</v>
      </c>
      <c r="S333" s="101" t="s">
        <v>572</v>
      </c>
      <c r="T333" s="101" t="s">
        <v>573</v>
      </c>
      <c r="U333" s="101"/>
      <c r="V333" s="101"/>
      <c r="W333" s="101" t="s">
        <v>574</v>
      </c>
      <c r="X333" s="101" t="s">
        <v>575</v>
      </c>
      <c r="Y333" s="101"/>
      <c r="Z333" s="101" t="s">
        <v>576</v>
      </c>
      <c r="AA333" s="101" t="s">
        <v>577</v>
      </c>
      <c r="AB333" s="101" t="s">
        <v>578</v>
      </c>
      <c r="AC333" s="101" t="s">
        <v>579</v>
      </c>
      <c r="AD333" s="101" t="s">
        <v>580</v>
      </c>
      <c r="AE333" s="101" t="s">
        <v>581</v>
      </c>
      <c r="AF333" s="101" t="s">
        <v>582</v>
      </c>
      <c r="AG333" s="101"/>
      <c r="AH333" s="101"/>
      <c r="AI333" s="101"/>
    </row>
    <row r="334" spans="10:35" x14ac:dyDescent="0.2">
      <c r="J334" s="101" t="s">
        <v>30</v>
      </c>
      <c r="K334" s="101" t="s">
        <v>1152</v>
      </c>
      <c r="L334" s="101" t="s">
        <v>1108</v>
      </c>
      <c r="M334" s="101" t="s">
        <v>1153</v>
      </c>
      <c r="N334" s="189">
        <v>12010</v>
      </c>
      <c r="O334" s="101" t="s">
        <v>568</v>
      </c>
      <c r="P334" s="101" t="s">
        <v>569</v>
      </c>
      <c r="Q334" s="101" t="s">
        <v>570</v>
      </c>
      <c r="R334" s="101" t="s">
        <v>571</v>
      </c>
      <c r="S334" s="101" t="s">
        <v>572</v>
      </c>
      <c r="T334" s="101" t="s">
        <v>573</v>
      </c>
      <c r="U334" s="101"/>
      <c r="V334" s="101"/>
      <c r="W334" s="101" t="s">
        <v>574</v>
      </c>
      <c r="X334" s="101" t="s">
        <v>575</v>
      </c>
      <c r="Y334" s="101"/>
      <c r="Z334" s="101" t="s">
        <v>576</v>
      </c>
      <c r="AA334" s="101" t="s">
        <v>577</v>
      </c>
      <c r="AB334" s="101" t="s">
        <v>578</v>
      </c>
      <c r="AC334" s="101" t="s">
        <v>579</v>
      </c>
      <c r="AD334" s="101" t="s">
        <v>580</v>
      </c>
      <c r="AE334" s="101" t="s">
        <v>581</v>
      </c>
      <c r="AF334" s="101" t="s">
        <v>582</v>
      </c>
      <c r="AG334" s="101"/>
      <c r="AH334" s="101"/>
      <c r="AI334" s="101"/>
    </row>
    <row r="335" spans="10:35" x14ac:dyDescent="0.2">
      <c r="J335" s="101" t="s">
        <v>30</v>
      </c>
      <c r="K335" s="101" t="s">
        <v>1154</v>
      </c>
      <c r="L335" s="101" t="s">
        <v>822</v>
      </c>
      <c r="M335" s="101" t="s">
        <v>1155</v>
      </c>
      <c r="N335" s="189">
        <v>12450</v>
      </c>
      <c r="O335" s="101" t="s">
        <v>568</v>
      </c>
      <c r="P335" s="101" t="s">
        <v>569</v>
      </c>
      <c r="Q335" s="101" t="s">
        <v>570</v>
      </c>
      <c r="R335" s="101" t="s">
        <v>571</v>
      </c>
      <c r="S335" s="101" t="s">
        <v>572</v>
      </c>
      <c r="T335" s="101" t="s">
        <v>573</v>
      </c>
      <c r="U335" s="101"/>
      <c r="V335" s="101"/>
      <c r="W335" s="101" t="s">
        <v>574</v>
      </c>
      <c r="X335" s="101" t="s">
        <v>575</v>
      </c>
      <c r="Y335" s="101"/>
      <c r="Z335" s="101" t="s">
        <v>576</v>
      </c>
      <c r="AA335" s="101" t="s">
        <v>577</v>
      </c>
      <c r="AB335" s="101" t="s">
        <v>578</v>
      </c>
      <c r="AC335" s="101" t="s">
        <v>579</v>
      </c>
      <c r="AD335" s="101" t="s">
        <v>580</v>
      </c>
      <c r="AE335" s="101" t="s">
        <v>581</v>
      </c>
      <c r="AF335" s="101" t="s">
        <v>582</v>
      </c>
      <c r="AG335" s="101"/>
      <c r="AH335" s="101"/>
      <c r="AI335" s="101"/>
    </row>
    <row r="336" spans="10:35" x14ac:dyDescent="0.2">
      <c r="J336" s="101" t="s">
        <v>30</v>
      </c>
      <c r="K336" s="101" t="s">
        <v>1156</v>
      </c>
      <c r="L336" s="101" t="s">
        <v>822</v>
      </c>
      <c r="M336" s="101" t="s">
        <v>1157</v>
      </c>
      <c r="N336" s="189">
        <v>12450</v>
      </c>
      <c r="O336" s="101" t="s">
        <v>568</v>
      </c>
      <c r="P336" s="101" t="s">
        <v>569</v>
      </c>
      <c r="Q336" s="101" t="s">
        <v>570</v>
      </c>
      <c r="R336" s="101" t="s">
        <v>571</v>
      </c>
      <c r="S336" s="101" t="s">
        <v>572</v>
      </c>
      <c r="T336" s="101" t="s">
        <v>573</v>
      </c>
      <c r="U336" s="101"/>
      <c r="V336" s="101"/>
      <c r="W336" s="101" t="s">
        <v>574</v>
      </c>
      <c r="X336" s="101" t="s">
        <v>575</v>
      </c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</row>
    <row r="337" spans="10:36" x14ac:dyDescent="0.2">
      <c r="J337" s="101" t="s">
        <v>30</v>
      </c>
      <c r="K337" s="101" t="s">
        <v>1158</v>
      </c>
      <c r="L337" s="101" t="s">
        <v>1108</v>
      </c>
      <c r="M337" s="101" t="s">
        <v>1159</v>
      </c>
      <c r="N337" s="189">
        <v>12450</v>
      </c>
      <c r="O337" s="101" t="s">
        <v>568</v>
      </c>
      <c r="P337" s="101" t="s">
        <v>569</v>
      </c>
      <c r="Q337" s="101" t="s">
        <v>570</v>
      </c>
      <c r="R337" s="101" t="s">
        <v>571</v>
      </c>
      <c r="S337" s="101" t="s">
        <v>572</v>
      </c>
      <c r="T337" s="101" t="s">
        <v>573</v>
      </c>
      <c r="U337" s="101"/>
      <c r="V337" s="101"/>
      <c r="W337" s="101" t="s">
        <v>574</v>
      </c>
      <c r="X337" s="101" t="s">
        <v>575</v>
      </c>
      <c r="Y337" s="101"/>
      <c r="Z337" s="101" t="s">
        <v>576</v>
      </c>
      <c r="AA337" s="101" t="s">
        <v>577</v>
      </c>
      <c r="AB337" s="101" t="s">
        <v>578</v>
      </c>
      <c r="AC337" s="101" t="s">
        <v>579</v>
      </c>
      <c r="AD337" s="101" t="s">
        <v>580</v>
      </c>
      <c r="AE337" s="101" t="s">
        <v>581</v>
      </c>
      <c r="AF337" s="101" t="s">
        <v>582</v>
      </c>
      <c r="AG337" s="101"/>
      <c r="AH337" s="101"/>
      <c r="AI337" s="101"/>
    </row>
    <row r="338" spans="10:36" x14ac:dyDescent="0.2">
      <c r="J338" s="101" t="s">
        <v>30</v>
      </c>
      <c r="K338" s="101" t="s">
        <v>1160</v>
      </c>
      <c r="L338" s="101" t="s">
        <v>822</v>
      </c>
      <c r="M338" s="101" t="s">
        <v>1161</v>
      </c>
      <c r="N338" s="189">
        <v>12350</v>
      </c>
      <c r="O338" s="101" t="s">
        <v>568</v>
      </c>
      <c r="P338" s="101" t="s">
        <v>569</v>
      </c>
      <c r="Q338" s="101" t="s">
        <v>570</v>
      </c>
      <c r="R338" s="101" t="s">
        <v>571</v>
      </c>
      <c r="S338" s="101" t="s">
        <v>572</v>
      </c>
      <c r="T338" s="101" t="s">
        <v>573</v>
      </c>
      <c r="U338" s="101"/>
      <c r="V338" s="101"/>
      <c r="W338" s="101" t="s">
        <v>574</v>
      </c>
      <c r="X338" s="101" t="s">
        <v>575</v>
      </c>
      <c r="Y338" s="101"/>
      <c r="Z338" s="101" t="s">
        <v>576</v>
      </c>
      <c r="AA338" s="101" t="s">
        <v>577</v>
      </c>
      <c r="AB338" s="101" t="s">
        <v>578</v>
      </c>
      <c r="AC338" s="101" t="s">
        <v>579</v>
      </c>
      <c r="AD338" s="101" t="s">
        <v>580</v>
      </c>
      <c r="AE338" s="101" t="s">
        <v>581</v>
      </c>
      <c r="AF338" s="101" t="s">
        <v>582</v>
      </c>
      <c r="AG338" s="101"/>
      <c r="AH338" s="101"/>
      <c r="AI338" s="101"/>
    </row>
    <row r="339" spans="10:36" x14ac:dyDescent="0.2">
      <c r="J339" s="101" t="s">
        <v>30</v>
      </c>
      <c r="K339" s="101" t="s">
        <v>1162</v>
      </c>
      <c r="L339" s="101" t="s">
        <v>1108</v>
      </c>
      <c r="M339" s="101" t="s">
        <v>1163</v>
      </c>
      <c r="N339" s="189">
        <v>12450</v>
      </c>
      <c r="O339" s="101" t="s">
        <v>568</v>
      </c>
      <c r="P339" s="101" t="s">
        <v>569</v>
      </c>
      <c r="Q339" s="101" t="s">
        <v>570</v>
      </c>
      <c r="R339" s="101" t="s">
        <v>571</v>
      </c>
      <c r="S339" s="101" t="s">
        <v>572</v>
      </c>
      <c r="T339" s="101" t="s">
        <v>573</v>
      </c>
      <c r="U339" s="101"/>
      <c r="V339" s="101"/>
      <c r="W339" s="101" t="s">
        <v>574</v>
      </c>
      <c r="X339" s="101" t="s">
        <v>575</v>
      </c>
      <c r="Y339" s="101"/>
      <c r="Z339" s="101" t="s">
        <v>576</v>
      </c>
      <c r="AA339" s="101" t="s">
        <v>577</v>
      </c>
      <c r="AB339" s="101" t="s">
        <v>578</v>
      </c>
      <c r="AC339" s="101" t="s">
        <v>579</v>
      </c>
      <c r="AD339" s="101" t="s">
        <v>580</v>
      </c>
      <c r="AE339" s="101" t="s">
        <v>581</v>
      </c>
      <c r="AF339" s="101" t="s">
        <v>582</v>
      </c>
      <c r="AG339" s="101"/>
      <c r="AH339" s="101"/>
      <c r="AI339" s="101"/>
    </row>
    <row r="340" spans="10:36" x14ac:dyDescent="0.2">
      <c r="J340" s="101" t="s">
        <v>30</v>
      </c>
      <c r="K340" s="101" t="s">
        <v>1164</v>
      </c>
      <c r="L340" s="101" t="s">
        <v>822</v>
      </c>
      <c r="M340" s="101" t="s">
        <v>1165</v>
      </c>
      <c r="N340" s="189">
        <v>12460</v>
      </c>
      <c r="O340" s="101" t="s">
        <v>568</v>
      </c>
      <c r="P340" s="101" t="s">
        <v>569</v>
      </c>
      <c r="Q340" s="101" t="s">
        <v>570</v>
      </c>
      <c r="R340" s="101" t="s">
        <v>571</v>
      </c>
      <c r="S340" s="101" t="s">
        <v>572</v>
      </c>
      <c r="T340" s="101" t="s">
        <v>573</v>
      </c>
      <c r="U340" s="101"/>
      <c r="V340" s="101"/>
      <c r="W340" s="101" t="s">
        <v>574</v>
      </c>
      <c r="X340" s="101" t="s">
        <v>575</v>
      </c>
      <c r="Y340" s="101"/>
      <c r="Z340" s="101" t="s">
        <v>576</v>
      </c>
      <c r="AA340" s="101" t="s">
        <v>577</v>
      </c>
      <c r="AB340" s="101" t="s">
        <v>578</v>
      </c>
      <c r="AC340" s="101" t="s">
        <v>579</v>
      </c>
      <c r="AD340" s="101" t="s">
        <v>580</v>
      </c>
      <c r="AE340" s="101" t="s">
        <v>581</v>
      </c>
      <c r="AF340" s="101" t="s">
        <v>582</v>
      </c>
      <c r="AG340" s="101"/>
      <c r="AH340" s="101"/>
      <c r="AI340" s="101"/>
    </row>
    <row r="341" spans="10:36" x14ac:dyDescent="0.2">
      <c r="J341" s="101" t="s">
        <v>30</v>
      </c>
      <c r="K341" s="101" t="s">
        <v>1166</v>
      </c>
      <c r="L341" s="101" t="s">
        <v>1108</v>
      </c>
      <c r="M341" s="101" t="s">
        <v>1167</v>
      </c>
      <c r="N341" s="189">
        <v>12460</v>
      </c>
      <c r="O341" s="101" t="s">
        <v>568</v>
      </c>
      <c r="P341" s="101" t="s">
        <v>569</v>
      </c>
      <c r="Q341" s="101" t="s">
        <v>570</v>
      </c>
      <c r="R341" s="101" t="s">
        <v>571</v>
      </c>
      <c r="S341" s="101" t="s">
        <v>572</v>
      </c>
      <c r="T341" s="101" t="s">
        <v>573</v>
      </c>
      <c r="U341" s="101"/>
      <c r="V341" s="101"/>
      <c r="W341" s="101" t="s">
        <v>574</v>
      </c>
      <c r="X341" s="101" t="s">
        <v>575</v>
      </c>
      <c r="Y341" s="101"/>
      <c r="Z341" s="101" t="s">
        <v>576</v>
      </c>
      <c r="AA341" s="101" t="s">
        <v>577</v>
      </c>
      <c r="AB341" s="101" t="s">
        <v>578</v>
      </c>
      <c r="AC341" s="101" t="s">
        <v>579</v>
      </c>
      <c r="AD341" s="101" t="s">
        <v>580</v>
      </c>
      <c r="AE341" s="101" t="s">
        <v>581</v>
      </c>
      <c r="AF341" s="101" t="s">
        <v>582</v>
      </c>
      <c r="AG341" s="101"/>
      <c r="AH341" s="101"/>
      <c r="AI341" s="101"/>
    </row>
    <row r="342" spans="10:36" x14ac:dyDescent="0.2">
      <c r="J342" s="101" t="s">
        <v>30</v>
      </c>
      <c r="K342" s="101" t="s">
        <v>1168</v>
      </c>
      <c r="L342" s="101" t="s">
        <v>1108</v>
      </c>
      <c r="M342" s="101" t="s">
        <v>1169</v>
      </c>
      <c r="N342" s="189">
        <v>12460</v>
      </c>
      <c r="O342" s="101" t="s">
        <v>568</v>
      </c>
      <c r="P342" s="101" t="s">
        <v>569</v>
      </c>
      <c r="Q342" s="101" t="s">
        <v>570</v>
      </c>
      <c r="R342" s="101" t="s">
        <v>571</v>
      </c>
      <c r="S342" s="101" t="s">
        <v>572</v>
      </c>
      <c r="T342" s="101" t="s">
        <v>573</v>
      </c>
      <c r="U342" s="101"/>
      <c r="V342" s="101"/>
      <c r="W342" s="101" t="s">
        <v>574</v>
      </c>
      <c r="X342" s="101" t="s">
        <v>575</v>
      </c>
      <c r="Y342" s="101"/>
      <c r="Z342" s="101" t="s">
        <v>576</v>
      </c>
      <c r="AA342" s="101" t="s">
        <v>577</v>
      </c>
      <c r="AB342" s="101" t="s">
        <v>578</v>
      </c>
      <c r="AC342" s="101" t="s">
        <v>579</v>
      </c>
      <c r="AD342" s="101" t="s">
        <v>580</v>
      </c>
      <c r="AE342" s="101" t="s">
        <v>581</v>
      </c>
      <c r="AF342" s="101" t="s">
        <v>582</v>
      </c>
      <c r="AG342" s="101"/>
      <c r="AH342" s="101"/>
      <c r="AI342" s="101"/>
    </row>
    <row r="343" spans="10:36" x14ac:dyDescent="0.2">
      <c r="J343" s="101" t="s">
        <v>30</v>
      </c>
      <c r="K343" s="101" t="s">
        <v>1170</v>
      </c>
      <c r="L343" s="101" t="s">
        <v>1108</v>
      </c>
      <c r="M343" s="101" t="s">
        <v>1171</v>
      </c>
      <c r="N343" s="189">
        <v>12450</v>
      </c>
      <c r="O343" s="101" t="s">
        <v>568</v>
      </c>
      <c r="P343" s="101" t="s">
        <v>569</v>
      </c>
      <c r="Q343" s="101" t="s">
        <v>570</v>
      </c>
      <c r="R343" s="101" t="s">
        <v>571</v>
      </c>
      <c r="S343" s="101" t="s">
        <v>572</v>
      </c>
      <c r="T343" s="101" t="s">
        <v>573</v>
      </c>
      <c r="U343" s="101"/>
      <c r="V343" s="101"/>
      <c r="W343" s="101" t="s">
        <v>574</v>
      </c>
      <c r="X343" s="101" t="s">
        <v>575</v>
      </c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</row>
    <row r="344" spans="10:36" x14ac:dyDescent="0.2">
      <c r="J344" s="101" t="s">
        <v>30</v>
      </c>
      <c r="K344" s="101" t="s">
        <v>1172</v>
      </c>
      <c r="L344" s="101" t="s">
        <v>822</v>
      </c>
      <c r="M344" s="101" t="s">
        <v>1173</v>
      </c>
      <c r="N344" s="189">
        <v>12470</v>
      </c>
      <c r="O344" s="101" t="s">
        <v>568</v>
      </c>
      <c r="P344" s="101" t="s">
        <v>569</v>
      </c>
      <c r="Q344" s="101" t="s">
        <v>570</v>
      </c>
      <c r="R344" s="101" t="s">
        <v>571</v>
      </c>
      <c r="S344" s="101" t="s">
        <v>572</v>
      </c>
      <c r="T344" s="101" t="s">
        <v>573</v>
      </c>
      <c r="U344" s="101"/>
      <c r="V344" s="101"/>
      <c r="W344" s="101" t="s">
        <v>574</v>
      </c>
      <c r="X344" s="101" t="s">
        <v>575</v>
      </c>
      <c r="Y344" s="101"/>
      <c r="Z344" s="101" t="s">
        <v>576</v>
      </c>
      <c r="AA344" s="101" t="s">
        <v>577</v>
      </c>
      <c r="AB344" s="101" t="s">
        <v>578</v>
      </c>
      <c r="AC344" s="101" t="s">
        <v>579</v>
      </c>
      <c r="AD344" s="101" t="s">
        <v>580</v>
      </c>
      <c r="AE344" s="101" t="s">
        <v>581</v>
      </c>
      <c r="AF344" s="101" t="s">
        <v>582</v>
      </c>
      <c r="AG344" s="101"/>
      <c r="AH344" s="101"/>
      <c r="AI344" s="101"/>
    </row>
    <row r="345" spans="10:36" x14ac:dyDescent="0.2">
      <c r="J345" s="101" t="s">
        <v>30</v>
      </c>
      <c r="K345" s="101" t="s">
        <v>1174</v>
      </c>
      <c r="L345" s="101" t="s">
        <v>822</v>
      </c>
      <c r="M345" s="101" t="s">
        <v>1175</v>
      </c>
      <c r="N345" s="189">
        <v>12470</v>
      </c>
      <c r="O345" s="101" t="s">
        <v>568</v>
      </c>
      <c r="P345" s="101" t="s">
        <v>569</v>
      </c>
      <c r="Q345" s="101" t="s">
        <v>570</v>
      </c>
      <c r="R345" s="101" t="s">
        <v>571</v>
      </c>
      <c r="S345" s="101" t="s">
        <v>572</v>
      </c>
      <c r="T345" s="101" t="s">
        <v>573</v>
      </c>
      <c r="U345" s="101"/>
      <c r="V345" s="101"/>
      <c r="W345" s="101" t="s">
        <v>574</v>
      </c>
      <c r="X345" s="101" t="s">
        <v>575</v>
      </c>
      <c r="Y345" s="101"/>
      <c r="Z345" s="101" t="s">
        <v>576</v>
      </c>
      <c r="AA345" s="101" t="s">
        <v>577</v>
      </c>
      <c r="AB345" s="101" t="s">
        <v>578</v>
      </c>
      <c r="AC345" s="101" t="s">
        <v>579</v>
      </c>
      <c r="AD345" s="101" t="s">
        <v>580</v>
      </c>
      <c r="AE345" s="101" t="s">
        <v>581</v>
      </c>
      <c r="AF345" s="101" t="s">
        <v>582</v>
      </c>
      <c r="AG345" s="101"/>
      <c r="AH345" s="101"/>
      <c r="AI345" s="101"/>
    </row>
    <row r="346" spans="10:36" x14ac:dyDescent="0.2">
      <c r="J346" s="101" t="s">
        <v>30</v>
      </c>
      <c r="K346" s="101" t="s">
        <v>1176</v>
      </c>
      <c r="L346" s="101" t="s">
        <v>822</v>
      </c>
      <c r="M346" s="101" t="s">
        <v>1177</v>
      </c>
      <c r="N346" s="189">
        <v>12470</v>
      </c>
      <c r="O346" s="101" t="s">
        <v>568</v>
      </c>
      <c r="P346" s="101" t="s">
        <v>569</v>
      </c>
      <c r="Q346" s="101" t="s">
        <v>570</v>
      </c>
      <c r="R346" s="101" t="s">
        <v>571</v>
      </c>
      <c r="S346" s="101" t="s">
        <v>572</v>
      </c>
      <c r="T346" s="101" t="s">
        <v>573</v>
      </c>
      <c r="U346" s="101"/>
      <c r="V346" s="101"/>
      <c r="W346" s="101" t="s">
        <v>574</v>
      </c>
      <c r="X346" s="101" t="s">
        <v>575</v>
      </c>
      <c r="Y346" s="101"/>
      <c r="Z346" s="101" t="s">
        <v>576</v>
      </c>
      <c r="AA346" s="101" t="s">
        <v>577</v>
      </c>
      <c r="AB346" s="101" t="s">
        <v>578</v>
      </c>
      <c r="AC346" s="101" t="s">
        <v>579</v>
      </c>
      <c r="AD346" s="101" t="s">
        <v>580</v>
      </c>
      <c r="AE346" s="101" t="s">
        <v>581</v>
      </c>
      <c r="AF346" s="101"/>
      <c r="AG346" s="101"/>
      <c r="AH346" s="101"/>
      <c r="AI346" s="101"/>
    </row>
    <row r="347" spans="10:36" x14ac:dyDescent="0.2">
      <c r="J347" s="101" t="s">
        <v>30</v>
      </c>
      <c r="K347" s="101" t="s">
        <v>1178</v>
      </c>
      <c r="L347" s="101" t="s">
        <v>822</v>
      </c>
      <c r="M347" s="101" t="s">
        <v>1179</v>
      </c>
      <c r="N347" s="189">
        <v>12420</v>
      </c>
      <c r="O347" s="101" t="s">
        <v>568</v>
      </c>
      <c r="P347" s="101" t="s">
        <v>569</v>
      </c>
      <c r="Q347" s="101" t="s">
        <v>570</v>
      </c>
      <c r="R347" s="101" t="s">
        <v>571</v>
      </c>
      <c r="S347" s="101" t="s">
        <v>572</v>
      </c>
      <c r="T347" s="101" t="s">
        <v>573</v>
      </c>
      <c r="U347" s="101"/>
      <c r="V347" s="101"/>
      <c r="W347" s="101" t="s">
        <v>574</v>
      </c>
      <c r="X347" s="101" t="s">
        <v>575</v>
      </c>
      <c r="Y347" s="101"/>
      <c r="Z347" s="101" t="s">
        <v>576</v>
      </c>
      <c r="AA347" s="101" t="s">
        <v>577</v>
      </c>
      <c r="AB347" s="101" t="s">
        <v>578</v>
      </c>
      <c r="AC347" s="101" t="s">
        <v>579</v>
      </c>
      <c r="AD347" s="101" t="s">
        <v>580</v>
      </c>
      <c r="AE347" s="101" t="s">
        <v>581</v>
      </c>
      <c r="AF347" s="101" t="s">
        <v>582</v>
      </c>
      <c r="AG347" s="101" t="s">
        <v>583</v>
      </c>
      <c r="AH347" s="101" t="s">
        <v>584</v>
      </c>
      <c r="AI347" s="101" t="s">
        <v>585</v>
      </c>
    </row>
    <row r="348" spans="10:36" x14ac:dyDescent="0.2">
      <c r="J348" s="101" t="s">
        <v>30</v>
      </c>
      <c r="K348" s="101" t="s">
        <v>1180</v>
      </c>
      <c r="L348" s="101" t="s">
        <v>822</v>
      </c>
      <c r="M348" s="101" t="s">
        <v>1181</v>
      </c>
      <c r="N348" s="189">
        <v>12420</v>
      </c>
      <c r="O348" s="101" t="s">
        <v>568</v>
      </c>
      <c r="P348" s="101" t="s">
        <v>569</v>
      </c>
      <c r="Q348" s="101" t="s">
        <v>570</v>
      </c>
      <c r="R348" s="101" t="s">
        <v>571</v>
      </c>
      <c r="S348" s="101" t="s">
        <v>572</v>
      </c>
      <c r="T348" s="101" t="s">
        <v>573</v>
      </c>
      <c r="U348" s="101"/>
      <c r="V348" s="101"/>
      <c r="W348" s="101" t="s">
        <v>574</v>
      </c>
      <c r="X348" s="101" t="s">
        <v>575</v>
      </c>
      <c r="Y348" s="101"/>
      <c r="Z348" s="101" t="s">
        <v>576</v>
      </c>
      <c r="AA348" s="101" t="s">
        <v>577</v>
      </c>
      <c r="AB348" s="101" t="s">
        <v>578</v>
      </c>
      <c r="AC348" s="101" t="s">
        <v>579</v>
      </c>
      <c r="AD348" s="101" t="s">
        <v>580</v>
      </c>
      <c r="AE348" s="101" t="s">
        <v>581</v>
      </c>
      <c r="AF348" s="101" t="s">
        <v>582</v>
      </c>
      <c r="AG348" s="101" t="s">
        <v>583</v>
      </c>
      <c r="AH348" s="101" t="s">
        <v>584</v>
      </c>
      <c r="AI348" s="101" t="s">
        <v>585</v>
      </c>
    </row>
    <row r="349" spans="10:36" x14ac:dyDescent="0.2">
      <c r="J349" s="101" t="s">
        <v>30</v>
      </c>
      <c r="K349" s="101" t="s">
        <v>1182</v>
      </c>
      <c r="L349" s="101" t="s">
        <v>822</v>
      </c>
      <c r="M349" s="101" t="s">
        <v>1183</v>
      </c>
      <c r="N349" s="189">
        <v>12420</v>
      </c>
      <c r="O349" s="101" t="s">
        <v>568</v>
      </c>
      <c r="P349" s="101" t="s">
        <v>569</v>
      </c>
      <c r="Q349" s="101" t="s">
        <v>570</v>
      </c>
      <c r="R349" s="101" t="s">
        <v>571</v>
      </c>
      <c r="S349" s="101" t="s">
        <v>572</v>
      </c>
      <c r="T349" s="101" t="s">
        <v>573</v>
      </c>
      <c r="U349" s="101"/>
      <c r="V349" s="101"/>
      <c r="W349" s="101" t="s">
        <v>574</v>
      </c>
      <c r="X349" s="101" t="s">
        <v>575</v>
      </c>
      <c r="Y349" s="101"/>
      <c r="Z349" s="101" t="s">
        <v>576</v>
      </c>
      <c r="AA349" s="101" t="s">
        <v>577</v>
      </c>
      <c r="AB349" s="101" t="s">
        <v>578</v>
      </c>
      <c r="AC349" s="101" t="s">
        <v>579</v>
      </c>
      <c r="AD349" s="101" t="s">
        <v>580</v>
      </c>
      <c r="AE349" s="101" t="s">
        <v>581</v>
      </c>
      <c r="AF349" s="101" t="s">
        <v>582</v>
      </c>
      <c r="AG349" s="101" t="s">
        <v>583</v>
      </c>
      <c r="AH349" s="101" t="s">
        <v>584</v>
      </c>
      <c r="AI349" s="101" t="s">
        <v>585</v>
      </c>
      <c r="AJ349" s="101" t="s">
        <v>2362</v>
      </c>
    </row>
    <row r="350" spans="10:36" x14ac:dyDescent="0.2">
      <c r="J350" s="101" t="s">
        <v>30</v>
      </c>
      <c r="K350" s="101" t="s">
        <v>1184</v>
      </c>
      <c r="L350" s="101" t="s">
        <v>1108</v>
      </c>
      <c r="M350" s="101" t="s">
        <v>1185</v>
      </c>
      <c r="N350" s="189">
        <v>12450</v>
      </c>
      <c r="O350" s="101" t="s">
        <v>568</v>
      </c>
      <c r="P350" s="101" t="s">
        <v>569</v>
      </c>
      <c r="Q350" s="101" t="s">
        <v>570</v>
      </c>
      <c r="R350" s="101" t="s">
        <v>571</v>
      </c>
      <c r="S350" s="101" t="s">
        <v>572</v>
      </c>
      <c r="T350" s="101" t="s">
        <v>573</v>
      </c>
      <c r="U350" s="101"/>
      <c r="V350" s="101"/>
      <c r="W350" s="101" t="s">
        <v>574</v>
      </c>
      <c r="X350" s="101" t="s">
        <v>575</v>
      </c>
      <c r="Y350" s="101"/>
      <c r="Z350" s="101" t="s">
        <v>576</v>
      </c>
      <c r="AA350" s="101" t="s">
        <v>577</v>
      </c>
      <c r="AB350" s="101" t="s">
        <v>578</v>
      </c>
      <c r="AC350" s="101" t="s">
        <v>579</v>
      </c>
      <c r="AD350" s="101" t="s">
        <v>580</v>
      </c>
      <c r="AE350" s="101" t="s">
        <v>581</v>
      </c>
      <c r="AF350" s="101" t="s">
        <v>582</v>
      </c>
      <c r="AG350" s="101"/>
      <c r="AH350" s="101"/>
      <c r="AI350" s="101"/>
    </row>
    <row r="351" spans="10:36" x14ac:dyDescent="0.2">
      <c r="J351" s="101" t="s">
        <v>30</v>
      </c>
      <c r="K351" s="101" t="s">
        <v>1186</v>
      </c>
      <c r="L351" s="101" t="s">
        <v>1108</v>
      </c>
      <c r="M351" s="101" t="s">
        <v>1187</v>
      </c>
      <c r="N351" s="189">
        <v>12460</v>
      </c>
      <c r="O351" s="101" t="s">
        <v>568</v>
      </c>
      <c r="P351" s="101" t="s">
        <v>569</v>
      </c>
      <c r="Q351" s="101" t="s">
        <v>570</v>
      </c>
      <c r="R351" s="101" t="s">
        <v>571</v>
      </c>
      <c r="S351" s="101" t="s">
        <v>572</v>
      </c>
      <c r="T351" s="101" t="s">
        <v>573</v>
      </c>
      <c r="U351" s="101"/>
      <c r="V351" s="101"/>
      <c r="W351" s="101" t="s">
        <v>574</v>
      </c>
      <c r="X351" s="101" t="s">
        <v>575</v>
      </c>
      <c r="Y351" s="101"/>
      <c r="Z351" s="101" t="s">
        <v>576</v>
      </c>
      <c r="AA351" s="101" t="s">
        <v>577</v>
      </c>
      <c r="AB351" s="101" t="s">
        <v>578</v>
      </c>
      <c r="AC351" s="101" t="s">
        <v>579</v>
      </c>
      <c r="AD351" s="101" t="s">
        <v>580</v>
      </c>
      <c r="AE351" s="101" t="s">
        <v>581</v>
      </c>
      <c r="AF351" s="101" t="s">
        <v>582</v>
      </c>
      <c r="AG351" s="101"/>
      <c r="AH351" s="101"/>
      <c r="AI351" s="101"/>
    </row>
    <row r="352" spans="10:36" x14ac:dyDescent="0.2">
      <c r="J352" s="101" t="s">
        <v>30</v>
      </c>
      <c r="K352" s="101" t="s">
        <v>1188</v>
      </c>
      <c r="L352" s="101" t="s">
        <v>822</v>
      </c>
      <c r="M352" s="101" t="s">
        <v>1189</v>
      </c>
      <c r="N352" s="189">
        <v>12450</v>
      </c>
      <c r="O352" s="101" t="s">
        <v>568</v>
      </c>
      <c r="P352" s="101" t="s">
        <v>569</v>
      </c>
      <c r="Q352" s="101" t="s">
        <v>570</v>
      </c>
      <c r="R352" s="101" t="s">
        <v>571</v>
      </c>
      <c r="S352" s="101" t="s">
        <v>572</v>
      </c>
      <c r="T352" s="101" t="s">
        <v>573</v>
      </c>
      <c r="U352" s="101"/>
      <c r="V352" s="101"/>
      <c r="W352" s="101" t="s">
        <v>574</v>
      </c>
      <c r="X352" s="101" t="s">
        <v>575</v>
      </c>
      <c r="Y352" s="101"/>
      <c r="Z352" s="101" t="s">
        <v>576</v>
      </c>
      <c r="AA352" s="101"/>
      <c r="AB352" s="101"/>
      <c r="AC352" s="101"/>
      <c r="AD352" s="101"/>
      <c r="AE352" s="101"/>
      <c r="AF352" s="101"/>
      <c r="AG352" s="101"/>
      <c r="AH352" s="101"/>
      <c r="AI352" s="101"/>
    </row>
    <row r="353" spans="10:36" x14ac:dyDescent="0.2">
      <c r="J353" s="101" t="s">
        <v>30</v>
      </c>
      <c r="K353" s="101" t="s">
        <v>1190</v>
      </c>
      <c r="L353" s="101" t="s">
        <v>1108</v>
      </c>
      <c r="M353" s="101" t="s">
        <v>1191</v>
      </c>
      <c r="N353" s="189">
        <v>12110</v>
      </c>
      <c r="O353" s="101" t="s">
        <v>568</v>
      </c>
      <c r="P353" s="101" t="s">
        <v>569</v>
      </c>
      <c r="Q353" s="101" t="s">
        <v>570</v>
      </c>
      <c r="R353" s="101" t="s">
        <v>571</v>
      </c>
      <c r="S353" s="101" t="s">
        <v>572</v>
      </c>
      <c r="T353" s="101" t="s">
        <v>573</v>
      </c>
      <c r="U353" s="101"/>
      <c r="V353" s="101"/>
      <c r="W353" s="101" t="s">
        <v>574</v>
      </c>
      <c r="X353" s="101" t="s">
        <v>575</v>
      </c>
      <c r="Y353" s="101"/>
      <c r="Z353" s="101" t="s">
        <v>576</v>
      </c>
      <c r="AA353" s="101" t="s">
        <v>577</v>
      </c>
      <c r="AB353" s="101" t="s">
        <v>578</v>
      </c>
      <c r="AC353" s="101" t="s">
        <v>579</v>
      </c>
      <c r="AD353" s="101" t="s">
        <v>580</v>
      </c>
      <c r="AE353" s="101" t="s">
        <v>581</v>
      </c>
      <c r="AF353" s="101"/>
      <c r="AG353" s="101"/>
      <c r="AH353" s="101"/>
      <c r="AI353" s="101"/>
    </row>
    <row r="354" spans="10:36" x14ac:dyDescent="0.2">
      <c r="J354" s="101" t="s">
        <v>30</v>
      </c>
      <c r="K354" s="101" t="s">
        <v>1192</v>
      </c>
      <c r="L354" s="101" t="s">
        <v>1108</v>
      </c>
      <c r="M354" s="101" t="s">
        <v>1193</v>
      </c>
      <c r="N354" s="189">
        <v>12440</v>
      </c>
      <c r="O354" s="101" t="s">
        <v>568</v>
      </c>
      <c r="P354" s="101" t="s">
        <v>569</v>
      </c>
      <c r="Q354" s="101" t="s">
        <v>570</v>
      </c>
      <c r="R354" s="101" t="s">
        <v>571</v>
      </c>
      <c r="S354" s="101" t="s">
        <v>572</v>
      </c>
      <c r="T354" s="101" t="s">
        <v>573</v>
      </c>
      <c r="U354" s="101"/>
      <c r="V354" s="101"/>
      <c r="W354" s="101" t="s">
        <v>574</v>
      </c>
      <c r="X354" s="101" t="s">
        <v>575</v>
      </c>
      <c r="Y354" s="101"/>
      <c r="Z354" s="101" t="s">
        <v>576</v>
      </c>
      <c r="AA354" s="101"/>
      <c r="AB354" s="101"/>
      <c r="AC354" s="101"/>
      <c r="AD354" s="101"/>
      <c r="AE354" s="101"/>
      <c r="AF354" s="101"/>
      <c r="AG354" s="101"/>
      <c r="AH354" s="101"/>
      <c r="AI354" s="101"/>
    </row>
    <row r="355" spans="10:36" x14ac:dyDescent="0.2">
      <c r="J355" s="101" t="s">
        <v>30</v>
      </c>
      <c r="K355" s="101" t="s">
        <v>1194</v>
      </c>
      <c r="L355" s="101" t="s">
        <v>822</v>
      </c>
      <c r="M355" s="101" t="s">
        <v>1195</v>
      </c>
      <c r="N355" s="189">
        <v>12120</v>
      </c>
      <c r="O355" s="101" t="s">
        <v>568</v>
      </c>
      <c r="P355" s="101" t="s">
        <v>569</v>
      </c>
      <c r="Q355" s="101" t="s">
        <v>570</v>
      </c>
      <c r="R355" s="101" t="s">
        <v>571</v>
      </c>
      <c r="S355" s="101" t="s">
        <v>572</v>
      </c>
      <c r="T355" s="101" t="s">
        <v>573</v>
      </c>
      <c r="U355" s="101"/>
      <c r="V355" s="101"/>
      <c r="W355" s="101" t="s">
        <v>574</v>
      </c>
      <c r="X355" s="101" t="s">
        <v>575</v>
      </c>
      <c r="Y355" s="101"/>
      <c r="Z355" s="101" t="s">
        <v>576</v>
      </c>
      <c r="AA355" s="101" t="s">
        <v>577</v>
      </c>
      <c r="AB355" s="101" t="s">
        <v>578</v>
      </c>
      <c r="AC355" s="101" t="s">
        <v>579</v>
      </c>
      <c r="AD355" s="101" t="s">
        <v>580</v>
      </c>
      <c r="AE355" s="101" t="s">
        <v>581</v>
      </c>
      <c r="AF355" s="101" t="s">
        <v>582</v>
      </c>
      <c r="AG355" s="101"/>
      <c r="AH355" s="101"/>
      <c r="AI355" s="101"/>
    </row>
    <row r="356" spans="10:36" x14ac:dyDescent="0.2">
      <c r="J356" s="101" t="s">
        <v>30</v>
      </c>
      <c r="K356" s="101" t="s">
        <v>1196</v>
      </c>
      <c r="L356" s="101" t="s">
        <v>1108</v>
      </c>
      <c r="M356" s="101" t="s">
        <v>1197</v>
      </c>
      <c r="N356" s="189">
        <v>12460</v>
      </c>
      <c r="O356" s="101" t="s">
        <v>568</v>
      </c>
      <c r="P356" s="101" t="s">
        <v>569</v>
      </c>
      <c r="Q356" s="101" t="s">
        <v>570</v>
      </c>
      <c r="R356" s="101" t="s">
        <v>571</v>
      </c>
      <c r="S356" s="101" t="s">
        <v>572</v>
      </c>
      <c r="T356" s="101" t="s">
        <v>573</v>
      </c>
      <c r="U356" s="101"/>
      <c r="V356" s="101"/>
      <c r="W356" s="101" t="s">
        <v>574</v>
      </c>
      <c r="X356" s="101" t="s">
        <v>575</v>
      </c>
      <c r="Y356" s="101"/>
      <c r="Z356" s="101" t="s">
        <v>576</v>
      </c>
      <c r="AA356" s="101" t="s">
        <v>577</v>
      </c>
      <c r="AB356" s="101" t="s">
        <v>578</v>
      </c>
      <c r="AC356" s="101" t="s">
        <v>579</v>
      </c>
      <c r="AD356" s="101" t="s">
        <v>580</v>
      </c>
      <c r="AE356" s="101" t="s">
        <v>581</v>
      </c>
      <c r="AF356" s="101" t="s">
        <v>582</v>
      </c>
      <c r="AG356" s="101"/>
      <c r="AH356" s="101"/>
      <c r="AI356" s="101"/>
    </row>
    <row r="357" spans="10:36" x14ac:dyDescent="0.2">
      <c r="J357" s="101" t="s">
        <v>30</v>
      </c>
      <c r="K357" s="101" t="s">
        <v>1198</v>
      </c>
      <c r="L357" s="101" t="s">
        <v>822</v>
      </c>
      <c r="M357" s="101" t="s">
        <v>1199</v>
      </c>
      <c r="N357" s="189">
        <v>12470</v>
      </c>
      <c r="O357" s="101" t="s">
        <v>568</v>
      </c>
      <c r="P357" s="101" t="s">
        <v>569</v>
      </c>
      <c r="Q357" s="101" t="s">
        <v>570</v>
      </c>
      <c r="R357" s="101" t="s">
        <v>571</v>
      </c>
      <c r="S357" s="101" t="s">
        <v>572</v>
      </c>
      <c r="T357" s="101" t="s">
        <v>573</v>
      </c>
      <c r="U357" s="101"/>
      <c r="V357" s="101"/>
      <c r="W357" s="101" t="s">
        <v>574</v>
      </c>
      <c r="X357" s="101" t="s">
        <v>575</v>
      </c>
      <c r="Y357" s="101"/>
      <c r="Z357" s="101" t="s">
        <v>576</v>
      </c>
      <c r="AA357" s="101" t="s">
        <v>577</v>
      </c>
      <c r="AB357" s="101" t="s">
        <v>578</v>
      </c>
      <c r="AC357" s="101" t="s">
        <v>579</v>
      </c>
      <c r="AD357" s="101" t="s">
        <v>580</v>
      </c>
      <c r="AE357" s="101" t="s">
        <v>581</v>
      </c>
      <c r="AF357" s="101" t="s">
        <v>582</v>
      </c>
      <c r="AG357" s="101"/>
      <c r="AH357" s="101"/>
      <c r="AI357" s="101"/>
    </row>
    <row r="358" spans="10:36" x14ac:dyDescent="0.2">
      <c r="J358" s="101" t="s">
        <v>30</v>
      </c>
      <c r="K358" s="101" t="s">
        <v>1200</v>
      </c>
      <c r="L358" s="101" t="s">
        <v>822</v>
      </c>
      <c r="M358" s="101" t="s">
        <v>1201</v>
      </c>
      <c r="N358" s="189">
        <v>12430</v>
      </c>
      <c r="O358" s="101" t="s">
        <v>568</v>
      </c>
      <c r="P358" s="101" t="s">
        <v>569</v>
      </c>
      <c r="Q358" s="101" t="s">
        <v>570</v>
      </c>
      <c r="R358" s="101" t="s">
        <v>571</v>
      </c>
      <c r="S358" s="101" t="s">
        <v>572</v>
      </c>
      <c r="T358" s="101" t="s">
        <v>573</v>
      </c>
      <c r="U358" s="101"/>
      <c r="V358" s="101"/>
      <c r="W358" s="101"/>
      <c r="X358" s="101" t="s">
        <v>575</v>
      </c>
      <c r="Y358" s="101"/>
      <c r="Z358" s="101" t="s">
        <v>576</v>
      </c>
      <c r="AA358" s="101" t="s">
        <v>577</v>
      </c>
      <c r="AB358" s="101" t="s">
        <v>578</v>
      </c>
      <c r="AC358" s="101" t="s">
        <v>579</v>
      </c>
      <c r="AD358" s="101" t="s">
        <v>580</v>
      </c>
      <c r="AE358" s="101" t="s">
        <v>581</v>
      </c>
      <c r="AF358" s="101" t="s">
        <v>582</v>
      </c>
      <c r="AG358" s="101" t="s">
        <v>583</v>
      </c>
      <c r="AH358" s="101" t="s">
        <v>584</v>
      </c>
      <c r="AI358" s="101" t="s">
        <v>585</v>
      </c>
    </row>
    <row r="359" spans="10:36" x14ac:dyDescent="0.2">
      <c r="J359" s="101" t="s">
        <v>30</v>
      </c>
      <c r="K359" s="101" t="s">
        <v>1202</v>
      </c>
      <c r="L359" s="101" t="s">
        <v>1108</v>
      </c>
      <c r="M359" s="101" t="s">
        <v>1203</v>
      </c>
      <c r="N359" s="189">
        <v>12430</v>
      </c>
      <c r="O359" s="101" t="s">
        <v>568</v>
      </c>
      <c r="P359" s="101" t="s">
        <v>569</v>
      </c>
      <c r="Q359" s="101" t="s">
        <v>570</v>
      </c>
      <c r="R359" s="101" t="s">
        <v>571</v>
      </c>
      <c r="S359" s="101" t="s">
        <v>572</v>
      </c>
      <c r="T359" s="101" t="s">
        <v>573</v>
      </c>
      <c r="U359" s="101"/>
      <c r="V359" s="101"/>
      <c r="W359" s="101" t="s">
        <v>574</v>
      </c>
      <c r="X359" s="101" t="s">
        <v>575</v>
      </c>
      <c r="Y359" s="101"/>
      <c r="Z359" s="101" t="s">
        <v>576</v>
      </c>
      <c r="AA359" s="101" t="s">
        <v>577</v>
      </c>
      <c r="AB359" s="101" t="s">
        <v>578</v>
      </c>
      <c r="AC359" s="101" t="s">
        <v>579</v>
      </c>
      <c r="AD359" s="101" t="s">
        <v>580</v>
      </c>
      <c r="AE359" s="101" t="s">
        <v>581</v>
      </c>
      <c r="AF359" s="101" t="s">
        <v>582</v>
      </c>
      <c r="AG359" s="101" t="s">
        <v>583</v>
      </c>
      <c r="AH359" s="101" t="s">
        <v>584</v>
      </c>
      <c r="AI359" s="101" t="s">
        <v>585</v>
      </c>
    </row>
    <row r="360" spans="10:36" x14ac:dyDescent="0.2">
      <c r="J360" s="101" t="s">
        <v>30</v>
      </c>
      <c r="K360" s="101" t="s">
        <v>1204</v>
      </c>
      <c r="L360" s="101" t="s">
        <v>1108</v>
      </c>
      <c r="M360" s="101" t="s">
        <v>1205</v>
      </c>
      <c r="N360" s="189">
        <v>12460</v>
      </c>
      <c r="O360" s="101" t="s">
        <v>568</v>
      </c>
      <c r="P360" s="101" t="s">
        <v>569</v>
      </c>
      <c r="Q360" s="101" t="s">
        <v>570</v>
      </c>
      <c r="R360" s="101" t="s">
        <v>571</v>
      </c>
      <c r="S360" s="101" t="s">
        <v>572</v>
      </c>
      <c r="T360" s="101" t="s">
        <v>573</v>
      </c>
      <c r="U360" s="101"/>
      <c r="V360" s="101"/>
      <c r="W360" s="101" t="s">
        <v>574</v>
      </c>
      <c r="X360" s="101" t="s">
        <v>575</v>
      </c>
      <c r="Y360" s="101"/>
      <c r="Z360" s="101" t="s">
        <v>576</v>
      </c>
      <c r="AA360" s="101" t="s">
        <v>577</v>
      </c>
      <c r="AB360" s="101" t="s">
        <v>578</v>
      </c>
      <c r="AC360" s="101" t="s">
        <v>579</v>
      </c>
      <c r="AD360" s="101" t="s">
        <v>580</v>
      </c>
      <c r="AE360" s="101" t="s">
        <v>581</v>
      </c>
      <c r="AF360" s="101" t="s">
        <v>582</v>
      </c>
      <c r="AG360" s="101"/>
      <c r="AH360" s="101"/>
      <c r="AI360" s="101"/>
    </row>
    <row r="361" spans="10:36" x14ac:dyDescent="0.2">
      <c r="J361" s="101" t="s">
        <v>30</v>
      </c>
      <c r="K361" s="101" t="s">
        <v>1206</v>
      </c>
      <c r="L361" s="101" t="s">
        <v>822</v>
      </c>
      <c r="M361" s="101" t="s">
        <v>1207</v>
      </c>
      <c r="N361" s="189">
        <v>12460</v>
      </c>
      <c r="O361" s="101" t="s">
        <v>568</v>
      </c>
      <c r="P361" s="101" t="s">
        <v>569</v>
      </c>
      <c r="Q361" s="101" t="s">
        <v>570</v>
      </c>
      <c r="R361" s="101" t="s">
        <v>571</v>
      </c>
      <c r="S361" s="101" t="s">
        <v>572</v>
      </c>
      <c r="T361" s="101" t="s">
        <v>573</v>
      </c>
      <c r="U361" s="101"/>
      <c r="V361" s="101"/>
      <c r="W361" s="101"/>
      <c r="X361" s="101" t="s">
        <v>575</v>
      </c>
      <c r="Y361" s="101"/>
      <c r="Z361" s="101" t="s">
        <v>576</v>
      </c>
      <c r="AA361" s="101" t="s">
        <v>577</v>
      </c>
      <c r="AB361" s="101" t="s">
        <v>578</v>
      </c>
      <c r="AC361" s="101" t="s">
        <v>579</v>
      </c>
      <c r="AD361" s="101" t="s">
        <v>580</v>
      </c>
      <c r="AE361" s="101" t="s">
        <v>581</v>
      </c>
      <c r="AF361" s="101" t="s">
        <v>582</v>
      </c>
      <c r="AG361" s="101"/>
      <c r="AH361" s="101"/>
      <c r="AI361" s="101"/>
    </row>
    <row r="362" spans="10:36" x14ac:dyDescent="0.2">
      <c r="J362" s="101" t="s">
        <v>30</v>
      </c>
      <c r="K362" s="101" t="s">
        <v>1208</v>
      </c>
      <c r="L362" s="101" t="s">
        <v>1108</v>
      </c>
      <c r="M362" s="101" t="s">
        <v>1209</v>
      </c>
      <c r="N362" s="189">
        <v>12470</v>
      </c>
      <c r="O362" s="101" t="s">
        <v>568</v>
      </c>
      <c r="P362" s="101" t="s">
        <v>569</v>
      </c>
      <c r="Q362" s="101" t="s">
        <v>570</v>
      </c>
      <c r="R362" s="101" t="s">
        <v>571</v>
      </c>
      <c r="S362" s="101" t="s">
        <v>572</v>
      </c>
      <c r="T362" s="101" t="s">
        <v>573</v>
      </c>
      <c r="U362" s="101"/>
      <c r="V362" s="101"/>
      <c r="W362" s="101" t="s">
        <v>574</v>
      </c>
      <c r="X362" s="101" t="s">
        <v>575</v>
      </c>
      <c r="Y362" s="101"/>
      <c r="Z362" s="101" t="s">
        <v>576</v>
      </c>
      <c r="AA362" s="101" t="s">
        <v>577</v>
      </c>
      <c r="AB362" s="101" t="s">
        <v>578</v>
      </c>
      <c r="AC362" s="101" t="s">
        <v>579</v>
      </c>
      <c r="AD362" s="101" t="s">
        <v>580</v>
      </c>
      <c r="AE362" s="101" t="s">
        <v>581</v>
      </c>
      <c r="AF362" s="101" t="s">
        <v>582</v>
      </c>
      <c r="AG362" s="101"/>
      <c r="AH362" s="101"/>
      <c r="AI362" s="101"/>
    </row>
    <row r="363" spans="10:36" x14ac:dyDescent="0.2">
      <c r="J363" s="101" t="s">
        <v>30</v>
      </c>
      <c r="K363" s="101" t="s">
        <v>1210</v>
      </c>
      <c r="L363" s="101" t="s">
        <v>1108</v>
      </c>
      <c r="M363" s="101" t="s">
        <v>1211</v>
      </c>
      <c r="N363" s="189">
        <v>12470</v>
      </c>
      <c r="O363" s="101" t="s">
        <v>568</v>
      </c>
      <c r="P363" s="101" t="s">
        <v>569</v>
      </c>
      <c r="Q363" s="101" t="s">
        <v>570</v>
      </c>
      <c r="R363" s="101" t="s">
        <v>571</v>
      </c>
      <c r="S363" s="101" t="s">
        <v>572</v>
      </c>
      <c r="T363" s="101" t="s">
        <v>573</v>
      </c>
      <c r="U363" s="101"/>
      <c r="V363" s="101"/>
      <c r="W363" s="101" t="s">
        <v>574</v>
      </c>
      <c r="X363" s="101" t="s">
        <v>575</v>
      </c>
      <c r="Y363" s="101"/>
      <c r="Z363" s="101" t="s">
        <v>576</v>
      </c>
      <c r="AA363" s="101" t="s">
        <v>577</v>
      </c>
      <c r="AB363" s="101" t="s">
        <v>578</v>
      </c>
      <c r="AC363" s="101" t="s">
        <v>579</v>
      </c>
      <c r="AD363" s="101" t="s">
        <v>580</v>
      </c>
      <c r="AE363" s="101" t="s">
        <v>581</v>
      </c>
      <c r="AF363" s="101" t="s">
        <v>582</v>
      </c>
      <c r="AG363" s="101"/>
      <c r="AH363" s="101"/>
      <c r="AI363" s="101"/>
    </row>
    <row r="364" spans="10:36" x14ac:dyDescent="0.2">
      <c r="J364" s="101" t="s">
        <v>30</v>
      </c>
      <c r="K364" s="101" t="s">
        <v>1212</v>
      </c>
      <c r="L364" s="101" t="s">
        <v>864</v>
      </c>
      <c r="M364" s="101" t="s">
        <v>1213</v>
      </c>
      <c r="N364" s="189">
        <v>12430</v>
      </c>
      <c r="O364" s="101" t="s">
        <v>568</v>
      </c>
      <c r="P364" s="101" t="s">
        <v>569</v>
      </c>
      <c r="Q364" s="101" t="s">
        <v>570</v>
      </c>
      <c r="R364" s="101" t="s">
        <v>571</v>
      </c>
      <c r="S364" s="101" t="s">
        <v>572</v>
      </c>
      <c r="T364" s="101" t="s">
        <v>573</v>
      </c>
      <c r="U364" s="101"/>
      <c r="V364" s="101"/>
      <c r="W364" s="101"/>
      <c r="X364" s="101" t="s">
        <v>575</v>
      </c>
      <c r="Y364" s="101"/>
      <c r="Z364" s="101" t="s">
        <v>576</v>
      </c>
      <c r="AA364" s="101" t="s">
        <v>577</v>
      </c>
      <c r="AB364" s="101" t="s">
        <v>578</v>
      </c>
      <c r="AC364" s="101" t="s">
        <v>579</v>
      </c>
      <c r="AD364" s="101" t="s">
        <v>580</v>
      </c>
      <c r="AE364" s="101" t="s">
        <v>581</v>
      </c>
      <c r="AF364" s="101" t="s">
        <v>582</v>
      </c>
      <c r="AG364" s="101" t="s">
        <v>583</v>
      </c>
      <c r="AH364" s="101" t="s">
        <v>584</v>
      </c>
      <c r="AI364" s="101" t="s">
        <v>585</v>
      </c>
    </row>
    <row r="365" spans="10:36" x14ac:dyDescent="0.2">
      <c r="J365" s="101" t="s">
        <v>30</v>
      </c>
      <c r="K365" s="101" t="s">
        <v>1214</v>
      </c>
      <c r="L365" s="101" t="s">
        <v>864</v>
      </c>
      <c r="M365" s="101" t="s">
        <v>1215</v>
      </c>
      <c r="N365" s="189">
        <v>12430</v>
      </c>
      <c r="O365" s="101" t="s">
        <v>568</v>
      </c>
      <c r="P365" s="101" t="s">
        <v>569</v>
      </c>
      <c r="Q365" s="101" t="s">
        <v>570</v>
      </c>
      <c r="R365" s="101" t="s">
        <v>571</v>
      </c>
      <c r="S365" s="101" t="s">
        <v>572</v>
      </c>
      <c r="T365" s="101" t="s">
        <v>573</v>
      </c>
      <c r="U365" s="101"/>
      <c r="V365" s="101"/>
      <c r="W365" s="101" t="s">
        <v>574</v>
      </c>
      <c r="X365" s="101" t="s">
        <v>575</v>
      </c>
      <c r="Y365" s="101"/>
      <c r="Z365" s="101" t="s">
        <v>576</v>
      </c>
      <c r="AA365" s="101" t="s">
        <v>577</v>
      </c>
      <c r="AB365" s="101" t="s">
        <v>578</v>
      </c>
      <c r="AC365" s="101" t="s">
        <v>579</v>
      </c>
      <c r="AD365" s="101" t="s">
        <v>580</v>
      </c>
      <c r="AE365" s="101" t="s">
        <v>581</v>
      </c>
      <c r="AF365" s="101" t="s">
        <v>582</v>
      </c>
      <c r="AG365" s="101" t="s">
        <v>583</v>
      </c>
      <c r="AH365" s="101" t="s">
        <v>584</v>
      </c>
      <c r="AI365" s="101" t="s">
        <v>585</v>
      </c>
      <c r="AJ365" s="101" t="s">
        <v>2362</v>
      </c>
    </row>
    <row r="366" spans="10:36" x14ac:dyDescent="0.2">
      <c r="J366" s="101" t="s">
        <v>30</v>
      </c>
      <c r="K366" s="101" t="s">
        <v>1216</v>
      </c>
      <c r="L366" s="101" t="s">
        <v>864</v>
      </c>
      <c r="M366" s="101" t="s">
        <v>1217</v>
      </c>
      <c r="N366" s="189">
        <v>12360</v>
      </c>
      <c r="O366" s="101" t="s">
        <v>568</v>
      </c>
      <c r="P366" s="101" t="s">
        <v>569</v>
      </c>
      <c r="Q366" s="101" t="s">
        <v>570</v>
      </c>
      <c r="R366" s="101" t="s">
        <v>571</v>
      </c>
      <c r="S366" s="101" t="s">
        <v>572</v>
      </c>
      <c r="T366" s="101" t="s">
        <v>573</v>
      </c>
      <c r="U366" s="101"/>
      <c r="V366" s="101"/>
      <c r="W366" s="101" t="s">
        <v>574</v>
      </c>
      <c r="X366" s="101" t="s">
        <v>575</v>
      </c>
      <c r="Y366" s="101"/>
      <c r="Z366" s="101" t="s">
        <v>576</v>
      </c>
      <c r="AA366" s="101" t="s">
        <v>577</v>
      </c>
      <c r="AB366" s="101" t="s">
        <v>578</v>
      </c>
      <c r="AC366" s="101" t="s">
        <v>579</v>
      </c>
      <c r="AD366" s="101" t="s">
        <v>580</v>
      </c>
      <c r="AE366" s="101" t="s">
        <v>581</v>
      </c>
      <c r="AF366" s="101" t="s">
        <v>582</v>
      </c>
      <c r="AG366" s="101"/>
      <c r="AH366" s="101"/>
      <c r="AI366" s="101"/>
    </row>
    <row r="367" spans="10:36" x14ac:dyDescent="0.2">
      <c r="J367" s="101" t="s">
        <v>30</v>
      </c>
      <c r="K367" s="101" t="s">
        <v>1218</v>
      </c>
      <c r="L367" s="101" t="s">
        <v>864</v>
      </c>
      <c r="M367" s="101" t="s">
        <v>1219</v>
      </c>
      <c r="N367" s="189">
        <v>12470</v>
      </c>
      <c r="O367" s="101" t="s">
        <v>568</v>
      </c>
      <c r="P367" s="101" t="s">
        <v>569</v>
      </c>
      <c r="Q367" s="101" t="s">
        <v>570</v>
      </c>
      <c r="R367" s="101" t="s">
        <v>571</v>
      </c>
      <c r="S367" s="101" t="s">
        <v>572</v>
      </c>
      <c r="T367" s="101" t="s">
        <v>573</v>
      </c>
      <c r="U367" s="101"/>
      <c r="V367" s="101"/>
      <c r="W367" s="101"/>
      <c r="X367" s="101" t="s">
        <v>575</v>
      </c>
      <c r="Y367" s="101"/>
      <c r="Z367" s="101" t="s">
        <v>576</v>
      </c>
      <c r="AA367" s="101" t="s">
        <v>577</v>
      </c>
      <c r="AB367" s="101"/>
      <c r="AC367" s="101"/>
      <c r="AD367" s="101"/>
      <c r="AE367" s="101"/>
      <c r="AF367" s="101"/>
      <c r="AG367" s="101"/>
      <c r="AH367" s="101"/>
      <c r="AI367" s="101"/>
    </row>
    <row r="368" spans="10:36" x14ac:dyDescent="0.2">
      <c r="J368" s="101" t="s">
        <v>30</v>
      </c>
      <c r="K368" s="101" t="s">
        <v>1220</v>
      </c>
      <c r="L368" s="101" t="s">
        <v>864</v>
      </c>
      <c r="M368" s="101" t="s">
        <v>1221</v>
      </c>
      <c r="N368" s="189">
        <v>12470</v>
      </c>
      <c r="O368" s="101" t="s">
        <v>568</v>
      </c>
      <c r="P368" s="101" t="s">
        <v>569</v>
      </c>
      <c r="Q368" s="101" t="s">
        <v>570</v>
      </c>
      <c r="R368" s="101" t="s">
        <v>571</v>
      </c>
      <c r="S368" s="101" t="s">
        <v>572</v>
      </c>
      <c r="T368" s="101" t="s">
        <v>573</v>
      </c>
      <c r="U368" s="101"/>
      <c r="V368" s="101"/>
      <c r="W368" s="101"/>
      <c r="X368" s="101" t="s">
        <v>575</v>
      </c>
      <c r="Y368" s="101"/>
      <c r="Z368" s="101" t="s">
        <v>576</v>
      </c>
      <c r="AA368" s="101" t="s">
        <v>577</v>
      </c>
      <c r="AB368" s="101" t="s">
        <v>578</v>
      </c>
      <c r="AC368" s="101" t="s">
        <v>579</v>
      </c>
      <c r="AD368" s="101" t="s">
        <v>580</v>
      </c>
      <c r="AE368" s="101" t="s">
        <v>581</v>
      </c>
      <c r="AF368" s="101" t="s">
        <v>582</v>
      </c>
      <c r="AG368" s="101"/>
      <c r="AH368" s="101"/>
      <c r="AI368" s="101"/>
    </row>
    <row r="369" spans="10:36" x14ac:dyDescent="0.2">
      <c r="J369" s="101" t="s">
        <v>30</v>
      </c>
      <c r="K369" s="101" t="s">
        <v>1222</v>
      </c>
      <c r="L369" s="101" t="s">
        <v>864</v>
      </c>
      <c r="M369" s="101" t="s">
        <v>1223</v>
      </c>
      <c r="N369" s="189">
        <v>12440</v>
      </c>
      <c r="O369" s="101" t="s">
        <v>568</v>
      </c>
      <c r="P369" s="101" t="s">
        <v>569</v>
      </c>
      <c r="Q369" s="101" t="s">
        <v>570</v>
      </c>
      <c r="R369" s="101" t="s">
        <v>571</v>
      </c>
      <c r="S369" s="101" t="s">
        <v>572</v>
      </c>
      <c r="T369" s="101" t="s">
        <v>573</v>
      </c>
      <c r="U369" s="101"/>
      <c r="V369" s="101"/>
      <c r="W369" s="101" t="s">
        <v>574</v>
      </c>
      <c r="X369" s="101" t="s">
        <v>575</v>
      </c>
      <c r="Y369" s="101"/>
      <c r="Z369" s="101" t="s">
        <v>576</v>
      </c>
      <c r="AA369" s="101" t="s">
        <v>577</v>
      </c>
      <c r="AB369" s="101" t="s">
        <v>578</v>
      </c>
      <c r="AC369" s="101" t="s">
        <v>579</v>
      </c>
      <c r="AD369" s="101" t="s">
        <v>580</v>
      </c>
      <c r="AE369" s="101" t="s">
        <v>581</v>
      </c>
      <c r="AF369" s="101" t="s">
        <v>582</v>
      </c>
      <c r="AG369" s="101" t="s">
        <v>583</v>
      </c>
      <c r="AH369" s="101" t="s">
        <v>584</v>
      </c>
      <c r="AI369" s="101" t="s">
        <v>585</v>
      </c>
      <c r="AJ369" s="101" t="s">
        <v>2362</v>
      </c>
    </row>
    <row r="370" spans="10:36" x14ac:dyDescent="0.2">
      <c r="J370" s="101" t="s">
        <v>30</v>
      </c>
      <c r="K370" s="101" t="s">
        <v>1224</v>
      </c>
      <c r="L370" s="101" t="s">
        <v>864</v>
      </c>
      <c r="M370" s="101" t="s">
        <v>1225</v>
      </c>
      <c r="N370" s="189">
        <v>12320</v>
      </c>
      <c r="O370" s="101" t="s">
        <v>568</v>
      </c>
      <c r="P370" s="101" t="s">
        <v>569</v>
      </c>
      <c r="Q370" s="101" t="s">
        <v>570</v>
      </c>
      <c r="R370" s="101" t="s">
        <v>571</v>
      </c>
      <c r="S370" s="101" t="s">
        <v>572</v>
      </c>
      <c r="T370" s="101" t="s">
        <v>573</v>
      </c>
      <c r="U370" s="101"/>
      <c r="V370" s="101"/>
      <c r="W370" s="101" t="s">
        <v>574</v>
      </c>
      <c r="X370" s="101" t="s">
        <v>575</v>
      </c>
      <c r="Y370" s="101"/>
      <c r="Z370" s="101" t="s">
        <v>576</v>
      </c>
      <c r="AA370" s="101" t="s">
        <v>577</v>
      </c>
      <c r="AB370" s="101" t="s">
        <v>578</v>
      </c>
      <c r="AC370" s="101" t="s">
        <v>579</v>
      </c>
      <c r="AD370" s="101" t="s">
        <v>580</v>
      </c>
      <c r="AE370" s="101" t="s">
        <v>581</v>
      </c>
      <c r="AF370" s="101" t="s">
        <v>582</v>
      </c>
      <c r="AG370" s="101" t="s">
        <v>583</v>
      </c>
      <c r="AH370" s="101" t="s">
        <v>584</v>
      </c>
      <c r="AI370" s="101" t="s">
        <v>585</v>
      </c>
    </row>
    <row r="371" spans="10:36" x14ac:dyDescent="0.2">
      <c r="J371" s="101" t="s">
        <v>30</v>
      </c>
      <c r="K371" s="101" t="s">
        <v>1226</v>
      </c>
      <c r="L371" s="101" t="s">
        <v>864</v>
      </c>
      <c r="M371" s="101" t="s">
        <v>1227</v>
      </c>
      <c r="N371" s="189">
        <v>12120</v>
      </c>
      <c r="O371" s="101" t="s">
        <v>568</v>
      </c>
      <c r="P371" s="101" t="s">
        <v>569</v>
      </c>
      <c r="Q371" s="101" t="s">
        <v>570</v>
      </c>
      <c r="R371" s="101" t="s">
        <v>571</v>
      </c>
      <c r="S371" s="101" t="s">
        <v>572</v>
      </c>
      <c r="T371" s="101" t="s">
        <v>573</v>
      </c>
      <c r="U371" s="101"/>
      <c r="V371" s="101"/>
      <c r="W371" s="101" t="s">
        <v>574</v>
      </c>
      <c r="X371" s="101" t="s">
        <v>575</v>
      </c>
      <c r="Y371" s="101"/>
      <c r="Z371" s="101" t="s">
        <v>576</v>
      </c>
      <c r="AA371" s="101" t="s">
        <v>577</v>
      </c>
      <c r="AB371" s="101" t="s">
        <v>578</v>
      </c>
      <c r="AC371" s="101" t="s">
        <v>579</v>
      </c>
      <c r="AD371" s="101" t="s">
        <v>580</v>
      </c>
      <c r="AE371" s="101" t="s">
        <v>581</v>
      </c>
      <c r="AF371" s="101" t="s">
        <v>582</v>
      </c>
      <c r="AG371" s="101"/>
      <c r="AH371" s="101"/>
      <c r="AI371" s="101"/>
    </row>
    <row r="372" spans="10:36" x14ac:dyDescent="0.2">
      <c r="J372" s="101" t="s">
        <v>30</v>
      </c>
      <c r="K372" s="101" t="s">
        <v>1228</v>
      </c>
      <c r="L372" s="101" t="s">
        <v>864</v>
      </c>
      <c r="M372" s="101" t="s">
        <v>1229</v>
      </c>
      <c r="N372" s="189">
        <v>12410</v>
      </c>
      <c r="O372" s="101" t="s">
        <v>568</v>
      </c>
      <c r="P372" s="101" t="s">
        <v>569</v>
      </c>
      <c r="Q372" s="101" t="s">
        <v>570</v>
      </c>
      <c r="R372" s="101" t="s">
        <v>571</v>
      </c>
      <c r="S372" s="101" t="s">
        <v>572</v>
      </c>
      <c r="T372" s="101" t="s">
        <v>573</v>
      </c>
      <c r="U372" s="101"/>
      <c r="V372" s="101"/>
      <c r="W372" s="101"/>
      <c r="X372" s="101" t="s">
        <v>575</v>
      </c>
      <c r="Y372" s="101"/>
      <c r="Z372" s="101" t="s">
        <v>576</v>
      </c>
      <c r="AA372" s="101" t="s">
        <v>577</v>
      </c>
      <c r="AB372" s="101" t="s">
        <v>578</v>
      </c>
      <c r="AC372" s="101" t="s">
        <v>579</v>
      </c>
      <c r="AD372" s="101" t="s">
        <v>580</v>
      </c>
      <c r="AE372" s="101" t="s">
        <v>581</v>
      </c>
      <c r="AF372" s="101" t="s">
        <v>582</v>
      </c>
      <c r="AG372" s="101" t="s">
        <v>583</v>
      </c>
      <c r="AH372" s="101" t="s">
        <v>584</v>
      </c>
      <c r="AI372" s="101" t="s">
        <v>585</v>
      </c>
    </row>
    <row r="373" spans="10:36" x14ac:dyDescent="0.2">
      <c r="J373" s="101" t="s">
        <v>30</v>
      </c>
      <c r="K373" s="101" t="s">
        <v>1230</v>
      </c>
      <c r="L373" s="101" t="s">
        <v>864</v>
      </c>
      <c r="M373" s="101" t="s">
        <v>1231</v>
      </c>
      <c r="N373" s="189">
        <v>12450</v>
      </c>
      <c r="O373" s="101" t="s">
        <v>568</v>
      </c>
      <c r="P373" s="101" t="s">
        <v>569</v>
      </c>
      <c r="Q373" s="101" t="s">
        <v>570</v>
      </c>
      <c r="R373" s="101" t="s">
        <v>571</v>
      </c>
      <c r="S373" s="101" t="s">
        <v>572</v>
      </c>
      <c r="T373" s="101" t="s">
        <v>573</v>
      </c>
      <c r="U373" s="101"/>
      <c r="V373" s="101"/>
      <c r="W373" s="101" t="s">
        <v>574</v>
      </c>
      <c r="X373" s="101" t="s">
        <v>575</v>
      </c>
      <c r="Y373" s="101"/>
      <c r="Z373" s="101" t="s">
        <v>576</v>
      </c>
      <c r="AA373" s="101" t="s">
        <v>577</v>
      </c>
      <c r="AB373" s="101" t="s">
        <v>578</v>
      </c>
      <c r="AC373" s="101" t="s">
        <v>579</v>
      </c>
      <c r="AD373" s="101" t="s">
        <v>580</v>
      </c>
      <c r="AE373" s="101" t="s">
        <v>581</v>
      </c>
      <c r="AF373" s="101" t="s">
        <v>582</v>
      </c>
      <c r="AG373" s="101"/>
      <c r="AH373" s="101"/>
      <c r="AI373" s="101"/>
    </row>
    <row r="374" spans="10:36" x14ac:dyDescent="0.2">
      <c r="J374" s="101" t="s">
        <v>30</v>
      </c>
      <c r="K374" s="101" t="s">
        <v>1232</v>
      </c>
      <c r="L374" s="101" t="s">
        <v>864</v>
      </c>
      <c r="M374" s="101" t="s">
        <v>1233</v>
      </c>
      <c r="N374" s="189">
        <v>12420</v>
      </c>
      <c r="O374" s="101" t="s">
        <v>568</v>
      </c>
      <c r="P374" s="101" t="s">
        <v>569</v>
      </c>
      <c r="Q374" s="101" t="s">
        <v>570</v>
      </c>
      <c r="R374" s="101" t="s">
        <v>571</v>
      </c>
      <c r="S374" s="101" t="s">
        <v>572</v>
      </c>
      <c r="T374" s="101" t="s">
        <v>573</v>
      </c>
      <c r="U374" s="101"/>
      <c r="V374" s="101"/>
      <c r="W374" s="101"/>
      <c r="X374" s="101" t="s">
        <v>575</v>
      </c>
      <c r="Y374" s="101"/>
      <c r="Z374" s="101" t="s">
        <v>576</v>
      </c>
      <c r="AA374" s="101" t="s">
        <v>577</v>
      </c>
      <c r="AB374" s="101" t="s">
        <v>578</v>
      </c>
      <c r="AC374" s="101" t="s">
        <v>579</v>
      </c>
      <c r="AD374" s="101" t="s">
        <v>580</v>
      </c>
      <c r="AE374" s="101" t="s">
        <v>581</v>
      </c>
      <c r="AF374" s="101" t="s">
        <v>582</v>
      </c>
      <c r="AG374" s="101" t="s">
        <v>583</v>
      </c>
      <c r="AH374" s="101" t="s">
        <v>584</v>
      </c>
      <c r="AI374" s="101" t="s">
        <v>585</v>
      </c>
    </row>
    <row r="375" spans="10:36" x14ac:dyDescent="0.2">
      <c r="J375" s="101" t="s">
        <v>30</v>
      </c>
      <c r="K375" s="101" t="s">
        <v>1234</v>
      </c>
      <c r="L375" s="101" t="s">
        <v>864</v>
      </c>
      <c r="M375" s="101" t="s">
        <v>1235</v>
      </c>
      <c r="N375" s="189">
        <v>12430</v>
      </c>
      <c r="O375" s="101" t="s">
        <v>568</v>
      </c>
      <c r="P375" s="101" t="s">
        <v>569</v>
      </c>
      <c r="Q375" s="101" t="s">
        <v>570</v>
      </c>
      <c r="R375" s="101" t="s">
        <v>571</v>
      </c>
      <c r="S375" s="101" t="s">
        <v>572</v>
      </c>
      <c r="T375" s="101" t="s">
        <v>573</v>
      </c>
      <c r="U375" s="101"/>
      <c r="V375" s="101"/>
      <c r="W375" s="101"/>
      <c r="X375" s="101" t="s">
        <v>575</v>
      </c>
      <c r="Y375" s="101"/>
      <c r="Z375" s="101" t="s">
        <v>576</v>
      </c>
      <c r="AA375" s="101" t="s">
        <v>577</v>
      </c>
      <c r="AB375" s="101" t="s">
        <v>578</v>
      </c>
      <c r="AC375" s="101" t="s">
        <v>579</v>
      </c>
      <c r="AD375" s="101" t="s">
        <v>580</v>
      </c>
      <c r="AE375" s="101" t="s">
        <v>581</v>
      </c>
      <c r="AF375" s="101" t="s">
        <v>582</v>
      </c>
      <c r="AG375" s="101" t="s">
        <v>583</v>
      </c>
      <c r="AH375" s="101" t="s">
        <v>584</v>
      </c>
      <c r="AI375" s="101" t="s">
        <v>585</v>
      </c>
    </row>
    <row r="376" spans="10:36" x14ac:dyDescent="0.2">
      <c r="J376" s="101" t="s">
        <v>30</v>
      </c>
      <c r="K376" s="101" t="s">
        <v>1236</v>
      </c>
      <c r="L376" s="101" t="s">
        <v>864</v>
      </c>
      <c r="M376" s="101" t="s">
        <v>1237</v>
      </c>
      <c r="N376" s="189">
        <v>12430</v>
      </c>
      <c r="O376" s="101" t="s">
        <v>568</v>
      </c>
      <c r="P376" s="101" t="s">
        <v>569</v>
      </c>
      <c r="Q376" s="101" t="s">
        <v>570</v>
      </c>
      <c r="R376" s="101" t="s">
        <v>571</v>
      </c>
      <c r="S376" s="101" t="s">
        <v>572</v>
      </c>
      <c r="T376" s="101" t="s">
        <v>573</v>
      </c>
      <c r="U376" s="101"/>
      <c r="V376" s="101"/>
      <c r="W376" s="101"/>
      <c r="X376" s="101" t="s">
        <v>575</v>
      </c>
      <c r="Y376" s="101"/>
      <c r="Z376" s="101" t="s">
        <v>576</v>
      </c>
      <c r="AA376" s="101" t="s">
        <v>577</v>
      </c>
      <c r="AB376" s="101" t="s">
        <v>578</v>
      </c>
      <c r="AC376" s="101" t="s">
        <v>579</v>
      </c>
      <c r="AD376" s="101" t="s">
        <v>580</v>
      </c>
      <c r="AE376" s="101" t="s">
        <v>581</v>
      </c>
      <c r="AF376" s="101" t="s">
        <v>582</v>
      </c>
      <c r="AG376" s="101" t="s">
        <v>583</v>
      </c>
      <c r="AH376" s="101" t="s">
        <v>584</v>
      </c>
      <c r="AI376" s="101" t="s">
        <v>585</v>
      </c>
    </row>
    <row r="377" spans="10:36" x14ac:dyDescent="0.2">
      <c r="J377" s="101" t="s">
        <v>30</v>
      </c>
      <c r="K377" s="101" t="s">
        <v>863</v>
      </c>
      <c r="L377" s="101" t="s">
        <v>864</v>
      </c>
      <c r="M377" s="101" t="s">
        <v>865</v>
      </c>
      <c r="N377" s="189">
        <v>12000</v>
      </c>
      <c r="O377" s="101" t="s">
        <v>568</v>
      </c>
      <c r="P377" s="101" t="s">
        <v>569</v>
      </c>
      <c r="Q377" s="101" t="s">
        <v>570</v>
      </c>
      <c r="R377" s="101" t="s">
        <v>571</v>
      </c>
      <c r="S377" s="101" t="s">
        <v>572</v>
      </c>
      <c r="T377" s="101" t="s">
        <v>573</v>
      </c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</row>
    <row r="378" spans="10:36" x14ac:dyDescent="0.2">
      <c r="J378" s="101" t="s">
        <v>30</v>
      </c>
      <c r="K378" s="101" t="s">
        <v>1238</v>
      </c>
      <c r="L378" s="101" t="s">
        <v>864</v>
      </c>
      <c r="M378" s="101" t="s">
        <v>1239</v>
      </c>
      <c r="N378" s="189">
        <v>12430</v>
      </c>
      <c r="O378" s="101" t="s">
        <v>568</v>
      </c>
      <c r="P378" s="101" t="s">
        <v>569</v>
      </c>
      <c r="Q378" s="101" t="s">
        <v>570</v>
      </c>
      <c r="R378" s="101" t="s">
        <v>571</v>
      </c>
      <c r="S378" s="101" t="s">
        <v>572</v>
      </c>
      <c r="T378" s="101" t="s">
        <v>573</v>
      </c>
      <c r="U378" s="101"/>
      <c r="V378" s="101"/>
      <c r="W378" s="101"/>
      <c r="X378" s="101" t="s">
        <v>575</v>
      </c>
      <c r="Y378" s="101"/>
      <c r="Z378" s="101" t="s">
        <v>576</v>
      </c>
      <c r="AA378" s="101" t="s">
        <v>577</v>
      </c>
      <c r="AB378" s="101" t="s">
        <v>578</v>
      </c>
      <c r="AC378" s="101" t="s">
        <v>579</v>
      </c>
      <c r="AD378" s="101" t="s">
        <v>580</v>
      </c>
      <c r="AE378" s="101" t="s">
        <v>581</v>
      </c>
      <c r="AF378" s="101" t="s">
        <v>582</v>
      </c>
      <c r="AG378" s="101" t="s">
        <v>583</v>
      </c>
      <c r="AH378" s="101" t="s">
        <v>584</v>
      </c>
      <c r="AI378" s="101" t="s">
        <v>585</v>
      </c>
      <c r="AJ378" s="101" t="s">
        <v>2362</v>
      </c>
    </row>
    <row r="379" spans="10:36" x14ac:dyDescent="0.2">
      <c r="J379" s="101" t="s">
        <v>30</v>
      </c>
      <c r="K379" s="101" t="s">
        <v>1240</v>
      </c>
      <c r="L379" s="101" t="s">
        <v>864</v>
      </c>
      <c r="M379" s="101" t="s">
        <v>1241</v>
      </c>
      <c r="N379" s="189">
        <v>12470</v>
      </c>
      <c r="O379" s="101" t="s">
        <v>568</v>
      </c>
      <c r="P379" s="101" t="s">
        <v>569</v>
      </c>
      <c r="Q379" s="101" t="s">
        <v>570</v>
      </c>
      <c r="R379" s="101" t="s">
        <v>571</v>
      </c>
      <c r="S379" s="101" t="s">
        <v>572</v>
      </c>
      <c r="T379" s="101" t="s">
        <v>573</v>
      </c>
      <c r="U379" s="101"/>
      <c r="V379" s="101"/>
      <c r="W379" s="101"/>
      <c r="X379" s="101" t="s">
        <v>575</v>
      </c>
      <c r="Y379" s="101"/>
      <c r="Z379" s="101" t="s">
        <v>576</v>
      </c>
      <c r="AA379" s="101" t="s">
        <v>577</v>
      </c>
      <c r="AB379" s="101" t="s">
        <v>578</v>
      </c>
      <c r="AC379" s="101" t="s">
        <v>579</v>
      </c>
      <c r="AD379" s="101" t="s">
        <v>580</v>
      </c>
      <c r="AE379" s="101" t="s">
        <v>581</v>
      </c>
      <c r="AF379" s="101" t="s">
        <v>582</v>
      </c>
      <c r="AG379" s="101"/>
      <c r="AH379" s="101"/>
      <c r="AI379" s="101"/>
    </row>
    <row r="380" spans="10:36" x14ac:dyDescent="0.2">
      <c r="J380" s="101" t="s">
        <v>30</v>
      </c>
      <c r="K380" s="101" t="s">
        <v>1384</v>
      </c>
      <c r="L380" s="101" t="s">
        <v>1385</v>
      </c>
      <c r="M380" s="101" t="s">
        <v>1386</v>
      </c>
      <c r="N380" s="189">
        <v>12450</v>
      </c>
      <c r="O380" s="101" t="s">
        <v>568</v>
      </c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</row>
    <row r="381" spans="10:36" x14ac:dyDescent="0.2">
      <c r="J381" s="101" t="s">
        <v>30</v>
      </c>
      <c r="K381" s="101" t="s">
        <v>1244</v>
      </c>
      <c r="L381" s="101" t="s">
        <v>864</v>
      </c>
      <c r="M381" s="101" t="s">
        <v>1245</v>
      </c>
      <c r="N381" s="189">
        <v>12410</v>
      </c>
      <c r="O381" s="101" t="s">
        <v>568</v>
      </c>
      <c r="P381" s="101" t="s">
        <v>569</v>
      </c>
      <c r="Q381" s="101" t="s">
        <v>570</v>
      </c>
      <c r="R381" s="101" t="s">
        <v>571</v>
      </c>
      <c r="S381" s="101" t="s">
        <v>572</v>
      </c>
      <c r="T381" s="101" t="s">
        <v>573</v>
      </c>
      <c r="U381" s="101"/>
      <c r="V381" s="101"/>
      <c r="W381" s="101"/>
      <c r="X381" s="101" t="s">
        <v>575</v>
      </c>
      <c r="Y381" s="101"/>
      <c r="Z381" s="101" t="s">
        <v>576</v>
      </c>
      <c r="AA381" s="101" t="s">
        <v>577</v>
      </c>
      <c r="AB381" s="101" t="s">
        <v>578</v>
      </c>
      <c r="AC381" s="101" t="s">
        <v>579</v>
      </c>
      <c r="AD381" s="101" t="s">
        <v>580</v>
      </c>
      <c r="AE381" s="101" t="s">
        <v>581</v>
      </c>
      <c r="AF381" s="101" t="s">
        <v>582</v>
      </c>
      <c r="AG381" s="101" t="s">
        <v>583</v>
      </c>
      <c r="AH381" s="101" t="s">
        <v>584</v>
      </c>
      <c r="AI381" s="101" t="s">
        <v>585</v>
      </c>
    </row>
    <row r="382" spans="10:36" x14ac:dyDescent="0.2">
      <c r="J382" s="101" t="s">
        <v>30</v>
      </c>
      <c r="K382" s="101" t="s">
        <v>1246</v>
      </c>
      <c r="L382" s="101" t="s">
        <v>864</v>
      </c>
      <c r="M382" s="101" t="s">
        <v>1247</v>
      </c>
      <c r="N382" s="189">
        <v>12370</v>
      </c>
      <c r="O382" s="101" t="s">
        <v>568</v>
      </c>
      <c r="P382" s="101" t="s">
        <v>569</v>
      </c>
      <c r="Q382" s="101" t="s">
        <v>570</v>
      </c>
      <c r="R382" s="101" t="s">
        <v>571</v>
      </c>
      <c r="S382" s="101" t="s">
        <v>572</v>
      </c>
      <c r="T382" s="101" t="s">
        <v>573</v>
      </c>
      <c r="U382" s="101"/>
      <c r="V382" s="101"/>
      <c r="W382" s="101"/>
      <c r="X382" s="101" t="s">
        <v>575</v>
      </c>
      <c r="Y382" s="101"/>
      <c r="Z382" s="101" t="s">
        <v>576</v>
      </c>
      <c r="AA382" s="101"/>
      <c r="AB382" s="101"/>
      <c r="AC382" s="101"/>
      <c r="AD382" s="101"/>
      <c r="AE382" s="101"/>
      <c r="AF382" s="101"/>
      <c r="AG382" s="101"/>
      <c r="AH382" s="101"/>
      <c r="AI382" s="101"/>
    </row>
    <row r="383" spans="10:36" x14ac:dyDescent="0.2">
      <c r="J383" s="101" t="s">
        <v>30</v>
      </c>
      <c r="K383" s="101" t="s">
        <v>1248</v>
      </c>
      <c r="L383" s="101" t="s">
        <v>864</v>
      </c>
      <c r="M383" s="101" t="s">
        <v>1249</v>
      </c>
      <c r="N383" s="189">
        <v>12460</v>
      </c>
      <c r="O383" s="101" t="s">
        <v>568</v>
      </c>
      <c r="P383" s="101" t="s">
        <v>569</v>
      </c>
      <c r="Q383" s="101" t="s">
        <v>570</v>
      </c>
      <c r="R383" s="101" t="s">
        <v>571</v>
      </c>
      <c r="S383" s="101" t="s">
        <v>572</v>
      </c>
      <c r="T383" s="101" t="s">
        <v>573</v>
      </c>
      <c r="U383" s="101"/>
      <c r="V383" s="101"/>
      <c r="W383" s="101"/>
      <c r="X383" s="101" t="s">
        <v>575</v>
      </c>
      <c r="Y383" s="101"/>
      <c r="Z383" s="101" t="s">
        <v>576</v>
      </c>
      <c r="AA383" s="101"/>
      <c r="AB383" s="101"/>
      <c r="AC383" s="101"/>
      <c r="AD383" s="101"/>
      <c r="AE383" s="101"/>
      <c r="AF383" s="101"/>
      <c r="AG383" s="101"/>
      <c r="AH383" s="101"/>
      <c r="AI383" s="101"/>
    </row>
    <row r="384" spans="10:36" x14ac:dyDescent="0.2">
      <c r="J384" s="101" t="s">
        <v>30</v>
      </c>
      <c r="K384" s="101" t="s">
        <v>1250</v>
      </c>
      <c r="L384" s="101" t="s">
        <v>864</v>
      </c>
      <c r="M384" s="101" t="s">
        <v>1251</v>
      </c>
      <c r="N384" s="189">
        <v>12350</v>
      </c>
      <c r="O384" s="101" t="s">
        <v>568</v>
      </c>
      <c r="P384" s="101" t="s">
        <v>569</v>
      </c>
      <c r="Q384" s="101" t="s">
        <v>570</v>
      </c>
      <c r="R384" s="101" t="s">
        <v>571</v>
      </c>
      <c r="S384" s="101" t="s">
        <v>572</v>
      </c>
      <c r="T384" s="101" t="s">
        <v>573</v>
      </c>
      <c r="U384" s="101"/>
      <c r="V384" s="101"/>
      <c r="W384" s="101"/>
      <c r="X384" s="101" t="s">
        <v>575</v>
      </c>
      <c r="Y384" s="101"/>
      <c r="Z384" s="101" t="s">
        <v>576</v>
      </c>
      <c r="AA384" s="101" t="s">
        <v>577</v>
      </c>
      <c r="AB384" s="101" t="s">
        <v>578</v>
      </c>
      <c r="AC384" s="101" t="s">
        <v>579</v>
      </c>
      <c r="AD384" s="101" t="s">
        <v>580</v>
      </c>
      <c r="AE384" s="101" t="s">
        <v>581</v>
      </c>
      <c r="AF384" s="101" t="s">
        <v>582</v>
      </c>
      <c r="AG384" s="101"/>
      <c r="AH384" s="101"/>
      <c r="AI384" s="101"/>
    </row>
    <row r="385" spans="10:36" x14ac:dyDescent="0.2">
      <c r="J385" s="101" t="s">
        <v>30</v>
      </c>
      <c r="K385" s="101" t="s">
        <v>1252</v>
      </c>
      <c r="L385" s="101" t="s">
        <v>864</v>
      </c>
      <c r="M385" s="101" t="s">
        <v>1253</v>
      </c>
      <c r="N385" s="189">
        <v>10950</v>
      </c>
      <c r="O385" s="101" t="s">
        <v>568</v>
      </c>
      <c r="P385" s="101" t="s">
        <v>569</v>
      </c>
      <c r="Q385" s="101" t="s">
        <v>570</v>
      </c>
      <c r="R385" s="101" t="s">
        <v>571</v>
      </c>
      <c r="S385" s="101" t="s">
        <v>572</v>
      </c>
      <c r="T385" s="101" t="s">
        <v>573</v>
      </c>
      <c r="U385" s="101"/>
      <c r="V385" s="101"/>
      <c r="W385" s="101" t="s">
        <v>574</v>
      </c>
      <c r="X385" s="101" t="s">
        <v>575</v>
      </c>
      <c r="Y385" s="101"/>
      <c r="Z385" s="101" t="s">
        <v>576</v>
      </c>
      <c r="AA385" s="101" t="s">
        <v>577</v>
      </c>
      <c r="AB385" s="101" t="s">
        <v>578</v>
      </c>
      <c r="AC385" s="101" t="s">
        <v>579</v>
      </c>
      <c r="AD385" s="101" t="s">
        <v>580</v>
      </c>
      <c r="AE385" s="101" t="s">
        <v>581</v>
      </c>
      <c r="AF385" s="101" t="s">
        <v>582</v>
      </c>
      <c r="AG385" s="101"/>
      <c r="AH385" s="101"/>
      <c r="AI385" s="101"/>
    </row>
    <row r="386" spans="10:36" x14ac:dyDescent="0.2">
      <c r="J386" s="101" t="s">
        <v>30</v>
      </c>
      <c r="K386" s="101" t="s">
        <v>1254</v>
      </c>
      <c r="L386" s="101" t="s">
        <v>816</v>
      </c>
      <c r="M386" s="101" t="s">
        <v>1255</v>
      </c>
      <c r="N386" s="189">
        <v>12390</v>
      </c>
      <c r="O386" s="101" t="s">
        <v>568</v>
      </c>
      <c r="P386" s="101" t="s">
        <v>569</v>
      </c>
      <c r="Q386" s="101" t="s">
        <v>570</v>
      </c>
      <c r="R386" s="101" t="s">
        <v>571</v>
      </c>
      <c r="S386" s="101" t="s">
        <v>572</v>
      </c>
      <c r="T386" s="101" t="s">
        <v>573</v>
      </c>
      <c r="U386" s="101"/>
      <c r="V386" s="101"/>
      <c r="W386" s="101"/>
      <c r="X386" s="101" t="s">
        <v>575</v>
      </c>
      <c r="Y386" s="101"/>
      <c r="Z386" s="101" t="s">
        <v>576</v>
      </c>
      <c r="AA386" s="101" t="s">
        <v>577</v>
      </c>
      <c r="AB386" s="101" t="s">
        <v>578</v>
      </c>
      <c r="AC386" s="101" t="s">
        <v>579</v>
      </c>
      <c r="AD386" s="101" t="s">
        <v>580</v>
      </c>
      <c r="AE386" s="101" t="s">
        <v>581</v>
      </c>
      <c r="AF386" s="101" t="s">
        <v>582</v>
      </c>
      <c r="AG386" s="101" t="s">
        <v>583</v>
      </c>
      <c r="AH386" s="101" t="s">
        <v>584</v>
      </c>
      <c r="AI386" s="101" t="s">
        <v>585</v>
      </c>
    </row>
    <row r="387" spans="10:36" x14ac:dyDescent="0.2">
      <c r="J387" s="101" t="s">
        <v>30</v>
      </c>
      <c r="K387" s="101" t="s">
        <v>1256</v>
      </c>
      <c r="L387" s="101" t="s">
        <v>816</v>
      </c>
      <c r="M387" s="101" t="s">
        <v>1257</v>
      </c>
      <c r="N387" s="189">
        <v>12420</v>
      </c>
      <c r="O387" s="101" t="s">
        <v>568</v>
      </c>
      <c r="P387" s="101" t="s">
        <v>569</v>
      </c>
      <c r="Q387" s="101" t="s">
        <v>570</v>
      </c>
      <c r="R387" s="101" t="s">
        <v>571</v>
      </c>
      <c r="S387" s="101" t="s">
        <v>572</v>
      </c>
      <c r="T387" s="101" t="s">
        <v>573</v>
      </c>
      <c r="U387" s="101"/>
      <c r="V387" s="101"/>
      <c r="W387" s="101"/>
      <c r="X387" s="101" t="s">
        <v>575</v>
      </c>
      <c r="Y387" s="101"/>
      <c r="Z387" s="101" t="s">
        <v>576</v>
      </c>
      <c r="AA387" s="101" t="s">
        <v>577</v>
      </c>
      <c r="AB387" s="101" t="s">
        <v>578</v>
      </c>
      <c r="AC387" s="101" t="s">
        <v>579</v>
      </c>
      <c r="AD387" s="101" t="s">
        <v>580</v>
      </c>
      <c r="AE387" s="101" t="s">
        <v>581</v>
      </c>
      <c r="AF387" s="101" t="s">
        <v>582</v>
      </c>
      <c r="AG387" s="101" t="s">
        <v>583</v>
      </c>
      <c r="AH387" s="101" t="s">
        <v>584</v>
      </c>
      <c r="AI387" s="101" t="s">
        <v>585</v>
      </c>
    </row>
    <row r="388" spans="10:36" x14ac:dyDescent="0.2">
      <c r="J388" s="101" t="s">
        <v>30</v>
      </c>
      <c r="K388" s="101" t="s">
        <v>1258</v>
      </c>
      <c r="L388" s="101" t="s">
        <v>816</v>
      </c>
      <c r="M388" s="101" t="s">
        <v>1259</v>
      </c>
      <c r="N388" s="189">
        <v>12460</v>
      </c>
      <c r="O388" s="101" t="s">
        <v>568</v>
      </c>
      <c r="P388" s="101" t="s">
        <v>569</v>
      </c>
      <c r="Q388" s="101" t="s">
        <v>570</v>
      </c>
      <c r="R388" s="101" t="s">
        <v>571</v>
      </c>
      <c r="S388" s="101" t="s">
        <v>572</v>
      </c>
      <c r="T388" s="101" t="s">
        <v>573</v>
      </c>
      <c r="U388" s="101"/>
      <c r="V388" s="101" t="s">
        <v>2361</v>
      </c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</row>
    <row r="389" spans="10:36" x14ac:dyDescent="0.2">
      <c r="J389" s="101" t="s">
        <v>30</v>
      </c>
      <c r="K389" s="101" t="s">
        <v>1260</v>
      </c>
      <c r="L389" s="101" t="s">
        <v>816</v>
      </c>
      <c r="M389" s="101" t="s">
        <v>1261</v>
      </c>
      <c r="N389" s="189">
        <v>12430</v>
      </c>
      <c r="O389" s="101" t="s">
        <v>568</v>
      </c>
      <c r="P389" s="101" t="s">
        <v>569</v>
      </c>
      <c r="Q389" s="101" t="s">
        <v>570</v>
      </c>
      <c r="R389" s="101" t="s">
        <v>571</v>
      </c>
      <c r="S389" s="101" t="s">
        <v>572</v>
      </c>
      <c r="T389" s="101" t="s">
        <v>573</v>
      </c>
      <c r="U389" s="101"/>
      <c r="V389" s="101"/>
      <c r="W389" s="101" t="s">
        <v>574</v>
      </c>
      <c r="X389" s="101" t="s">
        <v>575</v>
      </c>
      <c r="Y389" s="101"/>
      <c r="Z389" s="101" t="s">
        <v>576</v>
      </c>
      <c r="AA389" s="101" t="s">
        <v>577</v>
      </c>
      <c r="AB389" s="101" t="s">
        <v>578</v>
      </c>
      <c r="AC389" s="101" t="s">
        <v>579</v>
      </c>
      <c r="AD389" s="101" t="s">
        <v>580</v>
      </c>
      <c r="AE389" s="101" t="s">
        <v>581</v>
      </c>
      <c r="AF389" s="101" t="s">
        <v>582</v>
      </c>
      <c r="AG389" s="101" t="s">
        <v>583</v>
      </c>
      <c r="AH389" s="101" t="s">
        <v>584</v>
      </c>
      <c r="AI389" s="101" t="s">
        <v>585</v>
      </c>
      <c r="AJ389" s="101" t="s">
        <v>2362</v>
      </c>
    </row>
    <row r="390" spans="10:36" x14ac:dyDescent="0.2">
      <c r="J390" s="101" t="s">
        <v>30</v>
      </c>
      <c r="K390" s="101" t="s">
        <v>1262</v>
      </c>
      <c r="L390" s="101" t="s">
        <v>864</v>
      </c>
      <c r="M390" s="101" t="s">
        <v>1263</v>
      </c>
      <c r="N390" s="189">
        <v>12420</v>
      </c>
      <c r="O390" s="101" t="s">
        <v>568</v>
      </c>
      <c r="P390" s="101" t="s">
        <v>569</v>
      </c>
      <c r="Q390" s="101" t="s">
        <v>570</v>
      </c>
      <c r="R390" s="101" t="s">
        <v>571</v>
      </c>
      <c r="S390" s="101" t="s">
        <v>572</v>
      </c>
      <c r="T390" s="101" t="s">
        <v>573</v>
      </c>
      <c r="U390" s="101"/>
      <c r="V390" s="101"/>
      <c r="W390" s="101"/>
      <c r="X390" s="101" t="s">
        <v>575</v>
      </c>
      <c r="Y390" s="101"/>
      <c r="Z390" s="101" t="s">
        <v>576</v>
      </c>
      <c r="AA390" s="101" t="s">
        <v>577</v>
      </c>
      <c r="AB390" s="101" t="s">
        <v>578</v>
      </c>
      <c r="AC390" s="101" t="s">
        <v>579</v>
      </c>
      <c r="AD390" s="101" t="s">
        <v>580</v>
      </c>
      <c r="AE390" s="101" t="s">
        <v>581</v>
      </c>
      <c r="AF390" s="101" t="s">
        <v>582</v>
      </c>
      <c r="AG390" s="101" t="s">
        <v>583</v>
      </c>
      <c r="AH390" s="101" t="s">
        <v>584</v>
      </c>
      <c r="AI390" s="101" t="s">
        <v>585</v>
      </c>
    </row>
    <row r="391" spans="10:36" x14ac:dyDescent="0.2">
      <c r="J391" s="101" t="s">
        <v>30</v>
      </c>
      <c r="K391" s="101" t="s">
        <v>1264</v>
      </c>
      <c r="L391" s="101" t="s">
        <v>864</v>
      </c>
      <c r="M391" s="101" t="s">
        <v>1265</v>
      </c>
      <c r="N391" s="189">
        <v>12430</v>
      </c>
      <c r="O391" s="101" t="s">
        <v>568</v>
      </c>
      <c r="P391" s="101" t="s">
        <v>569</v>
      </c>
      <c r="Q391" s="101" t="s">
        <v>570</v>
      </c>
      <c r="R391" s="101" t="s">
        <v>571</v>
      </c>
      <c r="S391" s="101" t="s">
        <v>572</v>
      </c>
      <c r="T391" s="101" t="s">
        <v>573</v>
      </c>
      <c r="U391" s="101"/>
      <c r="V391" s="101"/>
      <c r="W391" s="101" t="s">
        <v>574</v>
      </c>
      <c r="X391" s="101" t="s">
        <v>575</v>
      </c>
      <c r="Y391" s="101"/>
      <c r="Z391" s="101" t="s">
        <v>576</v>
      </c>
      <c r="AA391" s="101" t="s">
        <v>577</v>
      </c>
      <c r="AB391" s="101" t="s">
        <v>578</v>
      </c>
      <c r="AC391" s="101" t="s">
        <v>579</v>
      </c>
      <c r="AD391" s="101" t="s">
        <v>580</v>
      </c>
      <c r="AE391" s="101" t="s">
        <v>581</v>
      </c>
      <c r="AF391" s="101" t="s">
        <v>582</v>
      </c>
      <c r="AG391" s="101" t="s">
        <v>583</v>
      </c>
      <c r="AH391" s="101" t="s">
        <v>584</v>
      </c>
      <c r="AI391" s="101" t="s">
        <v>585</v>
      </c>
      <c r="AJ391" s="101" t="s">
        <v>2362</v>
      </c>
    </row>
    <row r="392" spans="10:36" x14ac:dyDescent="0.2">
      <c r="J392" s="101" t="s">
        <v>30</v>
      </c>
      <c r="K392" s="101" t="s">
        <v>1266</v>
      </c>
      <c r="L392" s="101" t="s">
        <v>864</v>
      </c>
      <c r="M392" s="101" t="s">
        <v>1267</v>
      </c>
      <c r="N392" s="189">
        <v>12430</v>
      </c>
      <c r="O392" s="101" t="s">
        <v>568</v>
      </c>
      <c r="P392" s="101" t="s">
        <v>569</v>
      </c>
      <c r="Q392" s="101" t="s">
        <v>570</v>
      </c>
      <c r="R392" s="101" t="s">
        <v>571</v>
      </c>
      <c r="S392" s="101" t="s">
        <v>572</v>
      </c>
      <c r="T392" s="101" t="s">
        <v>573</v>
      </c>
      <c r="U392" s="101"/>
      <c r="V392" s="101"/>
      <c r="W392" s="101"/>
      <c r="X392" s="101" t="s">
        <v>575</v>
      </c>
      <c r="Y392" s="101"/>
      <c r="Z392" s="101" t="s">
        <v>576</v>
      </c>
      <c r="AA392" s="101" t="s">
        <v>577</v>
      </c>
      <c r="AB392" s="101" t="s">
        <v>578</v>
      </c>
      <c r="AC392" s="101" t="s">
        <v>579</v>
      </c>
      <c r="AD392" s="101" t="s">
        <v>580</v>
      </c>
      <c r="AE392" s="101" t="s">
        <v>581</v>
      </c>
      <c r="AF392" s="101" t="s">
        <v>582</v>
      </c>
      <c r="AG392" s="101" t="s">
        <v>583</v>
      </c>
      <c r="AH392" s="101" t="s">
        <v>584</v>
      </c>
      <c r="AI392" s="101" t="s">
        <v>585</v>
      </c>
      <c r="AJ392" s="101" t="s">
        <v>2362</v>
      </c>
    </row>
    <row r="393" spans="10:36" x14ac:dyDescent="0.2">
      <c r="J393" s="101" t="s">
        <v>30</v>
      </c>
      <c r="K393" s="101" t="s">
        <v>1268</v>
      </c>
      <c r="L393" s="101" t="s">
        <v>864</v>
      </c>
      <c r="M393" s="101" t="s">
        <v>1269</v>
      </c>
      <c r="N393" s="189">
        <v>12420</v>
      </c>
      <c r="O393" s="101" t="s">
        <v>568</v>
      </c>
      <c r="P393" s="101" t="s">
        <v>569</v>
      </c>
      <c r="Q393" s="101" t="s">
        <v>570</v>
      </c>
      <c r="R393" s="101" t="s">
        <v>571</v>
      </c>
      <c r="S393" s="101" t="s">
        <v>572</v>
      </c>
      <c r="T393" s="101" t="s">
        <v>573</v>
      </c>
      <c r="U393" s="101"/>
      <c r="V393" s="101"/>
      <c r="W393" s="101"/>
      <c r="X393" s="101" t="s">
        <v>575</v>
      </c>
      <c r="Y393" s="101"/>
      <c r="Z393" s="101" t="s">
        <v>576</v>
      </c>
      <c r="AA393" s="101" t="s">
        <v>577</v>
      </c>
      <c r="AB393" s="101" t="s">
        <v>578</v>
      </c>
      <c r="AC393" s="101" t="s">
        <v>579</v>
      </c>
      <c r="AD393" s="101" t="s">
        <v>580</v>
      </c>
      <c r="AE393" s="101" t="s">
        <v>581</v>
      </c>
      <c r="AF393" s="101" t="s">
        <v>582</v>
      </c>
      <c r="AG393" s="101" t="s">
        <v>583</v>
      </c>
      <c r="AH393" s="101" t="s">
        <v>584</v>
      </c>
      <c r="AI393" s="101" t="s">
        <v>585</v>
      </c>
    </row>
    <row r="394" spans="10:36" x14ac:dyDescent="0.2">
      <c r="J394" s="101" t="s">
        <v>30</v>
      </c>
      <c r="K394" s="101" t="s">
        <v>1270</v>
      </c>
      <c r="L394" s="101" t="s">
        <v>816</v>
      </c>
      <c r="M394" s="101" t="s">
        <v>1271</v>
      </c>
      <c r="N394" s="189">
        <v>12440</v>
      </c>
      <c r="O394" s="101" t="s">
        <v>568</v>
      </c>
      <c r="P394" s="101" t="s">
        <v>569</v>
      </c>
      <c r="Q394" s="101" t="s">
        <v>570</v>
      </c>
      <c r="R394" s="101" t="s">
        <v>571</v>
      </c>
      <c r="S394" s="101" t="s">
        <v>572</v>
      </c>
      <c r="T394" s="101" t="s">
        <v>573</v>
      </c>
      <c r="U394" s="101"/>
      <c r="V394" s="101"/>
      <c r="W394" s="101" t="s">
        <v>574</v>
      </c>
      <c r="X394" s="101" t="s">
        <v>575</v>
      </c>
      <c r="Y394" s="101"/>
      <c r="Z394" s="101" t="s">
        <v>576</v>
      </c>
      <c r="AA394" s="101" t="s">
        <v>577</v>
      </c>
      <c r="AB394" s="101" t="s">
        <v>578</v>
      </c>
      <c r="AC394" s="101" t="s">
        <v>579</v>
      </c>
      <c r="AD394" s="101" t="s">
        <v>580</v>
      </c>
      <c r="AE394" s="101" t="s">
        <v>581</v>
      </c>
      <c r="AF394" s="101" t="s">
        <v>582</v>
      </c>
      <c r="AG394" s="101" t="s">
        <v>583</v>
      </c>
      <c r="AH394" s="101" t="s">
        <v>584</v>
      </c>
      <c r="AI394" s="101" t="s">
        <v>585</v>
      </c>
    </row>
    <row r="395" spans="10:36" x14ac:dyDescent="0.2">
      <c r="J395" s="101" t="s">
        <v>30</v>
      </c>
      <c r="K395" s="101" t="s">
        <v>1272</v>
      </c>
      <c r="L395" s="101" t="s">
        <v>816</v>
      </c>
      <c r="M395" s="101" t="s">
        <v>1273</v>
      </c>
      <c r="N395" s="189">
        <v>12390</v>
      </c>
      <c r="O395" s="101" t="s">
        <v>568</v>
      </c>
      <c r="P395" s="101" t="s">
        <v>569</v>
      </c>
      <c r="Q395" s="101" t="s">
        <v>570</v>
      </c>
      <c r="R395" s="101" t="s">
        <v>571</v>
      </c>
      <c r="S395" s="101" t="s">
        <v>572</v>
      </c>
      <c r="T395" s="101" t="s">
        <v>573</v>
      </c>
      <c r="U395" s="101"/>
      <c r="V395" s="101"/>
      <c r="W395" s="101" t="s">
        <v>574</v>
      </c>
      <c r="X395" s="101" t="s">
        <v>575</v>
      </c>
      <c r="Y395" s="101"/>
      <c r="Z395" s="101" t="s">
        <v>576</v>
      </c>
      <c r="AA395" s="101" t="s">
        <v>577</v>
      </c>
      <c r="AB395" s="101" t="s">
        <v>578</v>
      </c>
      <c r="AC395" s="101" t="s">
        <v>579</v>
      </c>
      <c r="AD395" s="101" t="s">
        <v>580</v>
      </c>
      <c r="AE395" s="101" t="s">
        <v>581</v>
      </c>
      <c r="AF395" s="101" t="s">
        <v>582</v>
      </c>
      <c r="AG395" s="101" t="s">
        <v>583</v>
      </c>
      <c r="AH395" s="101" t="s">
        <v>584</v>
      </c>
      <c r="AI395" s="101" t="s">
        <v>585</v>
      </c>
      <c r="AJ395" s="101" t="s">
        <v>2362</v>
      </c>
    </row>
    <row r="396" spans="10:36" x14ac:dyDescent="0.2">
      <c r="J396" s="101" t="s">
        <v>30</v>
      </c>
      <c r="K396" s="101" t="s">
        <v>1274</v>
      </c>
      <c r="L396" s="101" t="s">
        <v>816</v>
      </c>
      <c r="M396" s="101" t="s">
        <v>1275</v>
      </c>
      <c r="N396" s="189">
        <v>12440</v>
      </c>
      <c r="O396" s="101" t="s">
        <v>568</v>
      </c>
      <c r="P396" s="101" t="s">
        <v>569</v>
      </c>
      <c r="Q396" s="101" t="s">
        <v>570</v>
      </c>
      <c r="R396" s="101" t="s">
        <v>571</v>
      </c>
      <c r="S396" s="101" t="s">
        <v>572</v>
      </c>
      <c r="T396" s="101" t="s">
        <v>573</v>
      </c>
      <c r="U396" s="101"/>
      <c r="V396" s="101"/>
      <c r="W396" s="101"/>
      <c r="X396" s="101" t="s">
        <v>575</v>
      </c>
      <c r="Y396" s="101"/>
      <c r="Z396" s="101" t="s">
        <v>576</v>
      </c>
      <c r="AA396" s="101" t="s">
        <v>577</v>
      </c>
      <c r="AB396" s="101" t="s">
        <v>578</v>
      </c>
      <c r="AC396" s="101" t="s">
        <v>579</v>
      </c>
      <c r="AD396" s="101" t="s">
        <v>580</v>
      </c>
      <c r="AE396" s="101" t="s">
        <v>581</v>
      </c>
      <c r="AF396" s="101" t="s">
        <v>582</v>
      </c>
      <c r="AG396" s="101" t="s">
        <v>583</v>
      </c>
      <c r="AH396" s="101" t="s">
        <v>584</v>
      </c>
      <c r="AI396" s="101" t="s">
        <v>585</v>
      </c>
    </row>
    <row r="397" spans="10:36" x14ac:dyDescent="0.2">
      <c r="J397" s="101" t="s">
        <v>30</v>
      </c>
      <c r="K397" s="101" t="s">
        <v>1276</v>
      </c>
      <c r="L397" s="101" t="s">
        <v>816</v>
      </c>
      <c r="M397" s="101" t="s">
        <v>1277</v>
      </c>
      <c r="N397" s="189">
        <v>12460</v>
      </c>
      <c r="O397" s="101" t="s">
        <v>568</v>
      </c>
      <c r="P397" s="101" t="s">
        <v>569</v>
      </c>
      <c r="Q397" s="101" t="s">
        <v>570</v>
      </c>
      <c r="R397" s="101" t="s">
        <v>571</v>
      </c>
      <c r="S397" s="101" t="s">
        <v>572</v>
      </c>
      <c r="T397" s="101" t="s">
        <v>573</v>
      </c>
      <c r="U397" s="101"/>
      <c r="V397" s="101"/>
      <c r="W397" s="101" t="s">
        <v>574</v>
      </c>
      <c r="X397" s="101" t="s">
        <v>575</v>
      </c>
      <c r="Y397" s="101"/>
      <c r="Z397" s="101" t="s">
        <v>576</v>
      </c>
      <c r="AA397" s="101" t="s">
        <v>577</v>
      </c>
      <c r="AB397" s="101" t="s">
        <v>578</v>
      </c>
      <c r="AC397" s="101" t="s">
        <v>579</v>
      </c>
      <c r="AD397" s="101" t="s">
        <v>580</v>
      </c>
      <c r="AE397" s="101" t="s">
        <v>581</v>
      </c>
      <c r="AF397" s="101" t="s">
        <v>582</v>
      </c>
      <c r="AG397" s="101"/>
      <c r="AH397" s="101"/>
      <c r="AI397" s="101"/>
    </row>
    <row r="398" spans="10:36" x14ac:dyDescent="0.2">
      <c r="J398" s="101" t="s">
        <v>30</v>
      </c>
      <c r="K398" s="101" t="s">
        <v>1278</v>
      </c>
      <c r="L398" s="101" t="s">
        <v>816</v>
      </c>
      <c r="M398" s="101" t="s">
        <v>1279</v>
      </c>
      <c r="N398" s="189">
        <v>12120</v>
      </c>
      <c r="O398" s="101" t="s">
        <v>568</v>
      </c>
      <c r="P398" s="101" t="s">
        <v>569</v>
      </c>
      <c r="Q398" s="101" t="s">
        <v>570</v>
      </c>
      <c r="R398" s="101" t="s">
        <v>571</v>
      </c>
      <c r="S398" s="101" t="s">
        <v>572</v>
      </c>
      <c r="T398" s="101" t="s">
        <v>573</v>
      </c>
      <c r="U398" s="101"/>
      <c r="V398" s="101"/>
      <c r="W398" s="101" t="s">
        <v>574</v>
      </c>
      <c r="X398" s="101" t="s">
        <v>575</v>
      </c>
      <c r="Y398" s="101"/>
      <c r="Z398" s="101" t="s">
        <v>576</v>
      </c>
      <c r="AA398" s="101" t="s">
        <v>577</v>
      </c>
      <c r="AB398" s="101" t="s">
        <v>578</v>
      </c>
      <c r="AC398" s="101" t="s">
        <v>579</v>
      </c>
      <c r="AD398" s="101" t="s">
        <v>580</v>
      </c>
      <c r="AE398" s="101" t="s">
        <v>581</v>
      </c>
      <c r="AF398" s="101" t="s">
        <v>582</v>
      </c>
      <c r="AG398" s="101"/>
      <c r="AH398" s="101"/>
      <c r="AI398" s="101"/>
    </row>
    <row r="399" spans="10:36" x14ac:dyDescent="0.2">
      <c r="J399" s="101" t="s">
        <v>30</v>
      </c>
      <c r="K399" s="101" t="s">
        <v>1280</v>
      </c>
      <c r="L399" s="101" t="s">
        <v>816</v>
      </c>
      <c r="M399" s="101" t="s">
        <v>1281</v>
      </c>
      <c r="N399" s="189">
        <v>12440</v>
      </c>
      <c r="O399" s="101" t="s">
        <v>568</v>
      </c>
      <c r="P399" s="101" t="s">
        <v>569</v>
      </c>
      <c r="Q399" s="101" t="s">
        <v>570</v>
      </c>
      <c r="R399" s="101" t="s">
        <v>571</v>
      </c>
      <c r="S399" s="101" t="s">
        <v>572</v>
      </c>
      <c r="T399" s="101" t="s">
        <v>573</v>
      </c>
      <c r="U399" s="101"/>
      <c r="V399" s="101"/>
      <c r="W399" s="101" t="s">
        <v>574</v>
      </c>
      <c r="X399" s="101" t="s">
        <v>575</v>
      </c>
      <c r="Y399" s="101"/>
      <c r="Z399" s="101" t="s">
        <v>576</v>
      </c>
      <c r="AA399" s="101" t="s">
        <v>577</v>
      </c>
      <c r="AB399" s="101" t="s">
        <v>578</v>
      </c>
      <c r="AC399" s="101" t="s">
        <v>579</v>
      </c>
      <c r="AD399" s="101" t="s">
        <v>580</v>
      </c>
      <c r="AE399" s="101" t="s">
        <v>581</v>
      </c>
      <c r="AF399" s="101" t="s">
        <v>582</v>
      </c>
      <c r="AG399" s="101" t="s">
        <v>583</v>
      </c>
      <c r="AH399" s="101" t="s">
        <v>584</v>
      </c>
      <c r="AI399" s="101" t="s">
        <v>585</v>
      </c>
    </row>
    <row r="400" spans="10:36" x14ac:dyDescent="0.2">
      <c r="J400" s="101" t="s">
        <v>30</v>
      </c>
      <c r="K400" s="101" t="s">
        <v>1282</v>
      </c>
      <c r="L400" s="101" t="s">
        <v>816</v>
      </c>
      <c r="M400" s="101" t="s">
        <v>1283</v>
      </c>
      <c r="N400" s="189">
        <v>12410</v>
      </c>
      <c r="O400" s="101" t="s">
        <v>568</v>
      </c>
      <c r="P400" s="101" t="s">
        <v>569</v>
      </c>
      <c r="Q400" s="101" t="s">
        <v>570</v>
      </c>
      <c r="R400" s="101" t="s">
        <v>571</v>
      </c>
      <c r="S400" s="101" t="s">
        <v>572</v>
      </c>
      <c r="T400" s="101" t="s">
        <v>573</v>
      </c>
      <c r="U400" s="101"/>
      <c r="V400" s="101"/>
      <c r="W400" s="101"/>
      <c r="X400" s="101" t="s">
        <v>575</v>
      </c>
      <c r="Y400" s="101"/>
      <c r="Z400" s="101" t="s">
        <v>576</v>
      </c>
      <c r="AA400" s="101" t="s">
        <v>577</v>
      </c>
      <c r="AB400" s="101" t="s">
        <v>578</v>
      </c>
      <c r="AC400" s="101" t="s">
        <v>579</v>
      </c>
      <c r="AD400" s="101" t="s">
        <v>580</v>
      </c>
      <c r="AE400" s="101" t="s">
        <v>581</v>
      </c>
      <c r="AF400" s="101" t="s">
        <v>582</v>
      </c>
      <c r="AG400" s="101" t="s">
        <v>583</v>
      </c>
      <c r="AH400" s="101" t="s">
        <v>584</v>
      </c>
      <c r="AI400" s="101" t="s">
        <v>585</v>
      </c>
    </row>
    <row r="401" spans="10:36" x14ac:dyDescent="0.2">
      <c r="J401" s="101" t="s">
        <v>30</v>
      </c>
      <c r="K401" s="101" t="s">
        <v>1284</v>
      </c>
      <c r="L401" s="101" t="s">
        <v>816</v>
      </c>
      <c r="M401" s="101" t="s">
        <v>1285</v>
      </c>
      <c r="N401" s="189">
        <v>12450</v>
      </c>
      <c r="O401" s="101" t="s">
        <v>568</v>
      </c>
      <c r="P401" s="101" t="s">
        <v>569</v>
      </c>
      <c r="Q401" s="101" t="s">
        <v>570</v>
      </c>
      <c r="R401" s="101" t="s">
        <v>571</v>
      </c>
      <c r="S401" s="101" t="s">
        <v>572</v>
      </c>
      <c r="T401" s="101" t="s">
        <v>573</v>
      </c>
      <c r="U401" s="101"/>
      <c r="V401" s="101"/>
      <c r="W401" s="101" t="s">
        <v>574</v>
      </c>
      <c r="X401" s="101" t="s">
        <v>575</v>
      </c>
      <c r="Y401" s="101"/>
      <c r="Z401" s="101" t="s">
        <v>576</v>
      </c>
      <c r="AA401" s="101" t="s">
        <v>577</v>
      </c>
      <c r="AB401" s="101" t="s">
        <v>578</v>
      </c>
      <c r="AC401" s="101" t="s">
        <v>579</v>
      </c>
      <c r="AD401" s="101"/>
      <c r="AE401" s="101"/>
      <c r="AF401" s="101"/>
      <c r="AG401" s="101"/>
      <c r="AH401" s="101"/>
      <c r="AI401" s="101"/>
    </row>
    <row r="402" spans="10:36" x14ac:dyDescent="0.2">
      <c r="J402" s="101" t="s">
        <v>30</v>
      </c>
      <c r="K402" s="101" t="s">
        <v>1286</v>
      </c>
      <c r="L402" s="101" t="s">
        <v>816</v>
      </c>
      <c r="M402" s="101" t="s">
        <v>1287</v>
      </c>
      <c r="N402" s="189">
        <v>12330</v>
      </c>
      <c r="O402" s="101" t="s">
        <v>568</v>
      </c>
      <c r="P402" s="101" t="s">
        <v>569</v>
      </c>
      <c r="Q402" s="101" t="s">
        <v>570</v>
      </c>
      <c r="R402" s="101" t="s">
        <v>571</v>
      </c>
      <c r="S402" s="101" t="s">
        <v>572</v>
      </c>
      <c r="T402" s="101" t="s">
        <v>573</v>
      </c>
      <c r="U402" s="101"/>
      <c r="V402" s="101"/>
      <c r="W402" s="101" t="s">
        <v>574</v>
      </c>
      <c r="X402" s="101" t="s">
        <v>575</v>
      </c>
      <c r="Y402" s="101"/>
      <c r="Z402" s="101" t="s">
        <v>576</v>
      </c>
      <c r="AA402" s="101" t="s">
        <v>577</v>
      </c>
      <c r="AB402" s="101" t="s">
        <v>578</v>
      </c>
      <c r="AC402" s="101" t="s">
        <v>579</v>
      </c>
      <c r="AD402" s="101" t="s">
        <v>580</v>
      </c>
      <c r="AE402" s="101" t="s">
        <v>581</v>
      </c>
      <c r="AF402" s="101" t="s">
        <v>582</v>
      </c>
      <c r="AG402" s="101" t="s">
        <v>583</v>
      </c>
      <c r="AH402" s="101" t="s">
        <v>584</v>
      </c>
      <c r="AI402" s="101" t="s">
        <v>585</v>
      </c>
    </row>
    <row r="403" spans="10:36" x14ac:dyDescent="0.2">
      <c r="J403" s="101" t="s">
        <v>30</v>
      </c>
      <c r="K403" s="101" t="s">
        <v>1288</v>
      </c>
      <c r="L403" s="101" t="s">
        <v>864</v>
      </c>
      <c r="M403" s="101" t="s">
        <v>1289</v>
      </c>
      <c r="N403" s="189">
        <v>12460</v>
      </c>
      <c r="O403" s="101" t="s">
        <v>568</v>
      </c>
      <c r="P403" s="101" t="s">
        <v>569</v>
      </c>
      <c r="Q403" s="101" t="s">
        <v>570</v>
      </c>
      <c r="R403" s="101" t="s">
        <v>571</v>
      </c>
      <c r="S403" s="101" t="s">
        <v>572</v>
      </c>
      <c r="T403" s="101" t="s">
        <v>573</v>
      </c>
      <c r="U403" s="101"/>
      <c r="V403" s="101"/>
      <c r="W403" s="101"/>
      <c r="X403" s="101" t="s">
        <v>575</v>
      </c>
      <c r="Y403" s="101"/>
      <c r="Z403" s="101" t="s">
        <v>576</v>
      </c>
      <c r="AA403" s="101" t="s">
        <v>577</v>
      </c>
      <c r="AB403" s="101" t="s">
        <v>578</v>
      </c>
      <c r="AC403" s="101" t="s">
        <v>579</v>
      </c>
      <c r="AD403" s="101" t="s">
        <v>580</v>
      </c>
      <c r="AE403" s="101" t="s">
        <v>581</v>
      </c>
      <c r="AF403" s="101" t="s">
        <v>582</v>
      </c>
      <c r="AG403" s="101" t="s">
        <v>583</v>
      </c>
      <c r="AH403" s="101"/>
      <c r="AI403" s="101"/>
    </row>
    <row r="404" spans="10:36" x14ac:dyDescent="0.2">
      <c r="J404" s="101" t="s">
        <v>30</v>
      </c>
      <c r="K404" s="101" t="s">
        <v>1290</v>
      </c>
      <c r="L404" s="101" t="s">
        <v>864</v>
      </c>
      <c r="M404" s="101" t="s">
        <v>1291</v>
      </c>
      <c r="N404" s="189">
        <v>12420</v>
      </c>
      <c r="O404" s="101" t="s">
        <v>568</v>
      </c>
      <c r="P404" s="101" t="s">
        <v>569</v>
      </c>
      <c r="Q404" s="101" t="s">
        <v>570</v>
      </c>
      <c r="R404" s="101" t="s">
        <v>571</v>
      </c>
      <c r="S404" s="101" t="s">
        <v>572</v>
      </c>
      <c r="T404" s="101" t="s">
        <v>573</v>
      </c>
      <c r="U404" s="101"/>
      <c r="V404" s="101"/>
      <c r="W404" s="101"/>
      <c r="X404" s="101" t="s">
        <v>575</v>
      </c>
      <c r="Y404" s="101"/>
      <c r="Z404" s="101" t="s">
        <v>576</v>
      </c>
      <c r="AA404" s="101" t="s">
        <v>577</v>
      </c>
      <c r="AB404" s="101" t="s">
        <v>578</v>
      </c>
      <c r="AC404" s="101" t="s">
        <v>579</v>
      </c>
      <c r="AD404" s="101" t="s">
        <v>580</v>
      </c>
      <c r="AE404" s="101" t="s">
        <v>581</v>
      </c>
      <c r="AF404" s="101" t="s">
        <v>582</v>
      </c>
      <c r="AG404" s="101" t="s">
        <v>583</v>
      </c>
      <c r="AH404" s="101" t="s">
        <v>584</v>
      </c>
      <c r="AI404" s="101" t="s">
        <v>585</v>
      </c>
    </row>
    <row r="405" spans="10:36" x14ac:dyDescent="0.2">
      <c r="J405" s="101" t="s">
        <v>30</v>
      </c>
      <c r="K405" s="101" t="s">
        <v>1292</v>
      </c>
      <c r="L405" s="101" t="s">
        <v>816</v>
      </c>
      <c r="M405" s="101" t="s">
        <v>1293</v>
      </c>
      <c r="N405" s="189">
        <v>12470</v>
      </c>
      <c r="O405" s="101" t="s">
        <v>568</v>
      </c>
      <c r="P405" s="101" t="s">
        <v>569</v>
      </c>
      <c r="Q405" s="101" t="s">
        <v>570</v>
      </c>
      <c r="R405" s="101" t="s">
        <v>571</v>
      </c>
      <c r="S405" s="101" t="s">
        <v>572</v>
      </c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</row>
    <row r="406" spans="10:36" x14ac:dyDescent="0.2">
      <c r="J406" s="101" t="s">
        <v>30</v>
      </c>
      <c r="K406" s="101" t="s">
        <v>1294</v>
      </c>
      <c r="L406" s="101" t="s">
        <v>816</v>
      </c>
      <c r="M406" s="101" t="s">
        <v>1295</v>
      </c>
      <c r="N406" s="189">
        <v>12430</v>
      </c>
      <c r="O406" s="101" t="s">
        <v>568</v>
      </c>
      <c r="P406" s="101" t="s">
        <v>569</v>
      </c>
      <c r="Q406" s="101" t="s">
        <v>570</v>
      </c>
      <c r="R406" s="101" t="s">
        <v>571</v>
      </c>
      <c r="S406" s="101" t="s">
        <v>572</v>
      </c>
      <c r="T406" s="101" t="s">
        <v>573</v>
      </c>
      <c r="U406" s="101"/>
      <c r="V406" s="101"/>
      <c r="W406" s="101"/>
      <c r="X406" s="101" t="s">
        <v>575</v>
      </c>
      <c r="Y406" s="101"/>
      <c r="Z406" s="101" t="s">
        <v>576</v>
      </c>
      <c r="AA406" s="101" t="s">
        <v>577</v>
      </c>
      <c r="AB406" s="101" t="s">
        <v>578</v>
      </c>
      <c r="AC406" s="101" t="s">
        <v>579</v>
      </c>
      <c r="AD406" s="101" t="s">
        <v>580</v>
      </c>
      <c r="AE406" s="101" t="s">
        <v>581</v>
      </c>
      <c r="AF406" s="101" t="s">
        <v>582</v>
      </c>
      <c r="AG406" s="101" t="s">
        <v>583</v>
      </c>
      <c r="AH406" s="101" t="s">
        <v>584</v>
      </c>
      <c r="AI406" s="101" t="s">
        <v>585</v>
      </c>
      <c r="AJ406" s="101" t="s">
        <v>2362</v>
      </c>
    </row>
    <row r="407" spans="10:36" x14ac:dyDescent="0.2">
      <c r="J407" s="101" t="s">
        <v>30</v>
      </c>
      <c r="K407" s="101" t="s">
        <v>1296</v>
      </c>
      <c r="L407" s="101" t="s">
        <v>816</v>
      </c>
      <c r="M407" s="101" t="s">
        <v>1297</v>
      </c>
      <c r="N407" s="189">
        <v>11960</v>
      </c>
      <c r="O407" s="101" t="s">
        <v>568</v>
      </c>
      <c r="P407" s="101" t="s">
        <v>569</v>
      </c>
      <c r="Q407" s="101" t="s">
        <v>570</v>
      </c>
      <c r="R407" s="101" t="s">
        <v>571</v>
      </c>
      <c r="S407" s="101" t="s">
        <v>572</v>
      </c>
      <c r="T407" s="101" t="s">
        <v>573</v>
      </c>
      <c r="U407" s="101"/>
      <c r="V407" s="101"/>
      <c r="W407" s="101" t="s">
        <v>574</v>
      </c>
      <c r="X407" s="101" t="s">
        <v>575</v>
      </c>
      <c r="Y407" s="101"/>
      <c r="Z407" s="101" t="s">
        <v>576</v>
      </c>
      <c r="AA407" s="101" t="s">
        <v>577</v>
      </c>
      <c r="AB407" s="101" t="s">
        <v>578</v>
      </c>
      <c r="AC407" s="101" t="s">
        <v>579</v>
      </c>
      <c r="AD407" s="101" t="s">
        <v>580</v>
      </c>
      <c r="AE407" s="101" t="s">
        <v>581</v>
      </c>
      <c r="AF407" s="101" t="s">
        <v>582</v>
      </c>
      <c r="AG407" s="101" t="s">
        <v>583</v>
      </c>
      <c r="AH407" s="101" t="s">
        <v>584</v>
      </c>
      <c r="AI407" s="101" t="s">
        <v>585</v>
      </c>
    </row>
    <row r="408" spans="10:36" x14ac:dyDescent="0.2">
      <c r="J408" s="101" t="s">
        <v>30</v>
      </c>
      <c r="K408" s="101" t="s">
        <v>1298</v>
      </c>
      <c r="L408" s="101" t="s">
        <v>816</v>
      </c>
      <c r="M408" s="101" t="s">
        <v>1299</v>
      </c>
      <c r="N408" s="189">
        <v>12450</v>
      </c>
      <c r="O408" s="101" t="s">
        <v>568</v>
      </c>
      <c r="P408" s="101" t="s">
        <v>569</v>
      </c>
      <c r="Q408" s="101" t="s">
        <v>570</v>
      </c>
      <c r="R408" s="101" t="s">
        <v>571</v>
      </c>
      <c r="S408" s="101" t="s">
        <v>572</v>
      </c>
      <c r="T408" s="101" t="s">
        <v>573</v>
      </c>
      <c r="U408" s="101"/>
      <c r="V408" s="101"/>
      <c r="W408" s="101"/>
      <c r="X408" s="101" t="s">
        <v>575</v>
      </c>
      <c r="Y408" s="101"/>
      <c r="Z408" s="101" t="s">
        <v>576</v>
      </c>
      <c r="AA408" s="101" t="s">
        <v>577</v>
      </c>
      <c r="AB408" s="101" t="s">
        <v>578</v>
      </c>
      <c r="AC408" s="101" t="s">
        <v>579</v>
      </c>
      <c r="AD408" s="101" t="s">
        <v>580</v>
      </c>
      <c r="AE408" s="101" t="s">
        <v>581</v>
      </c>
      <c r="AF408" s="101" t="s">
        <v>582</v>
      </c>
      <c r="AG408" s="101" t="s">
        <v>583</v>
      </c>
      <c r="AH408" s="101" t="s">
        <v>584</v>
      </c>
      <c r="AI408" s="101" t="s">
        <v>585</v>
      </c>
    </row>
    <row r="409" spans="10:36" x14ac:dyDescent="0.2">
      <c r="J409" s="101" t="s">
        <v>30</v>
      </c>
      <c r="K409" s="101" t="s">
        <v>815</v>
      </c>
      <c r="L409" s="101" t="s">
        <v>816</v>
      </c>
      <c r="M409" s="101" t="s">
        <v>817</v>
      </c>
      <c r="N409" s="189">
        <v>11990</v>
      </c>
      <c r="O409" s="101" t="s">
        <v>568</v>
      </c>
      <c r="P409" s="101" t="s">
        <v>569</v>
      </c>
      <c r="Q409" s="101" t="s">
        <v>570</v>
      </c>
      <c r="R409" s="101" t="s">
        <v>571</v>
      </c>
      <c r="S409" s="101" t="s">
        <v>572</v>
      </c>
      <c r="T409" s="101" t="s">
        <v>573</v>
      </c>
      <c r="U409" s="101"/>
      <c r="V409" s="101"/>
      <c r="W409" s="101" t="s">
        <v>574</v>
      </c>
      <c r="X409" s="101" t="s">
        <v>575</v>
      </c>
      <c r="Y409" s="101"/>
      <c r="Z409" s="101" t="s">
        <v>576</v>
      </c>
      <c r="AA409" s="101" t="s">
        <v>577</v>
      </c>
      <c r="AB409" s="101" t="s">
        <v>578</v>
      </c>
      <c r="AC409" s="101" t="s">
        <v>579</v>
      </c>
      <c r="AD409" s="101" t="s">
        <v>580</v>
      </c>
      <c r="AE409" s="101" t="s">
        <v>581</v>
      </c>
      <c r="AF409" s="101" t="s">
        <v>582</v>
      </c>
      <c r="AG409" s="101"/>
      <c r="AH409" s="101"/>
      <c r="AI409" s="101"/>
    </row>
    <row r="410" spans="10:36" x14ac:dyDescent="0.2">
      <c r="J410" s="101" t="s">
        <v>30</v>
      </c>
      <c r="K410" s="101" t="s">
        <v>896</v>
      </c>
      <c r="L410" s="101" t="s">
        <v>816</v>
      </c>
      <c r="M410" s="101" t="s">
        <v>897</v>
      </c>
      <c r="N410" s="189">
        <v>12450</v>
      </c>
      <c r="O410" s="101" t="s">
        <v>568</v>
      </c>
      <c r="P410" s="101" t="s">
        <v>569</v>
      </c>
      <c r="Q410" s="101" t="s">
        <v>570</v>
      </c>
      <c r="R410" s="101" t="s">
        <v>571</v>
      </c>
      <c r="S410" s="101" t="s">
        <v>572</v>
      </c>
      <c r="T410" s="101" t="s">
        <v>573</v>
      </c>
      <c r="U410" s="101"/>
      <c r="V410" s="101"/>
      <c r="W410" s="101" t="s">
        <v>574</v>
      </c>
      <c r="X410" s="101" t="s">
        <v>575</v>
      </c>
      <c r="Y410" s="101"/>
      <c r="Z410" s="101" t="s">
        <v>576</v>
      </c>
      <c r="AA410" s="101"/>
      <c r="AB410" s="101"/>
      <c r="AC410" s="101"/>
      <c r="AD410" s="101"/>
      <c r="AE410" s="101"/>
      <c r="AF410" s="101"/>
      <c r="AG410" s="101"/>
      <c r="AH410" s="101"/>
      <c r="AI410" s="101"/>
    </row>
    <row r="411" spans="10:36" x14ac:dyDescent="0.2">
      <c r="J411" s="101" t="s">
        <v>30</v>
      </c>
      <c r="K411" s="101" t="s">
        <v>1300</v>
      </c>
      <c r="L411" s="101" t="s">
        <v>816</v>
      </c>
      <c r="M411" s="101" t="s">
        <v>1301</v>
      </c>
      <c r="N411" s="189">
        <v>12420</v>
      </c>
      <c r="O411" s="101" t="s">
        <v>568</v>
      </c>
      <c r="P411" s="101" t="s">
        <v>569</v>
      </c>
      <c r="Q411" s="101" t="s">
        <v>570</v>
      </c>
      <c r="R411" s="101" t="s">
        <v>571</v>
      </c>
      <c r="S411" s="101" t="s">
        <v>572</v>
      </c>
      <c r="T411" s="101" t="s">
        <v>573</v>
      </c>
      <c r="U411" s="101"/>
      <c r="V411" s="101"/>
      <c r="W411" s="101"/>
      <c r="X411" s="101" t="s">
        <v>575</v>
      </c>
      <c r="Y411" s="101"/>
      <c r="Z411" s="101" t="s">
        <v>576</v>
      </c>
      <c r="AA411" s="101" t="s">
        <v>577</v>
      </c>
      <c r="AB411" s="101" t="s">
        <v>578</v>
      </c>
      <c r="AC411" s="101" t="s">
        <v>579</v>
      </c>
      <c r="AD411" s="101" t="s">
        <v>580</v>
      </c>
      <c r="AE411" s="101" t="s">
        <v>581</v>
      </c>
      <c r="AF411" s="101" t="s">
        <v>582</v>
      </c>
      <c r="AG411" s="101" t="s">
        <v>583</v>
      </c>
      <c r="AH411" s="101" t="s">
        <v>584</v>
      </c>
      <c r="AI411" s="101" t="s">
        <v>585</v>
      </c>
    </row>
    <row r="412" spans="10:36" x14ac:dyDescent="0.2">
      <c r="J412" s="101" t="s">
        <v>30</v>
      </c>
      <c r="K412" s="101" t="s">
        <v>1302</v>
      </c>
      <c r="L412" s="101" t="s">
        <v>816</v>
      </c>
      <c r="M412" s="101" t="s">
        <v>1303</v>
      </c>
      <c r="N412" s="189">
        <v>12460</v>
      </c>
      <c r="O412" s="101" t="s">
        <v>568</v>
      </c>
      <c r="P412" s="101" t="s">
        <v>569</v>
      </c>
      <c r="Q412" s="101" t="s">
        <v>570</v>
      </c>
      <c r="R412" s="101" t="s">
        <v>571</v>
      </c>
      <c r="S412" s="101" t="s">
        <v>572</v>
      </c>
      <c r="T412" s="101" t="s">
        <v>573</v>
      </c>
      <c r="U412" s="101"/>
      <c r="V412" s="101"/>
      <c r="W412" s="101" t="s">
        <v>574</v>
      </c>
      <c r="X412" s="101" t="s">
        <v>575</v>
      </c>
      <c r="Y412" s="101"/>
      <c r="Z412" s="101" t="s">
        <v>576</v>
      </c>
      <c r="AA412" s="101" t="s">
        <v>577</v>
      </c>
      <c r="AB412" s="101" t="s">
        <v>578</v>
      </c>
      <c r="AC412" s="101" t="s">
        <v>579</v>
      </c>
      <c r="AD412" s="101" t="s">
        <v>580</v>
      </c>
      <c r="AE412" s="101" t="s">
        <v>581</v>
      </c>
      <c r="AF412" s="101" t="s">
        <v>582</v>
      </c>
      <c r="AG412" s="101"/>
      <c r="AH412" s="101"/>
      <c r="AI412" s="101"/>
    </row>
    <row r="413" spans="10:36" x14ac:dyDescent="0.2">
      <c r="J413" s="101" t="s">
        <v>30</v>
      </c>
      <c r="K413" s="101" t="s">
        <v>1304</v>
      </c>
      <c r="L413" s="101" t="s">
        <v>816</v>
      </c>
      <c r="M413" s="101" t="s">
        <v>1305</v>
      </c>
      <c r="N413" s="189">
        <v>12470</v>
      </c>
      <c r="O413" s="101" t="s">
        <v>568</v>
      </c>
      <c r="P413" s="101" t="s">
        <v>569</v>
      </c>
      <c r="Q413" s="101" t="s">
        <v>570</v>
      </c>
      <c r="R413" s="101" t="s">
        <v>571</v>
      </c>
      <c r="S413" s="101" t="s">
        <v>572</v>
      </c>
      <c r="T413" s="101" t="s">
        <v>573</v>
      </c>
      <c r="U413" s="101"/>
      <c r="V413" s="101"/>
      <c r="W413" s="101"/>
      <c r="X413" s="101" t="s">
        <v>575</v>
      </c>
      <c r="Y413" s="101"/>
      <c r="Z413" s="101" t="s">
        <v>576</v>
      </c>
      <c r="AA413" s="101" t="s">
        <v>577</v>
      </c>
      <c r="AB413" s="101" t="s">
        <v>578</v>
      </c>
      <c r="AC413" s="101" t="s">
        <v>579</v>
      </c>
      <c r="AD413" s="101" t="s">
        <v>580</v>
      </c>
      <c r="AE413" s="101" t="s">
        <v>581</v>
      </c>
      <c r="AF413" s="101" t="s">
        <v>582</v>
      </c>
      <c r="AG413" s="101"/>
      <c r="AH413" s="101"/>
      <c r="AI413" s="101"/>
    </row>
    <row r="414" spans="10:36" x14ac:dyDescent="0.2">
      <c r="J414" s="101" t="s">
        <v>30</v>
      </c>
      <c r="K414" s="101" t="s">
        <v>1306</v>
      </c>
      <c r="L414" s="101" t="s">
        <v>816</v>
      </c>
      <c r="M414" s="101" t="s">
        <v>1307</v>
      </c>
      <c r="N414" s="189">
        <v>12430</v>
      </c>
      <c r="O414" s="101" t="s">
        <v>568</v>
      </c>
      <c r="P414" s="101" t="s">
        <v>569</v>
      </c>
      <c r="Q414" s="101" t="s">
        <v>570</v>
      </c>
      <c r="R414" s="101" t="s">
        <v>571</v>
      </c>
      <c r="S414" s="101" t="s">
        <v>572</v>
      </c>
      <c r="T414" s="101" t="s">
        <v>573</v>
      </c>
      <c r="U414" s="101"/>
      <c r="V414" s="101"/>
      <c r="W414" s="101"/>
      <c r="X414" s="101" t="s">
        <v>575</v>
      </c>
      <c r="Y414" s="101"/>
      <c r="Z414" s="101" t="s">
        <v>576</v>
      </c>
      <c r="AA414" s="101" t="s">
        <v>577</v>
      </c>
      <c r="AB414" s="101" t="s">
        <v>578</v>
      </c>
      <c r="AC414" s="101" t="s">
        <v>579</v>
      </c>
      <c r="AD414" s="101" t="s">
        <v>580</v>
      </c>
      <c r="AE414" s="101" t="s">
        <v>581</v>
      </c>
      <c r="AF414" s="101" t="s">
        <v>582</v>
      </c>
      <c r="AG414" s="101" t="s">
        <v>583</v>
      </c>
      <c r="AH414" s="101" t="s">
        <v>584</v>
      </c>
      <c r="AI414" s="101" t="s">
        <v>585</v>
      </c>
      <c r="AJ414" s="101" t="s">
        <v>2362</v>
      </c>
    </row>
    <row r="415" spans="10:36" x14ac:dyDescent="0.2">
      <c r="J415" s="101" t="s">
        <v>30</v>
      </c>
      <c r="K415" s="101" t="s">
        <v>1308</v>
      </c>
      <c r="L415" s="101" t="s">
        <v>816</v>
      </c>
      <c r="M415" s="101" t="s">
        <v>1309</v>
      </c>
      <c r="N415" s="189">
        <v>12460</v>
      </c>
      <c r="O415" s="101" t="s">
        <v>568</v>
      </c>
      <c r="P415" s="101" t="s">
        <v>569</v>
      </c>
      <c r="Q415" s="101" t="s">
        <v>570</v>
      </c>
      <c r="R415" s="101" t="s">
        <v>571</v>
      </c>
      <c r="S415" s="101" t="s">
        <v>572</v>
      </c>
      <c r="T415" s="101" t="s">
        <v>573</v>
      </c>
      <c r="U415" s="101"/>
      <c r="V415" s="101"/>
      <c r="W415" s="101" t="s">
        <v>574</v>
      </c>
      <c r="X415" s="101" t="s">
        <v>575</v>
      </c>
      <c r="Y415" s="101"/>
      <c r="Z415" s="101" t="s">
        <v>576</v>
      </c>
      <c r="AA415" s="101" t="s">
        <v>577</v>
      </c>
      <c r="AB415" s="101" t="s">
        <v>578</v>
      </c>
      <c r="AC415" s="101" t="s">
        <v>579</v>
      </c>
      <c r="AD415" s="101" t="s">
        <v>580</v>
      </c>
      <c r="AE415" s="101" t="s">
        <v>581</v>
      </c>
      <c r="AF415" s="101" t="s">
        <v>582</v>
      </c>
      <c r="AG415" s="101"/>
      <c r="AH415" s="101"/>
      <c r="AI415" s="101"/>
    </row>
    <row r="416" spans="10:36" x14ac:dyDescent="0.2">
      <c r="J416" s="101" t="s">
        <v>30</v>
      </c>
      <c r="K416" s="101" t="s">
        <v>1310</v>
      </c>
      <c r="L416" s="101" t="s">
        <v>816</v>
      </c>
      <c r="M416" s="101" t="s">
        <v>1311</v>
      </c>
      <c r="N416" s="189">
        <v>12320</v>
      </c>
      <c r="O416" s="101" t="s">
        <v>568</v>
      </c>
      <c r="P416" s="101" t="s">
        <v>569</v>
      </c>
      <c r="Q416" s="101" t="s">
        <v>570</v>
      </c>
      <c r="R416" s="101" t="s">
        <v>571</v>
      </c>
      <c r="S416" s="101" t="s">
        <v>572</v>
      </c>
      <c r="T416" s="101" t="s">
        <v>573</v>
      </c>
      <c r="U416" s="101"/>
      <c r="V416" s="101"/>
      <c r="W416" s="101" t="s">
        <v>574</v>
      </c>
      <c r="X416" s="101" t="s">
        <v>575</v>
      </c>
      <c r="Y416" s="101"/>
      <c r="Z416" s="101" t="s">
        <v>576</v>
      </c>
      <c r="AA416" s="101" t="s">
        <v>577</v>
      </c>
      <c r="AB416" s="101" t="s">
        <v>578</v>
      </c>
      <c r="AC416" s="101" t="s">
        <v>579</v>
      </c>
      <c r="AD416" s="101" t="s">
        <v>580</v>
      </c>
      <c r="AE416" s="101" t="s">
        <v>581</v>
      </c>
      <c r="AF416" s="101" t="s">
        <v>582</v>
      </c>
      <c r="AG416" s="101"/>
      <c r="AH416" s="101"/>
      <c r="AI416" s="101"/>
    </row>
    <row r="417" spans="10:36" x14ac:dyDescent="0.2">
      <c r="J417" s="101" t="s">
        <v>30</v>
      </c>
      <c r="K417" s="101" t="s">
        <v>1312</v>
      </c>
      <c r="L417" s="101" t="s">
        <v>816</v>
      </c>
      <c r="M417" s="101" t="s">
        <v>1313</v>
      </c>
      <c r="N417" s="189">
        <v>12370</v>
      </c>
      <c r="O417" s="101" t="s">
        <v>568</v>
      </c>
      <c r="P417" s="101" t="s">
        <v>569</v>
      </c>
      <c r="Q417" s="101" t="s">
        <v>570</v>
      </c>
      <c r="R417" s="101" t="s">
        <v>571</v>
      </c>
      <c r="S417" s="101" t="s">
        <v>572</v>
      </c>
      <c r="T417" s="101" t="s">
        <v>573</v>
      </c>
      <c r="U417" s="101"/>
      <c r="V417" s="101"/>
      <c r="W417" s="101" t="s">
        <v>574</v>
      </c>
      <c r="X417" s="101" t="s">
        <v>575</v>
      </c>
      <c r="Y417" s="101"/>
      <c r="Z417" s="101" t="s">
        <v>576</v>
      </c>
      <c r="AA417" s="101" t="s">
        <v>577</v>
      </c>
      <c r="AB417" s="101" t="s">
        <v>578</v>
      </c>
      <c r="AC417" s="101" t="s">
        <v>579</v>
      </c>
      <c r="AD417" s="101" t="s">
        <v>580</v>
      </c>
      <c r="AE417" s="101" t="s">
        <v>581</v>
      </c>
      <c r="AF417" s="101" t="s">
        <v>582</v>
      </c>
      <c r="AG417" s="101"/>
      <c r="AH417" s="101"/>
      <c r="AI417" s="101"/>
    </row>
    <row r="418" spans="10:36" x14ac:dyDescent="0.2">
      <c r="J418" s="101" t="s">
        <v>30</v>
      </c>
      <c r="K418" s="101" t="s">
        <v>1314</v>
      </c>
      <c r="L418" s="101" t="s">
        <v>816</v>
      </c>
      <c r="M418" s="101" t="s">
        <v>1315</v>
      </c>
      <c r="N418" s="189">
        <v>12430</v>
      </c>
      <c r="O418" s="101" t="s">
        <v>568</v>
      </c>
      <c r="P418" s="101" t="s">
        <v>569</v>
      </c>
      <c r="Q418" s="101" t="s">
        <v>570</v>
      </c>
      <c r="R418" s="101" t="s">
        <v>571</v>
      </c>
      <c r="S418" s="101" t="s">
        <v>572</v>
      </c>
      <c r="T418" s="101" t="s">
        <v>573</v>
      </c>
      <c r="U418" s="101"/>
      <c r="V418" s="101"/>
      <c r="W418" s="101"/>
      <c r="X418" s="101" t="s">
        <v>575</v>
      </c>
      <c r="Y418" s="101"/>
      <c r="Z418" s="101" t="s">
        <v>576</v>
      </c>
      <c r="AA418" s="101" t="s">
        <v>577</v>
      </c>
      <c r="AB418" s="101" t="s">
        <v>578</v>
      </c>
      <c r="AC418" s="101" t="s">
        <v>579</v>
      </c>
      <c r="AD418" s="101" t="s">
        <v>580</v>
      </c>
      <c r="AE418" s="101" t="s">
        <v>581</v>
      </c>
      <c r="AF418" s="101" t="s">
        <v>582</v>
      </c>
      <c r="AG418" s="101" t="s">
        <v>583</v>
      </c>
      <c r="AH418" s="101" t="s">
        <v>584</v>
      </c>
      <c r="AI418" s="101" t="s">
        <v>585</v>
      </c>
    </row>
    <row r="419" spans="10:36" x14ac:dyDescent="0.2">
      <c r="J419" s="101" t="s">
        <v>30</v>
      </c>
      <c r="K419" s="101" t="s">
        <v>1316</v>
      </c>
      <c r="L419" s="101" t="s">
        <v>816</v>
      </c>
      <c r="M419" s="101" t="s">
        <v>1317</v>
      </c>
      <c r="N419" s="189">
        <v>12460</v>
      </c>
      <c r="O419" s="101" t="s">
        <v>568</v>
      </c>
      <c r="P419" s="101" t="s">
        <v>569</v>
      </c>
      <c r="Q419" s="101" t="s">
        <v>570</v>
      </c>
      <c r="R419" s="101"/>
      <c r="S419" s="101"/>
      <c r="T419" s="101"/>
      <c r="U419" s="101"/>
      <c r="V419" s="101" t="s">
        <v>2361</v>
      </c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</row>
    <row r="420" spans="10:36" x14ac:dyDescent="0.2">
      <c r="J420" s="101" t="s">
        <v>30</v>
      </c>
      <c r="K420" s="101" t="s">
        <v>1387</v>
      </c>
      <c r="L420" s="101" t="s">
        <v>1366</v>
      </c>
      <c r="M420" s="101" t="s">
        <v>1388</v>
      </c>
      <c r="N420" s="189">
        <v>12430</v>
      </c>
      <c r="O420" s="101" t="s">
        <v>568</v>
      </c>
      <c r="P420" s="101" t="s">
        <v>569</v>
      </c>
      <c r="Q420" s="101" t="s">
        <v>570</v>
      </c>
      <c r="R420" s="101" t="s">
        <v>571</v>
      </c>
      <c r="S420" s="101" t="s">
        <v>572</v>
      </c>
      <c r="T420" s="101" t="s">
        <v>573</v>
      </c>
      <c r="U420" s="101"/>
      <c r="V420" s="101"/>
      <c r="W420" s="101"/>
      <c r="X420" s="101" t="s">
        <v>575</v>
      </c>
      <c r="Y420" s="101"/>
      <c r="Z420" s="101" t="s">
        <v>576</v>
      </c>
      <c r="AA420" s="101" t="s">
        <v>577</v>
      </c>
      <c r="AB420" s="101" t="s">
        <v>578</v>
      </c>
      <c r="AC420" s="101" t="s">
        <v>579</v>
      </c>
      <c r="AD420" s="101" t="s">
        <v>580</v>
      </c>
      <c r="AE420" s="101" t="s">
        <v>581</v>
      </c>
      <c r="AF420" s="101" t="s">
        <v>582</v>
      </c>
      <c r="AG420" s="101" t="s">
        <v>583</v>
      </c>
      <c r="AH420" s="101" t="s">
        <v>584</v>
      </c>
      <c r="AI420" s="101" t="s">
        <v>585</v>
      </c>
    </row>
    <row r="421" spans="10:36" x14ac:dyDescent="0.2">
      <c r="J421" s="101" t="s">
        <v>30</v>
      </c>
      <c r="K421" s="101" t="s">
        <v>1389</v>
      </c>
      <c r="L421" s="101" t="s">
        <v>1366</v>
      </c>
      <c r="M421" s="101" t="s">
        <v>1390</v>
      </c>
      <c r="N421" s="189">
        <v>12430</v>
      </c>
      <c r="O421" s="101" t="s">
        <v>568</v>
      </c>
      <c r="P421" s="101" t="s">
        <v>569</v>
      </c>
      <c r="Q421" s="101" t="s">
        <v>570</v>
      </c>
      <c r="R421" s="101" t="s">
        <v>571</v>
      </c>
      <c r="S421" s="101" t="s">
        <v>572</v>
      </c>
      <c r="T421" s="101" t="s">
        <v>573</v>
      </c>
      <c r="U421" s="101"/>
      <c r="V421" s="101"/>
      <c r="W421" s="101" t="s">
        <v>574</v>
      </c>
      <c r="X421" s="101" t="s">
        <v>575</v>
      </c>
      <c r="Y421" s="101"/>
      <c r="Z421" s="101" t="s">
        <v>576</v>
      </c>
      <c r="AA421" s="101" t="s">
        <v>577</v>
      </c>
      <c r="AB421" s="101" t="s">
        <v>578</v>
      </c>
      <c r="AC421" s="101" t="s">
        <v>579</v>
      </c>
      <c r="AD421" s="101" t="s">
        <v>580</v>
      </c>
      <c r="AE421" s="101" t="s">
        <v>581</v>
      </c>
      <c r="AF421" s="101" t="s">
        <v>582</v>
      </c>
      <c r="AG421" s="101" t="s">
        <v>583</v>
      </c>
      <c r="AH421" s="101" t="s">
        <v>584</v>
      </c>
      <c r="AI421" s="101" t="s">
        <v>585</v>
      </c>
      <c r="AJ421" s="101" t="s">
        <v>2362</v>
      </c>
    </row>
    <row r="422" spans="10:36" x14ac:dyDescent="0.2">
      <c r="J422" s="101" t="s">
        <v>30</v>
      </c>
      <c r="K422" s="101" t="s">
        <v>1391</v>
      </c>
      <c r="L422" s="101" t="s">
        <v>1366</v>
      </c>
      <c r="M422" s="101" t="s">
        <v>1392</v>
      </c>
      <c r="N422" s="189">
        <v>12430</v>
      </c>
      <c r="O422" s="101" t="s">
        <v>568</v>
      </c>
      <c r="P422" s="101" t="s">
        <v>569</v>
      </c>
      <c r="Q422" s="101" t="s">
        <v>570</v>
      </c>
      <c r="R422" s="101" t="s">
        <v>571</v>
      </c>
      <c r="S422" s="101" t="s">
        <v>572</v>
      </c>
      <c r="T422" s="101" t="s">
        <v>573</v>
      </c>
      <c r="U422" s="101"/>
      <c r="V422" s="101"/>
      <c r="W422" s="101"/>
      <c r="X422" s="101" t="s">
        <v>575</v>
      </c>
      <c r="Y422" s="101"/>
      <c r="Z422" s="101" t="s">
        <v>576</v>
      </c>
      <c r="AA422" s="101" t="s">
        <v>577</v>
      </c>
      <c r="AB422" s="101" t="s">
        <v>578</v>
      </c>
      <c r="AC422" s="101" t="s">
        <v>579</v>
      </c>
      <c r="AD422" s="101" t="s">
        <v>580</v>
      </c>
      <c r="AE422" s="101" t="s">
        <v>581</v>
      </c>
      <c r="AF422" s="101" t="s">
        <v>582</v>
      </c>
      <c r="AG422" s="101" t="s">
        <v>583</v>
      </c>
      <c r="AH422" s="101" t="s">
        <v>584</v>
      </c>
      <c r="AI422" s="101" t="s">
        <v>585</v>
      </c>
      <c r="AJ422" s="101" t="s">
        <v>2362</v>
      </c>
    </row>
    <row r="423" spans="10:36" x14ac:dyDescent="0.2">
      <c r="J423" s="101" t="s">
        <v>30</v>
      </c>
      <c r="K423" s="101" t="s">
        <v>1393</v>
      </c>
      <c r="L423" s="101" t="s">
        <v>1394</v>
      </c>
      <c r="M423" s="101" t="s">
        <v>1395</v>
      </c>
      <c r="N423" s="189">
        <v>12090</v>
      </c>
      <c r="O423" s="101" t="s">
        <v>568</v>
      </c>
      <c r="P423" s="101" t="s">
        <v>569</v>
      </c>
      <c r="Q423" s="101" t="s">
        <v>570</v>
      </c>
      <c r="R423" s="101" t="s">
        <v>571</v>
      </c>
      <c r="S423" s="101" t="s">
        <v>572</v>
      </c>
      <c r="T423" s="101" t="s">
        <v>573</v>
      </c>
      <c r="U423" s="101"/>
      <c r="V423" s="101"/>
      <c r="W423" s="101"/>
      <c r="X423" s="101" t="s">
        <v>575</v>
      </c>
      <c r="Y423" s="101"/>
      <c r="Z423" s="101" t="s">
        <v>576</v>
      </c>
      <c r="AA423" s="101" t="s">
        <v>577</v>
      </c>
      <c r="AB423" s="101" t="s">
        <v>578</v>
      </c>
      <c r="AC423" s="101" t="s">
        <v>579</v>
      </c>
      <c r="AD423" s="101" t="s">
        <v>580</v>
      </c>
      <c r="AE423" s="101" t="s">
        <v>581</v>
      </c>
      <c r="AF423" s="101" t="s">
        <v>582</v>
      </c>
      <c r="AG423" s="101" t="s">
        <v>583</v>
      </c>
      <c r="AH423" s="101" t="s">
        <v>584</v>
      </c>
      <c r="AI423" s="101" t="s">
        <v>585</v>
      </c>
    </row>
    <row r="424" spans="10:36" x14ac:dyDescent="0.2">
      <c r="J424" s="101" t="s">
        <v>30</v>
      </c>
      <c r="K424" s="101" t="s">
        <v>1396</v>
      </c>
      <c r="L424" s="101" t="s">
        <v>1366</v>
      </c>
      <c r="M424" s="101" t="s">
        <v>1397</v>
      </c>
      <c r="N424" s="189">
        <v>12420</v>
      </c>
      <c r="O424" s="101" t="s">
        <v>568</v>
      </c>
      <c r="P424" s="101" t="s">
        <v>569</v>
      </c>
      <c r="Q424" s="101" t="s">
        <v>570</v>
      </c>
      <c r="R424" s="101" t="s">
        <v>571</v>
      </c>
      <c r="S424" s="101" t="s">
        <v>572</v>
      </c>
      <c r="T424" s="101" t="s">
        <v>573</v>
      </c>
      <c r="U424" s="101"/>
      <c r="V424" s="101"/>
      <c r="W424" s="101"/>
      <c r="X424" s="101" t="s">
        <v>575</v>
      </c>
      <c r="Y424" s="101"/>
      <c r="Z424" s="101" t="s">
        <v>576</v>
      </c>
      <c r="AA424" s="101" t="s">
        <v>577</v>
      </c>
      <c r="AB424" s="101" t="s">
        <v>578</v>
      </c>
      <c r="AC424" s="101" t="s">
        <v>579</v>
      </c>
      <c r="AD424" s="101" t="s">
        <v>580</v>
      </c>
      <c r="AE424" s="101" t="s">
        <v>581</v>
      </c>
      <c r="AF424" s="101" t="s">
        <v>582</v>
      </c>
      <c r="AG424" s="101" t="s">
        <v>583</v>
      </c>
      <c r="AH424" s="101" t="s">
        <v>584</v>
      </c>
      <c r="AI424" s="101" t="s">
        <v>585</v>
      </c>
    </row>
    <row r="425" spans="10:36" x14ac:dyDescent="0.2">
      <c r="J425" s="101" t="s">
        <v>30</v>
      </c>
      <c r="K425" s="101" t="s">
        <v>1398</v>
      </c>
      <c r="L425" s="101" t="s">
        <v>1394</v>
      </c>
      <c r="M425" s="101" t="s">
        <v>1399</v>
      </c>
      <c r="N425" s="189">
        <v>12470</v>
      </c>
      <c r="O425" s="101" t="s">
        <v>568</v>
      </c>
      <c r="P425" s="101" t="s">
        <v>569</v>
      </c>
      <c r="Q425" s="101" t="s">
        <v>570</v>
      </c>
      <c r="R425" s="101" t="s">
        <v>571</v>
      </c>
      <c r="S425" s="101" t="s">
        <v>572</v>
      </c>
      <c r="T425" s="101" t="s">
        <v>573</v>
      </c>
      <c r="U425" s="101"/>
      <c r="V425" s="101"/>
      <c r="W425" s="101"/>
      <c r="X425" s="101" t="s">
        <v>575</v>
      </c>
      <c r="Y425" s="101"/>
      <c r="Z425" s="101" t="s">
        <v>576</v>
      </c>
      <c r="AA425" s="101"/>
      <c r="AB425" s="101"/>
      <c r="AC425" s="101"/>
      <c r="AD425" s="101"/>
      <c r="AE425" s="101"/>
      <c r="AF425" s="101"/>
      <c r="AG425" s="101"/>
      <c r="AH425" s="101"/>
      <c r="AI425" s="101"/>
    </row>
    <row r="426" spans="10:36" x14ac:dyDescent="0.2">
      <c r="J426" s="101" t="s">
        <v>30</v>
      </c>
      <c r="K426" s="101" t="s">
        <v>1400</v>
      </c>
      <c r="L426" s="101" t="s">
        <v>1394</v>
      </c>
      <c r="M426" s="101" t="s">
        <v>1401</v>
      </c>
      <c r="N426" s="189">
        <v>11960</v>
      </c>
      <c r="O426" s="101" t="s">
        <v>568</v>
      </c>
      <c r="P426" s="101" t="s">
        <v>569</v>
      </c>
      <c r="Q426" s="101" t="s">
        <v>570</v>
      </c>
      <c r="R426" s="101" t="s">
        <v>571</v>
      </c>
      <c r="S426" s="101" t="s">
        <v>572</v>
      </c>
      <c r="T426" s="101" t="s">
        <v>573</v>
      </c>
      <c r="U426" s="101"/>
      <c r="V426" s="101"/>
      <c r="W426" s="101"/>
      <c r="X426" s="101" t="s">
        <v>575</v>
      </c>
      <c r="Y426" s="101"/>
      <c r="Z426" s="101" t="s">
        <v>576</v>
      </c>
      <c r="AA426" s="101" t="s">
        <v>577</v>
      </c>
      <c r="AB426" s="101" t="s">
        <v>578</v>
      </c>
      <c r="AC426" s="101" t="s">
        <v>579</v>
      </c>
      <c r="AD426" s="101" t="s">
        <v>580</v>
      </c>
      <c r="AE426" s="101" t="s">
        <v>581</v>
      </c>
      <c r="AF426" s="101" t="s">
        <v>582</v>
      </c>
      <c r="AG426" s="101" t="s">
        <v>583</v>
      </c>
      <c r="AH426" s="101" t="s">
        <v>584</v>
      </c>
      <c r="AI426" s="101" t="s">
        <v>585</v>
      </c>
    </row>
    <row r="427" spans="10:36" x14ac:dyDescent="0.2">
      <c r="J427" s="101" t="s">
        <v>30</v>
      </c>
      <c r="K427" s="101" t="s">
        <v>1402</v>
      </c>
      <c r="L427" s="101" t="s">
        <v>1394</v>
      </c>
      <c r="M427" s="101" t="s">
        <v>1403</v>
      </c>
      <c r="N427" s="189">
        <v>12310</v>
      </c>
      <c r="O427" s="101" t="s">
        <v>568</v>
      </c>
      <c r="P427" s="101" t="s">
        <v>569</v>
      </c>
      <c r="Q427" s="101" t="s">
        <v>570</v>
      </c>
      <c r="R427" s="101" t="s">
        <v>571</v>
      </c>
      <c r="S427" s="101" t="s">
        <v>572</v>
      </c>
      <c r="T427" s="101" t="s">
        <v>573</v>
      </c>
      <c r="U427" s="101"/>
      <c r="V427" s="101"/>
      <c r="W427" s="101"/>
      <c r="X427" s="101" t="s">
        <v>575</v>
      </c>
      <c r="Y427" s="101"/>
      <c r="Z427" s="101" t="s">
        <v>576</v>
      </c>
      <c r="AA427" s="101" t="s">
        <v>577</v>
      </c>
      <c r="AB427" s="101" t="s">
        <v>578</v>
      </c>
      <c r="AC427" s="101" t="s">
        <v>579</v>
      </c>
      <c r="AD427" s="101" t="s">
        <v>580</v>
      </c>
      <c r="AE427" s="101" t="s">
        <v>581</v>
      </c>
      <c r="AF427" s="101" t="s">
        <v>582</v>
      </c>
      <c r="AG427" s="101" t="s">
        <v>583</v>
      </c>
      <c r="AH427" s="101" t="s">
        <v>584</v>
      </c>
      <c r="AI427" s="101" t="s">
        <v>585</v>
      </c>
    </row>
    <row r="428" spans="10:36" x14ac:dyDescent="0.2">
      <c r="J428" s="101" t="s">
        <v>30</v>
      </c>
      <c r="K428" s="101" t="s">
        <v>1404</v>
      </c>
      <c r="L428" s="101" t="s">
        <v>1394</v>
      </c>
      <c r="M428" s="101" t="s">
        <v>1405</v>
      </c>
      <c r="N428" s="189">
        <v>12420</v>
      </c>
      <c r="O428" s="101" t="s">
        <v>568</v>
      </c>
      <c r="P428" s="101" t="s">
        <v>569</v>
      </c>
      <c r="Q428" s="101" t="s">
        <v>570</v>
      </c>
      <c r="R428" s="101" t="s">
        <v>571</v>
      </c>
      <c r="S428" s="101" t="s">
        <v>572</v>
      </c>
      <c r="T428" s="101" t="s">
        <v>573</v>
      </c>
      <c r="U428" s="101"/>
      <c r="V428" s="101"/>
      <c r="W428" s="101"/>
      <c r="X428" s="101" t="s">
        <v>575</v>
      </c>
      <c r="Y428" s="101"/>
      <c r="Z428" s="101" t="s">
        <v>576</v>
      </c>
      <c r="AA428" s="101" t="s">
        <v>577</v>
      </c>
      <c r="AB428" s="101" t="s">
        <v>578</v>
      </c>
      <c r="AC428" s="101" t="s">
        <v>579</v>
      </c>
      <c r="AD428" s="101" t="s">
        <v>580</v>
      </c>
      <c r="AE428" s="101" t="s">
        <v>581</v>
      </c>
      <c r="AF428" s="101" t="s">
        <v>582</v>
      </c>
      <c r="AG428" s="101" t="s">
        <v>583</v>
      </c>
      <c r="AH428" s="101" t="s">
        <v>584</v>
      </c>
      <c r="AI428" s="101" t="s">
        <v>585</v>
      </c>
    </row>
    <row r="429" spans="10:36" x14ac:dyDescent="0.2">
      <c r="J429" s="101" t="s">
        <v>30</v>
      </c>
      <c r="K429" s="101" t="s">
        <v>1406</v>
      </c>
      <c r="L429" s="101" t="s">
        <v>1394</v>
      </c>
      <c r="M429" s="101" t="s">
        <v>1407</v>
      </c>
      <c r="N429" s="189">
        <v>12310</v>
      </c>
      <c r="O429" s="101" t="s">
        <v>568</v>
      </c>
      <c r="P429" s="101" t="s">
        <v>569</v>
      </c>
      <c r="Q429" s="101" t="s">
        <v>570</v>
      </c>
      <c r="R429" s="101" t="s">
        <v>571</v>
      </c>
      <c r="S429" s="101" t="s">
        <v>572</v>
      </c>
      <c r="T429" s="101" t="s">
        <v>573</v>
      </c>
      <c r="U429" s="101"/>
      <c r="V429" s="101"/>
      <c r="W429" s="101"/>
      <c r="X429" s="101" t="s">
        <v>575</v>
      </c>
      <c r="Y429" s="101"/>
      <c r="Z429" s="101" t="s">
        <v>576</v>
      </c>
      <c r="AA429" s="101" t="s">
        <v>577</v>
      </c>
      <c r="AB429" s="101" t="s">
        <v>578</v>
      </c>
      <c r="AC429" s="101" t="s">
        <v>579</v>
      </c>
      <c r="AD429" s="101" t="s">
        <v>580</v>
      </c>
      <c r="AE429" s="101" t="s">
        <v>581</v>
      </c>
      <c r="AF429" s="101" t="s">
        <v>582</v>
      </c>
      <c r="AG429" s="101" t="s">
        <v>583</v>
      </c>
      <c r="AH429" s="101" t="s">
        <v>584</v>
      </c>
      <c r="AI429" s="101" t="s">
        <v>585</v>
      </c>
    </row>
    <row r="430" spans="10:36" x14ac:dyDescent="0.2">
      <c r="J430" s="101" t="s">
        <v>30</v>
      </c>
      <c r="K430" s="101" t="s">
        <v>1408</v>
      </c>
      <c r="L430" s="101" t="s">
        <v>1394</v>
      </c>
      <c r="M430" s="101" t="s">
        <v>1409</v>
      </c>
      <c r="N430" s="189">
        <v>12450</v>
      </c>
      <c r="O430" s="101" t="s">
        <v>568</v>
      </c>
      <c r="P430" s="101" t="s">
        <v>569</v>
      </c>
      <c r="Q430" s="101" t="s">
        <v>570</v>
      </c>
      <c r="R430" s="101" t="s">
        <v>571</v>
      </c>
      <c r="S430" s="101" t="s">
        <v>572</v>
      </c>
      <c r="T430" s="101" t="s">
        <v>573</v>
      </c>
      <c r="U430" s="101"/>
      <c r="V430" s="101"/>
      <c r="W430" s="101" t="s">
        <v>574</v>
      </c>
      <c r="X430" s="101" t="s">
        <v>575</v>
      </c>
      <c r="Y430" s="101"/>
      <c r="Z430" s="101" t="s">
        <v>576</v>
      </c>
      <c r="AA430" s="101" t="s">
        <v>577</v>
      </c>
      <c r="AB430" s="101" t="s">
        <v>578</v>
      </c>
      <c r="AC430" s="101" t="s">
        <v>579</v>
      </c>
      <c r="AD430" s="101" t="s">
        <v>580</v>
      </c>
      <c r="AE430" s="101" t="s">
        <v>581</v>
      </c>
      <c r="AF430" s="101" t="s">
        <v>582</v>
      </c>
      <c r="AG430" s="101"/>
      <c r="AH430" s="101"/>
      <c r="AI430" s="101"/>
    </row>
    <row r="431" spans="10:36" x14ac:dyDescent="0.2">
      <c r="J431" s="101" t="s">
        <v>30</v>
      </c>
      <c r="K431" s="101" t="s">
        <v>1410</v>
      </c>
      <c r="L431" s="101" t="s">
        <v>1394</v>
      </c>
      <c r="M431" s="101" t="s">
        <v>1411</v>
      </c>
      <c r="N431" s="189">
        <v>11950</v>
      </c>
      <c r="O431" s="101" t="s">
        <v>568</v>
      </c>
      <c r="P431" s="101" t="s">
        <v>569</v>
      </c>
      <c r="Q431" s="101" t="s">
        <v>570</v>
      </c>
      <c r="R431" s="101" t="s">
        <v>571</v>
      </c>
      <c r="S431" s="101" t="s">
        <v>572</v>
      </c>
      <c r="T431" s="101" t="s">
        <v>573</v>
      </c>
      <c r="U431" s="101"/>
      <c r="V431" s="101"/>
      <c r="W431" s="101"/>
      <c r="X431" s="101" t="s">
        <v>575</v>
      </c>
      <c r="Y431" s="101"/>
      <c r="Z431" s="101" t="s">
        <v>576</v>
      </c>
      <c r="AA431" s="101" t="s">
        <v>577</v>
      </c>
      <c r="AB431" s="101" t="s">
        <v>578</v>
      </c>
      <c r="AC431" s="101" t="s">
        <v>579</v>
      </c>
      <c r="AD431" s="101" t="s">
        <v>580</v>
      </c>
      <c r="AE431" s="101" t="s">
        <v>581</v>
      </c>
      <c r="AF431" s="101" t="s">
        <v>582</v>
      </c>
      <c r="AG431" s="101" t="s">
        <v>583</v>
      </c>
      <c r="AH431" s="101" t="s">
        <v>584</v>
      </c>
      <c r="AI431" s="101" t="s">
        <v>585</v>
      </c>
    </row>
    <row r="432" spans="10:36" x14ac:dyDescent="0.2">
      <c r="J432" s="101" t="s">
        <v>30</v>
      </c>
      <c r="K432" s="101" t="s">
        <v>1412</v>
      </c>
      <c r="L432" s="101" t="s">
        <v>1366</v>
      </c>
      <c r="M432" s="101" t="s">
        <v>1413</v>
      </c>
      <c r="N432" s="189">
        <v>12430</v>
      </c>
      <c r="O432" s="101" t="s">
        <v>568</v>
      </c>
      <c r="P432" s="101" t="s">
        <v>569</v>
      </c>
      <c r="Q432" s="101" t="s">
        <v>570</v>
      </c>
      <c r="R432" s="101" t="s">
        <v>571</v>
      </c>
      <c r="S432" s="101" t="s">
        <v>572</v>
      </c>
      <c r="T432" s="101" t="s">
        <v>573</v>
      </c>
      <c r="U432" s="101"/>
      <c r="V432" s="101"/>
      <c r="W432" s="101"/>
      <c r="X432" s="101" t="s">
        <v>575</v>
      </c>
      <c r="Y432" s="101"/>
      <c r="Z432" s="101" t="s">
        <v>576</v>
      </c>
      <c r="AA432" s="101" t="s">
        <v>577</v>
      </c>
      <c r="AB432" s="101" t="s">
        <v>578</v>
      </c>
      <c r="AC432" s="101" t="s">
        <v>579</v>
      </c>
      <c r="AD432" s="101" t="s">
        <v>580</v>
      </c>
      <c r="AE432" s="101" t="s">
        <v>581</v>
      </c>
      <c r="AF432" s="101" t="s">
        <v>582</v>
      </c>
      <c r="AG432" s="101" t="s">
        <v>583</v>
      </c>
      <c r="AH432" s="101" t="s">
        <v>584</v>
      </c>
      <c r="AI432" s="101" t="s">
        <v>585</v>
      </c>
    </row>
    <row r="433" spans="10:36" x14ac:dyDescent="0.2">
      <c r="J433" s="101" t="s">
        <v>30</v>
      </c>
      <c r="K433" s="101" t="s">
        <v>1414</v>
      </c>
      <c r="L433" s="101" t="s">
        <v>1394</v>
      </c>
      <c r="M433" s="101" t="s">
        <v>1415</v>
      </c>
      <c r="N433" s="189">
        <v>12420</v>
      </c>
      <c r="O433" s="101" t="s">
        <v>568</v>
      </c>
      <c r="P433" s="101" t="s">
        <v>569</v>
      </c>
      <c r="Q433" s="101" t="s">
        <v>570</v>
      </c>
      <c r="R433" s="101" t="s">
        <v>571</v>
      </c>
      <c r="S433" s="101" t="s">
        <v>572</v>
      </c>
      <c r="T433" s="101" t="s">
        <v>573</v>
      </c>
      <c r="U433" s="101"/>
      <c r="V433" s="101"/>
      <c r="W433" s="101"/>
      <c r="X433" s="101" t="s">
        <v>575</v>
      </c>
      <c r="Y433" s="101"/>
      <c r="Z433" s="101" t="s">
        <v>576</v>
      </c>
      <c r="AA433" s="101" t="s">
        <v>577</v>
      </c>
      <c r="AB433" s="101" t="s">
        <v>578</v>
      </c>
      <c r="AC433" s="101" t="s">
        <v>579</v>
      </c>
      <c r="AD433" s="101" t="s">
        <v>580</v>
      </c>
      <c r="AE433" s="101" t="s">
        <v>581</v>
      </c>
      <c r="AF433" s="101" t="s">
        <v>582</v>
      </c>
      <c r="AG433" s="101" t="s">
        <v>583</v>
      </c>
      <c r="AH433" s="101" t="s">
        <v>584</v>
      </c>
      <c r="AI433" s="101" t="s">
        <v>585</v>
      </c>
    </row>
    <row r="434" spans="10:36" x14ac:dyDescent="0.2">
      <c r="J434" s="101" t="s">
        <v>30</v>
      </c>
      <c r="K434" s="101" t="s">
        <v>1416</v>
      </c>
      <c r="L434" s="101" t="s">
        <v>1366</v>
      </c>
      <c r="M434" s="101" t="s">
        <v>1417</v>
      </c>
      <c r="N434" s="189">
        <v>12480</v>
      </c>
      <c r="O434" s="101" t="s">
        <v>568</v>
      </c>
      <c r="P434" s="101" t="s">
        <v>569</v>
      </c>
      <c r="Q434" s="101" t="s">
        <v>570</v>
      </c>
      <c r="R434" s="101" t="s">
        <v>571</v>
      </c>
      <c r="S434" s="101" t="s">
        <v>572</v>
      </c>
      <c r="T434" s="101" t="s">
        <v>573</v>
      </c>
      <c r="U434" s="101"/>
      <c r="V434" s="101"/>
      <c r="W434" s="101"/>
      <c r="X434" s="101" t="s">
        <v>575</v>
      </c>
      <c r="Y434" s="101"/>
      <c r="Z434" s="101" t="s">
        <v>576</v>
      </c>
      <c r="AA434" s="101" t="s">
        <v>577</v>
      </c>
      <c r="AB434" s="101" t="s">
        <v>578</v>
      </c>
      <c r="AC434" s="101" t="s">
        <v>579</v>
      </c>
      <c r="AD434" s="101" t="s">
        <v>580</v>
      </c>
      <c r="AE434" s="101" t="s">
        <v>581</v>
      </c>
      <c r="AF434" s="101" t="s">
        <v>582</v>
      </c>
      <c r="AG434" s="101"/>
      <c r="AH434" s="101"/>
      <c r="AI434" s="101"/>
    </row>
    <row r="435" spans="10:36" x14ac:dyDescent="0.2">
      <c r="J435" s="101" t="s">
        <v>30</v>
      </c>
      <c r="K435" s="101" t="s">
        <v>1418</v>
      </c>
      <c r="L435" s="101" t="s">
        <v>1366</v>
      </c>
      <c r="M435" s="101" t="s">
        <v>1419</v>
      </c>
      <c r="N435" s="189">
        <v>12420</v>
      </c>
      <c r="O435" s="101" t="s">
        <v>568</v>
      </c>
      <c r="P435" s="101" t="s">
        <v>569</v>
      </c>
      <c r="Q435" s="101" t="s">
        <v>570</v>
      </c>
      <c r="R435" s="101" t="s">
        <v>571</v>
      </c>
      <c r="S435" s="101" t="s">
        <v>572</v>
      </c>
      <c r="T435" s="101" t="s">
        <v>573</v>
      </c>
      <c r="U435" s="101"/>
      <c r="V435" s="101"/>
      <c r="W435" s="101"/>
      <c r="X435" s="101" t="s">
        <v>575</v>
      </c>
      <c r="Y435" s="101"/>
      <c r="Z435" s="101" t="s">
        <v>576</v>
      </c>
      <c r="AA435" s="101" t="s">
        <v>577</v>
      </c>
      <c r="AB435" s="101" t="s">
        <v>578</v>
      </c>
      <c r="AC435" s="101" t="s">
        <v>579</v>
      </c>
      <c r="AD435" s="101" t="s">
        <v>580</v>
      </c>
      <c r="AE435" s="101" t="s">
        <v>581</v>
      </c>
      <c r="AF435" s="101" t="s">
        <v>582</v>
      </c>
      <c r="AG435" s="101" t="s">
        <v>583</v>
      </c>
      <c r="AH435" s="101" t="s">
        <v>584</v>
      </c>
      <c r="AI435" s="101" t="s">
        <v>585</v>
      </c>
    </row>
    <row r="436" spans="10:36" x14ac:dyDescent="0.2">
      <c r="J436" s="101" t="s">
        <v>30</v>
      </c>
      <c r="K436" s="101" t="s">
        <v>1420</v>
      </c>
      <c r="L436" s="101" t="s">
        <v>1366</v>
      </c>
      <c r="M436" s="101" t="s">
        <v>1421</v>
      </c>
      <c r="N436" s="189">
        <v>12420</v>
      </c>
      <c r="O436" s="101" t="s">
        <v>568</v>
      </c>
      <c r="P436" s="101" t="s">
        <v>569</v>
      </c>
      <c r="Q436" s="101" t="s">
        <v>570</v>
      </c>
      <c r="R436" s="101" t="s">
        <v>571</v>
      </c>
      <c r="S436" s="101" t="s">
        <v>572</v>
      </c>
      <c r="T436" s="101" t="s">
        <v>573</v>
      </c>
      <c r="U436" s="101"/>
      <c r="V436" s="101"/>
      <c r="W436" s="101"/>
      <c r="X436" s="101" t="s">
        <v>575</v>
      </c>
      <c r="Y436" s="101"/>
      <c r="Z436" s="101" t="s">
        <v>576</v>
      </c>
      <c r="AA436" s="101" t="s">
        <v>577</v>
      </c>
      <c r="AB436" s="101" t="s">
        <v>578</v>
      </c>
      <c r="AC436" s="101" t="s">
        <v>579</v>
      </c>
      <c r="AD436" s="101" t="s">
        <v>580</v>
      </c>
      <c r="AE436" s="101" t="s">
        <v>581</v>
      </c>
      <c r="AF436" s="101" t="s">
        <v>582</v>
      </c>
      <c r="AG436" s="101" t="s">
        <v>583</v>
      </c>
      <c r="AH436" s="101" t="s">
        <v>584</v>
      </c>
      <c r="AI436" s="101" t="s">
        <v>585</v>
      </c>
      <c r="AJ436" s="101" t="s">
        <v>2362</v>
      </c>
    </row>
    <row r="437" spans="10:36" x14ac:dyDescent="0.2">
      <c r="J437" s="101" t="s">
        <v>30</v>
      </c>
      <c r="K437" s="101" t="s">
        <v>1422</v>
      </c>
      <c r="L437" s="101" t="s">
        <v>1366</v>
      </c>
      <c r="M437" s="101" t="s">
        <v>1423</v>
      </c>
      <c r="N437" s="189">
        <v>12380</v>
      </c>
      <c r="O437" s="101" t="s">
        <v>568</v>
      </c>
      <c r="P437" s="101" t="s">
        <v>569</v>
      </c>
      <c r="Q437" s="101" t="s">
        <v>570</v>
      </c>
      <c r="R437" s="101" t="s">
        <v>571</v>
      </c>
      <c r="S437" s="101" t="s">
        <v>572</v>
      </c>
      <c r="T437" s="101" t="s">
        <v>573</v>
      </c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</row>
    <row r="438" spans="10:36" x14ac:dyDescent="0.2">
      <c r="J438" s="101" t="s">
        <v>30</v>
      </c>
      <c r="K438" s="101" t="s">
        <v>1424</v>
      </c>
      <c r="L438" s="101" t="s">
        <v>1366</v>
      </c>
      <c r="M438" s="101" t="s">
        <v>1425</v>
      </c>
      <c r="N438" s="189">
        <v>12470</v>
      </c>
      <c r="O438" s="101" t="s">
        <v>568</v>
      </c>
      <c r="P438" s="101" t="s">
        <v>569</v>
      </c>
      <c r="Q438" s="101" t="s">
        <v>570</v>
      </c>
      <c r="R438" s="101" t="s">
        <v>571</v>
      </c>
      <c r="S438" s="101" t="s">
        <v>572</v>
      </c>
      <c r="T438" s="101" t="s">
        <v>573</v>
      </c>
      <c r="U438" s="101"/>
      <c r="V438" s="101"/>
      <c r="W438" s="101"/>
      <c r="X438" s="101" t="s">
        <v>575</v>
      </c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</row>
    <row r="439" spans="10:36" x14ac:dyDescent="0.2">
      <c r="J439" s="101" t="s">
        <v>30</v>
      </c>
      <c r="K439" s="101" t="s">
        <v>1426</v>
      </c>
      <c r="L439" s="101" t="s">
        <v>1366</v>
      </c>
      <c r="M439" s="101" t="s">
        <v>1427</v>
      </c>
      <c r="N439" s="189">
        <v>12400</v>
      </c>
      <c r="O439" s="101" t="s">
        <v>568</v>
      </c>
      <c r="P439" s="101" t="s">
        <v>569</v>
      </c>
      <c r="Q439" s="101" t="s">
        <v>570</v>
      </c>
      <c r="R439" s="101" t="s">
        <v>571</v>
      </c>
      <c r="S439" s="101" t="s">
        <v>572</v>
      </c>
      <c r="T439" s="101" t="s">
        <v>573</v>
      </c>
      <c r="U439" s="101"/>
      <c r="V439" s="101"/>
      <c r="W439" s="101"/>
      <c r="X439" s="101" t="s">
        <v>575</v>
      </c>
      <c r="Y439" s="101"/>
      <c r="Z439" s="101" t="s">
        <v>576</v>
      </c>
      <c r="AA439" s="101" t="s">
        <v>577</v>
      </c>
      <c r="AB439" s="101" t="s">
        <v>578</v>
      </c>
      <c r="AC439" s="101" t="s">
        <v>579</v>
      </c>
      <c r="AD439" s="101" t="s">
        <v>580</v>
      </c>
      <c r="AE439" s="101" t="s">
        <v>581</v>
      </c>
      <c r="AF439" s="101" t="s">
        <v>582</v>
      </c>
      <c r="AG439" s="101" t="s">
        <v>583</v>
      </c>
      <c r="AH439" s="101" t="s">
        <v>584</v>
      </c>
      <c r="AI439" s="101" t="s">
        <v>585</v>
      </c>
    </row>
    <row r="440" spans="10:36" x14ac:dyDescent="0.2">
      <c r="J440" s="101" t="s">
        <v>30</v>
      </c>
      <c r="K440" s="101" t="s">
        <v>1428</v>
      </c>
      <c r="L440" s="101" t="s">
        <v>1394</v>
      </c>
      <c r="M440" s="101" t="s">
        <v>1429</v>
      </c>
      <c r="N440" s="189">
        <v>12470</v>
      </c>
      <c r="O440" s="101" t="s">
        <v>568</v>
      </c>
      <c r="P440" s="101" t="s">
        <v>569</v>
      </c>
      <c r="Q440" s="101" t="s">
        <v>570</v>
      </c>
      <c r="R440" s="101" t="s">
        <v>571</v>
      </c>
      <c r="S440" s="101" t="s">
        <v>572</v>
      </c>
      <c r="T440" s="101" t="s">
        <v>573</v>
      </c>
      <c r="U440" s="101"/>
      <c r="V440" s="101" t="s">
        <v>2361</v>
      </c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</row>
    <row r="441" spans="10:36" x14ac:dyDescent="0.2">
      <c r="J441" s="101" t="s">
        <v>30</v>
      </c>
      <c r="K441" s="101" t="s">
        <v>1430</v>
      </c>
      <c r="L441" s="101" t="s">
        <v>1366</v>
      </c>
      <c r="M441" s="101" t="s">
        <v>1431</v>
      </c>
      <c r="N441" s="189">
        <v>12450</v>
      </c>
      <c r="O441" s="101" t="s">
        <v>568</v>
      </c>
      <c r="P441" s="101" t="s">
        <v>569</v>
      </c>
      <c r="Q441" s="101" t="s">
        <v>570</v>
      </c>
      <c r="R441" s="101" t="s">
        <v>571</v>
      </c>
      <c r="S441" s="101" t="s">
        <v>572</v>
      </c>
      <c r="T441" s="101" t="s">
        <v>573</v>
      </c>
      <c r="U441" s="101"/>
      <c r="V441" s="101"/>
      <c r="W441" s="101"/>
      <c r="X441" s="101" t="s">
        <v>575</v>
      </c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</row>
    <row r="442" spans="10:36" x14ac:dyDescent="0.2">
      <c r="J442" s="101" t="s">
        <v>30</v>
      </c>
      <c r="K442" s="101" t="s">
        <v>1432</v>
      </c>
      <c r="L442" s="101" t="s">
        <v>1394</v>
      </c>
      <c r="M442" s="101" t="s">
        <v>1433</v>
      </c>
      <c r="N442" s="189">
        <v>12420</v>
      </c>
      <c r="O442" s="101" t="s">
        <v>568</v>
      </c>
      <c r="P442" s="101" t="s">
        <v>569</v>
      </c>
      <c r="Q442" s="101" t="s">
        <v>570</v>
      </c>
      <c r="R442" s="101" t="s">
        <v>571</v>
      </c>
      <c r="S442" s="101" t="s">
        <v>572</v>
      </c>
      <c r="T442" s="101" t="s">
        <v>573</v>
      </c>
      <c r="U442" s="101"/>
      <c r="V442" s="101"/>
      <c r="W442" s="101"/>
      <c r="X442" s="101" t="s">
        <v>575</v>
      </c>
      <c r="Y442" s="101"/>
      <c r="Z442" s="101" t="s">
        <v>576</v>
      </c>
      <c r="AA442" s="101" t="s">
        <v>577</v>
      </c>
      <c r="AB442" s="101" t="s">
        <v>578</v>
      </c>
      <c r="AC442" s="101" t="s">
        <v>579</v>
      </c>
      <c r="AD442" s="101" t="s">
        <v>580</v>
      </c>
      <c r="AE442" s="101" t="s">
        <v>581</v>
      </c>
      <c r="AF442" s="101" t="s">
        <v>582</v>
      </c>
      <c r="AG442" s="101" t="s">
        <v>583</v>
      </c>
      <c r="AH442" s="101" t="s">
        <v>584</v>
      </c>
      <c r="AI442" s="101" t="s">
        <v>585</v>
      </c>
    </row>
    <row r="443" spans="10:36" x14ac:dyDescent="0.2">
      <c r="J443" s="101" t="s">
        <v>30</v>
      </c>
      <c r="K443" s="101" t="s">
        <v>1434</v>
      </c>
      <c r="L443" s="101" t="s">
        <v>1394</v>
      </c>
      <c r="M443" s="101" t="s">
        <v>1435</v>
      </c>
      <c r="N443" s="189">
        <v>12460</v>
      </c>
      <c r="O443" s="101" t="s">
        <v>568</v>
      </c>
      <c r="P443" s="101" t="s">
        <v>569</v>
      </c>
      <c r="Q443" s="101" t="s">
        <v>570</v>
      </c>
      <c r="R443" s="101" t="s">
        <v>571</v>
      </c>
      <c r="S443" s="101" t="s">
        <v>572</v>
      </c>
      <c r="T443" s="101" t="s">
        <v>573</v>
      </c>
      <c r="U443" s="101"/>
      <c r="V443" s="101"/>
      <c r="W443" s="101"/>
      <c r="X443" s="101" t="s">
        <v>575</v>
      </c>
      <c r="Y443" s="101"/>
      <c r="Z443" s="101" t="s">
        <v>576</v>
      </c>
      <c r="AA443" s="101"/>
      <c r="AB443" s="101"/>
      <c r="AC443" s="101"/>
      <c r="AD443" s="101"/>
      <c r="AE443" s="101"/>
      <c r="AF443" s="101"/>
      <c r="AG443" s="101"/>
      <c r="AH443" s="101"/>
      <c r="AI443" s="101"/>
    </row>
    <row r="444" spans="10:36" x14ac:dyDescent="0.2">
      <c r="J444" s="101" t="s">
        <v>30</v>
      </c>
      <c r="K444" s="101" t="s">
        <v>1436</v>
      </c>
      <c r="L444" s="101" t="s">
        <v>1394</v>
      </c>
      <c r="M444" s="101" t="s">
        <v>1437</v>
      </c>
      <c r="N444" s="189">
        <v>12420</v>
      </c>
      <c r="O444" s="101" t="s">
        <v>568</v>
      </c>
      <c r="P444" s="101" t="s">
        <v>569</v>
      </c>
      <c r="Q444" s="101" t="s">
        <v>570</v>
      </c>
      <c r="R444" s="101" t="s">
        <v>571</v>
      </c>
      <c r="S444" s="101" t="s">
        <v>572</v>
      </c>
      <c r="T444" s="101" t="s">
        <v>573</v>
      </c>
      <c r="U444" s="101"/>
      <c r="V444" s="101"/>
      <c r="W444" s="101"/>
      <c r="X444" s="101" t="s">
        <v>575</v>
      </c>
      <c r="Y444" s="101"/>
      <c r="Z444" s="101" t="s">
        <v>576</v>
      </c>
      <c r="AA444" s="101" t="s">
        <v>577</v>
      </c>
      <c r="AB444" s="101" t="s">
        <v>578</v>
      </c>
      <c r="AC444" s="101" t="s">
        <v>579</v>
      </c>
      <c r="AD444" s="101" t="s">
        <v>580</v>
      </c>
      <c r="AE444" s="101" t="s">
        <v>581</v>
      </c>
      <c r="AF444" s="101" t="s">
        <v>582</v>
      </c>
      <c r="AG444" s="101" t="s">
        <v>583</v>
      </c>
      <c r="AH444" s="101" t="s">
        <v>584</v>
      </c>
      <c r="AI444" s="101" t="s">
        <v>585</v>
      </c>
    </row>
    <row r="445" spans="10:36" x14ac:dyDescent="0.2">
      <c r="J445" s="101" t="s">
        <v>30</v>
      </c>
      <c r="K445" s="101" t="s">
        <v>1438</v>
      </c>
      <c r="L445" s="101" t="s">
        <v>1394</v>
      </c>
      <c r="M445" s="101" t="s">
        <v>1439</v>
      </c>
      <c r="N445" s="189">
        <v>12370</v>
      </c>
      <c r="O445" s="101" t="s">
        <v>568</v>
      </c>
      <c r="P445" s="101" t="s">
        <v>569</v>
      </c>
      <c r="Q445" s="101" t="s">
        <v>570</v>
      </c>
      <c r="R445" s="101" t="s">
        <v>571</v>
      </c>
      <c r="S445" s="101" t="s">
        <v>572</v>
      </c>
      <c r="T445" s="101" t="s">
        <v>573</v>
      </c>
      <c r="U445" s="101"/>
      <c r="V445" s="101"/>
      <c r="W445" s="101"/>
      <c r="X445" s="101" t="s">
        <v>575</v>
      </c>
      <c r="Y445" s="101"/>
      <c r="Z445" s="101" t="s">
        <v>576</v>
      </c>
      <c r="AA445" s="101" t="s">
        <v>577</v>
      </c>
      <c r="AB445" s="101" t="s">
        <v>578</v>
      </c>
      <c r="AC445" s="101" t="s">
        <v>579</v>
      </c>
      <c r="AD445" s="101" t="s">
        <v>580</v>
      </c>
      <c r="AE445" s="101" t="s">
        <v>581</v>
      </c>
      <c r="AF445" s="101" t="s">
        <v>582</v>
      </c>
      <c r="AG445" s="101"/>
      <c r="AH445" s="101"/>
      <c r="AI445" s="101"/>
    </row>
    <row r="446" spans="10:36" x14ac:dyDescent="0.2">
      <c r="J446" s="101" t="s">
        <v>30</v>
      </c>
      <c r="K446" s="101" t="s">
        <v>1440</v>
      </c>
      <c r="L446" s="101" t="s">
        <v>1394</v>
      </c>
      <c r="M446" s="101" t="s">
        <v>1441</v>
      </c>
      <c r="N446" s="189">
        <v>12300</v>
      </c>
      <c r="O446" s="101" t="s">
        <v>568</v>
      </c>
      <c r="P446" s="101" t="s">
        <v>569</v>
      </c>
      <c r="Q446" s="101" t="s">
        <v>570</v>
      </c>
      <c r="R446" s="101" t="s">
        <v>571</v>
      </c>
      <c r="S446" s="101" t="s">
        <v>572</v>
      </c>
      <c r="T446" s="101" t="s">
        <v>573</v>
      </c>
      <c r="U446" s="101"/>
      <c r="V446" s="101"/>
      <c r="W446" s="101"/>
      <c r="X446" s="101" t="s">
        <v>575</v>
      </c>
      <c r="Y446" s="101"/>
      <c r="Z446" s="101" t="s">
        <v>576</v>
      </c>
      <c r="AA446" s="101" t="s">
        <v>577</v>
      </c>
      <c r="AB446" s="101" t="s">
        <v>578</v>
      </c>
      <c r="AC446" s="101" t="s">
        <v>579</v>
      </c>
      <c r="AD446" s="101" t="s">
        <v>580</v>
      </c>
      <c r="AE446" s="101" t="s">
        <v>581</v>
      </c>
      <c r="AF446" s="101" t="s">
        <v>582</v>
      </c>
      <c r="AG446" s="101"/>
      <c r="AH446" s="101"/>
      <c r="AI446" s="101"/>
    </row>
    <row r="447" spans="10:36" x14ac:dyDescent="0.2">
      <c r="J447" s="101" t="s">
        <v>30</v>
      </c>
      <c r="K447" s="101" t="s">
        <v>1442</v>
      </c>
      <c r="L447" s="101" t="s">
        <v>1394</v>
      </c>
      <c r="M447" s="101" t="s">
        <v>1443</v>
      </c>
      <c r="N447" s="189">
        <v>12420</v>
      </c>
      <c r="O447" s="101" t="s">
        <v>568</v>
      </c>
      <c r="P447" s="101" t="s">
        <v>569</v>
      </c>
      <c r="Q447" s="101" t="s">
        <v>570</v>
      </c>
      <c r="R447" s="101" t="s">
        <v>571</v>
      </c>
      <c r="S447" s="101" t="s">
        <v>572</v>
      </c>
      <c r="T447" s="101" t="s">
        <v>573</v>
      </c>
      <c r="U447" s="101"/>
      <c r="V447" s="101"/>
      <c r="W447" s="101"/>
      <c r="X447" s="101" t="s">
        <v>575</v>
      </c>
      <c r="Y447" s="101"/>
      <c r="Z447" s="101" t="s">
        <v>576</v>
      </c>
      <c r="AA447" s="101" t="s">
        <v>577</v>
      </c>
      <c r="AB447" s="101" t="s">
        <v>578</v>
      </c>
      <c r="AC447" s="101" t="s">
        <v>579</v>
      </c>
      <c r="AD447" s="101" t="s">
        <v>580</v>
      </c>
      <c r="AE447" s="101" t="s">
        <v>581</v>
      </c>
      <c r="AF447" s="101" t="s">
        <v>582</v>
      </c>
      <c r="AG447" s="101" t="s">
        <v>583</v>
      </c>
      <c r="AH447" s="101" t="s">
        <v>584</v>
      </c>
      <c r="AI447" s="101" t="s">
        <v>585</v>
      </c>
    </row>
    <row r="448" spans="10:36" x14ac:dyDescent="0.2">
      <c r="J448" s="101" t="s">
        <v>30</v>
      </c>
      <c r="K448" s="101" t="s">
        <v>1444</v>
      </c>
      <c r="L448" s="101" t="s">
        <v>1394</v>
      </c>
      <c r="M448" s="101" t="s">
        <v>1445</v>
      </c>
      <c r="N448" s="189">
        <v>12480</v>
      </c>
      <c r="O448" s="101" t="s">
        <v>568</v>
      </c>
      <c r="P448" s="101" t="s">
        <v>569</v>
      </c>
      <c r="Q448" s="101" t="s">
        <v>570</v>
      </c>
      <c r="R448" s="101" t="s">
        <v>571</v>
      </c>
      <c r="S448" s="101" t="s">
        <v>572</v>
      </c>
      <c r="T448" s="101" t="s">
        <v>573</v>
      </c>
      <c r="U448" s="101"/>
      <c r="V448" s="101"/>
      <c r="W448" s="101"/>
      <c r="X448" s="101" t="s">
        <v>575</v>
      </c>
      <c r="Y448" s="101"/>
      <c r="Z448" s="101" t="s">
        <v>576</v>
      </c>
      <c r="AA448" s="101" t="s">
        <v>577</v>
      </c>
      <c r="AB448" s="101" t="s">
        <v>578</v>
      </c>
      <c r="AC448" s="101" t="s">
        <v>579</v>
      </c>
      <c r="AD448" s="101" t="s">
        <v>580</v>
      </c>
      <c r="AE448" s="101" t="s">
        <v>581</v>
      </c>
      <c r="AF448" s="101" t="s">
        <v>582</v>
      </c>
      <c r="AG448" s="101"/>
      <c r="AH448" s="101"/>
      <c r="AI448" s="101"/>
    </row>
    <row r="449" spans="10:36" x14ac:dyDescent="0.2">
      <c r="J449" s="101" t="s">
        <v>30</v>
      </c>
      <c r="K449" s="101" t="s">
        <v>1446</v>
      </c>
      <c r="L449" s="101" t="s">
        <v>1394</v>
      </c>
      <c r="M449" s="101" t="s">
        <v>1447</v>
      </c>
      <c r="N449" s="189">
        <v>12430</v>
      </c>
      <c r="O449" s="101" t="s">
        <v>568</v>
      </c>
      <c r="P449" s="101" t="s">
        <v>569</v>
      </c>
      <c r="Q449" s="101" t="s">
        <v>570</v>
      </c>
      <c r="R449" s="101" t="s">
        <v>571</v>
      </c>
      <c r="S449" s="101" t="s">
        <v>572</v>
      </c>
      <c r="T449" s="101" t="s">
        <v>573</v>
      </c>
      <c r="U449" s="101"/>
      <c r="V449" s="101"/>
      <c r="W449" s="101"/>
      <c r="X449" s="101" t="s">
        <v>575</v>
      </c>
      <c r="Y449" s="101"/>
      <c r="Z449" s="101" t="s">
        <v>576</v>
      </c>
      <c r="AA449" s="101" t="s">
        <v>577</v>
      </c>
      <c r="AB449" s="101" t="s">
        <v>578</v>
      </c>
      <c r="AC449" s="101" t="s">
        <v>579</v>
      </c>
      <c r="AD449" s="101" t="s">
        <v>580</v>
      </c>
      <c r="AE449" s="101" t="s">
        <v>581</v>
      </c>
      <c r="AF449" s="101" t="s">
        <v>582</v>
      </c>
      <c r="AG449" s="101" t="s">
        <v>583</v>
      </c>
      <c r="AH449" s="101" t="s">
        <v>584</v>
      </c>
      <c r="AI449" s="101" t="s">
        <v>585</v>
      </c>
    </row>
    <row r="450" spans="10:36" x14ac:dyDescent="0.2">
      <c r="J450" s="101" t="s">
        <v>30</v>
      </c>
      <c r="K450" s="101" t="s">
        <v>1448</v>
      </c>
      <c r="L450" s="101" t="s">
        <v>1394</v>
      </c>
      <c r="M450" s="101" t="s">
        <v>1449</v>
      </c>
      <c r="N450" s="189">
        <v>12480</v>
      </c>
      <c r="O450" s="101" t="s">
        <v>568</v>
      </c>
      <c r="P450" s="101" t="s">
        <v>569</v>
      </c>
      <c r="Q450" s="101" t="s">
        <v>570</v>
      </c>
      <c r="R450" s="101" t="s">
        <v>571</v>
      </c>
      <c r="S450" s="101" t="s">
        <v>572</v>
      </c>
      <c r="T450" s="101" t="s">
        <v>573</v>
      </c>
      <c r="U450" s="101"/>
      <c r="V450" s="101"/>
      <c r="W450" s="101" t="s">
        <v>574</v>
      </c>
      <c r="X450" s="101" t="s">
        <v>575</v>
      </c>
      <c r="Y450" s="101"/>
      <c r="Z450" s="101" t="s">
        <v>576</v>
      </c>
      <c r="AA450" s="101" t="s">
        <v>577</v>
      </c>
      <c r="AB450" s="101" t="s">
        <v>578</v>
      </c>
      <c r="AC450" s="101" t="s">
        <v>579</v>
      </c>
      <c r="AD450" s="101" t="s">
        <v>580</v>
      </c>
      <c r="AE450" s="101" t="s">
        <v>581</v>
      </c>
      <c r="AF450" s="101" t="s">
        <v>582</v>
      </c>
      <c r="AG450" s="101"/>
      <c r="AH450" s="101"/>
      <c r="AI450" s="101"/>
    </row>
    <row r="451" spans="10:36" x14ac:dyDescent="0.2">
      <c r="J451" s="101" t="s">
        <v>30</v>
      </c>
      <c r="K451" s="101" t="s">
        <v>1450</v>
      </c>
      <c r="L451" s="101" t="s">
        <v>1394</v>
      </c>
      <c r="M451" s="101" t="s">
        <v>1451</v>
      </c>
      <c r="N451" s="189">
        <v>12460</v>
      </c>
      <c r="O451" s="101" t="s">
        <v>568</v>
      </c>
      <c r="P451" s="101" t="s">
        <v>569</v>
      </c>
      <c r="Q451" s="101" t="s">
        <v>570</v>
      </c>
      <c r="R451" s="101" t="s">
        <v>571</v>
      </c>
      <c r="S451" s="101" t="s">
        <v>572</v>
      </c>
      <c r="T451" s="101" t="s">
        <v>573</v>
      </c>
      <c r="U451" s="101"/>
      <c r="V451" s="101"/>
      <c r="W451" s="101" t="s">
        <v>574</v>
      </c>
      <c r="X451" s="101" t="s">
        <v>575</v>
      </c>
      <c r="Y451" s="101"/>
      <c r="Z451" s="101" t="s">
        <v>576</v>
      </c>
      <c r="AA451" s="101" t="s">
        <v>577</v>
      </c>
      <c r="AB451" s="101" t="s">
        <v>578</v>
      </c>
      <c r="AC451" s="101" t="s">
        <v>579</v>
      </c>
      <c r="AD451" s="101" t="s">
        <v>580</v>
      </c>
      <c r="AE451" s="101" t="s">
        <v>581</v>
      </c>
      <c r="AF451" s="101" t="s">
        <v>582</v>
      </c>
      <c r="AG451" s="101"/>
      <c r="AH451" s="101"/>
      <c r="AI451" s="101"/>
    </row>
    <row r="452" spans="10:36" x14ac:dyDescent="0.2">
      <c r="J452" s="101" t="s">
        <v>30</v>
      </c>
      <c r="K452" s="101" t="s">
        <v>1452</v>
      </c>
      <c r="L452" s="101" t="s">
        <v>1376</v>
      </c>
      <c r="M452" s="101" t="s">
        <v>1453</v>
      </c>
      <c r="N452" s="189">
        <v>12430</v>
      </c>
      <c r="O452" s="101" t="s">
        <v>568</v>
      </c>
      <c r="P452" s="101" t="s">
        <v>569</v>
      </c>
      <c r="Q452" s="101" t="s">
        <v>570</v>
      </c>
      <c r="R452" s="101" t="s">
        <v>571</v>
      </c>
      <c r="S452" s="101" t="s">
        <v>572</v>
      </c>
      <c r="T452" s="101" t="s">
        <v>573</v>
      </c>
      <c r="U452" s="101"/>
      <c r="V452" s="101"/>
      <c r="W452" s="101"/>
      <c r="X452" s="101" t="s">
        <v>575</v>
      </c>
      <c r="Y452" s="101"/>
      <c r="Z452" s="101" t="s">
        <v>576</v>
      </c>
      <c r="AA452" s="101" t="s">
        <v>577</v>
      </c>
      <c r="AB452" s="101" t="s">
        <v>578</v>
      </c>
      <c r="AC452" s="101" t="s">
        <v>579</v>
      </c>
      <c r="AD452" s="101" t="s">
        <v>580</v>
      </c>
      <c r="AE452" s="101" t="s">
        <v>581</v>
      </c>
      <c r="AF452" s="101" t="s">
        <v>582</v>
      </c>
      <c r="AG452" s="101" t="s">
        <v>583</v>
      </c>
      <c r="AH452" s="101" t="s">
        <v>584</v>
      </c>
      <c r="AI452" s="101" t="s">
        <v>585</v>
      </c>
    </row>
    <row r="453" spans="10:36" x14ac:dyDescent="0.2">
      <c r="J453" s="101" t="s">
        <v>30</v>
      </c>
      <c r="K453" s="101" t="s">
        <v>64</v>
      </c>
      <c r="L453" s="101" t="s">
        <v>34</v>
      </c>
      <c r="M453" s="101" t="s">
        <v>65</v>
      </c>
      <c r="N453" s="189">
        <v>12010</v>
      </c>
      <c r="O453" s="101" t="s">
        <v>568</v>
      </c>
      <c r="P453" s="101" t="s">
        <v>569</v>
      </c>
      <c r="Q453" s="101" t="s">
        <v>570</v>
      </c>
      <c r="R453" s="101" t="s">
        <v>571</v>
      </c>
      <c r="S453" s="101" t="s">
        <v>572</v>
      </c>
      <c r="T453" s="101" t="s">
        <v>573</v>
      </c>
      <c r="U453" s="101"/>
      <c r="V453" s="101"/>
      <c r="W453" s="101" t="s">
        <v>574</v>
      </c>
      <c r="X453" s="101" t="s">
        <v>575</v>
      </c>
      <c r="Y453" s="101"/>
      <c r="Z453" s="101" t="s">
        <v>576</v>
      </c>
      <c r="AA453" s="101" t="s">
        <v>577</v>
      </c>
      <c r="AB453" s="101" t="s">
        <v>578</v>
      </c>
      <c r="AC453" s="101" t="s">
        <v>579</v>
      </c>
      <c r="AD453" s="101" t="s">
        <v>580</v>
      </c>
      <c r="AE453" s="101" t="s">
        <v>581</v>
      </c>
      <c r="AF453" s="101" t="s">
        <v>582</v>
      </c>
      <c r="AG453" s="101" t="s">
        <v>583</v>
      </c>
      <c r="AH453" s="101" t="s">
        <v>584</v>
      </c>
      <c r="AI453" s="101" t="s">
        <v>585</v>
      </c>
    </row>
    <row r="454" spans="10:36" x14ac:dyDescent="0.2">
      <c r="J454" s="101" t="s">
        <v>30</v>
      </c>
      <c r="K454" s="101" t="s">
        <v>198</v>
      </c>
      <c r="L454" s="101" t="s">
        <v>150</v>
      </c>
      <c r="M454" s="101" t="s">
        <v>199</v>
      </c>
      <c r="N454" s="189">
        <v>12440</v>
      </c>
      <c r="O454" s="101" t="s">
        <v>568</v>
      </c>
      <c r="P454" s="101" t="s">
        <v>569</v>
      </c>
      <c r="Q454" s="101" t="s">
        <v>570</v>
      </c>
      <c r="R454" s="101" t="s">
        <v>571</v>
      </c>
      <c r="S454" s="101" t="s">
        <v>572</v>
      </c>
      <c r="T454" s="101" t="s">
        <v>573</v>
      </c>
      <c r="U454" s="101"/>
      <c r="V454" s="101"/>
      <c r="W454" s="101" t="s">
        <v>574</v>
      </c>
      <c r="X454" s="101" t="s">
        <v>575</v>
      </c>
      <c r="Y454" s="101"/>
      <c r="Z454" s="101" t="s">
        <v>576</v>
      </c>
      <c r="AA454" s="101" t="s">
        <v>577</v>
      </c>
      <c r="AB454" s="101" t="s">
        <v>578</v>
      </c>
      <c r="AC454" s="101" t="s">
        <v>579</v>
      </c>
      <c r="AD454" s="101" t="s">
        <v>580</v>
      </c>
      <c r="AE454" s="101" t="s">
        <v>581</v>
      </c>
      <c r="AF454" s="101" t="s">
        <v>582</v>
      </c>
      <c r="AG454" s="101" t="s">
        <v>583</v>
      </c>
      <c r="AH454" s="101" t="s">
        <v>584</v>
      </c>
      <c r="AI454" s="101" t="s">
        <v>585</v>
      </c>
    </row>
    <row r="455" spans="10:36" x14ac:dyDescent="0.2">
      <c r="J455" s="101" t="s">
        <v>30</v>
      </c>
      <c r="K455" s="101" t="s">
        <v>934</v>
      </c>
      <c r="L455" s="101" t="s">
        <v>819</v>
      </c>
      <c r="M455" s="101" t="s">
        <v>935</v>
      </c>
      <c r="N455" s="189">
        <v>12470</v>
      </c>
      <c r="O455" s="101" t="s">
        <v>568</v>
      </c>
      <c r="P455" s="101" t="s">
        <v>569</v>
      </c>
      <c r="Q455" s="101" t="s">
        <v>570</v>
      </c>
      <c r="R455" s="101" t="s">
        <v>571</v>
      </c>
      <c r="S455" s="101" t="s">
        <v>572</v>
      </c>
      <c r="T455" s="101" t="s">
        <v>573</v>
      </c>
      <c r="U455" s="101"/>
      <c r="V455" s="101"/>
      <c r="W455" s="101" t="s">
        <v>574</v>
      </c>
      <c r="X455" s="101" t="s">
        <v>575</v>
      </c>
      <c r="Y455" s="101"/>
      <c r="Z455" s="101" t="s">
        <v>576</v>
      </c>
      <c r="AA455" s="101" t="s">
        <v>577</v>
      </c>
      <c r="AB455" s="101" t="s">
        <v>578</v>
      </c>
      <c r="AC455" s="101" t="s">
        <v>579</v>
      </c>
      <c r="AD455" s="101" t="s">
        <v>580</v>
      </c>
      <c r="AE455" s="101" t="s">
        <v>581</v>
      </c>
      <c r="AF455" s="101" t="s">
        <v>582</v>
      </c>
      <c r="AG455" s="101"/>
      <c r="AH455" s="101"/>
      <c r="AI455" s="101"/>
    </row>
    <row r="456" spans="10:36" x14ac:dyDescent="0.2">
      <c r="J456" s="101" t="s">
        <v>30</v>
      </c>
      <c r="K456" s="101" t="s">
        <v>1454</v>
      </c>
      <c r="L456" s="101" t="s">
        <v>1394</v>
      </c>
      <c r="M456" s="101" t="s">
        <v>1455</v>
      </c>
      <c r="N456" s="189">
        <v>12340</v>
      </c>
      <c r="O456" s="101" t="s">
        <v>568</v>
      </c>
      <c r="P456" s="101" t="s">
        <v>569</v>
      </c>
      <c r="Q456" s="101" t="s">
        <v>570</v>
      </c>
      <c r="R456" s="101" t="s">
        <v>571</v>
      </c>
      <c r="S456" s="101" t="s">
        <v>572</v>
      </c>
      <c r="T456" s="101" t="s">
        <v>573</v>
      </c>
      <c r="U456" s="101"/>
      <c r="V456" s="101"/>
      <c r="W456" s="101"/>
      <c r="X456" s="101" t="s">
        <v>575</v>
      </c>
      <c r="Y456" s="101"/>
      <c r="Z456" s="101" t="s">
        <v>576</v>
      </c>
      <c r="AA456" s="101" t="s">
        <v>577</v>
      </c>
      <c r="AB456" s="101" t="s">
        <v>578</v>
      </c>
      <c r="AC456" s="101" t="s">
        <v>579</v>
      </c>
      <c r="AD456" s="101" t="s">
        <v>580</v>
      </c>
      <c r="AE456" s="101" t="s">
        <v>581</v>
      </c>
      <c r="AF456" s="101" t="s">
        <v>582</v>
      </c>
      <c r="AG456" s="101" t="s">
        <v>583</v>
      </c>
      <c r="AH456" s="101" t="s">
        <v>584</v>
      </c>
      <c r="AI456" s="101" t="s">
        <v>585</v>
      </c>
    </row>
    <row r="457" spans="10:36" x14ac:dyDescent="0.2">
      <c r="J457" s="101" t="s">
        <v>30</v>
      </c>
      <c r="K457" s="101" t="s">
        <v>1456</v>
      </c>
      <c r="L457" s="101" t="s">
        <v>1366</v>
      </c>
      <c r="M457" s="101" t="s">
        <v>1457</v>
      </c>
      <c r="N457" s="189">
        <v>12420</v>
      </c>
      <c r="O457" s="101" t="s">
        <v>568</v>
      </c>
      <c r="P457" s="101" t="s">
        <v>569</v>
      </c>
      <c r="Q457" s="101" t="s">
        <v>570</v>
      </c>
      <c r="R457" s="101" t="s">
        <v>571</v>
      </c>
      <c r="S457" s="101" t="s">
        <v>572</v>
      </c>
      <c r="T457" s="101" t="s">
        <v>573</v>
      </c>
      <c r="U457" s="101"/>
      <c r="V457" s="101"/>
      <c r="W457" s="101"/>
      <c r="X457" s="101" t="s">
        <v>575</v>
      </c>
      <c r="Y457" s="101"/>
      <c r="Z457" s="101" t="s">
        <v>576</v>
      </c>
      <c r="AA457" s="101" t="s">
        <v>577</v>
      </c>
      <c r="AB457" s="101" t="s">
        <v>578</v>
      </c>
      <c r="AC457" s="101" t="s">
        <v>579</v>
      </c>
      <c r="AD457" s="101" t="s">
        <v>580</v>
      </c>
      <c r="AE457" s="101" t="s">
        <v>581</v>
      </c>
      <c r="AF457" s="101" t="s">
        <v>582</v>
      </c>
      <c r="AG457" s="101" t="s">
        <v>583</v>
      </c>
      <c r="AH457" s="101" t="s">
        <v>584</v>
      </c>
      <c r="AI457" s="101" t="s">
        <v>585</v>
      </c>
    </row>
    <row r="458" spans="10:36" x14ac:dyDescent="0.2">
      <c r="J458" s="101" t="s">
        <v>30</v>
      </c>
      <c r="K458" s="101" t="s">
        <v>1458</v>
      </c>
      <c r="L458" s="101" t="s">
        <v>1394</v>
      </c>
      <c r="M458" s="101" t="s">
        <v>1459</v>
      </c>
      <c r="N458" s="189">
        <v>12410</v>
      </c>
      <c r="O458" s="101" t="s">
        <v>568</v>
      </c>
      <c r="P458" s="101" t="s">
        <v>569</v>
      </c>
      <c r="Q458" s="101" t="s">
        <v>570</v>
      </c>
      <c r="R458" s="101" t="s">
        <v>571</v>
      </c>
      <c r="S458" s="101" t="s">
        <v>572</v>
      </c>
      <c r="T458" s="101" t="s">
        <v>573</v>
      </c>
      <c r="U458" s="101"/>
      <c r="V458" s="101"/>
      <c r="W458" s="101"/>
      <c r="X458" s="101" t="s">
        <v>575</v>
      </c>
      <c r="Y458" s="101"/>
      <c r="Z458" s="101" t="s">
        <v>576</v>
      </c>
      <c r="AA458" s="101" t="s">
        <v>577</v>
      </c>
      <c r="AB458" s="101" t="s">
        <v>578</v>
      </c>
      <c r="AC458" s="101" t="s">
        <v>579</v>
      </c>
      <c r="AD458" s="101" t="s">
        <v>580</v>
      </c>
      <c r="AE458" s="101" t="s">
        <v>581</v>
      </c>
      <c r="AF458" s="101" t="s">
        <v>582</v>
      </c>
      <c r="AG458" s="101" t="s">
        <v>583</v>
      </c>
      <c r="AH458" s="101" t="s">
        <v>584</v>
      </c>
      <c r="AI458" s="101" t="s">
        <v>585</v>
      </c>
    </row>
    <row r="459" spans="10:36" x14ac:dyDescent="0.2">
      <c r="J459" s="101" t="s">
        <v>30</v>
      </c>
      <c r="K459" s="101" t="s">
        <v>1460</v>
      </c>
      <c r="L459" s="101" t="s">
        <v>1394</v>
      </c>
      <c r="M459" s="101" t="s">
        <v>1461</v>
      </c>
      <c r="N459" s="189">
        <v>12430</v>
      </c>
      <c r="O459" s="101" t="s">
        <v>568</v>
      </c>
      <c r="P459" s="101" t="s">
        <v>569</v>
      </c>
      <c r="Q459" s="101" t="s">
        <v>570</v>
      </c>
      <c r="R459" s="101" t="s">
        <v>571</v>
      </c>
      <c r="S459" s="101" t="s">
        <v>572</v>
      </c>
      <c r="T459" s="101" t="s">
        <v>573</v>
      </c>
      <c r="U459" s="101"/>
      <c r="V459" s="101"/>
      <c r="W459" s="101"/>
      <c r="X459" s="101" t="s">
        <v>575</v>
      </c>
      <c r="Y459" s="101"/>
      <c r="Z459" s="101" t="s">
        <v>576</v>
      </c>
      <c r="AA459" s="101" t="s">
        <v>577</v>
      </c>
      <c r="AB459" s="101" t="s">
        <v>578</v>
      </c>
      <c r="AC459" s="101" t="s">
        <v>579</v>
      </c>
      <c r="AD459" s="101" t="s">
        <v>580</v>
      </c>
      <c r="AE459" s="101" t="s">
        <v>581</v>
      </c>
      <c r="AF459" s="101" t="s">
        <v>582</v>
      </c>
      <c r="AG459" s="101" t="s">
        <v>583</v>
      </c>
      <c r="AH459" s="101" t="s">
        <v>584</v>
      </c>
      <c r="AI459" s="101" t="s">
        <v>585</v>
      </c>
    </row>
    <row r="460" spans="10:36" x14ac:dyDescent="0.2">
      <c r="J460" s="101" t="s">
        <v>30</v>
      </c>
      <c r="K460" s="101" t="s">
        <v>1462</v>
      </c>
      <c r="L460" s="101" t="s">
        <v>1366</v>
      </c>
      <c r="M460" s="101" t="s">
        <v>1463</v>
      </c>
      <c r="N460" s="189">
        <v>12470</v>
      </c>
      <c r="O460" s="101" t="s">
        <v>568</v>
      </c>
      <c r="P460" s="101" t="s">
        <v>569</v>
      </c>
      <c r="Q460" s="101" t="s">
        <v>570</v>
      </c>
      <c r="R460" s="101" t="s">
        <v>571</v>
      </c>
      <c r="S460" s="101" t="s">
        <v>572</v>
      </c>
      <c r="T460" s="101" t="s">
        <v>573</v>
      </c>
      <c r="U460" s="101"/>
      <c r="V460" s="101"/>
      <c r="W460" s="101"/>
      <c r="X460" s="101" t="s">
        <v>575</v>
      </c>
      <c r="Y460" s="101"/>
      <c r="Z460" s="101" t="s">
        <v>576</v>
      </c>
      <c r="AA460" s="101"/>
      <c r="AB460" s="101"/>
      <c r="AC460" s="101"/>
      <c r="AD460" s="101"/>
      <c r="AE460" s="101"/>
      <c r="AF460" s="101"/>
      <c r="AG460" s="101"/>
      <c r="AH460" s="101"/>
      <c r="AI460" s="101"/>
    </row>
    <row r="461" spans="10:36" x14ac:dyDescent="0.2">
      <c r="J461" s="101" t="s">
        <v>30</v>
      </c>
      <c r="K461" s="101" t="s">
        <v>1464</v>
      </c>
      <c r="L461" s="101" t="s">
        <v>1394</v>
      </c>
      <c r="M461" s="101" t="s">
        <v>1465</v>
      </c>
      <c r="N461" s="189">
        <v>12420</v>
      </c>
      <c r="O461" s="101" t="s">
        <v>568</v>
      </c>
      <c r="P461" s="101" t="s">
        <v>569</v>
      </c>
      <c r="Q461" s="101" t="s">
        <v>570</v>
      </c>
      <c r="R461" s="101" t="s">
        <v>571</v>
      </c>
      <c r="S461" s="101" t="s">
        <v>572</v>
      </c>
      <c r="T461" s="101" t="s">
        <v>573</v>
      </c>
      <c r="U461" s="101"/>
      <c r="V461" s="101"/>
      <c r="W461" s="101"/>
      <c r="X461" s="101" t="s">
        <v>575</v>
      </c>
      <c r="Y461" s="101"/>
      <c r="Z461" s="101" t="s">
        <v>576</v>
      </c>
      <c r="AA461" s="101" t="s">
        <v>577</v>
      </c>
      <c r="AB461" s="101" t="s">
        <v>578</v>
      </c>
      <c r="AC461" s="101" t="s">
        <v>579</v>
      </c>
      <c r="AD461" s="101" t="s">
        <v>580</v>
      </c>
      <c r="AE461" s="101" t="s">
        <v>581</v>
      </c>
      <c r="AF461" s="101" t="s">
        <v>582</v>
      </c>
      <c r="AG461" s="101" t="s">
        <v>583</v>
      </c>
      <c r="AH461" s="101" t="s">
        <v>584</v>
      </c>
      <c r="AI461" s="101" t="s">
        <v>585</v>
      </c>
    </row>
    <row r="462" spans="10:36" x14ac:dyDescent="0.2">
      <c r="J462" s="101" t="s">
        <v>30</v>
      </c>
      <c r="K462" s="101" t="s">
        <v>1466</v>
      </c>
      <c r="L462" s="101" t="s">
        <v>1366</v>
      </c>
      <c r="M462" s="101" t="s">
        <v>1467</v>
      </c>
      <c r="N462" s="189">
        <v>12460</v>
      </c>
      <c r="O462" s="101" t="s">
        <v>568</v>
      </c>
      <c r="P462" s="101" t="s">
        <v>569</v>
      </c>
      <c r="Q462" s="101" t="s">
        <v>570</v>
      </c>
      <c r="R462" s="101" t="s">
        <v>571</v>
      </c>
      <c r="S462" s="101" t="s">
        <v>572</v>
      </c>
      <c r="T462" s="101" t="s">
        <v>573</v>
      </c>
      <c r="U462" s="101"/>
      <c r="V462" s="101"/>
      <c r="W462" s="101"/>
      <c r="X462" s="101" t="s">
        <v>575</v>
      </c>
      <c r="Y462" s="101"/>
      <c r="Z462" s="101" t="s">
        <v>576</v>
      </c>
      <c r="AA462" s="101" t="s">
        <v>577</v>
      </c>
      <c r="AB462" s="101" t="s">
        <v>578</v>
      </c>
      <c r="AC462" s="101" t="s">
        <v>579</v>
      </c>
      <c r="AD462" s="101" t="s">
        <v>580</v>
      </c>
      <c r="AE462" s="101"/>
      <c r="AF462" s="101"/>
      <c r="AG462" s="101"/>
      <c r="AH462" s="101"/>
      <c r="AI462" s="101"/>
    </row>
    <row r="463" spans="10:36" x14ac:dyDescent="0.2">
      <c r="J463" s="101" t="s">
        <v>30</v>
      </c>
      <c r="K463" s="101" t="s">
        <v>1468</v>
      </c>
      <c r="L463" s="101" t="s">
        <v>1366</v>
      </c>
      <c r="M463" s="101" t="s">
        <v>1469</v>
      </c>
      <c r="N463" s="189">
        <v>12430</v>
      </c>
      <c r="O463" s="101" t="s">
        <v>568</v>
      </c>
      <c r="P463" s="101" t="s">
        <v>569</v>
      </c>
      <c r="Q463" s="101" t="s">
        <v>570</v>
      </c>
      <c r="R463" s="101" t="s">
        <v>571</v>
      </c>
      <c r="S463" s="101" t="s">
        <v>572</v>
      </c>
      <c r="T463" s="101" t="s">
        <v>573</v>
      </c>
      <c r="U463" s="101"/>
      <c r="V463" s="101"/>
      <c r="W463" s="101"/>
      <c r="X463" s="101" t="s">
        <v>575</v>
      </c>
      <c r="Y463" s="101"/>
      <c r="Z463" s="101" t="s">
        <v>576</v>
      </c>
      <c r="AA463" s="101" t="s">
        <v>577</v>
      </c>
      <c r="AB463" s="101" t="s">
        <v>578</v>
      </c>
      <c r="AC463" s="101" t="s">
        <v>579</v>
      </c>
      <c r="AD463" s="101" t="s">
        <v>580</v>
      </c>
      <c r="AE463" s="101" t="s">
        <v>581</v>
      </c>
      <c r="AF463" s="101" t="s">
        <v>582</v>
      </c>
      <c r="AG463" s="101" t="s">
        <v>583</v>
      </c>
      <c r="AH463" s="101" t="s">
        <v>584</v>
      </c>
      <c r="AI463" s="101" t="s">
        <v>585</v>
      </c>
      <c r="AJ463" s="101" t="s">
        <v>2362</v>
      </c>
    </row>
    <row r="464" spans="10:36" x14ac:dyDescent="0.2">
      <c r="J464" s="101" t="s">
        <v>30</v>
      </c>
      <c r="K464" s="101" t="s">
        <v>1470</v>
      </c>
      <c r="L464" s="101" t="s">
        <v>1366</v>
      </c>
      <c r="M464" s="101" t="s">
        <v>1471</v>
      </c>
      <c r="N464" s="189">
        <v>12460</v>
      </c>
      <c r="O464" s="101" t="s">
        <v>568</v>
      </c>
      <c r="P464" s="101" t="s">
        <v>569</v>
      </c>
      <c r="Q464" s="101" t="s">
        <v>570</v>
      </c>
      <c r="R464" s="101" t="s">
        <v>571</v>
      </c>
      <c r="S464" s="101" t="s">
        <v>572</v>
      </c>
      <c r="T464" s="101" t="s">
        <v>573</v>
      </c>
      <c r="U464" s="101"/>
      <c r="V464" s="101"/>
      <c r="W464" s="101"/>
      <c r="X464" s="101" t="s">
        <v>575</v>
      </c>
      <c r="Y464" s="101"/>
      <c r="Z464" s="101" t="s">
        <v>576</v>
      </c>
      <c r="AA464" s="101"/>
      <c r="AB464" s="101"/>
      <c r="AC464" s="101"/>
      <c r="AD464" s="101"/>
      <c r="AE464" s="101"/>
      <c r="AF464" s="101"/>
      <c r="AG464" s="101"/>
      <c r="AH464" s="101"/>
      <c r="AI464" s="101"/>
    </row>
    <row r="465" spans="10:36" x14ac:dyDescent="0.2">
      <c r="J465" s="101" t="s">
        <v>30</v>
      </c>
      <c r="K465" s="101" t="s">
        <v>1472</v>
      </c>
      <c r="L465" s="101" t="s">
        <v>1366</v>
      </c>
      <c r="M465" s="101" t="s">
        <v>1473</v>
      </c>
      <c r="N465" s="189">
        <v>11940</v>
      </c>
      <c r="O465" s="101" t="s">
        <v>568</v>
      </c>
      <c r="P465" s="101" t="s">
        <v>569</v>
      </c>
      <c r="Q465" s="101" t="s">
        <v>570</v>
      </c>
      <c r="R465" s="101" t="s">
        <v>571</v>
      </c>
      <c r="S465" s="101" t="s">
        <v>572</v>
      </c>
      <c r="T465" s="101" t="s">
        <v>573</v>
      </c>
      <c r="U465" s="101"/>
      <c r="V465" s="101"/>
      <c r="W465" s="101" t="s">
        <v>574</v>
      </c>
      <c r="X465" s="101" t="s">
        <v>575</v>
      </c>
      <c r="Y465" s="101"/>
      <c r="Z465" s="101" t="s">
        <v>576</v>
      </c>
      <c r="AA465" s="101" t="s">
        <v>577</v>
      </c>
      <c r="AB465" s="101" t="s">
        <v>578</v>
      </c>
      <c r="AC465" s="101" t="s">
        <v>579</v>
      </c>
      <c r="AD465" s="101" t="s">
        <v>580</v>
      </c>
      <c r="AE465" s="101" t="s">
        <v>581</v>
      </c>
      <c r="AF465" s="101" t="s">
        <v>582</v>
      </c>
      <c r="AG465" s="101" t="s">
        <v>583</v>
      </c>
      <c r="AH465" s="101" t="s">
        <v>584</v>
      </c>
      <c r="AI465" s="101" t="s">
        <v>585</v>
      </c>
      <c r="AJ465" s="101" t="s">
        <v>2362</v>
      </c>
    </row>
    <row r="466" spans="10:36" x14ac:dyDescent="0.2">
      <c r="J466" s="101" t="s">
        <v>30</v>
      </c>
      <c r="K466" s="101" t="s">
        <v>1474</v>
      </c>
      <c r="L466" s="101" t="s">
        <v>1366</v>
      </c>
      <c r="M466" s="101" t="s">
        <v>1475</v>
      </c>
      <c r="N466" s="189">
        <v>12430</v>
      </c>
      <c r="O466" s="101" t="s">
        <v>568</v>
      </c>
      <c r="P466" s="101" t="s">
        <v>569</v>
      </c>
      <c r="Q466" s="101" t="s">
        <v>570</v>
      </c>
      <c r="R466" s="101" t="s">
        <v>571</v>
      </c>
      <c r="S466" s="101" t="s">
        <v>572</v>
      </c>
      <c r="T466" s="101" t="s">
        <v>573</v>
      </c>
      <c r="U466" s="101"/>
      <c r="V466" s="101"/>
      <c r="W466" s="101" t="s">
        <v>574</v>
      </c>
      <c r="X466" s="101" t="s">
        <v>575</v>
      </c>
      <c r="Y466" s="101"/>
      <c r="Z466" s="101" t="s">
        <v>576</v>
      </c>
      <c r="AA466" s="101" t="s">
        <v>577</v>
      </c>
      <c r="AB466" s="101" t="s">
        <v>578</v>
      </c>
      <c r="AC466" s="101" t="s">
        <v>579</v>
      </c>
      <c r="AD466" s="101" t="s">
        <v>580</v>
      </c>
      <c r="AE466" s="101" t="s">
        <v>581</v>
      </c>
      <c r="AF466" s="101" t="s">
        <v>582</v>
      </c>
      <c r="AG466" s="101" t="s">
        <v>583</v>
      </c>
      <c r="AH466" s="101" t="s">
        <v>584</v>
      </c>
      <c r="AI466" s="101" t="s">
        <v>585</v>
      </c>
      <c r="AJ466" s="101" t="s">
        <v>2362</v>
      </c>
    </row>
    <row r="467" spans="10:36" x14ac:dyDescent="0.2">
      <c r="J467" s="101" t="s">
        <v>30</v>
      </c>
      <c r="K467" s="101" t="s">
        <v>1476</v>
      </c>
      <c r="L467" s="101" t="s">
        <v>1366</v>
      </c>
      <c r="M467" s="101" t="s">
        <v>1477</v>
      </c>
      <c r="N467" s="189">
        <v>12430</v>
      </c>
      <c r="O467" s="101" t="s">
        <v>568</v>
      </c>
      <c r="P467" s="101" t="s">
        <v>569</v>
      </c>
      <c r="Q467" s="101" t="s">
        <v>570</v>
      </c>
      <c r="R467" s="101" t="s">
        <v>571</v>
      </c>
      <c r="S467" s="101" t="s">
        <v>572</v>
      </c>
      <c r="T467" s="101" t="s">
        <v>573</v>
      </c>
      <c r="U467" s="101"/>
      <c r="V467" s="101"/>
      <c r="W467" s="101"/>
      <c r="X467" s="101" t="s">
        <v>575</v>
      </c>
      <c r="Y467" s="101"/>
      <c r="Z467" s="101" t="s">
        <v>576</v>
      </c>
      <c r="AA467" s="101" t="s">
        <v>577</v>
      </c>
      <c r="AB467" s="101" t="s">
        <v>578</v>
      </c>
      <c r="AC467" s="101" t="s">
        <v>579</v>
      </c>
      <c r="AD467" s="101" t="s">
        <v>580</v>
      </c>
      <c r="AE467" s="101" t="s">
        <v>581</v>
      </c>
      <c r="AF467" s="101" t="s">
        <v>582</v>
      </c>
      <c r="AG467" s="101" t="s">
        <v>583</v>
      </c>
      <c r="AH467" s="101" t="s">
        <v>584</v>
      </c>
      <c r="AI467" s="101" t="s">
        <v>585</v>
      </c>
    </row>
    <row r="468" spans="10:36" x14ac:dyDescent="0.2">
      <c r="J468" s="101" t="s">
        <v>30</v>
      </c>
      <c r="K468" s="101" t="s">
        <v>1478</v>
      </c>
      <c r="L468" s="101" t="s">
        <v>1366</v>
      </c>
      <c r="M468" s="101" t="s">
        <v>1479</v>
      </c>
      <c r="N468" s="189">
        <v>12000</v>
      </c>
      <c r="O468" s="101" t="s">
        <v>568</v>
      </c>
      <c r="P468" s="101" t="s">
        <v>569</v>
      </c>
      <c r="Q468" s="101" t="s">
        <v>570</v>
      </c>
      <c r="R468" s="101" t="s">
        <v>571</v>
      </c>
      <c r="S468" s="101" t="s">
        <v>572</v>
      </c>
      <c r="T468" s="101" t="s">
        <v>573</v>
      </c>
      <c r="U468" s="101"/>
      <c r="V468" s="101"/>
      <c r="W468" s="101" t="s">
        <v>574</v>
      </c>
      <c r="X468" s="101" t="s">
        <v>575</v>
      </c>
      <c r="Y468" s="101"/>
      <c r="Z468" s="101" t="s">
        <v>576</v>
      </c>
      <c r="AA468" s="101" t="s">
        <v>577</v>
      </c>
      <c r="AB468" s="101" t="s">
        <v>578</v>
      </c>
      <c r="AC468" s="101" t="s">
        <v>579</v>
      </c>
      <c r="AD468" s="101" t="s">
        <v>580</v>
      </c>
      <c r="AE468" s="101" t="s">
        <v>581</v>
      </c>
      <c r="AF468" s="101" t="s">
        <v>582</v>
      </c>
      <c r="AG468" s="101"/>
      <c r="AH468" s="101"/>
      <c r="AI468" s="101"/>
    </row>
    <row r="469" spans="10:36" x14ac:dyDescent="0.2">
      <c r="J469" s="101" t="s">
        <v>30</v>
      </c>
      <c r="K469" s="101" t="s">
        <v>1480</v>
      </c>
      <c r="L469" s="101" t="s">
        <v>1366</v>
      </c>
      <c r="M469" s="101" t="s">
        <v>1481</v>
      </c>
      <c r="N469" s="189">
        <v>12460</v>
      </c>
      <c r="O469" s="101" t="s">
        <v>568</v>
      </c>
      <c r="P469" s="101" t="s">
        <v>569</v>
      </c>
      <c r="Q469" s="101" t="s">
        <v>570</v>
      </c>
      <c r="R469" s="101" t="s">
        <v>571</v>
      </c>
      <c r="S469" s="101" t="s">
        <v>572</v>
      </c>
      <c r="T469" s="101" t="s">
        <v>573</v>
      </c>
      <c r="U469" s="101"/>
      <c r="V469" s="101"/>
      <c r="W469" s="101"/>
      <c r="X469" s="101" t="s">
        <v>575</v>
      </c>
      <c r="Y469" s="101"/>
      <c r="Z469" s="101" t="s">
        <v>576</v>
      </c>
      <c r="AA469" s="101" t="s">
        <v>577</v>
      </c>
      <c r="AB469" s="101" t="s">
        <v>578</v>
      </c>
      <c r="AC469" s="101" t="s">
        <v>579</v>
      </c>
      <c r="AD469" s="101" t="s">
        <v>580</v>
      </c>
      <c r="AE469" s="101" t="s">
        <v>581</v>
      </c>
      <c r="AF469" s="101" t="s">
        <v>582</v>
      </c>
      <c r="AG469" s="101" t="s">
        <v>583</v>
      </c>
      <c r="AH469" s="101" t="s">
        <v>584</v>
      </c>
      <c r="AI469" s="101"/>
    </row>
    <row r="470" spans="10:36" x14ac:dyDescent="0.2">
      <c r="J470" s="101" t="s">
        <v>30</v>
      </c>
      <c r="K470" s="101" t="s">
        <v>1482</v>
      </c>
      <c r="L470" s="101" t="s">
        <v>1366</v>
      </c>
      <c r="M470" s="101" t="s">
        <v>1483</v>
      </c>
      <c r="N470" s="189">
        <v>12420</v>
      </c>
      <c r="O470" s="101" t="s">
        <v>568</v>
      </c>
      <c r="P470" s="101" t="s">
        <v>569</v>
      </c>
      <c r="Q470" s="101" t="s">
        <v>570</v>
      </c>
      <c r="R470" s="101" t="s">
        <v>571</v>
      </c>
      <c r="S470" s="101" t="s">
        <v>572</v>
      </c>
      <c r="T470" s="101" t="s">
        <v>573</v>
      </c>
      <c r="U470" s="101"/>
      <c r="V470" s="101"/>
      <c r="W470" s="101" t="s">
        <v>574</v>
      </c>
      <c r="X470" s="101" t="s">
        <v>575</v>
      </c>
      <c r="Y470" s="101"/>
      <c r="Z470" s="101" t="s">
        <v>576</v>
      </c>
      <c r="AA470" s="101" t="s">
        <v>577</v>
      </c>
      <c r="AB470" s="101" t="s">
        <v>578</v>
      </c>
      <c r="AC470" s="101" t="s">
        <v>579</v>
      </c>
      <c r="AD470" s="101" t="s">
        <v>580</v>
      </c>
      <c r="AE470" s="101" t="s">
        <v>581</v>
      </c>
      <c r="AF470" s="101" t="s">
        <v>582</v>
      </c>
      <c r="AG470" s="101" t="s">
        <v>583</v>
      </c>
      <c r="AH470" s="101" t="s">
        <v>584</v>
      </c>
      <c r="AI470" s="101" t="s">
        <v>585</v>
      </c>
    </row>
    <row r="471" spans="10:36" x14ac:dyDescent="0.2">
      <c r="J471" s="101" t="s">
        <v>30</v>
      </c>
      <c r="K471" s="101" t="s">
        <v>1484</v>
      </c>
      <c r="L471" s="101" t="s">
        <v>1366</v>
      </c>
      <c r="M471" s="101" t="s">
        <v>1485</v>
      </c>
      <c r="N471" s="189">
        <v>12060</v>
      </c>
      <c r="O471" s="101" t="s">
        <v>568</v>
      </c>
      <c r="P471" s="101" t="s">
        <v>569</v>
      </c>
      <c r="Q471" s="101" t="s">
        <v>570</v>
      </c>
      <c r="R471" s="101" t="s">
        <v>571</v>
      </c>
      <c r="S471" s="101" t="s">
        <v>572</v>
      </c>
      <c r="T471" s="101" t="s">
        <v>573</v>
      </c>
      <c r="U471" s="101"/>
      <c r="V471" s="101"/>
      <c r="W471" s="101"/>
      <c r="X471" s="101" t="s">
        <v>575</v>
      </c>
      <c r="Y471" s="101"/>
      <c r="Z471" s="101" t="s">
        <v>576</v>
      </c>
      <c r="AA471" s="101" t="s">
        <v>577</v>
      </c>
      <c r="AB471" s="101" t="s">
        <v>578</v>
      </c>
      <c r="AC471" s="101" t="s">
        <v>579</v>
      </c>
      <c r="AD471" s="101" t="s">
        <v>580</v>
      </c>
      <c r="AE471" s="101" t="s">
        <v>581</v>
      </c>
      <c r="AF471" s="101" t="s">
        <v>582</v>
      </c>
      <c r="AG471" s="101" t="s">
        <v>583</v>
      </c>
      <c r="AH471" s="101" t="s">
        <v>584</v>
      </c>
      <c r="AI471" s="101" t="s">
        <v>585</v>
      </c>
      <c r="AJ471" s="101" t="s">
        <v>2362</v>
      </c>
    </row>
    <row r="472" spans="10:36" x14ac:dyDescent="0.2">
      <c r="J472" s="101" t="s">
        <v>30</v>
      </c>
      <c r="K472" s="101" t="s">
        <v>1486</v>
      </c>
      <c r="L472" s="101" t="s">
        <v>1394</v>
      </c>
      <c r="M472" s="101" t="s">
        <v>1487</v>
      </c>
      <c r="N472" s="189">
        <v>12460</v>
      </c>
      <c r="O472" s="101" t="s">
        <v>568</v>
      </c>
      <c r="P472" s="101" t="s">
        <v>569</v>
      </c>
      <c r="Q472" s="101" t="s">
        <v>570</v>
      </c>
      <c r="R472" s="101" t="s">
        <v>571</v>
      </c>
      <c r="S472" s="101" t="s">
        <v>572</v>
      </c>
      <c r="T472" s="101" t="s">
        <v>573</v>
      </c>
      <c r="U472" s="101"/>
      <c r="V472" s="101"/>
      <c r="W472" s="101"/>
      <c r="X472" s="101" t="s">
        <v>575</v>
      </c>
      <c r="Y472" s="101"/>
      <c r="Z472" s="101" t="s">
        <v>576</v>
      </c>
      <c r="AA472" s="101"/>
      <c r="AB472" s="101"/>
      <c r="AC472" s="101"/>
      <c r="AD472" s="101"/>
      <c r="AE472" s="101"/>
      <c r="AF472" s="101"/>
      <c r="AG472" s="101"/>
      <c r="AH472" s="101"/>
      <c r="AI472" s="101"/>
    </row>
    <row r="473" spans="10:36" x14ac:dyDescent="0.2">
      <c r="J473" s="101" t="s">
        <v>30</v>
      </c>
      <c r="K473" s="101" t="s">
        <v>1488</v>
      </c>
      <c r="L473" s="101" t="s">
        <v>1394</v>
      </c>
      <c r="M473" s="101" t="s">
        <v>1489</v>
      </c>
      <c r="N473" s="189">
        <v>12470</v>
      </c>
      <c r="O473" s="101" t="s">
        <v>568</v>
      </c>
      <c r="P473" s="101" t="s">
        <v>569</v>
      </c>
      <c r="Q473" s="101" t="s">
        <v>570</v>
      </c>
      <c r="R473" s="101" t="s">
        <v>571</v>
      </c>
      <c r="S473" s="101" t="s">
        <v>572</v>
      </c>
      <c r="T473" s="101" t="s">
        <v>573</v>
      </c>
      <c r="U473" s="101"/>
      <c r="V473" s="101"/>
      <c r="W473" s="101"/>
      <c r="X473" s="101" t="s">
        <v>575</v>
      </c>
      <c r="Y473" s="101"/>
      <c r="Z473" s="101" t="s">
        <v>576</v>
      </c>
      <c r="AA473" s="101"/>
      <c r="AB473" s="101"/>
      <c r="AC473" s="101"/>
      <c r="AD473" s="101"/>
      <c r="AE473" s="101"/>
      <c r="AF473" s="101"/>
      <c r="AG473" s="101"/>
      <c r="AH473" s="101"/>
      <c r="AI473" s="101"/>
    </row>
    <row r="474" spans="10:36" x14ac:dyDescent="0.2">
      <c r="J474" s="101" t="s">
        <v>30</v>
      </c>
      <c r="K474" s="101" t="s">
        <v>1490</v>
      </c>
      <c r="L474" s="101" t="s">
        <v>1394</v>
      </c>
      <c r="M474" s="101" t="s">
        <v>1491</v>
      </c>
      <c r="N474" s="189">
        <v>12430</v>
      </c>
      <c r="O474" s="101" t="s">
        <v>568</v>
      </c>
      <c r="P474" s="101" t="s">
        <v>569</v>
      </c>
      <c r="Q474" s="101" t="s">
        <v>570</v>
      </c>
      <c r="R474" s="101" t="s">
        <v>571</v>
      </c>
      <c r="S474" s="101" t="s">
        <v>572</v>
      </c>
      <c r="T474" s="101" t="s">
        <v>573</v>
      </c>
      <c r="U474" s="101"/>
      <c r="V474" s="101"/>
      <c r="W474" s="101"/>
      <c r="X474" s="101" t="s">
        <v>575</v>
      </c>
      <c r="Y474" s="101"/>
      <c r="Z474" s="101" t="s">
        <v>576</v>
      </c>
      <c r="AA474" s="101" t="s">
        <v>577</v>
      </c>
      <c r="AB474" s="101" t="s">
        <v>578</v>
      </c>
      <c r="AC474" s="101" t="s">
        <v>579</v>
      </c>
      <c r="AD474" s="101" t="s">
        <v>580</v>
      </c>
      <c r="AE474" s="101" t="s">
        <v>581</v>
      </c>
      <c r="AF474" s="101" t="s">
        <v>582</v>
      </c>
      <c r="AG474" s="101" t="s">
        <v>583</v>
      </c>
      <c r="AH474" s="101" t="s">
        <v>584</v>
      </c>
      <c r="AI474" s="101" t="s">
        <v>585</v>
      </c>
    </row>
    <row r="475" spans="10:36" x14ac:dyDescent="0.2">
      <c r="J475" s="101" t="s">
        <v>30</v>
      </c>
      <c r="K475" s="101" t="s">
        <v>1492</v>
      </c>
      <c r="L475" s="101" t="s">
        <v>1493</v>
      </c>
      <c r="M475" s="101" t="s">
        <v>1494</v>
      </c>
      <c r="N475" s="189">
        <v>12410</v>
      </c>
      <c r="O475" s="101" t="s">
        <v>568</v>
      </c>
      <c r="P475" s="101" t="s">
        <v>569</v>
      </c>
      <c r="Q475" s="101" t="s">
        <v>570</v>
      </c>
      <c r="R475" s="101" t="s">
        <v>571</v>
      </c>
      <c r="S475" s="101" t="s">
        <v>572</v>
      </c>
      <c r="T475" s="101" t="s">
        <v>573</v>
      </c>
      <c r="U475" s="101"/>
      <c r="V475" s="101"/>
      <c r="W475" s="101"/>
      <c r="X475" s="101" t="s">
        <v>575</v>
      </c>
      <c r="Y475" s="101"/>
      <c r="Z475" s="101" t="s">
        <v>576</v>
      </c>
      <c r="AA475" s="101" t="s">
        <v>577</v>
      </c>
      <c r="AB475" s="101" t="s">
        <v>578</v>
      </c>
      <c r="AC475" s="101" t="s">
        <v>579</v>
      </c>
      <c r="AD475" s="101" t="s">
        <v>580</v>
      </c>
      <c r="AE475" s="101" t="s">
        <v>581</v>
      </c>
      <c r="AF475" s="101" t="s">
        <v>582</v>
      </c>
      <c r="AG475" s="101" t="s">
        <v>583</v>
      </c>
      <c r="AH475" s="101" t="s">
        <v>584</v>
      </c>
      <c r="AI475" s="101" t="s">
        <v>585</v>
      </c>
    </row>
    <row r="476" spans="10:36" x14ac:dyDescent="0.2">
      <c r="J476" s="101" t="s">
        <v>30</v>
      </c>
      <c r="K476" s="101" t="s">
        <v>1495</v>
      </c>
      <c r="L476" s="101" t="s">
        <v>1493</v>
      </c>
      <c r="M476" s="101" t="s">
        <v>1496</v>
      </c>
      <c r="N476" s="189">
        <v>12470</v>
      </c>
      <c r="O476" s="101" t="s">
        <v>568</v>
      </c>
      <c r="P476" s="101" t="s">
        <v>569</v>
      </c>
      <c r="Q476" s="101" t="s">
        <v>570</v>
      </c>
      <c r="R476" s="101" t="s">
        <v>571</v>
      </c>
      <c r="S476" s="101" t="s">
        <v>572</v>
      </c>
      <c r="T476" s="101" t="s">
        <v>573</v>
      </c>
      <c r="U476" s="101"/>
      <c r="V476" s="101"/>
      <c r="W476" s="101"/>
      <c r="X476" s="101" t="s">
        <v>575</v>
      </c>
      <c r="Y476" s="101"/>
      <c r="Z476" s="101" t="s">
        <v>576</v>
      </c>
      <c r="AA476" s="101" t="s">
        <v>577</v>
      </c>
      <c r="AB476" s="101" t="s">
        <v>578</v>
      </c>
      <c r="AC476" s="101" t="s">
        <v>579</v>
      </c>
      <c r="AD476" s="101" t="s">
        <v>580</v>
      </c>
      <c r="AE476" s="101" t="s">
        <v>581</v>
      </c>
      <c r="AF476" s="101" t="s">
        <v>582</v>
      </c>
      <c r="AG476" s="101"/>
      <c r="AH476" s="101"/>
      <c r="AI476" s="101"/>
    </row>
    <row r="477" spans="10:36" x14ac:dyDescent="0.2">
      <c r="J477" s="101" t="s">
        <v>30</v>
      </c>
      <c r="K477" s="101" t="s">
        <v>1497</v>
      </c>
      <c r="L477" s="101" t="s">
        <v>1493</v>
      </c>
      <c r="M477" s="101" t="s">
        <v>1498</v>
      </c>
      <c r="N477" s="189">
        <v>11950</v>
      </c>
      <c r="O477" s="101" t="s">
        <v>568</v>
      </c>
      <c r="P477" s="101" t="s">
        <v>569</v>
      </c>
      <c r="Q477" s="101" t="s">
        <v>570</v>
      </c>
      <c r="R477" s="101" t="s">
        <v>571</v>
      </c>
      <c r="S477" s="101" t="s">
        <v>572</v>
      </c>
      <c r="T477" s="101" t="s">
        <v>573</v>
      </c>
      <c r="U477" s="101"/>
      <c r="V477" s="101"/>
      <c r="W477" s="101"/>
      <c r="X477" s="101" t="s">
        <v>575</v>
      </c>
      <c r="Y477" s="101"/>
      <c r="Z477" s="101" t="s">
        <v>576</v>
      </c>
      <c r="AA477" s="101" t="s">
        <v>577</v>
      </c>
      <c r="AB477" s="101" t="s">
        <v>578</v>
      </c>
      <c r="AC477" s="101" t="s">
        <v>579</v>
      </c>
      <c r="AD477" s="101" t="s">
        <v>580</v>
      </c>
      <c r="AE477" s="101" t="s">
        <v>581</v>
      </c>
      <c r="AF477" s="101" t="s">
        <v>582</v>
      </c>
      <c r="AG477" s="101" t="s">
        <v>583</v>
      </c>
      <c r="AH477" s="101" t="s">
        <v>584</v>
      </c>
      <c r="AI477" s="101" t="s">
        <v>585</v>
      </c>
    </row>
    <row r="478" spans="10:36" x14ac:dyDescent="0.2">
      <c r="J478" s="101" t="s">
        <v>30</v>
      </c>
      <c r="K478" s="101" t="s">
        <v>1499</v>
      </c>
      <c r="L478" s="101" t="s">
        <v>1493</v>
      </c>
      <c r="M478" s="101" t="s">
        <v>1500</v>
      </c>
      <c r="N478" s="189">
        <v>12120</v>
      </c>
      <c r="O478" s="101" t="s">
        <v>568</v>
      </c>
      <c r="P478" s="101" t="s">
        <v>569</v>
      </c>
      <c r="Q478" s="101" t="s">
        <v>570</v>
      </c>
      <c r="R478" s="101" t="s">
        <v>571</v>
      </c>
      <c r="S478" s="101" t="s">
        <v>572</v>
      </c>
      <c r="T478" s="101" t="s">
        <v>573</v>
      </c>
      <c r="U478" s="101"/>
      <c r="V478" s="101"/>
      <c r="W478" s="101"/>
      <c r="X478" s="101" t="s">
        <v>575</v>
      </c>
      <c r="Y478" s="101"/>
      <c r="Z478" s="101" t="s">
        <v>576</v>
      </c>
      <c r="AA478" s="101" t="s">
        <v>577</v>
      </c>
      <c r="AB478" s="101" t="s">
        <v>578</v>
      </c>
      <c r="AC478" s="101" t="s">
        <v>579</v>
      </c>
      <c r="AD478" s="101" t="s">
        <v>580</v>
      </c>
      <c r="AE478" s="101" t="s">
        <v>581</v>
      </c>
      <c r="AF478" s="101" t="s">
        <v>582</v>
      </c>
      <c r="AG478" s="101"/>
      <c r="AH478" s="101"/>
      <c r="AI478" s="101"/>
    </row>
    <row r="479" spans="10:36" x14ac:dyDescent="0.2">
      <c r="J479" s="101" t="s">
        <v>30</v>
      </c>
      <c r="K479" s="101" t="s">
        <v>1501</v>
      </c>
      <c r="L479" s="101" t="s">
        <v>1376</v>
      </c>
      <c r="M479" s="101" t="s">
        <v>1502</v>
      </c>
      <c r="N479" s="189">
        <v>12430</v>
      </c>
      <c r="O479" s="101" t="s">
        <v>568</v>
      </c>
      <c r="P479" s="101" t="s">
        <v>569</v>
      </c>
      <c r="Q479" s="101" t="s">
        <v>570</v>
      </c>
      <c r="R479" s="101" t="s">
        <v>571</v>
      </c>
      <c r="S479" s="101" t="s">
        <v>572</v>
      </c>
      <c r="T479" s="101" t="s">
        <v>573</v>
      </c>
      <c r="U479" s="101"/>
      <c r="V479" s="101"/>
      <c r="W479" s="101"/>
      <c r="X479" s="101" t="s">
        <v>575</v>
      </c>
      <c r="Y479" s="101"/>
      <c r="Z479" s="101" t="s">
        <v>576</v>
      </c>
      <c r="AA479" s="101" t="s">
        <v>577</v>
      </c>
      <c r="AB479" s="101" t="s">
        <v>578</v>
      </c>
      <c r="AC479" s="101" t="s">
        <v>579</v>
      </c>
      <c r="AD479" s="101" t="s">
        <v>580</v>
      </c>
      <c r="AE479" s="101" t="s">
        <v>581</v>
      </c>
      <c r="AF479" s="101" t="s">
        <v>582</v>
      </c>
      <c r="AG479" s="101" t="s">
        <v>583</v>
      </c>
      <c r="AH479" s="101" t="s">
        <v>584</v>
      </c>
      <c r="AI479" s="101" t="s">
        <v>585</v>
      </c>
    </row>
    <row r="480" spans="10:36" x14ac:dyDescent="0.2">
      <c r="J480" s="101" t="s">
        <v>30</v>
      </c>
      <c r="K480" s="101" t="s">
        <v>1503</v>
      </c>
      <c r="L480" s="101" t="s">
        <v>1376</v>
      </c>
      <c r="M480" s="101" t="s">
        <v>1504</v>
      </c>
      <c r="N480" s="189">
        <v>12450</v>
      </c>
      <c r="O480" s="101" t="s">
        <v>568</v>
      </c>
      <c r="P480" s="101" t="s">
        <v>569</v>
      </c>
      <c r="Q480" s="101" t="s">
        <v>570</v>
      </c>
      <c r="R480" s="101" t="s">
        <v>571</v>
      </c>
      <c r="S480" s="101" t="s">
        <v>572</v>
      </c>
      <c r="T480" s="101" t="s">
        <v>573</v>
      </c>
      <c r="U480" s="101"/>
      <c r="V480" s="101"/>
      <c r="W480" s="101"/>
      <c r="X480" s="101" t="s">
        <v>575</v>
      </c>
      <c r="Y480" s="101"/>
      <c r="Z480" s="101" t="s">
        <v>576</v>
      </c>
      <c r="AA480" s="101"/>
      <c r="AB480" s="101"/>
      <c r="AC480" s="101"/>
      <c r="AD480" s="101"/>
      <c r="AE480" s="101"/>
      <c r="AF480" s="101"/>
      <c r="AG480" s="101"/>
      <c r="AH480" s="101"/>
      <c r="AI480" s="101"/>
    </row>
    <row r="481" spans="10:35" x14ac:dyDescent="0.2">
      <c r="J481" s="101" t="s">
        <v>30</v>
      </c>
      <c r="K481" s="101" t="s">
        <v>1505</v>
      </c>
      <c r="L481" s="101" t="s">
        <v>1376</v>
      </c>
      <c r="M481" s="101" t="s">
        <v>1506</v>
      </c>
      <c r="N481" s="189">
        <v>12430</v>
      </c>
      <c r="O481" s="101" t="s">
        <v>568</v>
      </c>
      <c r="P481" s="101" t="s">
        <v>569</v>
      </c>
      <c r="Q481" s="101" t="s">
        <v>570</v>
      </c>
      <c r="R481" s="101" t="s">
        <v>571</v>
      </c>
      <c r="S481" s="101" t="s">
        <v>572</v>
      </c>
      <c r="T481" s="101" t="s">
        <v>573</v>
      </c>
      <c r="U481" s="101"/>
      <c r="V481" s="101"/>
      <c r="W481" s="101"/>
      <c r="X481" s="101" t="s">
        <v>575</v>
      </c>
      <c r="Y481" s="101"/>
      <c r="Z481" s="101" t="s">
        <v>576</v>
      </c>
      <c r="AA481" s="101" t="s">
        <v>577</v>
      </c>
      <c r="AB481" s="101" t="s">
        <v>578</v>
      </c>
      <c r="AC481" s="101" t="s">
        <v>579</v>
      </c>
      <c r="AD481" s="101" t="s">
        <v>580</v>
      </c>
      <c r="AE481" s="101" t="s">
        <v>581</v>
      </c>
      <c r="AF481" s="101" t="s">
        <v>582</v>
      </c>
      <c r="AG481" s="101" t="s">
        <v>583</v>
      </c>
      <c r="AH481" s="101" t="s">
        <v>584</v>
      </c>
      <c r="AI481" s="101" t="s">
        <v>585</v>
      </c>
    </row>
    <row r="482" spans="10:35" x14ac:dyDescent="0.2">
      <c r="J482" s="101" t="s">
        <v>30</v>
      </c>
      <c r="K482" s="101" t="s">
        <v>1507</v>
      </c>
      <c r="L482" s="101" t="s">
        <v>1376</v>
      </c>
      <c r="M482" s="101" t="s">
        <v>1508</v>
      </c>
      <c r="N482" s="189">
        <v>12080</v>
      </c>
      <c r="O482" s="101" t="s">
        <v>568</v>
      </c>
      <c r="P482" s="101" t="s">
        <v>569</v>
      </c>
      <c r="Q482" s="101" t="s">
        <v>570</v>
      </c>
      <c r="R482" s="101" t="s">
        <v>571</v>
      </c>
      <c r="S482" s="101" t="s">
        <v>572</v>
      </c>
      <c r="T482" s="101" t="s">
        <v>573</v>
      </c>
      <c r="U482" s="101"/>
      <c r="V482" s="101"/>
      <c r="W482" s="101"/>
      <c r="X482" s="101" t="s">
        <v>575</v>
      </c>
      <c r="Y482" s="101"/>
      <c r="Z482" s="101" t="s">
        <v>576</v>
      </c>
      <c r="AA482" s="101" t="s">
        <v>577</v>
      </c>
      <c r="AB482" s="101" t="s">
        <v>578</v>
      </c>
      <c r="AC482" s="101" t="s">
        <v>579</v>
      </c>
      <c r="AD482" s="101" t="s">
        <v>580</v>
      </c>
      <c r="AE482" s="101" t="s">
        <v>581</v>
      </c>
      <c r="AF482" s="101" t="s">
        <v>582</v>
      </c>
      <c r="AG482" s="101" t="s">
        <v>583</v>
      </c>
      <c r="AH482" s="101" t="s">
        <v>584</v>
      </c>
      <c r="AI482" s="101" t="s">
        <v>585</v>
      </c>
    </row>
    <row r="483" spans="10:35" x14ac:dyDescent="0.2">
      <c r="J483" s="101" t="s">
        <v>30</v>
      </c>
      <c r="K483" s="101" t="s">
        <v>1509</v>
      </c>
      <c r="L483" s="101" t="s">
        <v>1493</v>
      </c>
      <c r="M483" s="101" t="s">
        <v>1510</v>
      </c>
      <c r="N483" s="189">
        <v>12370</v>
      </c>
      <c r="O483" s="101" t="s">
        <v>568</v>
      </c>
      <c r="P483" s="101" t="s">
        <v>569</v>
      </c>
      <c r="Q483" s="101" t="s">
        <v>570</v>
      </c>
      <c r="R483" s="101" t="s">
        <v>571</v>
      </c>
      <c r="S483" s="101" t="s">
        <v>572</v>
      </c>
      <c r="T483" s="101" t="s">
        <v>573</v>
      </c>
      <c r="U483" s="101"/>
      <c r="V483" s="101"/>
      <c r="W483" s="101"/>
      <c r="X483" s="101" t="s">
        <v>575</v>
      </c>
      <c r="Y483" s="101"/>
      <c r="Z483" s="101" t="s">
        <v>576</v>
      </c>
      <c r="AA483" s="101" t="s">
        <v>577</v>
      </c>
      <c r="AB483" s="101" t="s">
        <v>578</v>
      </c>
      <c r="AC483" s="101" t="s">
        <v>579</v>
      </c>
      <c r="AD483" s="101" t="s">
        <v>580</v>
      </c>
      <c r="AE483" s="101" t="s">
        <v>581</v>
      </c>
      <c r="AF483" s="101" t="s">
        <v>582</v>
      </c>
      <c r="AG483" s="101" t="s">
        <v>583</v>
      </c>
      <c r="AH483" s="101" t="s">
        <v>584</v>
      </c>
      <c r="AI483" s="101" t="s">
        <v>585</v>
      </c>
    </row>
    <row r="484" spans="10:35" x14ac:dyDescent="0.2">
      <c r="J484" s="101" t="s">
        <v>30</v>
      </c>
      <c r="K484" s="101" t="s">
        <v>1511</v>
      </c>
      <c r="L484" s="101" t="s">
        <v>1376</v>
      </c>
      <c r="M484" s="101" t="s">
        <v>1512</v>
      </c>
      <c r="N484" s="189">
        <v>11940</v>
      </c>
      <c r="O484" s="101" t="s">
        <v>568</v>
      </c>
      <c r="P484" s="101" t="s">
        <v>569</v>
      </c>
      <c r="Q484" s="101" t="s">
        <v>570</v>
      </c>
      <c r="R484" s="101" t="s">
        <v>571</v>
      </c>
      <c r="S484" s="101" t="s">
        <v>572</v>
      </c>
      <c r="T484" s="101" t="s">
        <v>573</v>
      </c>
      <c r="U484" s="101"/>
      <c r="V484" s="101"/>
      <c r="W484" s="101"/>
      <c r="X484" s="101" t="s">
        <v>575</v>
      </c>
      <c r="Y484" s="101"/>
      <c r="Z484" s="101" t="s">
        <v>576</v>
      </c>
      <c r="AA484" s="101" t="s">
        <v>577</v>
      </c>
      <c r="AB484" s="101" t="s">
        <v>578</v>
      </c>
      <c r="AC484" s="101" t="s">
        <v>579</v>
      </c>
      <c r="AD484" s="101" t="s">
        <v>580</v>
      </c>
      <c r="AE484" s="101" t="s">
        <v>581</v>
      </c>
      <c r="AF484" s="101" t="s">
        <v>582</v>
      </c>
      <c r="AG484" s="101" t="s">
        <v>583</v>
      </c>
      <c r="AH484" s="101" t="s">
        <v>584</v>
      </c>
      <c r="AI484" s="101" t="s">
        <v>585</v>
      </c>
    </row>
    <row r="485" spans="10:35" x14ac:dyDescent="0.2">
      <c r="J485" s="101" t="s">
        <v>30</v>
      </c>
      <c r="K485" s="101" t="s">
        <v>1513</v>
      </c>
      <c r="L485" s="101" t="s">
        <v>1493</v>
      </c>
      <c r="M485" s="101" t="s">
        <v>1514</v>
      </c>
      <c r="N485" s="189">
        <v>11920</v>
      </c>
      <c r="O485" s="101" t="s">
        <v>568</v>
      </c>
      <c r="P485" s="101" t="s">
        <v>569</v>
      </c>
      <c r="Q485" s="101" t="s">
        <v>570</v>
      </c>
      <c r="R485" s="101" t="s">
        <v>571</v>
      </c>
      <c r="S485" s="101" t="s">
        <v>572</v>
      </c>
      <c r="T485" s="101" t="s">
        <v>573</v>
      </c>
      <c r="U485" s="101"/>
      <c r="V485" s="101"/>
      <c r="W485" s="101"/>
      <c r="X485" s="101" t="s">
        <v>575</v>
      </c>
      <c r="Y485" s="101"/>
      <c r="Z485" s="101" t="s">
        <v>576</v>
      </c>
      <c r="AA485" s="101" t="s">
        <v>577</v>
      </c>
      <c r="AB485" s="101" t="s">
        <v>578</v>
      </c>
      <c r="AC485" s="101" t="s">
        <v>579</v>
      </c>
      <c r="AD485" s="101" t="s">
        <v>580</v>
      </c>
      <c r="AE485" s="101" t="s">
        <v>581</v>
      </c>
      <c r="AF485" s="101" t="s">
        <v>582</v>
      </c>
      <c r="AG485" s="101" t="s">
        <v>583</v>
      </c>
      <c r="AH485" s="101" t="s">
        <v>584</v>
      </c>
      <c r="AI485" s="101" t="s">
        <v>585</v>
      </c>
    </row>
    <row r="486" spans="10:35" x14ac:dyDescent="0.2">
      <c r="J486" s="101" t="s">
        <v>30</v>
      </c>
      <c r="K486" s="101" t="s">
        <v>1515</v>
      </c>
      <c r="L486" s="101" t="s">
        <v>1376</v>
      </c>
      <c r="M486" s="101" t="s">
        <v>1516</v>
      </c>
      <c r="N486" s="189">
        <v>11980</v>
      </c>
      <c r="O486" s="101" t="s">
        <v>568</v>
      </c>
      <c r="P486" s="101" t="s">
        <v>569</v>
      </c>
      <c r="Q486" s="101" t="s">
        <v>570</v>
      </c>
      <c r="R486" s="101" t="s">
        <v>571</v>
      </c>
      <c r="S486" s="101" t="s">
        <v>572</v>
      </c>
      <c r="T486" s="101" t="s">
        <v>573</v>
      </c>
      <c r="U486" s="101"/>
      <c r="V486" s="101"/>
      <c r="W486" s="101"/>
      <c r="X486" s="101" t="s">
        <v>575</v>
      </c>
      <c r="Y486" s="101"/>
      <c r="Z486" s="101" t="s">
        <v>576</v>
      </c>
      <c r="AA486" s="101" t="s">
        <v>577</v>
      </c>
      <c r="AB486" s="101" t="s">
        <v>578</v>
      </c>
      <c r="AC486" s="101" t="s">
        <v>579</v>
      </c>
      <c r="AD486" s="101" t="s">
        <v>580</v>
      </c>
      <c r="AE486" s="101" t="s">
        <v>581</v>
      </c>
      <c r="AF486" s="101" t="s">
        <v>582</v>
      </c>
      <c r="AG486" s="101" t="s">
        <v>583</v>
      </c>
      <c r="AH486" s="101" t="s">
        <v>584</v>
      </c>
      <c r="AI486" s="101" t="s">
        <v>585</v>
      </c>
    </row>
    <row r="487" spans="10:35" x14ac:dyDescent="0.2">
      <c r="J487" s="101" t="s">
        <v>30</v>
      </c>
      <c r="K487" s="101" t="s">
        <v>1517</v>
      </c>
      <c r="L487" s="101" t="s">
        <v>1493</v>
      </c>
      <c r="M487" s="101" t="s">
        <v>1518</v>
      </c>
      <c r="N487" s="189">
        <v>12450</v>
      </c>
      <c r="O487" s="101" t="s">
        <v>568</v>
      </c>
      <c r="P487" s="101" t="s">
        <v>569</v>
      </c>
      <c r="Q487" s="101" t="s">
        <v>570</v>
      </c>
      <c r="R487" s="101" t="s">
        <v>571</v>
      </c>
      <c r="S487" s="101" t="s">
        <v>572</v>
      </c>
      <c r="T487" s="101" t="s">
        <v>573</v>
      </c>
      <c r="U487" s="101"/>
      <c r="V487" s="101"/>
      <c r="W487" s="101"/>
      <c r="X487" s="101" t="s">
        <v>575</v>
      </c>
      <c r="Y487" s="101"/>
      <c r="Z487" s="101" t="s">
        <v>576</v>
      </c>
      <c r="AA487" s="101" t="s">
        <v>577</v>
      </c>
      <c r="AB487" s="101"/>
      <c r="AC487" s="101"/>
      <c r="AD487" s="101"/>
      <c r="AE487" s="101"/>
      <c r="AF487" s="101"/>
      <c r="AG487" s="101"/>
      <c r="AH487" s="101"/>
      <c r="AI487" s="101"/>
    </row>
    <row r="488" spans="10:35" x14ac:dyDescent="0.2">
      <c r="J488" s="101" t="s">
        <v>30</v>
      </c>
      <c r="K488" s="101" t="s">
        <v>1519</v>
      </c>
      <c r="L488" s="101" t="s">
        <v>1493</v>
      </c>
      <c r="M488" s="101" t="s">
        <v>1520</v>
      </c>
      <c r="N488" s="189">
        <v>12450</v>
      </c>
      <c r="O488" s="101" t="s">
        <v>568</v>
      </c>
      <c r="P488" s="101" t="s">
        <v>569</v>
      </c>
      <c r="Q488" s="101" t="s">
        <v>570</v>
      </c>
      <c r="R488" s="101" t="s">
        <v>571</v>
      </c>
      <c r="S488" s="101" t="s">
        <v>572</v>
      </c>
      <c r="T488" s="101" t="s">
        <v>573</v>
      </c>
      <c r="U488" s="101"/>
      <c r="V488" s="101"/>
      <c r="W488" s="101"/>
      <c r="X488" s="101" t="s">
        <v>575</v>
      </c>
      <c r="Y488" s="101"/>
      <c r="Z488" s="101" t="s">
        <v>576</v>
      </c>
      <c r="AA488" s="101" t="s">
        <v>577</v>
      </c>
      <c r="AB488" s="101" t="s">
        <v>578</v>
      </c>
      <c r="AC488" s="101"/>
      <c r="AD488" s="101"/>
      <c r="AE488" s="101"/>
      <c r="AF488" s="101"/>
      <c r="AG488" s="101"/>
      <c r="AH488" s="101"/>
      <c r="AI488" s="101"/>
    </row>
    <row r="489" spans="10:35" x14ac:dyDescent="0.2">
      <c r="J489" s="101" t="s">
        <v>30</v>
      </c>
      <c r="K489" s="101" t="s">
        <v>1521</v>
      </c>
      <c r="L489" s="101" t="s">
        <v>1493</v>
      </c>
      <c r="M489" s="101" t="s">
        <v>1522</v>
      </c>
      <c r="N489" s="189">
        <v>12450</v>
      </c>
      <c r="O489" s="101" t="s">
        <v>568</v>
      </c>
      <c r="P489" s="101" t="s">
        <v>569</v>
      </c>
      <c r="Q489" s="101" t="s">
        <v>570</v>
      </c>
      <c r="R489" s="101" t="s">
        <v>571</v>
      </c>
      <c r="S489" s="101" t="s">
        <v>572</v>
      </c>
      <c r="T489" s="101" t="s">
        <v>573</v>
      </c>
      <c r="U489" s="101"/>
      <c r="V489" s="101"/>
      <c r="W489" s="101"/>
      <c r="X489" s="101" t="s">
        <v>575</v>
      </c>
      <c r="Y489" s="101"/>
      <c r="Z489" s="101" t="s">
        <v>576</v>
      </c>
      <c r="AA489" s="101" t="s">
        <v>577</v>
      </c>
      <c r="AB489" s="101" t="s">
        <v>578</v>
      </c>
      <c r="AC489" s="101" t="s">
        <v>579</v>
      </c>
      <c r="AD489" s="101" t="s">
        <v>580</v>
      </c>
      <c r="AE489" s="101" t="s">
        <v>581</v>
      </c>
      <c r="AF489" s="101" t="s">
        <v>582</v>
      </c>
      <c r="AG489" s="101"/>
      <c r="AH489" s="101"/>
      <c r="AI489" s="101"/>
    </row>
    <row r="490" spans="10:35" x14ac:dyDescent="0.2">
      <c r="J490" s="101" t="s">
        <v>30</v>
      </c>
      <c r="K490" s="101" t="s">
        <v>1523</v>
      </c>
      <c r="L490" s="101" t="s">
        <v>1493</v>
      </c>
      <c r="M490" s="101" t="s">
        <v>1524</v>
      </c>
      <c r="N490" s="189">
        <v>12420</v>
      </c>
      <c r="O490" s="101" t="s">
        <v>568</v>
      </c>
      <c r="P490" s="101" t="s">
        <v>569</v>
      </c>
      <c r="Q490" s="101" t="s">
        <v>570</v>
      </c>
      <c r="R490" s="101" t="s">
        <v>571</v>
      </c>
      <c r="S490" s="101" t="s">
        <v>572</v>
      </c>
      <c r="T490" s="101" t="s">
        <v>573</v>
      </c>
      <c r="U490" s="101"/>
      <c r="V490" s="101"/>
      <c r="W490" s="101"/>
      <c r="X490" s="101" t="s">
        <v>575</v>
      </c>
      <c r="Y490" s="101"/>
      <c r="Z490" s="101" t="s">
        <v>576</v>
      </c>
      <c r="AA490" s="101" t="s">
        <v>577</v>
      </c>
      <c r="AB490" s="101" t="s">
        <v>578</v>
      </c>
      <c r="AC490" s="101" t="s">
        <v>579</v>
      </c>
      <c r="AD490" s="101" t="s">
        <v>580</v>
      </c>
      <c r="AE490" s="101" t="s">
        <v>581</v>
      </c>
      <c r="AF490" s="101" t="s">
        <v>582</v>
      </c>
      <c r="AG490" s="101" t="s">
        <v>583</v>
      </c>
      <c r="AH490" s="101" t="s">
        <v>584</v>
      </c>
      <c r="AI490" s="101" t="s">
        <v>585</v>
      </c>
    </row>
    <row r="491" spans="10:35" x14ac:dyDescent="0.2">
      <c r="J491" s="101" t="s">
        <v>30</v>
      </c>
      <c r="K491" s="101" t="s">
        <v>1525</v>
      </c>
      <c r="L491" s="101" t="s">
        <v>1493</v>
      </c>
      <c r="M491" s="101" t="s">
        <v>1526</v>
      </c>
      <c r="N491" s="189">
        <v>12460</v>
      </c>
      <c r="O491" s="101" t="s">
        <v>568</v>
      </c>
      <c r="P491" s="101" t="s">
        <v>569</v>
      </c>
      <c r="Q491" s="101" t="s">
        <v>570</v>
      </c>
      <c r="R491" s="101" t="s">
        <v>571</v>
      </c>
      <c r="S491" s="101" t="s">
        <v>572</v>
      </c>
      <c r="T491" s="101" t="s">
        <v>573</v>
      </c>
      <c r="U491" s="101"/>
      <c r="V491" s="101"/>
      <c r="W491" s="101"/>
      <c r="X491" s="101" t="s">
        <v>575</v>
      </c>
      <c r="Y491" s="101"/>
      <c r="Z491" s="101" t="s">
        <v>576</v>
      </c>
      <c r="AA491" s="101" t="s">
        <v>577</v>
      </c>
      <c r="AB491" s="101" t="s">
        <v>578</v>
      </c>
      <c r="AC491" s="101" t="s">
        <v>579</v>
      </c>
      <c r="AD491" s="101" t="s">
        <v>580</v>
      </c>
      <c r="AE491" s="101" t="s">
        <v>581</v>
      </c>
      <c r="AF491" s="101" t="s">
        <v>582</v>
      </c>
      <c r="AG491" s="101"/>
      <c r="AH491" s="101"/>
      <c r="AI491" s="101"/>
    </row>
    <row r="492" spans="10:35" x14ac:dyDescent="0.2">
      <c r="J492" s="101" t="s">
        <v>30</v>
      </c>
      <c r="K492" s="101" t="s">
        <v>1527</v>
      </c>
      <c r="L492" s="101" t="s">
        <v>1493</v>
      </c>
      <c r="M492" s="101" t="s">
        <v>1528</v>
      </c>
      <c r="N492" s="189">
        <v>12460</v>
      </c>
      <c r="O492" s="101" t="s">
        <v>568</v>
      </c>
      <c r="P492" s="101" t="s">
        <v>569</v>
      </c>
      <c r="Q492" s="101" t="s">
        <v>570</v>
      </c>
      <c r="R492" s="101" t="s">
        <v>571</v>
      </c>
      <c r="S492" s="101" t="s">
        <v>572</v>
      </c>
      <c r="T492" s="101" t="s">
        <v>573</v>
      </c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</row>
    <row r="493" spans="10:35" x14ac:dyDescent="0.2">
      <c r="J493" s="101" t="s">
        <v>30</v>
      </c>
      <c r="K493" s="101" t="s">
        <v>1529</v>
      </c>
      <c r="L493" s="101" t="s">
        <v>1493</v>
      </c>
      <c r="M493" s="101" t="s">
        <v>1530</v>
      </c>
      <c r="N493" s="189">
        <v>12360</v>
      </c>
      <c r="O493" s="101" t="s">
        <v>568</v>
      </c>
      <c r="P493" s="101" t="s">
        <v>569</v>
      </c>
      <c r="Q493" s="101" t="s">
        <v>570</v>
      </c>
      <c r="R493" s="101" t="s">
        <v>571</v>
      </c>
      <c r="S493" s="101" t="s">
        <v>572</v>
      </c>
      <c r="T493" s="101" t="s">
        <v>573</v>
      </c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</row>
    <row r="494" spans="10:35" x14ac:dyDescent="0.2">
      <c r="J494" s="101" t="s">
        <v>30</v>
      </c>
      <c r="K494" s="101" t="s">
        <v>1531</v>
      </c>
      <c r="L494" s="101" t="s">
        <v>1376</v>
      </c>
      <c r="M494" s="101" t="s">
        <v>1532</v>
      </c>
      <c r="N494" s="189">
        <v>12420</v>
      </c>
      <c r="O494" s="101" t="s">
        <v>568</v>
      </c>
      <c r="P494" s="101" t="s">
        <v>569</v>
      </c>
      <c r="Q494" s="101" t="s">
        <v>570</v>
      </c>
      <c r="R494" s="101" t="s">
        <v>571</v>
      </c>
      <c r="S494" s="101" t="s">
        <v>572</v>
      </c>
      <c r="T494" s="101" t="s">
        <v>573</v>
      </c>
      <c r="U494" s="101"/>
      <c r="V494" s="101"/>
      <c r="W494" s="101"/>
      <c r="X494" s="101" t="s">
        <v>575</v>
      </c>
      <c r="Y494" s="101"/>
      <c r="Z494" s="101" t="s">
        <v>576</v>
      </c>
      <c r="AA494" s="101" t="s">
        <v>577</v>
      </c>
      <c r="AB494" s="101" t="s">
        <v>578</v>
      </c>
      <c r="AC494" s="101" t="s">
        <v>579</v>
      </c>
      <c r="AD494" s="101" t="s">
        <v>580</v>
      </c>
      <c r="AE494" s="101" t="s">
        <v>581</v>
      </c>
      <c r="AF494" s="101" t="s">
        <v>582</v>
      </c>
      <c r="AG494" s="101" t="s">
        <v>583</v>
      </c>
      <c r="AH494" s="101" t="s">
        <v>584</v>
      </c>
      <c r="AI494" s="101" t="s">
        <v>585</v>
      </c>
    </row>
    <row r="495" spans="10:35" x14ac:dyDescent="0.2">
      <c r="J495" s="101" t="s">
        <v>30</v>
      </c>
      <c r="K495" s="101" t="s">
        <v>1533</v>
      </c>
      <c r="L495" s="101" t="s">
        <v>1493</v>
      </c>
      <c r="M495" s="101" t="s">
        <v>1534</v>
      </c>
      <c r="N495" s="189">
        <v>12460</v>
      </c>
      <c r="O495" s="101" t="s">
        <v>568</v>
      </c>
      <c r="P495" s="101" t="s">
        <v>569</v>
      </c>
      <c r="Q495" s="101" t="s">
        <v>570</v>
      </c>
      <c r="R495" s="101" t="s">
        <v>571</v>
      </c>
      <c r="S495" s="101" t="s">
        <v>572</v>
      </c>
      <c r="T495" s="101" t="s">
        <v>573</v>
      </c>
      <c r="U495" s="101"/>
      <c r="V495" s="101"/>
      <c r="W495" s="101"/>
      <c r="X495" s="101" t="s">
        <v>575</v>
      </c>
      <c r="Y495" s="101"/>
      <c r="Z495" s="101" t="s">
        <v>576</v>
      </c>
      <c r="AA495" s="101" t="s">
        <v>577</v>
      </c>
      <c r="AB495" s="101" t="s">
        <v>578</v>
      </c>
      <c r="AC495" s="101" t="s">
        <v>579</v>
      </c>
      <c r="AD495" s="101"/>
      <c r="AE495" s="101"/>
      <c r="AF495" s="101"/>
      <c r="AG495" s="101"/>
      <c r="AH495" s="101"/>
      <c r="AI495" s="101"/>
    </row>
    <row r="496" spans="10:35" x14ac:dyDescent="0.2">
      <c r="J496" s="101" t="s">
        <v>30</v>
      </c>
      <c r="K496" s="101" t="s">
        <v>1535</v>
      </c>
      <c r="L496" s="101" t="s">
        <v>1493</v>
      </c>
      <c r="M496" s="101" t="s">
        <v>1536</v>
      </c>
      <c r="N496" s="189">
        <v>12470</v>
      </c>
      <c r="O496" s="101" t="s">
        <v>568</v>
      </c>
      <c r="P496" s="101" t="s">
        <v>569</v>
      </c>
      <c r="Q496" s="101" t="s">
        <v>570</v>
      </c>
      <c r="R496" s="101" t="s">
        <v>571</v>
      </c>
      <c r="S496" s="101" t="s">
        <v>572</v>
      </c>
      <c r="T496" s="101" t="s">
        <v>573</v>
      </c>
      <c r="U496" s="101"/>
      <c r="V496" s="101"/>
      <c r="W496" s="101"/>
      <c r="X496" s="101" t="s">
        <v>575</v>
      </c>
      <c r="Y496" s="101"/>
      <c r="Z496" s="101" t="s">
        <v>576</v>
      </c>
      <c r="AA496" s="101" t="s">
        <v>577</v>
      </c>
      <c r="AB496" s="101"/>
      <c r="AC496" s="101"/>
      <c r="AD496" s="101"/>
      <c r="AE496" s="101"/>
      <c r="AF496" s="101"/>
      <c r="AG496" s="101"/>
      <c r="AH496" s="101"/>
      <c r="AI496" s="101"/>
    </row>
    <row r="497" spans="10:35" x14ac:dyDescent="0.2">
      <c r="J497" s="101" t="s">
        <v>30</v>
      </c>
      <c r="K497" s="101" t="s">
        <v>1537</v>
      </c>
      <c r="L497" s="101" t="s">
        <v>1376</v>
      </c>
      <c r="M497" s="101" t="s">
        <v>1538</v>
      </c>
      <c r="N497" s="189">
        <v>12460</v>
      </c>
      <c r="O497" s="101" t="s">
        <v>568</v>
      </c>
      <c r="P497" s="101" t="s">
        <v>569</v>
      </c>
      <c r="Q497" s="101" t="s">
        <v>570</v>
      </c>
      <c r="R497" s="101" t="s">
        <v>571</v>
      </c>
      <c r="S497" s="101" t="s">
        <v>572</v>
      </c>
      <c r="T497" s="101" t="s">
        <v>573</v>
      </c>
      <c r="U497" s="101"/>
      <c r="V497" s="101"/>
      <c r="W497" s="101"/>
      <c r="X497" s="101" t="s">
        <v>575</v>
      </c>
      <c r="Y497" s="101"/>
      <c r="Z497" s="101" t="s">
        <v>576</v>
      </c>
      <c r="AA497" s="101" t="s">
        <v>577</v>
      </c>
      <c r="AB497" s="101" t="s">
        <v>578</v>
      </c>
      <c r="AC497" s="101" t="s">
        <v>579</v>
      </c>
      <c r="AD497" s="101" t="s">
        <v>580</v>
      </c>
      <c r="AE497" s="101" t="s">
        <v>581</v>
      </c>
      <c r="AF497" s="101" t="s">
        <v>582</v>
      </c>
      <c r="AG497" s="101"/>
      <c r="AH497" s="101"/>
      <c r="AI497" s="101"/>
    </row>
    <row r="498" spans="10:35" x14ac:dyDescent="0.2">
      <c r="J498" s="101" t="s">
        <v>30</v>
      </c>
      <c r="K498" s="101" t="s">
        <v>1539</v>
      </c>
      <c r="L498" s="101" t="s">
        <v>1493</v>
      </c>
      <c r="M498" s="101" t="s">
        <v>1540</v>
      </c>
      <c r="N498" s="189">
        <v>12450</v>
      </c>
      <c r="O498" s="101" t="s">
        <v>568</v>
      </c>
      <c r="P498" s="101" t="s">
        <v>569</v>
      </c>
      <c r="Q498" s="101" t="s">
        <v>570</v>
      </c>
      <c r="R498" s="101" t="s">
        <v>571</v>
      </c>
      <c r="S498" s="101" t="s">
        <v>572</v>
      </c>
      <c r="T498" s="101" t="s">
        <v>573</v>
      </c>
      <c r="U498" s="101"/>
      <c r="V498" s="101"/>
      <c r="W498" s="101"/>
      <c r="X498" s="101" t="s">
        <v>575</v>
      </c>
      <c r="Y498" s="101"/>
      <c r="Z498" s="101" t="s">
        <v>576</v>
      </c>
      <c r="AA498" s="101" t="s">
        <v>577</v>
      </c>
      <c r="AB498" s="101" t="s">
        <v>578</v>
      </c>
      <c r="AC498" s="101" t="s">
        <v>579</v>
      </c>
      <c r="AD498" s="101" t="s">
        <v>580</v>
      </c>
      <c r="AE498" s="101" t="s">
        <v>581</v>
      </c>
      <c r="AF498" s="101" t="s">
        <v>582</v>
      </c>
      <c r="AG498" s="101"/>
      <c r="AH498" s="101"/>
      <c r="AI498" s="101"/>
    </row>
    <row r="499" spans="10:35" x14ac:dyDescent="0.2">
      <c r="J499" s="101" t="s">
        <v>30</v>
      </c>
      <c r="K499" s="101" t="s">
        <v>1541</v>
      </c>
      <c r="L499" s="101" t="s">
        <v>1376</v>
      </c>
      <c r="M499" s="101" t="s">
        <v>1542</v>
      </c>
      <c r="N499" s="189">
        <v>12430</v>
      </c>
      <c r="O499" s="101" t="s">
        <v>568</v>
      </c>
      <c r="P499" s="101" t="s">
        <v>569</v>
      </c>
      <c r="Q499" s="101" t="s">
        <v>570</v>
      </c>
      <c r="R499" s="101" t="s">
        <v>571</v>
      </c>
      <c r="S499" s="101" t="s">
        <v>572</v>
      </c>
      <c r="T499" s="101" t="s">
        <v>573</v>
      </c>
      <c r="U499" s="101"/>
      <c r="V499" s="101"/>
      <c r="W499" s="101"/>
      <c r="X499" s="101" t="s">
        <v>575</v>
      </c>
      <c r="Y499" s="101"/>
      <c r="Z499" s="101" t="s">
        <v>576</v>
      </c>
      <c r="AA499" s="101" t="s">
        <v>577</v>
      </c>
      <c r="AB499" s="101" t="s">
        <v>578</v>
      </c>
      <c r="AC499" s="101" t="s">
        <v>579</v>
      </c>
      <c r="AD499" s="101" t="s">
        <v>580</v>
      </c>
      <c r="AE499" s="101" t="s">
        <v>581</v>
      </c>
      <c r="AF499" s="101" t="s">
        <v>582</v>
      </c>
      <c r="AG499" s="101" t="s">
        <v>583</v>
      </c>
      <c r="AH499" s="101" t="s">
        <v>584</v>
      </c>
      <c r="AI499" s="101" t="s">
        <v>585</v>
      </c>
    </row>
    <row r="500" spans="10:35" x14ac:dyDescent="0.2">
      <c r="J500" s="101" t="s">
        <v>30</v>
      </c>
      <c r="K500" s="101" t="s">
        <v>1543</v>
      </c>
      <c r="L500" s="101" t="s">
        <v>1376</v>
      </c>
      <c r="M500" s="101" t="s">
        <v>1544</v>
      </c>
      <c r="N500" s="189">
        <v>12450</v>
      </c>
      <c r="O500" s="101" t="s">
        <v>568</v>
      </c>
      <c r="P500" s="101" t="s">
        <v>569</v>
      </c>
      <c r="Q500" s="101" t="s">
        <v>570</v>
      </c>
      <c r="R500" s="101" t="s">
        <v>571</v>
      </c>
      <c r="S500" s="101" t="s">
        <v>572</v>
      </c>
      <c r="T500" s="101" t="s">
        <v>573</v>
      </c>
      <c r="U500" s="101"/>
      <c r="V500" s="101"/>
      <c r="W500" s="101"/>
      <c r="X500" s="101" t="s">
        <v>575</v>
      </c>
      <c r="Y500" s="101"/>
      <c r="Z500" s="101" t="s">
        <v>576</v>
      </c>
      <c r="AA500" s="101"/>
      <c r="AB500" s="101"/>
      <c r="AC500" s="101"/>
      <c r="AD500" s="101"/>
      <c r="AE500" s="101"/>
      <c r="AF500" s="101"/>
      <c r="AG500" s="101"/>
      <c r="AH500" s="101"/>
      <c r="AI500" s="101"/>
    </row>
    <row r="501" spans="10:35" x14ac:dyDescent="0.2">
      <c r="J501" s="101" t="s">
        <v>30</v>
      </c>
      <c r="K501" s="101" t="s">
        <v>1545</v>
      </c>
      <c r="L501" s="101" t="s">
        <v>1376</v>
      </c>
      <c r="M501" s="101" t="s">
        <v>1546</v>
      </c>
      <c r="N501" s="189">
        <v>12460</v>
      </c>
      <c r="O501" s="101" t="s">
        <v>568</v>
      </c>
      <c r="P501" s="101" t="s">
        <v>569</v>
      </c>
      <c r="Q501" s="101" t="s">
        <v>570</v>
      </c>
      <c r="R501" s="101" t="s">
        <v>571</v>
      </c>
      <c r="S501" s="101" t="s">
        <v>572</v>
      </c>
      <c r="T501" s="101" t="s">
        <v>573</v>
      </c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</row>
    <row r="502" spans="10:35" x14ac:dyDescent="0.2">
      <c r="J502" s="101" t="s">
        <v>30</v>
      </c>
      <c r="K502" s="101" t="s">
        <v>1547</v>
      </c>
      <c r="L502" s="101" t="s">
        <v>1493</v>
      </c>
      <c r="M502" s="101" t="s">
        <v>1548</v>
      </c>
      <c r="N502" s="189">
        <v>12400</v>
      </c>
      <c r="O502" s="101" t="s">
        <v>568</v>
      </c>
      <c r="P502" s="101" t="s">
        <v>569</v>
      </c>
      <c r="Q502" s="101" t="s">
        <v>570</v>
      </c>
      <c r="R502" s="101" t="s">
        <v>571</v>
      </c>
      <c r="S502" s="101" t="s">
        <v>572</v>
      </c>
      <c r="T502" s="101" t="s">
        <v>573</v>
      </c>
      <c r="U502" s="101"/>
      <c r="V502" s="101"/>
      <c r="W502" s="101"/>
      <c r="X502" s="101" t="s">
        <v>575</v>
      </c>
      <c r="Y502" s="101"/>
      <c r="Z502" s="101" t="s">
        <v>576</v>
      </c>
      <c r="AA502" s="101" t="s">
        <v>577</v>
      </c>
      <c r="AB502" s="101" t="s">
        <v>578</v>
      </c>
      <c r="AC502" s="101" t="s">
        <v>579</v>
      </c>
      <c r="AD502" s="101" t="s">
        <v>580</v>
      </c>
      <c r="AE502" s="101" t="s">
        <v>581</v>
      </c>
      <c r="AF502" s="101" t="s">
        <v>582</v>
      </c>
      <c r="AG502" s="101" t="s">
        <v>583</v>
      </c>
      <c r="AH502" s="101" t="s">
        <v>584</v>
      </c>
      <c r="AI502" s="101" t="s">
        <v>585</v>
      </c>
    </row>
    <row r="503" spans="10:35" x14ac:dyDescent="0.2">
      <c r="J503" s="101" t="s">
        <v>30</v>
      </c>
      <c r="K503" s="101" t="s">
        <v>1549</v>
      </c>
      <c r="L503" s="101" t="s">
        <v>1493</v>
      </c>
      <c r="M503" s="101" t="s">
        <v>1550</v>
      </c>
      <c r="N503" s="189">
        <v>12450</v>
      </c>
      <c r="O503" s="101" t="s">
        <v>568</v>
      </c>
      <c r="P503" s="101" t="s">
        <v>569</v>
      </c>
      <c r="Q503" s="101" t="s">
        <v>570</v>
      </c>
      <c r="R503" s="101" t="s">
        <v>571</v>
      </c>
      <c r="S503" s="101" t="s">
        <v>572</v>
      </c>
      <c r="T503" s="101" t="s">
        <v>573</v>
      </c>
      <c r="U503" s="101"/>
      <c r="V503" s="101"/>
      <c r="W503" s="101"/>
      <c r="X503" s="101" t="s">
        <v>575</v>
      </c>
      <c r="Y503" s="101"/>
      <c r="Z503" s="101" t="s">
        <v>576</v>
      </c>
      <c r="AA503" s="101" t="s">
        <v>577</v>
      </c>
      <c r="AB503" s="101" t="s">
        <v>578</v>
      </c>
      <c r="AC503" s="101" t="s">
        <v>579</v>
      </c>
      <c r="AD503" s="101" t="s">
        <v>580</v>
      </c>
      <c r="AE503" s="101" t="s">
        <v>581</v>
      </c>
      <c r="AF503" s="101" t="s">
        <v>582</v>
      </c>
      <c r="AG503" s="101"/>
      <c r="AH503" s="101"/>
      <c r="AI503" s="101"/>
    </row>
    <row r="504" spans="10:35" x14ac:dyDescent="0.2">
      <c r="J504" s="101" t="s">
        <v>30</v>
      </c>
      <c r="K504" s="101" t="s">
        <v>1551</v>
      </c>
      <c r="L504" s="101" t="s">
        <v>1493</v>
      </c>
      <c r="M504" s="101" t="s">
        <v>1552</v>
      </c>
      <c r="N504" s="189">
        <v>12460</v>
      </c>
      <c r="O504" s="101" t="s">
        <v>568</v>
      </c>
      <c r="P504" s="101" t="s">
        <v>569</v>
      </c>
      <c r="Q504" s="101" t="s">
        <v>570</v>
      </c>
      <c r="R504" s="101"/>
      <c r="S504" s="101"/>
      <c r="T504" s="101"/>
      <c r="U504" s="101"/>
      <c r="V504" s="101" t="s">
        <v>2361</v>
      </c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</row>
    <row r="505" spans="10:35" x14ac:dyDescent="0.2">
      <c r="J505" s="101" t="s">
        <v>30</v>
      </c>
      <c r="K505" s="101" t="s">
        <v>1553</v>
      </c>
      <c r="L505" s="101" t="s">
        <v>1493</v>
      </c>
      <c r="M505" s="101" t="s">
        <v>1554</v>
      </c>
      <c r="N505" s="189">
        <v>12420</v>
      </c>
      <c r="O505" s="101" t="s">
        <v>568</v>
      </c>
      <c r="P505" s="101" t="s">
        <v>569</v>
      </c>
      <c r="Q505" s="101" t="s">
        <v>570</v>
      </c>
      <c r="R505" s="101" t="s">
        <v>571</v>
      </c>
      <c r="S505" s="101" t="s">
        <v>572</v>
      </c>
      <c r="T505" s="101" t="s">
        <v>573</v>
      </c>
      <c r="U505" s="101"/>
      <c r="V505" s="101"/>
      <c r="W505" s="101" t="s">
        <v>574</v>
      </c>
      <c r="X505" s="101" t="s">
        <v>575</v>
      </c>
      <c r="Y505" s="101"/>
      <c r="Z505" s="101" t="s">
        <v>576</v>
      </c>
      <c r="AA505" s="101" t="s">
        <v>577</v>
      </c>
      <c r="AB505" s="101" t="s">
        <v>578</v>
      </c>
      <c r="AC505" s="101" t="s">
        <v>579</v>
      </c>
      <c r="AD505" s="101" t="s">
        <v>580</v>
      </c>
      <c r="AE505" s="101" t="s">
        <v>581</v>
      </c>
      <c r="AF505" s="101" t="s">
        <v>582</v>
      </c>
      <c r="AG505" s="101" t="s">
        <v>583</v>
      </c>
      <c r="AH505" s="101" t="s">
        <v>584</v>
      </c>
      <c r="AI505" s="101" t="s">
        <v>585</v>
      </c>
    </row>
    <row r="506" spans="10:35" x14ac:dyDescent="0.2">
      <c r="J506" s="101" t="s">
        <v>30</v>
      </c>
      <c r="K506" s="101" t="s">
        <v>1555</v>
      </c>
      <c r="L506" s="101" t="s">
        <v>1493</v>
      </c>
      <c r="M506" s="101" t="s">
        <v>1556</v>
      </c>
      <c r="N506" s="189">
        <v>12430</v>
      </c>
      <c r="O506" s="101" t="s">
        <v>568</v>
      </c>
      <c r="P506" s="101" t="s">
        <v>569</v>
      </c>
      <c r="Q506" s="101" t="s">
        <v>570</v>
      </c>
      <c r="R506" s="101" t="s">
        <v>571</v>
      </c>
      <c r="S506" s="101" t="s">
        <v>572</v>
      </c>
      <c r="T506" s="101" t="s">
        <v>573</v>
      </c>
      <c r="U506" s="101"/>
      <c r="V506" s="101"/>
      <c r="W506" s="101"/>
      <c r="X506" s="101" t="s">
        <v>575</v>
      </c>
      <c r="Y506" s="101"/>
      <c r="Z506" s="101" t="s">
        <v>576</v>
      </c>
      <c r="AA506" s="101" t="s">
        <v>577</v>
      </c>
      <c r="AB506" s="101" t="s">
        <v>578</v>
      </c>
      <c r="AC506" s="101" t="s">
        <v>579</v>
      </c>
      <c r="AD506" s="101" t="s">
        <v>580</v>
      </c>
      <c r="AE506" s="101" t="s">
        <v>581</v>
      </c>
      <c r="AF506" s="101" t="s">
        <v>582</v>
      </c>
      <c r="AG506" s="101" t="s">
        <v>583</v>
      </c>
      <c r="AH506" s="101" t="s">
        <v>584</v>
      </c>
      <c r="AI506" s="101" t="s">
        <v>585</v>
      </c>
    </row>
    <row r="507" spans="10:35" x14ac:dyDescent="0.2">
      <c r="J507" s="101" t="s">
        <v>30</v>
      </c>
      <c r="K507" s="101" t="s">
        <v>1557</v>
      </c>
      <c r="L507" s="101" t="s">
        <v>1493</v>
      </c>
      <c r="M507" s="101" t="s">
        <v>1558</v>
      </c>
      <c r="N507" s="189">
        <v>12420</v>
      </c>
      <c r="O507" s="101" t="s">
        <v>568</v>
      </c>
      <c r="P507" s="101" t="s">
        <v>569</v>
      </c>
      <c r="Q507" s="101" t="s">
        <v>570</v>
      </c>
      <c r="R507" s="101" t="s">
        <v>571</v>
      </c>
      <c r="S507" s="101" t="s">
        <v>572</v>
      </c>
      <c r="T507" s="101" t="s">
        <v>573</v>
      </c>
      <c r="U507" s="101"/>
      <c r="V507" s="101"/>
      <c r="W507" s="101"/>
      <c r="X507" s="101" t="s">
        <v>575</v>
      </c>
      <c r="Y507" s="101"/>
      <c r="Z507" s="101" t="s">
        <v>576</v>
      </c>
      <c r="AA507" s="101" t="s">
        <v>577</v>
      </c>
      <c r="AB507" s="101" t="s">
        <v>578</v>
      </c>
      <c r="AC507" s="101" t="s">
        <v>579</v>
      </c>
      <c r="AD507" s="101" t="s">
        <v>580</v>
      </c>
      <c r="AE507" s="101" t="s">
        <v>581</v>
      </c>
      <c r="AF507" s="101" t="s">
        <v>582</v>
      </c>
      <c r="AG507" s="101" t="s">
        <v>583</v>
      </c>
      <c r="AH507" s="101" t="s">
        <v>584</v>
      </c>
      <c r="AI507" s="101" t="s">
        <v>585</v>
      </c>
    </row>
    <row r="508" spans="10:35" x14ac:dyDescent="0.2">
      <c r="J508" s="101" t="s">
        <v>30</v>
      </c>
      <c r="K508" s="101" t="s">
        <v>922</v>
      </c>
      <c r="L508" s="101" t="s">
        <v>819</v>
      </c>
      <c r="M508" s="101" t="s">
        <v>923</v>
      </c>
      <c r="N508" s="189">
        <v>12460</v>
      </c>
      <c r="O508" s="101" t="s">
        <v>568</v>
      </c>
      <c r="P508" s="101" t="s">
        <v>569</v>
      </c>
      <c r="Q508" s="101" t="s">
        <v>570</v>
      </c>
      <c r="R508" s="101" t="s">
        <v>571</v>
      </c>
      <c r="S508" s="101" t="s">
        <v>572</v>
      </c>
      <c r="T508" s="101" t="s">
        <v>573</v>
      </c>
      <c r="U508" s="101"/>
      <c r="V508" s="101"/>
      <c r="W508" s="101" t="s">
        <v>574</v>
      </c>
      <c r="X508" s="101" t="s">
        <v>575</v>
      </c>
      <c r="Y508" s="101"/>
      <c r="Z508" s="101" t="s">
        <v>576</v>
      </c>
      <c r="AA508" s="101" t="s">
        <v>577</v>
      </c>
      <c r="AB508" s="101" t="s">
        <v>578</v>
      </c>
      <c r="AC508" s="101" t="s">
        <v>579</v>
      </c>
      <c r="AD508" s="101" t="s">
        <v>580</v>
      </c>
      <c r="AE508" s="101" t="s">
        <v>581</v>
      </c>
      <c r="AF508" s="101" t="s">
        <v>582</v>
      </c>
      <c r="AG508" s="101"/>
      <c r="AH508" s="101"/>
      <c r="AI508" s="101"/>
    </row>
    <row r="509" spans="10:35" x14ac:dyDescent="0.2">
      <c r="J509" s="101" t="s">
        <v>30</v>
      </c>
      <c r="K509" s="101" t="s">
        <v>428</v>
      </c>
      <c r="L509" s="101" t="s">
        <v>40</v>
      </c>
      <c r="M509" s="101" t="s">
        <v>429</v>
      </c>
      <c r="N509" s="189">
        <v>12430</v>
      </c>
      <c r="O509" s="101" t="s">
        <v>568</v>
      </c>
      <c r="P509" s="101" t="s">
        <v>569</v>
      </c>
      <c r="Q509" s="101" t="s">
        <v>570</v>
      </c>
      <c r="R509" s="101" t="s">
        <v>571</v>
      </c>
      <c r="S509" s="101" t="s">
        <v>572</v>
      </c>
      <c r="T509" s="101" t="s">
        <v>573</v>
      </c>
      <c r="U509" s="101"/>
      <c r="V509" s="101"/>
      <c r="W509" s="101" t="s">
        <v>574</v>
      </c>
      <c r="X509" s="101" t="s">
        <v>575</v>
      </c>
      <c r="Y509" s="101"/>
      <c r="Z509" s="101" t="s">
        <v>576</v>
      </c>
      <c r="AA509" s="101" t="s">
        <v>577</v>
      </c>
      <c r="AB509" s="101" t="s">
        <v>578</v>
      </c>
      <c r="AC509" s="101" t="s">
        <v>579</v>
      </c>
      <c r="AD509" s="101" t="s">
        <v>580</v>
      </c>
      <c r="AE509" s="101" t="s">
        <v>581</v>
      </c>
      <c r="AF509" s="101" t="s">
        <v>582</v>
      </c>
      <c r="AG509" s="101" t="s">
        <v>583</v>
      </c>
      <c r="AH509" s="101" t="s">
        <v>584</v>
      </c>
      <c r="AI509" s="101" t="s">
        <v>585</v>
      </c>
    </row>
    <row r="510" spans="10:35" x14ac:dyDescent="0.2">
      <c r="J510" s="101" t="s">
        <v>30</v>
      </c>
      <c r="K510" s="101" t="s">
        <v>1559</v>
      </c>
      <c r="L510" s="101" t="s">
        <v>1493</v>
      </c>
      <c r="M510" s="101" t="s">
        <v>1560</v>
      </c>
      <c r="N510" s="189">
        <v>12420</v>
      </c>
      <c r="O510" s="101" t="s">
        <v>568</v>
      </c>
      <c r="P510" s="101" t="s">
        <v>569</v>
      </c>
      <c r="Q510" s="101" t="s">
        <v>570</v>
      </c>
      <c r="R510" s="101" t="s">
        <v>571</v>
      </c>
      <c r="S510" s="101" t="s">
        <v>572</v>
      </c>
      <c r="T510" s="101" t="s">
        <v>573</v>
      </c>
      <c r="U510" s="101"/>
      <c r="V510" s="101"/>
      <c r="W510" s="101"/>
      <c r="X510" s="101" t="s">
        <v>575</v>
      </c>
      <c r="Y510" s="101"/>
      <c r="Z510" s="101" t="s">
        <v>576</v>
      </c>
      <c r="AA510" s="101" t="s">
        <v>577</v>
      </c>
      <c r="AB510" s="101" t="s">
        <v>578</v>
      </c>
      <c r="AC510" s="101" t="s">
        <v>579</v>
      </c>
      <c r="AD510" s="101" t="s">
        <v>580</v>
      </c>
      <c r="AE510" s="101" t="s">
        <v>581</v>
      </c>
      <c r="AF510" s="101" t="s">
        <v>582</v>
      </c>
      <c r="AG510" s="101" t="s">
        <v>583</v>
      </c>
      <c r="AH510" s="101" t="s">
        <v>584</v>
      </c>
      <c r="AI510" s="101" t="s">
        <v>585</v>
      </c>
    </row>
    <row r="511" spans="10:35" x14ac:dyDescent="0.2">
      <c r="J511" s="101" t="s">
        <v>30</v>
      </c>
      <c r="K511" s="101" t="s">
        <v>1561</v>
      </c>
      <c r="L511" s="101" t="s">
        <v>1493</v>
      </c>
      <c r="M511" s="101" t="s">
        <v>1562</v>
      </c>
      <c r="N511" s="189">
        <v>12420</v>
      </c>
      <c r="O511" s="101" t="s">
        <v>568</v>
      </c>
      <c r="P511" s="101" t="s">
        <v>569</v>
      </c>
      <c r="Q511" s="101" t="s">
        <v>570</v>
      </c>
      <c r="R511" s="101" t="s">
        <v>571</v>
      </c>
      <c r="S511" s="101" t="s">
        <v>572</v>
      </c>
      <c r="T511" s="101" t="s">
        <v>573</v>
      </c>
      <c r="U511" s="101"/>
      <c r="V511" s="101"/>
      <c r="W511" s="101"/>
      <c r="X511" s="101" t="s">
        <v>575</v>
      </c>
      <c r="Y511" s="101"/>
      <c r="Z511" s="101" t="s">
        <v>576</v>
      </c>
      <c r="AA511" s="101" t="s">
        <v>577</v>
      </c>
      <c r="AB511" s="101" t="s">
        <v>578</v>
      </c>
      <c r="AC511" s="101" t="s">
        <v>579</v>
      </c>
      <c r="AD511" s="101" t="s">
        <v>580</v>
      </c>
      <c r="AE511" s="101" t="s">
        <v>581</v>
      </c>
      <c r="AF511" s="101" t="s">
        <v>582</v>
      </c>
      <c r="AG511" s="101" t="s">
        <v>583</v>
      </c>
      <c r="AH511" s="101" t="s">
        <v>584</v>
      </c>
      <c r="AI511" s="101" t="s">
        <v>585</v>
      </c>
    </row>
    <row r="512" spans="10:35" x14ac:dyDescent="0.2">
      <c r="J512" s="101" t="s">
        <v>30</v>
      </c>
      <c r="K512" s="101" t="s">
        <v>987</v>
      </c>
      <c r="L512" s="101" t="s">
        <v>819</v>
      </c>
      <c r="M512" s="101" t="s">
        <v>988</v>
      </c>
      <c r="N512" s="189">
        <v>12460</v>
      </c>
      <c r="O512" s="101" t="s">
        <v>568</v>
      </c>
      <c r="P512" s="101" t="s">
        <v>569</v>
      </c>
      <c r="Q512" s="101" t="s">
        <v>570</v>
      </c>
      <c r="R512" s="101" t="s">
        <v>571</v>
      </c>
      <c r="S512" s="101" t="s">
        <v>572</v>
      </c>
      <c r="T512" s="101" t="s">
        <v>573</v>
      </c>
      <c r="U512" s="101"/>
      <c r="V512" s="101"/>
      <c r="W512" s="101" t="s">
        <v>574</v>
      </c>
      <c r="X512" s="101" t="s">
        <v>575</v>
      </c>
      <c r="Y512" s="101"/>
      <c r="Z512" s="101" t="s">
        <v>576</v>
      </c>
      <c r="AA512" s="101" t="s">
        <v>577</v>
      </c>
      <c r="AB512" s="101" t="s">
        <v>578</v>
      </c>
      <c r="AC512" s="101" t="s">
        <v>579</v>
      </c>
      <c r="AD512" s="101" t="s">
        <v>580</v>
      </c>
      <c r="AE512" s="101" t="s">
        <v>581</v>
      </c>
      <c r="AF512" s="101" t="s">
        <v>582</v>
      </c>
      <c r="AG512" s="101"/>
      <c r="AH512" s="101"/>
      <c r="AI512" s="101"/>
    </row>
    <row r="513" spans="10:35" x14ac:dyDescent="0.2">
      <c r="J513" s="101" t="s">
        <v>30</v>
      </c>
      <c r="K513" s="101" t="s">
        <v>1563</v>
      </c>
      <c r="L513" s="101" t="s">
        <v>1493</v>
      </c>
      <c r="M513" s="101" t="s">
        <v>1564</v>
      </c>
      <c r="N513" s="189">
        <v>12460</v>
      </c>
      <c r="O513" s="101" t="s">
        <v>568</v>
      </c>
      <c r="P513" s="101" t="s">
        <v>569</v>
      </c>
      <c r="Q513" s="101" t="s">
        <v>570</v>
      </c>
      <c r="R513" s="101" t="s">
        <v>571</v>
      </c>
      <c r="S513" s="101" t="s">
        <v>572</v>
      </c>
      <c r="T513" s="101" t="s">
        <v>573</v>
      </c>
      <c r="U513" s="101"/>
      <c r="V513" s="101"/>
      <c r="W513" s="101"/>
      <c r="X513" s="101" t="s">
        <v>575</v>
      </c>
      <c r="Y513" s="101"/>
      <c r="Z513" s="101" t="s">
        <v>576</v>
      </c>
      <c r="AA513" s="101"/>
      <c r="AB513" s="101"/>
      <c r="AC513" s="101"/>
      <c r="AD513" s="101"/>
      <c r="AE513" s="101"/>
      <c r="AF513" s="101"/>
      <c r="AG513" s="101"/>
      <c r="AH513" s="101"/>
      <c r="AI513" s="101"/>
    </row>
    <row r="514" spans="10:35" x14ac:dyDescent="0.2">
      <c r="J514" s="101" t="s">
        <v>30</v>
      </c>
      <c r="K514" s="101" t="s">
        <v>1565</v>
      </c>
      <c r="L514" s="101" t="s">
        <v>998</v>
      </c>
      <c r="M514" s="101" t="s">
        <v>1566</v>
      </c>
      <c r="N514" s="189">
        <v>12360</v>
      </c>
      <c r="O514" s="101" t="s">
        <v>568</v>
      </c>
      <c r="P514" s="101" t="s">
        <v>569</v>
      </c>
      <c r="Q514" s="101" t="s">
        <v>570</v>
      </c>
      <c r="R514" s="101" t="s">
        <v>571</v>
      </c>
      <c r="S514" s="101" t="s">
        <v>572</v>
      </c>
      <c r="T514" s="101" t="s">
        <v>573</v>
      </c>
      <c r="U514" s="101"/>
      <c r="V514" s="101"/>
      <c r="W514" s="101" t="s">
        <v>574</v>
      </c>
      <c r="X514" s="101" t="s">
        <v>575</v>
      </c>
      <c r="Y514" s="101"/>
      <c r="Z514" s="101" t="s">
        <v>576</v>
      </c>
      <c r="AA514" s="101" t="s">
        <v>577</v>
      </c>
      <c r="AB514" s="101" t="s">
        <v>578</v>
      </c>
      <c r="AC514" s="101" t="s">
        <v>579</v>
      </c>
      <c r="AD514" s="101" t="s">
        <v>580</v>
      </c>
      <c r="AE514" s="101" t="s">
        <v>581</v>
      </c>
      <c r="AF514" s="101" t="s">
        <v>582</v>
      </c>
      <c r="AG514" s="101"/>
      <c r="AH514" s="101"/>
      <c r="AI514" s="101"/>
    </row>
    <row r="515" spans="10:35" x14ac:dyDescent="0.2">
      <c r="J515" s="101" t="s">
        <v>30</v>
      </c>
      <c r="K515" s="101" t="s">
        <v>1567</v>
      </c>
      <c r="L515" s="101" t="s">
        <v>1493</v>
      </c>
      <c r="M515" s="101" t="s">
        <v>1568</v>
      </c>
      <c r="N515" s="189">
        <v>12420</v>
      </c>
      <c r="O515" s="101" t="s">
        <v>568</v>
      </c>
      <c r="P515" s="101" t="s">
        <v>569</v>
      </c>
      <c r="Q515" s="101" t="s">
        <v>570</v>
      </c>
      <c r="R515" s="101" t="s">
        <v>571</v>
      </c>
      <c r="S515" s="101" t="s">
        <v>572</v>
      </c>
      <c r="T515" s="101" t="s">
        <v>573</v>
      </c>
      <c r="U515" s="101"/>
      <c r="V515" s="101"/>
      <c r="W515" s="101"/>
      <c r="X515" s="101" t="s">
        <v>575</v>
      </c>
      <c r="Y515" s="101"/>
      <c r="Z515" s="101" t="s">
        <v>576</v>
      </c>
      <c r="AA515" s="101" t="s">
        <v>577</v>
      </c>
      <c r="AB515" s="101" t="s">
        <v>578</v>
      </c>
      <c r="AC515" s="101" t="s">
        <v>579</v>
      </c>
      <c r="AD515" s="101" t="s">
        <v>580</v>
      </c>
      <c r="AE515" s="101" t="s">
        <v>581</v>
      </c>
      <c r="AF515" s="101" t="s">
        <v>582</v>
      </c>
      <c r="AG515" s="101" t="s">
        <v>583</v>
      </c>
      <c r="AH515" s="101" t="s">
        <v>584</v>
      </c>
      <c r="AI515" s="101" t="s">
        <v>585</v>
      </c>
    </row>
    <row r="516" spans="10:35" x14ac:dyDescent="0.2">
      <c r="J516" s="101" t="s">
        <v>30</v>
      </c>
      <c r="K516" s="101" t="s">
        <v>1569</v>
      </c>
      <c r="L516" s="101" t="s">
        <v>1493</v>
      </c>
      <c r="M516" s="101" t="s">
        <v>1570</v>
      </c>
      <c r="N516" s="189">
        <v>12450</v>
      </c>
      <c r="O516" s="101" t="s">
        <v>568</v>
      </c>
      <c r="P516" s="101" t="s">
        <v>569</v>
      </c>
      <c r="Q516" s="101" t="s">
        <v>570</v>
      </c>
      <c r="R516" s="101" t="s">
        <v>571</v>
      </c>
      <c r="S516" s="101" t="s">
        <v>572</v>
      </c>
      <c r="T516" s="101" t="s">
        <v>573</v>
      </c>
      <c r="U516" s="101"/>
      <c r="V516" s="101"/>
      <c r="W516" s="101"/>
      <c r="X516" s="101" t="s">
        <v>575</v>
      </c>
      <c r="Y516" s="101"/>
      <c r="Z516" s="101" t="s">
        <v>576</v>
      </c>
      <c r="AA516" s="101" t="s">
        <v>577</v>
      </c>
      <c r="AB516" s="101" t="s">
        <v>578</v>
      </c>
      <c r="AC516" s="101" t="s">
        <v>579</v>
      </c>
      <c r="AD516" s="101" t="s">
        <v>580</v>
      </c>
      <c r="AE516" s="101" t="s">
        <v>581</v>
      </c>
      <c r="AF516" s="101" t="s">
        <v>582</v>
      </c>
      <c r="AG516" s="101"/>
      <c r="AH516" s="101"/>
      <c r="AI516" s="101"/>
    </row>
    <row r="517" spans="10:35" x14ac:dyDescent="0.2">
      <c r="J517" s="101" t="s">
        <v>30</v>
      </c>
      <c r="K517" s="101" t="s">
        <v>1571</v>
      </c>
      <c r="L517" s="101" t="s">
        <v>1376</v>
      </c>
      <c r="M517" s="101" t="s">
        <v>1572</v>
      </c>
      <c r="N517" s="189">
        <v>12420</v>
      </c>
      <c r="O517" s="101" t="s">
        <v>568</v>
      </c>
      <c r="P517" s="101" t="s">
        <v>569</v>
      </c>
      <c r="Q517" s="101" t="s">
        <v>570</v>
      </c>
      <c r="R517" s="101" t="s">
        <v>571</v>
      </c>
      <c r="S517" s="101" t="s">
        <v>572</v>
      </c>
      <c r="T517" s="101" t="s">
        <v>573</v>
      </c>
      <c r="U517" s="101"/>
      <c r="V517" s="101"/>
      <c r="W517" s="101"/>
      <c r="X517" s="101" t="s">
        <v>575</v>
      </c>
      <c r="Y517" s="101"/>
      <c r="Z517" s="101" t="s">
        <v>576</v>
      </c>
      <c r="AA517" s="101" t="s">
        <v>577</v>
      </c>
      <c r="AB517" s="101" t="s">
        <v>578</v>
      </c>
      <c r="AC517" s="101" t="s">
        <v>579</v>
      </c>
      <c r="AD517" s="101" t="s">
        <v>580</v>
      </c>
      <c r="AE517" s="101" t="s">
        <v>581</v>
      </c>
      <c r="AF517" s="101" t="s">
        <v>582</v>
      </c>
      <c r="AG517" s="101" t="s">
        <v>583</v>
      </c>
      <c r="AH517" s="101" t="s">
        <v>584</v>
      </c>
      <c r="AI517" s="101" t="s">
        <v>585</v>
      </c>
    </row>
    <row r="518" spans="10:35" x14ac:dyDescent="0.2">
      <c r="J518" s="101" t="s">
        <v>30</v>
      </c>
      <c r="K518" s="101" t="s">
        <v>1573</v>
      </c>
      <c r="L518" s="101" t="s">
        <v>1376</v>
      </c>
      <c r="M518" s="101" t="s">
        <v>1574</v>
      </c>
      <c r="N518" s="189">
        <v>12470</v>
      </c>
      <c r="O518" s="101" t="s">
        <v>568</v>
      </c>
      <c r="P518" s="101" t="s">
        <v>569</v>
      </c>
      <c r="Q518" s="101" t="s">
        <v>570</v>
      </c>
      <c r="R518" s="101" t="s">
        <v>571</v>
      </c>
      <c r="S518" s="101" t="s">
        <v>572</v>
      </c>
      <c r="T518" s="101" t="s">
        <v>573</v>
      </c>
      <c r="U518" s="101"/>
      <c r="V518" s="101"/>
      <c r="W518" s="101"/>
      <c r="X518" s="101" t="s">
        <v>575</v>
      </c>
      <c r="Y518" s="101"/>
      <c r="Z518" s="101" t="s">
        <v>576</v>
      </c>
      <c r="AA518" s="101"/>
      <c r="AB518" s="101"/>
      <c r="AC518" s="101"/>
      <c r="AD518" s="101"/>
      <c r="AE518" s="101"/>
      <c r="AF518" s="101"/>
      <c r="AG518" s="101"/>
      <c r="AH518" s="101"/>
      <c r="AI518" s="101"/>
    </row>
    <row r="519" spans="10:35" x14ac:dyDescent="0.2">
      <c r="J519" s="101" t="s">
        <v>30</v>
      </c>
      <c r="K519" s="101" t="s">
        <v>1575</v>
      </c>
      <c r="L519" s="101" t="s">
        <v>1376</v>
      </c>
      <c r="M519" s="101" t="s">
        <v>1576</v>
      </c>
      <c r="N519" s="189">
        <v>12440</v>
      </c>
      <c r="O519" s="101" t="s">
        <v>568</v>
      </c>
      <c r="P519" s="101" t="s">
        <v>569</v>
      </c>
      <c r="Q519" s="101" t="s">
        <v>570</v>
      </c>
      <c r="R519" s="101" t="s">
        <v>571</v>
      </c>
      <c r="S519" s="101" t="s">
        <v>572</v>
      </c>
      <c r="T519" s="101" t="s">
        <v>573</v>
      </c>
      <c r="U519" s="101"/>
      <c r="V519" s="101"/>
      <c r="W519" s="101" t="s">
        <v>574</v>
      </c>
      <c r="X519" s="101" t="s">
        <v>575</v>
      </c>
      <c r="Y519" s="101"/>
      <c r="Z519" s="101" t="s">
        <v>576</v>
      </c>
      <c r="AA519" s="101" t="s">
        <v>577</v>
      </c>
      <c r="AB519" s="101" t="s">
        <v>578</v>
      </c>
      <c r="AC519" s="101" t="s">
        <v>579</v>
      </c>
      <c r="AD519" s="101" t="s">
        <v>580</v>
      </c>
      <c r="AE519" s="101" t="s">
        <v>581</v>
      </c>
      <c r="AF519" s="101" t="s">
        <v>582</v>
      </c>
      <c r="AG519" s="101" t="s">
        <v>583</v>
      </c>
      <c r="AH519" s="101" t="s">
        <v>584</v>
      </c>
      <c r="AI519" s="101" t="s">
        <v>585</v>
      </c>
    </row>
    <row r="520" spans="10:35" x14ac:dyDescent="0.2">
      <c r="J520" s="101" t="s">
        <v>30</v>
      </c>
      <c r="K520" s="101" t="s">
        <v>1577</v>
      </c>
      <c r="L520" s="101" t="s">
        <v>1376</v>
      </c>
      <c r="M520" s="101" t="s">
        <v>1578</v>
      </c>
      <c r="N520" s="189">
        <v>12320</v>
      </c>
      <c r="O520" s="101" t="s">
        <v>568</v>
      </c>
      <c r="P520" s="101" t="s">
        <v>569</v>
      </c>
      <c r="Q520" s="101" t="s">
        <v>570</v>
      </c>
      <c r="R520" s="101" t="s">
        <v>571</v>
      </c>
      <c r="S520" s="101" t="s">
        <v>572</v>
      </c>
      <c r="T520" s="101" t="s">
        <v>573</v>
      </c>
      <c r="U520" s="101"/>
      <c r="V520" s="101"/>
      <c r="W520" s="101"/>
      <c r="X520" s="101" t="s">
        <v>575</v>
      </c>
      <c r="Y520" s="101"/>
      <c r="Z520" s="101" t="s">
        <v>576</v>
      </c>
      <c r="AA520" s="101" t="s">
        <v>577</v>
      </c>
      <c r="AB520" s="101" t="s">
        <v>578</v>
      </c>
      <c r="AC520" s="101" t="s">
        <v>579</v>
      </c>
      <c r="AD520" s="101" t="s">
        <v>580</v>
      </c>
      <c r="AE520" s="101" t="s">
        <v>581</v>
      </c>
      <c r="AF520" s="101" t="s">
        <v>582</v>
      </c>
      <c r="AG520" s="101" t="s">
        <v>583</v>
      </c>
      <c r="AH520" s="101" t="s">
        <v>584</v>
      </c>
      <c r="AI520" s="101" t="s">
        <v>585</v>
      </c>
    </row>
    <row r="521" spans="10:35" x14ac:dyDescent="0.2">
      <c r="J521" s="101" t="s">
        <v>30</v>
      </c>
      <c r="K521" s="101" t="s">
        <v>1579</v>
      </c>
      <c r="L521" s="101" t="s">
        <v>1376</v>
      </c>
      <c r="M521" s="101" t="s">
        <v>1580</v>
      </c>
      <c r="N521" s="189">
        <v>12420</v>
      </c>
      <c r="O521" s="101" t="s">
        <v>568</v>
      </c>
      <c r="P521" s="101" t="s">
        <v>569</v>
      </c>
      <c r="Q521" s="101" t="s">
        <v>570</v>
      </c>
      <c r="R521" s="101" t="s">
        <v>571</v>
      </c>
      <c r="S521" s="101" t="s">
        <v>572</v>
      </c>
      <c r="T521" s="101" t="s">
        <v>573</v>
      </c>
      <c r="U521" s="101"/>
      <c r="V521" s="101"/>
      <c r="W521" s="101"/>
      <c r="X521" s="101" t="s">
        <v>575</v>
      </c>
      <c r="Y521" s="101"/>
      <c r="Z521" s="101" t="s">
        <v>576</v>
      </c>
      <c r="AA521" s="101" t="s">
        <v>577</v>
      </c>
      <c r="AB521" s="101" t="s">
        <v>578</v>
      </c>
      <c r="AC521" s="101" t="s">
        <v>579</v>
      </c>
      <c r="AD521" s="101" t="s">
        <v>580</v>
      </c>
      <c r="AE521" s="101" t="s">
        <v>581</v>
      </c>
      <c r="AF521" s="101" t="s">
        <v>582</v>
      </c>
      <c r="AG521" s="101" t="s">
        <v>583</v>
      </c>
      <c r="AH521" s="101" t="s">
        <v>584</v>
      </c>
      <c r="AI521" s="101" t="s">
        <v>585</v>
      </c>
    </row>
    <row r="522" spans="10:35" x14ac:dyDescent="0.2">
      <c r="J522" s="101" t="s">
        <v>30</v>
      </c>
      <c r="K522" s="101" t="s">
        <v>1581</v>
      </c>
      <c r="L522" s="101" t="s">
        <v>1376</v>
      </c>
      <c r="M522" s="101" t="s">
        <v>1582</v>
      </c>
      <c r="N522" s="189">
        <v>12370</v>
      </c>
      <c r="O522" s="101" t="s">
        <v>568</v>
      </c>
      <c r="P522" s="101" t="s">
        <v>569</v>
      </c>
      <c r="Q522" s="101" t="s">
        <v>570</v>
      </c>
      <c r="R522" s="101" t="s">
        <v>571</v>
      </c>
      <c r="S522" s="101" t="s">
        <v>572</v>
      </c>
      <c r="T522" s="101" t="s">
        <v>573</v>
      </c>
      <c r="U522" s="101"/>
      <c r="V522" s="101"/>
      <c r="W522" s="101"/>
      <c r="X522" s="101" t="s">
        <v>575</v>
      </c>
      <c r="Y522" s="101"/>
      <c r="Z522" s="101" t="s">
        <v>576</v>
      </c>
      <c r="AA522" s="101" t="s">
        <v>577</v>
      </c>
      <c r="AB522" s="101" t="s">
        <v>578</v>
      </c>
      <c r="AC522" s="101" t="s">
        <v>579</v>
      </c>
      <c r="AD522" s="101" t="s">
        <v>580</v>
      </c>
      <c r="AE522" s="101" t="s">
        <v>581</v>
      </c>
      <c r="AF522" s="101" t="s">
        <v>582</v>
      </c>
      <c r="AG522" s="101" t="s">
        <v>583</v>
      </c>
      <c r="AH522" s="101" t="s">
        <v>584</v>
      </c>
      <c r="AI522" s="101" t="s">
        <v>585</v>
      </c>
    </row>
    <row r="523" spans="10:35" x14ac:dyDescent="0.2">
      <c r="J523" s="101" t="s">
        <v>30</v>
      </c>
      <c r="K523" s="101" t="s">
        <v>1583</v>
      </c>
      <c r="L523" s="101" t="s">
        <v>1376</v>
      </c>
      <c r="M523" s="101" t="s">
        <v>1584</v>
      </c>
      <c r="N523" s="189">
        <v>12480</v>
      </c>
      <c r="O523" s="101" t="s">
        <v>568</v>
      </c>
      <c r="P523" s="101" t="s">
        <v>569</v>
      </c>
      <c r="Q523" s="101" t="s">
        <v>570</v>
      </c>
      <c r="R523" s="101" t="s">
        <v>571</v>
      </c>
      <c r="S523" s="101" t="s">
        <v>572</v>
      </c>
      <c r="T523" s="101" t="s">
        <v>573</v>
      </c>
      <c r="U523" s="101"/>
      <c r="V523" s="101"/>
      <c r="W523" s="101"/>
      <c r="X523" s="101" t="s">
        <v>575</v>
      </c>
      <c r="Y523" s="101"/>
      <c r="Z523" s="101" t="s">
        <v>576</v>
      </c>
      <c r="AA523" s="101" t="s">
        <v>577</v>
      </c>
      <c r="AB523" s="101" t="s">
        <v>578</v>
      </c>
      <c r="AC523" s="101" t="s">
        <v>579</v>
      </c>
      <c r="AD523" s="101" t="s">
        <v>580</v>
      </c>
      <c r="AE523" s="101"/>
      <c r="AF523" s="101"/>
      <c r="AG523" s="101"/>
      <c r="AH523" s="101"/>
      <c r="AI523" s="101"/>
    </row>
    <row r="524" spans="10:35" x14ac:dyDescent="0.2">
      <c r="J524" s="101" t="s">
        <v>30</v>
      </c>
      <c r="K524" s="101" t="s">
        <v>1585</v>
      </c>
      <c r="L524" s="101" t="s">
        <v>1376</v>
      </c>
      <c r="M524" s="101" t="s">
        <v>1586</v>
      </c>
      <c r="N524" s="189">
        <v>12460</v>
      </c>
      <c r="O524" s="101" t="s">
        <v>568</v>
      </c>
      <c r="P524" s="101" t="s">
        <v>569</v>
      </c>
      <c r="Q524" s="101" t="s">
        <v>570</v>
      </c>
      <c r="R524" s="101" t="s">
        <v>571</v>
      </c>
      <c r="S524" s="101" t="s">
        <v>572</v>
      </c>
      <c r="T524" s="101" t="s">
        <v>573</v>
      </c>
      <c r="U524" s="101"/>
      <c r="V524" s="101"/>
      <c r="W524" s="101"/>
      <c r="X524" s="101" t="s">
        <v>575</v>
      </c>
      <c r="Y524" s="101"/>
      <c r="Z524" s="101" t="s">
        <v>576</v>
      </c>
      <c r="AA524" s="101"/>
      <c r="AB524" s="101"/>
      <c r="AC524" s="101"/>
      <c r="AD524" s="101"/>
      <c r="AE524" s="101"/>
      <c r="AF524" s="101"/>
      <c r="AG524" s="101"/>
      <c r="AH524" s="101"/>
      <c r="AI524" s="101"/>
    </row>
    <row r="525" spans="10:35" x14ac:dyDescent="0.2">
      <c r="J525" s="101" t="s">
        <v>30</v>
      </c>
      <c r="K525" s="101" t="s">
        <v>1587</v>
      </c>
      <c r="L525" s="101" t="s">
        <v>1376</v>
      </c>
      <c r="M525" s="101" t="s">
        <v>1588</v>
      </c>
      <c r="N525" s="189">
        <v>12470</v>
      </c>
      <c r="O525" s="101" t="s">
        <v>568</v>
      </c>
      <c r="P525" s="101" t="s">
        <v>569</v>
      </c>
      <c r="Q525" s="101" t="s">
        <v>570</v>
      </c>
      <c r="R525" s="101" t="s">
        <v>571</v>
      </c>
      <c r="S525" s="101" t="s">
        <v>572</v>
      </c>
      <c r="T525" s="101" t="s">
        <v>573</v>
      </c>
      <c r="U525" s="101"/>
      <c r="V525" s="101"/>
      <c r="W525" s="101"/>
      <c r="X525" s="101" t="s">
        <v>575</v>
      </c>
      <c r="Y525" s="101"/>
      <c r="Z525" s="101" t="s">
        <v>576</v>
      </c>
      <c r="AA525" s="101" t="s">
        <v>577</v>
      </c>
      <c r="AB525" s="101" t="s">
        <v>578</v>
      </c>
      <c r="AC525" s="101" t="s">
        <v>579</v>
      </c>
      <c r="AD525" s="101" t="s">
        <v>580</v>
      </c>
      <c r="AE525" s="101"/>
      <c r="AF525" s="101"/>
      <c r="AG525" s="101"/>
      <c r="AH525" s="101"/>
      <c r="AI525" s="101"/>
    </row>
    <row r="526" spans="10:35" x14ac:dyDescent="0.2">
      <c r="J526" s="101" t="s">
        <v>30</v>
      </c>
      <c r="K526" s="101" t="s">
        <v>1589</v>
      </c>
      <c r="L526" s="101" t="s">
        <v>1590</v>
      </c>
      <c r="M526" s="101" t="s">
        <v>1591</v>
      </c>
      <c r="N526" s="189">
        <v>12470</v>
      </c>
      <c r="O526" s="101" t="s">
        <v>568</v>
      </c>
      <c r="P526" s="101" t="s">
        <v>569</v>
      </c>
      <c r="Q526" s="101" t="s">
        <v>570</v>
      </c>
      <c r="R526" s="101" t="s">
        <v>571</v>
      </c>
      <c r="S526" s="101" t="s">
        <v>572</v>
      </c>
      <c r="T526" s="101" t="s">
        <v>573</v>
      </c>
      <c r="U526" s="101"/>
      <c r="V526" s="101"/>
      <c r="W526" s="101"/>
      <c r="X526" s="101" t="s">
        <v>575</v>
      </c>
      <c r="Y526" s="101"/>
      <c r="Z526" s="101" t="s">
        <v>576</v>
      </c>
      <c r="AA526" s="101"/>
      <c r="AB526" s="101"/>
      <c r="AC526" s="101"/>
      <c r="AD526" s="101"/>
      <c r="AE526" s="101"/>
      <c r="AF526" s="101"/>
      <c r="AG526" s="101"/>
      <c r="AH526" s="101"/>
      <c r="AI526" s="101"/>
    </row>
    <row r="527" spans="10:35" x14ac:dyDescent="0.2">
      <c r="J527" s="101" t="s">
        <v>30</v>
      </c>
      <c r="K527" s="101" t="s">
        <v>1592</v>
      </c>
      <c r="L527" s="101" t="s">
        <v>1590</v>
      </c>
      <c r="M527" s="101" t="s">
        <v>1593</v>
      </c>
      <c r="N527" s="189">
        <v>12370</v>
      </c>
      <c r="O527" s="101" t="s">
        <v>568</v>
      </c>
      <c r="P527" s="101" t="s">
        <v>569</v>
      </c>
      <c r="Q527" s="101" t="s">
        <v>570</v>
      </c>
      <c r="R527" s="101" t="s">
        <v>571</v>
      </c>
      <c r="S527" s="101" t="s">
        <v>572</v>
      </c>
      <c r="T527" s="101" t="s">
        <v>573</v>
      </c>
      <c r="U527" s="101"/>
      <c r="V527" s="101"/>
      <c r="W527" s="101" t="s">
        <v>574</v>
      </c>
      <c r="X527" s="101" t="s">
        <v>575</v>
      </c>
      <c r="Y527" s="101"/>
      <c r="Z527" s="101" t="s">
        <v>576</v>
      </c>
      <c r="AA527" s="101"/>
      <c r="AB527" s="101"/>
      <c r="AC527" s="101"/>
      <c r="AD527" s="101"/>
      <c r="AE527" s="101"/>
      <c r="AF527" s="101"/>
      <c r="AG527" s="101"/>
      <c r="AH527" s="101"/>
      <c r="AI527" s="101"/>
    </row>
    <row r="528" spans="10:35" x14ac:dyDescent="0.2">
      <c r="J528" s="101" t="s">
        <v>30</v>
      </c>
      <c r="K528" s="101" t="s">
        <v>1594</v>
      </c>
      <c r="L528" s="101" t="s">
        <v>1590</v>
      </c>
      <c r="M528" s="101" t="s">
        <v>1595</v>
      </c>
      <c r="N528" s="189">
        <v>12320</v>
      </c>
      <c r="O528" s="101" t="s">
        <v>568</v>
      </c>
      <c r="P528" s="101" t="s">
        <v>569</v>
      </c>
      <c r="Q528" s="101" t="s">
        <v>570</v>
      </c>
      <c r="R528" s="101" t="s">
        <v>571</v>
      </c>
      <c r="S528" s="101" t="s">
        <v>572</v>
      </c>
      <c r="T528" s="101" t="s">
        <v>573</v>
      </c>
      <c r="U528" s="101"/>
      <c r="V528" s="101"/>
      <c r="W528" s="101"/>
      <c r="X528" s="101" t="s">
        <v>575</v>
      </c>
      <c r="Y528" s="101"/>
      <c r="Z528" s="101" t="s">
        <v>576</v>
      </c>
      <c r="AA528" s="101" t="s">
        <v>577</v>
      </c>
      <c r="AB528" s="101" t="s">
        <v>578</v>
      </c>
      <c r="AC528" s="101" t="s">
        <v>579</v>
      </c>
      <c r="AD528" s="101" t="s">
        <v>580</v>
      </c>
      <c r="AE528" s="101" t="s">
        <v>581</v>
      </c>
      <c r="AF528" s="101" t="s">
        <v>582</v>
      </c>
      <c r="AG528" s="101" t="s">
        <v>583</v>
      </c>
      <c r="AH528" s="101" t="s">
        <v>584</v>
      </c>
      <c r="AI528" s="101" t="s">
        <v>585</v>
      </c>
    </row>
    <row r="529" spans="10:35" x14ac:dyDescent="0.2">
      <c r="J529" s="101" t="s">
        <v>30</v>
      </c>
      <c r="K529" s="101" t="s">
        <v>1596</v>
      </c>
      <c r="L529" s="101" t="s">
        <v>1590</v>
      </c>
      <c r="M529" s="101" t="s">
        <v>1597</v>
      </c>
      <c r="N529" s="189">
        <v>12350</v>
      </c>
      <c r="O529" s="101" t="s">
        <v>568</v>
      </c>
      <c r="P529" s="101" t="s">
        <v>569</v>
      </c>
      <c r="Q529" s="101" t="s">
        <v>570</v>
      </c>
      <c r="R529" s="101" t="s">
        <v>571</v>
      </c>
      <c r="S529" s="101" t="s">
        <v>572</v>
      </c>
      <c r="T529" s="101" t="s">
        <v>573</v>
      </c>
      <c r="U529" s="101"/>
      <c r="V529" s="101"/>
      <c r="W529" s="101"/>
      <c r="X529" s="101" t="s">
        <v>575</v>
      </c>
      <c r="Y529" s="101"/>
      <c r="Z529" s="101" t="s">
        <v>576</v>
      </c>
      <c r="AA529" s="101"/>
      <c r="AB529" s="101"/>
      <c r="AC529" s="101"/>
      <c r="AD529" s="101"/>
      <c r="AE529" s="101"/>
      <c r="AF529" s="101"/>
      <c r="AG529" s="101"/>
      <c r="AH529" s="101"/>
      <c r="AI529" s="101"/>
    </row>
    <row r="530" spans="10:35" x14ac:dyDescent="0.2">
      <c r="J530" s="101" t="s">
        <v>30</v>
      </c>
      <c r="K530" s="101" t="s">
        <v>1598</v>
      </c>
      <c r="L530" s="101" t="s">
        <v>1590</v>
      </c>
      <c r="M530" s="101" t="s">
        <v>1599</v>
      </c>
      <c r="N530" s="189">
        <v>12420</v>
      </c>
      <c r="O530" s="101" t="s">
        <v>568</v>
      </c>
      <c r="P530" s="101" t="s">
        <v>569</v>
      </c>
      <c r="Q530" s="101" t="s">
        <v>570</v>
      </c>
      <c r="R530" s="101" t="s">
        <v>571</v>
      </c>
      <c r="S530" s="101" t="s">
        <v>572</v>
      </c>
      <c r="T530" s="101" t="s">
        <v>573</v>
      </c>
      <c r="U530" s="101"/>
      <c r="V530" s="101"/>
      <c r="W530" s="101"/>
      <c r="X530" s="101" t="s">
        <v>575</v>
      </c>
      <c r="Y530" s="101"/>
      <c r="Z530" s="101" t="s">
        <v>576</v>
      </c>
      <c r="AA530" s="101" t="s">
        <v>577</v>
      </c>
      <c r="AB530" s="101" t="s">
        <v>578</v>
      </c>
      <c r="AC530" s="101" t="s">
        <v>579</v>
      </c>
      <c r="AD530" s="101" t="s">
        <v>580</v>
      </c>
      <c r="AE530" s="101" t="s">
        <v>581</v>
      </c>
      <c r="AF530" s="101" t="s">
        <v>582</v>
      </c>
      <c r="AG530" s="101" t="s">
        <v>583</v>
      </c>
      <c r="AH530" s="101" t="s">
        <v>584</v>
      </c>
      <c r="AI530" s="101" t="s">
        <v>585</v>
      </c>
    </row>
    <row r="531" spans="10:35" x14ac:dyDescent="0.2">
      <c r="J531" s="101" t="s">
        <v>30</v>
      </c>
      <c r="K531" s="101" t="s">
        <v>1600</v>
      </c>
      <c r="L531" s="101" t="s">
        <v>1590</v>
      </c>
      <c r="M531" s="101" t="s">
        <v>1601</v>
      </c>
      <c r="N531" s="189">
        <v>11940</v>
      </c>
      <c r="O531" s="101" t="s">
        <v>568</v>
      </c>
      <c r="P531" s="101" t="s">
        <v>569</v>
      </c>
      <c r="Q531" s="101" t="s">
        <v>570</v>
      </c>
      <c r="R531" s="101" t="s">
        <v>571</v>
      </c>
      <c r="S531" s="101" t="s">
        <v>572</v>
      </c>
      <c r="T531" s="101" t="s">
        <v>573</v>
      </c>
      <c r="U531" s="101"/>
      <c r="V531" s="101"/>
      <c r="W531" s="101"/>
      <c r="X531" s="101" t="s">
        <v>575</v>
      </c>
      <c r="Y531" s="101"/>
      <c r="Z531" s="101" t="s">
        <v>576</v>
      </c>
      <c r="AA531" s="101" t="s">
        <v>577</v>
      </c>
      <c r="AB531" s="101" t="s">
        <v>578</v>
      </c>
      <c r="AC531" s="101" t="s">
        <v>579</v>
      </c>
      <c r="AD531" s="101" t="s">
        <v>580</v>
      </c>
      <c r="AE531" s="101" t="s">
        <v>581</v>
      </c>
      <c r="AF531" s="101" t="s">
        <v>582</v>
      </c>
      <c r="AG531" s="101" t="s">
        <v>583</v>
      </c>
      <c r="AH531" s="101" t="s">
        <v>584</v>
      </c>
      <c r="AI531" s="101" t="s">
        <v>585</v>
      </c>
    </row>
    <row r="532" spans="10:35" x14ac:dyDescent="0.2">
      <c r="J532" s="101" t="s">
        <v>30</v>
      </c>
      <c r="K532" s="101" t="s">
        <v>1602</v>
      </c>
      <c r="L532" s="101" t="s">
        <v>1603</v>
      </c>
      <c r="M532" s="101" t="s">
        <v>1604</v>
      </c>
      <c r="N532" s="189">
        <v>12460</v>
      </c>
      <c r="O532" s="101" t="s">
        <v>568</v>
      </c>
      <c r="P532" s="101" t="s">
        <v>569</v>
      </c>
      <c r="Q532" s="101" t="s">
        <v>570</v>
      </c>
      <c r="R532" s="101" t="s">
        <v>571</v>
      </c>
      <c r="S532" s="101" t="s">
        <v>572</v>
      </c>
      <c r="T532" s="101" t="s">
        <v>573</v>
      </c>
      <c r="U532" s="101"/>
      <c r="V532" s="101"/>
      <c r="W532" s="101"/>
      <c r="X532" s="101" t="s">
        <v>575</v>
      </c>
      <c r="Y532" s="101"/>
      <c r="Z532" s="101" t="s">
        <v>576</v>
      </c>
      <c r="AA532" s="101"/>
      <c r="AB532" s="101"/>
      <c r="AC532" s="101"/>
      <c r="AD532" s="101"/>
      <c r="AE532" s="101"/>
      <c r="AF532" s="101"/>
      <c r="AG532" s="101"/>
      <c r="AH532" s="101"/>
      <c r="AI532" s="101"/>
    </row>
    <row r="533" spans="10:35" x14ac:dyDescent="0.2">
      <c r="J533" s="101" t="s">
        <v>30</v>
      </c>
      <c r="K533" s="101" t="s">
        <v>1605</v>
      </c>
      <c r="L533" s="101" t="s">
        <v>1590</v>
      </c>
      <c r="M533" s="101" t="s">
        <v>1606</v>
      </c>
      <c r="N533" s="189">
        <v>12430</v>
      </c>
      <c r="O533" s="101" t="s">
        <v>568</v>
      </c>
      <c r="P533" s="101" t="s">
        <v>569</v>
      </c>
      <c r="Q533" s="101" t="s">
        <v>570</v>
      </c>
      <c r="R533" s="101" t="s">
        <v>571</v>
      </c>
      <c r="S533" s="101" t="s">
        <v>572</v>
      </c>
      <c r="T533" s="101" t="s">
        <v>573</v>
      </c>
      <c r="U533" s="101"/>
      <c r="V533" s="101"/>
      <c r="W533" s="101" t="s">
        <v>574</v>
      </c>
      <c r="X533" s="101" t="s">
        <v>575</v>
      </c>
      <c r="Y533" s="101"/>
      <c r="Z533" s="101" t="s">
        <v>576</v>
      </c>
      <c r="AA533" s="101" t="s">
        <v>577</v>
      </c>
      <c r="AB533" s="101" t="s">
        <v>578</v>
      </c>
      <c r="AC533" s="101" t="s">
        <v>579</v>
      </c>
      <c r="AD533" s="101" t="s">
        <v>580</v>
      </c>
      <c r="AE533" s="101" t="s">
        <v>581</v>
      </c>
      <c r="AF533" s="101" t="s">
        <v>582</v>
      </c>
      <c r="AG533" s="101" t="s">
        <v>583</v>
      </c>
      <c r="AH533" s="101" t="s">
        <v>584</v>
      </c>
      <c r="AI533" s="101" t="s">
        <v>585</v>
      </c>
    </row>
    <row r="534" spans="10:35" x14ac:dyDescent="0.2">
      <c r="J534" s="101" t="s">
        <v>30</v>
      </c>
      <c r="K534" s="101" t="s">
        <v>1607</v>
      </c>
      <c r="L534" s="101" t="s">
        <v>1603</v>
      </c>
      <c r="M534" s="101" t="s">
        <v>1608</v>
      </c>
      <c r="N534" s="189">
        <v>12460</v>
      </c>
      <c r="O534" s="101" t="s">
        <v>568</v>
      </c>
      <c r="P534" s="101" t="s">
        <v>569</v>
      </c>
      <c r="Q534" s="101" t="s">
        <v>570</v>
      </c>
      <c r="R534" s="101" t="s">
        <v>571</v>
      </c>
      <c r="S534" s="101" t="s">
        <v>572</v>
      </c>
      <c r="T534" s="101" t="s">
        <v>573</v>
      </c>
      <c r="U534" s="101"/>
      <c r="V534" s="101"/>
      <c r="W534" s="101"/>
      <c r="X534" s="101" t="s">
        <v>575</v>
      </c>
      <c r="Y534" s="101"/>
      <c r="Z534" s="101" t="s">
        <v>576</v>
      </c>
      <c r="AA534" s="101" t="s">
        <v>577</v>
      </c>
      <c r="AB534" s="101" t="s">
        <v>578</v>
      </c>
      <c r="AC534" s="101" t="s">
        <v>579</v>
      </c>
      <c r="AD534" s="101" t="s">
        <v>580</v>
      </c>
      <c r="AE534" s="101" t="s">
        <v>581</v>
      </c>
      <c r="AF534" s="101" t="s">
        <v>582</v>
      </c>
      <c r="AG534" s="101"/>
      <c r="AH534" s="101"/>
      <c r="AI534" s="101"/>
    </row>
    <row r="535" spans="10:35" x14ac:dyDescent="0.2">
      <c r="J535" s="101" t="s">
        <v>30</v>
      </c>
      <c r="K535" s="101" t="s">
        <v>1609</v>
      </c>
      <c r="L535" s="101" t="s">
        <v>1603</v>
      </c>
      <c r="M535" s="101" t="s">
        <v>1610</v>
      </c>
      <c r="N535" s="189">
        <v>12460</v>
      </c>
      <c r="O535" s="101" t="s">
        <v>568</v>
      </c>
      <c r="P535" s="101" t="s">
        <v>569</v>
      </c>
      <c r="Q535" s="101" t="s">
        <v>570</v>
      </c>
      <c r="R535" s="101" t="s">
        <v>571</v>
      </c>
      <c r="S535" s="101" t="s">
        <v>572</v>
      </c>
      <c r="T535" s="101" t="s">
        <v>573</v>
      </c>
      <c r="U535" s="101"/>
      <c r="V535" s="101"/>
      <c r="W535" s="101"/>
      <c r="X535" s="101" t="s">
        <v>575</v>
      </c>
      <c r="Y535" s="101"/>
      <c r="Z535" s="101" t="s">
        <v>576</v>
      </c>
      <c r="AA535" s="101"/>
      <c r="AB535" s="101"/>
      <c r="AC535" s="101"/>
      <c r="AD535" s="101"/>
      <c r="AE535" s="101"/>
      <c r="AF535" s="101"/>
      <c r="AG535" s="101"/>
      <c r="AH535" s="101"/>
      <c r="AI535" s="101"/>
    </row>
    <row r="536" spans="10:35" x14ac:dyDescent="0.2">
      <c r="J536" s="101" t="s">
        <v>30</v>
      </c>
      <c r="K536" s="101" t="s">
        <v>1611</v>
      </c>
      <c r="L536" s="101" t="s">
        <v>1590</v>
      </c>
      <c r="M536" s="101" t="s">
        <v>1612</v>
      </c>
      <c r="N536" s="189">
        <v>12420</v>
      </c>
      <c r="O536" s="101" t="s">
        <v>568</v>
      </c>
      <c r="P536" s="101" t="s">
        <v>569</v>
      </c>
      <c r="Q536" s="101" t="s">
        <v>570</v>
      </c>
      <c r="R536" s="101" t="s">
        <v>571</v>
      </c>
      <c r="S536" s="101" t="s">
        <v>572</v>
      </c>
      <c r="T536" s="101" t="s">
        <v>573</v>
      </c>
      <c r="U536" s="101"/>
      <c r="V536" s="101"/>
      <c r="W536" s="101"/>
      <c r="X536" s="101" t="s">
        <v>575</v>
      </c>
      <c r="Y536" s="101"/>
      <c r="Z536" s="101" t="s">
        <v>576</v>
      </c>
      <c r="AA536" s="101" t="s">
        <v>577</v>
      </c>
      <c r="AB536" s="101" t="s">
        <v>578</v>
      </c>
      <c r="AC536" s="101" t="s">
        <v>579</v>
      </c>
      <c r="AD536" s="101" t="s">
        <v>580</v>
      </c>
      <c r="AE536" s="101" t="s">
        <v>581</v>
      </c>
      <c r="AF536" s="101" t="s">
        <v>582</v>
      </c>
      <c r="AG536" s="101" t="s">
        <v>583</v>
      </c>
      <c r="AH536" s="101" t="s">
        <v>584</v>
      </c>
      <c r="AI536" s="101" t="s">
        <v>585</v>
      </c>
    </row>
    <row r="537" spans="10:35" x14ac:dyDescent="0.2">
      <c r="J537" s="101" t="s">
        <v>30</v>
      </c>
      <c r="K537" s="101" t="s">
        <v>1613</v>
      </c>
      <c r="L537" s="101" t="s">
        <v>1590</v>
      </c>
      <c r="M537" s="101" t="s">
        <v>1614</v>
      </c>
      <c r="N537" s="189">
        <v>12290</v>
      </c>
      <c r="O537" s="101" t="s">
        <v>568</v>
      </c>
      <c r="P537" s="101" t="s">
        <v>569</v>
      </c>
      <c r="Q537" s="101" t="s">
        <v>570</v>
      </c>
      <c r="R537" s="101" t="s">
        <v>571</v>
      </c>
      <c r="S537" s="101" t="s">
        <v>572</v>
      </c>
      <c r="T537" s="101" t="s">
        <v>573</v>
      </c>
      <c r="U537" s="101"/>
      <c r="V537" s="101"/>
      <c r="W537" s="101"/>
      <c r="X537" s="101" t="s">
        <v>575</v>
      </c>
      <c r="Y537" s="101"/>
      <c r="Z537" s="101" t="s">
        <v>576</v>
      </c>
      <c r="AA537" s="101" t="s">
        <v>577</v>
      </c>
      <c r="AB537" s="101" t="s">
        <v>578</v>
      </c>
      <c r="AC537" s="101" t="s">
        <v>579</v>
      </c>
      <c r="AD537" s="101" t="s">
        <v>580</v>
      </c>
      <c r="AE537" s="101" t="s">
        <v>581</v>
      </c>
      <c r="AF537" s="101" t="s">
        <v>582</v>
      </c>
      <c r="AG537" s="101" t="s">
        <v>583</v>
      </c>
      <c r="AH537" s="101" t="s">
        <v>584</v>
      </c>
      <c r="AI537" s="101" t="s">
        <v>585</v>
      </c>
    </row>
    <row r="538" spans="10:35" x14ac:dyDescent="0.2">
      <c r="J538" s="101" t="s">
        <v>30</v>
      </c>
      <c r="K538" s="101" t="s">
        <v>1615</v>
      </c>
      <c r="L538" s="101" t="s">
        <v>1603</v>
      </c>
      <c r="M538" s="101" t="s">
        <v>1616</v>
      </c>
      <c r="N538" s="189">
        <v>12460</v>
      </c>
      <c r="O538" s="101" t="s">
        <v>568</v>
      </c>
      <c r="P538" s="101" t="s">
        <v>569</v>
      </c>
      <c r="Q538" s="101" t="s">
        <v>570</v>
      </c>
      <c r="R538" s="101" t="s">
        <v>571</v>
      </c>
      <c r="S538" s="101" t="s">
        <v>572</v>
      </c>
      <c r="T538" s="101" t="s">
        <v>573</v>
      </c>
      <c r="U538" s="101"/>
      <c r="V538" s="101"/>
      <c r="W538" s="101" t="s">
        <v>574</v>
      </c>
      <c r="X538" s="101" t="s">
        <v>575</v>
      </c>
      <c r="Y538" s="101"/>
      <c r="Z538" s="101" t="s">
        <v>576</v>
      </c>
      <c r="AA538" s="101" t="s">
        <v>577</v>
      </c>
      <c r="AB538" s="101" t="s">
        <v>578</v>
      </c>
      <c r="AC538" s="101" t="s">
        <v>579</v>
      </c>
      <c r="AD538" s="101" t="s">
        <v>580</v>
      </c>
      <c r="AE538" s="101" t="s">
        <v>581</v>
      </c>
      <c r="AF538" s="101" t="s">
        <v>582</v>
      </c>
      <c r="AG538" s="101"/>
      <c r="AH538" s="101"/>
      <c r="AI538" s="101"/>
    </row>
    <row r="539" spans="10:35" x14ac:dyDescent="0.2">
      <c r="J539" s="101" t="s">
        <v>30</v>
      </c>
      <c r="K539" s="101" t="s">
        <v>1617</v>
      </c>
      <c r="L539" s="101" t="s">
        <v>1603</v>
      </c>
      <c r="M539" s="101" t="s">
        <v>1618</v>
      </c>
      <c r="N539" s="189">
        <v>11960</v>
      </c>
      <c r="O539" s="101" t="s">
        <v>568</v>
      </c>
      <c r="P539" s="101" t="s">
        <v>569</v>
      </c>
      <c r="Q539" s="101" t="s">
        <v>570</v>
      </c>
      <c r="R539" s="101" t="s">
        <v>571</v>
      </c>
      <c r="S539" s="101" t="s">
        <v>572</v>
      </c>
      <c r="T539" s="101" t="s">
        <v>573</v>
      </c>
      <c r="U539" s="101"/>
      <c r="V539" s="101"/>
      <c r="W539" s="101"/>
      <c r="X539" s="101" t="s">
        <v>575</v>
      </c>
      <c r="Y539" s="101"/>
      <c r="Z539" s="101" t="s">
        <v>576</v>
      </c>
      <c r="AA539" s="101" t="s">
        <v>577</v>
      </c>
      <c r="AB539" s="101" t="s">
        <v>578</v>
      </c>
      <c r="AC539" s="101" t="s">
        <v>579</v>
      </c>
      <c r="AD539" s="101" t="s">
        <v>580</v>
      </c>
      <c r="AE539" s="101" t="s">
        <v>581</v>
      </c>
      <c r="AF539" s="101" t="s">
        <v>582</v>
      </c>
      <c r="AG539" s="101" t="s">
        <v>583</v>
      </c>
      <c r="AH539" s="101" t="s">
        <v>584</v>
      </c>
      <c r="AI539" s="101" t="s">
        <v>585</v>
      </c>
    </row>
    <row r="540" spans="10:35" x14ac:dyDescent="0.2">
      <c r="J540" s="101" t="s">
        <v>30</v>
      </c>
      <c r="K540" s="101" t="s">
        <v>1619</v>
      </c>
      <c r="L540" s="101" t="s">
        <v>1603</v>
      </c>
      <c r="M540" s="101" t="s">
        <v>1620</v>
      </c>
      <c r="N540" s="189">
        <v>12460</v>
      </c>
      <c r="O540" s="101" t="s">
        <v>568</v>
      </c>
      <c r="P540" s="101" t="s">
        <v>569</v>
      </c>
      <c r="Q540" s="101" t="s">
        <v>570</v>
      </c>
      <c r="R540" s="101" t="s">
        <v>571</v>
      </c>
      <c r="S540" s="101" t="s">
        <v>572</v>
      </c>
      <c r="T540" s="101" t="s">
        <v>573</v>
      </c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</row>
    <row r="541" spans="10:35" x14ac:dyDescent="0.2">
      <c r="J541" s="101" t="s">
        <v>30</v>
      </c>
      <c r="K541" s="101" t="s">
        <v>1621</v>
      </c>
      <c r="L541" s="101" t="s">
        <v>1603</v>
      </c>
      <c r="M541" s="101" t="s">
        <v>1622</v>
      </c>
      <c r="N541" s="189">
        <v>12460</v>
      </c>
      <c r="O541" s="101" t="s">
        <v>568</v>
      </c>
      <c r="P541" s="101" t="s">
        <v>569</v>
      </c>
      <c r="Q541" s="101" t="s">
        <v>570</v>
      </c>
      <c r="R541" s="101" t="s">
        <v>571</v>
      </c>
      <c r="S541" s="101" t="s">
        <v>572</v>
      </c>
      <c r="T541" s="101" t="s">
        <v>573</v>
      </c>
      <c r="U541" s="101"/>
      <c r="V541" s="101"/>
      <c r="W541" s="101"/>
      <c r="X541" s="101" t="s">
        <v>575</v>
      </c>
      <c r="Y541" s="101"/>
      <c r="Z541" s="101" t="s">
        <v>576</v>
      </c>
      <c r="AA541" s="101" t="s">
        <v>577</v>
      </c>
      <c r="AB541" s="101" t="s">
        <v>578</v>
      </c>
      <c r="AC541" s="101" t="s">
        <v>579</v>
      </c>
      <c r="AD541" s="101" t="s">
        <v>580</v>
      </c>
      <c r="AE541" s="101" t="s">
        <v>581</v>
      </c>
      <c r="AF541" s="101" t="s">
        <v>582</v>
      </c>
      <c r="AG541" s="101"/>
      <c r="AH541" s="101"/>
      <c r="AI541" s="101"/>
    </row>
    <row r="542" spans="10:35" x14ac:dyDescent="0.2">
      <c r="J542" s="101" t="s">
        <v>30</v>
      </c>
      <c r="K542" s="101" t="s">
        <v>1623</v>
      </c>
      <c r="L542" s="101" t="s">
        <v>1603</v>
      </c>
      <c r="M542" s="101" t="s">
        <v>1624</v>
      </c>
      <c r="N542" s="189">
        <v>12430</v>
      </c>
      <c r="O542" s="101" t="s">
        <v>568</v>
      </c>
      <c r="P542" s="101" t="s">
        <v>569</v>
      </c>
      <c r="Q542" s="101" t="s">
        <v>570</v>
      </c>
      <c r="R542" s="101" t="s">
        <v>571</v>
      </c>
      <c r="S542" s="101" t="s">
        <v>572</v>
      </c>
      <c r="T542" s="101" t="s">
        <v>573</v>
      </c>
      <c r="U542" s="101"/>
      <c r="V542" s="101"/>
      <c r="W542" s="101" t="s">
        <v>574</v>
      </c>
      <c r="X542" s="101" t="s">
        <v>575</v>
      </c>
      <c r="Y542" s="101"/>
      <c r="Z542" s="101" t="s">
        <v>576</v>
      </c>
      <c r="AA542" s="101" t="s">
        <v>577</v>
      </c>
      <c r="AB542" s="101" t="s">
        <v>578</v>
      </c>
      <c r="AC542" s="101" t="s">
        <v>579</v>
      </c>
      <c r="AD542" s="101" t="s">
        <v>580</v>
      </c>
      <c r="AE542" s="101" t="s">
        <v>581</v>
      </c>
      <c r="AF542" s="101" t="s">
        <v>582</v>
      </c>
      <c r="AG542" s="101" t="s">
        <v>583</v>
      </c>
      <c r="AH542" s="101" t="s">
        <v>584</v>
      </c>
      <c r="AI542" s="101" t="s">
        <v>585</v>
      </c>
    </row>
    <row r="543" spans="10:35" x14ac:dyDescent="0.2">
      <c r="J543" s="101" t="s">
        <v>30</v>
      </c>
      <c r="K543" s="101" t="s">
        <v>1625</v>
      </c>
      <c r="L543" s="101" t="s">
        <v>1603</v>
      </c>
      <c r="M543" s="101" t="s">
        <v>1626</v>
      </c>
      <c r="N543" s="189">
        <v>12360</v>
      </c>
      <c r="O543" s="101" t="s">
        <v>568</v>
      </c>
      <c r="P543" s="101" t="s">
        <v>569</v>
      </c>
      <c r="Q543" s="101" t="s">
        <v>570</v>
      </c>
      <c r="R543" s="101" t="s">
        <v>571</v>
      </c>
      <c r="S543" s="101" t="s">
        <v>572</v>
      </c>
      <c r="T543" s="101" t="s">
        <v>573</v>
      </c>
      <c r="U543" s="101"/>
      <c r="V543" s="101"/>
      <c r="W543" s="101" t="s">
        <v>574</v>
      </c>
      <c r="X543" s="101" t="s">
        <v>575</v>
      </c>
      <c r="Y543" s="101"/>
      <c r="Z543" s="101" t="s">
        <v>576</v>
      </c>
      <c r="AA543" s="101"/>
      <c r="AB543" s="101"/>
      <c r="AC543" s="101"/>
      <c r="AD543" s="101"/>
      <c r="AE543" s="101"/>
      <c r="AF543" s="101"/>
      <c r="AG543" s="101"/>
      <c r="AH543" s="101"/>
      <c r="AI543" s="101"/>
    </row>
    <row r="544" spans="10:35" x14ac:dyDescent="0.2">
      <c r="J544" s="101" t="s">
        <v>30</v>
      </c>
      <c r="K544" s="101" t="s">
        <v>1627</v>
      </c>
      <c r="L544" s="101" t="s">
        <v>1603</v>
      </c>
      <c r="M544" s="101" t="s">
        <v>1628</v>
      </c>
      <c r="N544" s="189">
        <v>12420</v>
      </c>
      <c r="O544" s="101" t="s">
        <v>568</v>
      </c>
      <c r="P544" s="101" t="s">
        <v>569</v>
      </c>
      <c r="Q544" s="101" t="s">
        <v>570</v>
      </c>
      <c r="R544" s="101" t="s">
        <v>571</v>
      </c>
      <c r="S544" s="101" t="s">
        <v>572</v>
      </c>
      <c r="T544" s="101" t="s">
        <v>573</v>
      </c>
      <c r="U544" s="101"/>
      <c r="V544" s="101"/>
      <c r="W544" s="101" t="s">
        <v>574</v>
      </c>
      <c r="X544" s="101" t="s">
        <v>575</v>
      </c>
      <c r="Y544" s="101"/>
      <c r="Z544" s="101" t="s">
        <v>576</v>
      </c>
      <c r="AA544" s="101" t="s">
        <v>577</v>
      </c>
      <c r="AB544" s="101" t="s">
        <v>578</v>
      </c>
      <c r="AC544" s="101" t="s">
        <v>579</v>
      </c>
      <c r="AD544" s="101" t="s">
        <v>580</v>
      </c>
      <c r="AE544" s="101" t="s">
        <v>581</v>
      </c>
      <c r="AF544" s="101" t="s">
        <v>582</v>
      </c>
      <c r="AG544" s="101" t="s">
        <v>583</v>
      </c>
      <c r="AH544" s="101" t="s">
        <v>584</v>
      </c>
      <c r="AI544" s="101" t="s">
        <v>585</v>
      </c>
    </row>
    <row r="545" spans="10:35" x14ac:dyDescent="0.2">
      <c r="J545" s="101" t="s">
        <v>30</v>
      </c>
      <c r="K545" s="101" t="s">
        <v>1629</v>
      </c>
      <c r="L545" s="101" t="s">
        <v>1603</v>
      </c>
      <c r="M545" s="101" t="s">
        <v>1630</v>
      </c>
      <c r="N545" s="189">
        <v>11990</v>
      </c>
      <c r="O545" s="101" t="s">
        <v>568</v>
      </c>
      <c r="P545" s="101" t="s">
        <v>569</v>
      </c>
      <c r="Q545" s="101" t="s">
        <v>570</v>
      </c>
      <c r="R545" s="101" t="s">
        <v>571</v>
      </c>
      <c r="S545" s="101" t="s">
        <v>572</v>
      </c>
      <c r="T545" s="101" t="s">
        <v>573</v>
      </c>
      <c r="U545" s="101"/>
      <c r="V545" s="101"/>
      <c r="W545" s="101"/>
      <c r="X545" s="101" t="s">
        <v>575</v>
      </c>
      <c r="Y545" s="101"/>
      <c r="Z545" s="101" t="s">
        <v>576</v>
      </c>
      <c r="AA545" s="101" t="s">
        <v>577</v>
      </c>
      <c r="AB545" s="101" t="s">
        <v>578</v>
      </c>
      <c r="AC545" s="101"/>
      <c r="AD545" s="101"/>
      <c r="AE545" s="101"/>
      <c r="AF545" s="101"/>
      <c r="AG545" s="101"/>
      <c r="AH545" s="101"/>
      <c r="AI545" s="101"/>
    </row>
    <row r="546" spans="10:35" x14ac:dyDescent="0.2">
      <c r="J546" s="101" t="s">
        <v>30</v>
      </c>
      <c r="K546" s="101" t="s">
        <v>1631</v>
      </c>
      <c r="L546" s="101" t="s">
        <v>1603</v>
      </c>
      <c r="M546" s="101" t="s">
        <v>1632</v>
      </c>
      <c r="N546" s="189">
        <v>12000</v>
      </c>
      <c r="O546" s="101" t="s">
        <v>568</v>
      </c>
      <c r="P546" s="101" t="s">
        <v>569</v>
      </c>
      <c r="Q546" s="101" t="s">
        <v>570</v>
      </c>
      <c r="R546" s="101" t="s">
        <v>571</v>
      </c>
      <c r="S546" s="101" t="s">
        <v>572</v>
      </c>
      <c r="T546" s="101" t="s">
        <v>573</v>
      </c>
      <c r="U546" s="101"/>
      <c r="V546" s="101"/>
      <c r="W546" s="101"/>
      <c r="X546" s="101" t="s">
        <v>575</v>
      </c>
      <c r="Y546" s="101"/>
      <c r="Z546" s="101" t="s">
        <v>576</v>
      </c>
      <c r="AA546" s="101" t="s">
        <v>577</v>
      </c>
      <c r="AB546" s="101" t="s">
        <v>578</v>
      </c>
      <c r="AC546" s="101" t="s">
        <v>579</v>
      </c>
      <c r="AD546" s="101" t="s">
        <v>580</v>
      </c>
      <c r="AE546" s="101" t="s">
        <v>581</v>
      </c>
      <c r="AF546" s="101" t="s">
        <v>582</v>
      </c>
      <c r="AG546" s="101"/>
      <c r="AH546" s="101"/>
      <c r="AI546" s="101"/>
    </row>
    <row r="547" spans="10:35" x14ac:dyDescent="0.2">
      <c r="J547" s="101" t="s">
        <v>30</v>
      </c>
      <c r="K547" s="101" t="s">
        <v>1633</v>
      </c>
      <c r="L547" s="101" t="s">
        <v>1590</v>
      </c>
      <c r="M547" s="101" t="s">
        <v>1634</v>
      </c>
      <c r="N547" s="189">
        <v>11940</v>
      </c>
      <c r="O547" s="101" t="s">
        <v>568</v>
      </c>
      <c r="P547" s="101" t="s">
        <v>569</v>
      </c>
      <c r="Q547" s="101" t="s">
        <v>570</v>
      </c>
      <c r="R547" s="101" t="s">
        <v>571</v>
      </c>
      <c r="S547" s="101" t="s">
        <v>572</v>
      </c>
      <c r="T547" s="101" t="s">
        <v>573</v>
      </c>
      <c r="U547" s="101"/>
      <c r="V547" s="101"/>
      <c r="W547" s="101"/>
      <c r="X547" s="101" t="s">
        <v>575</v>
      </c>
      <c r="Y547" s="101"/>
      <c r="Z547" s="101" t="s">
        <v>576</v>
      </c>
      <c r="AA547" s="101" t="s">
        <v>577</v>
      </c>
      <c r="AB547" s="101" t="s">
        <v>578</v>
      </c>
      <c r="AC547" s="101" t="s">
        <v>579</v>
      </c>
      <c r="AD547" s="101" t="s">
        <v>580</v>
      </c>
      <c r="AE547" s="101" t="s">
        <v>581</v>
      </c>
      <c r="AF547" s="101" t="s">
        <v>582</v>
      </c>
      <c r="AG547" s="101" t="s">
        <v>583</v>
      </c>
      <c r="AH547" s="101" t="s">
        <v>584</v>
      </c>
      <c r="AI547" s="101" t="s">
        <v>585</v>
      </c>
    </row>
    <row r="548" spans="10:35" x14ac:dyDescent="0.2">
      <c r="J548" s="101" t="s">
        <v>30</v>
      </c>
      <c r="K548" s="101" t="s">
        <v>1635</v>
      </c>
      <c r="L548" s="101" t="s">
        <v>1590</v>
      </c>
      <c r="M548" s="101" t="s">
        <v>1636</v>
      </c>
      <c r="N548" s="189">
        <v>12120</v>
      </c>
      <c r="O548" s="101" t="s">
        <v>568</v>
      </c>
      <c r="P548" s="101" t="s">
        <v>569</v>
      </c>
      <c r="Q548" s="101" t="s">
        <v>570</v>
      </c>
      <c r="R548" s="101" t="s">
        <v>571</v>
      </c>
      <c r="S548" s="101" t="s">
        <v>572</v>
      </c>
      <c r="T548" s="101" t="s">
        <v>573</v>
      </c>
      <c r="U548" s="101"/>
      <c r="V548" s="101"/>
      <c r="W548" s="101"/>
      <c r="X548" s="101" t="s">
        <v>575</v>
      </c>
      <c r="Y548" s="101"/>
      <c r="Z548" s="101" t="s">
        <v>576</v>
      </c>
      <c r="AA548" s="101" t="s">
        <v>577</v>
      </c>
      <c r="AB548" s="101" t="s">
        <v>578</v>
      </c>
      <c r="AC548" s="101" t="s">
        <v>579</v>
      </c>
      <c r="AD548" s="101" t="s">
        <v>580</v>
      </c>
      <c r="AE548" s="101" t="s">
        <v>581</v>
      </c>
      <c r="AF548" s="101" t="s">
        <v>582</v>
      </c>
      <c r="AG548" s="101"/>
      <c r="AH548" s="101"/>
      <c r="AI548" s="101"/>
    </row>
    <row r="549" spans="10:35" x14ac:dyDescent="0.2">
      <c r="J549" s="101" t="s">
        <v>30</v>
      </c>
      <c r="K549" s="101" t="s">
        <v>1637</v>
      </c>
      <c r="L549" s="101" t="s">
        <v>1590</v>
      </c>
      <c r="M549" s="101" t="s">
        <v>1638</v>
      </c>
      <c r="N549" s="189">
        <v>12460</v>
      </c>
      <c r="O549" s="101" t="s">
        <v>568</v>
      </c>
      <c r="P549" s="101" t="s">
        <v>569</v>
      </c>
      <c r="Q549" s="101" t="s">
        <v>570</v>
      </c>
      <c r="R549" s="101"/>
      <c r="S549" s="101"/>
      <c r="T549" s="101"/>
      <c r="U549" s="101"/>
      <c r="V549" s="101" t="s">
        <v>2361</v>
      </c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</row>
    <row r="550" spans="10:35" x14ac:dyDescent="0.2">
      <c r="J550" s="101" t="s">
        <v>30</v>
      </c>
      <c r="K550" s="101" t="s">
        <v>1639</v>
      </c>
      <c r="L550" s="101" t="s">
        <v>1590</v>
      </c>
      <c r="M550" s="101" t="s">
        <v>1640</v>
      </c>
      <c r="N550" s="189">
        <v>12470</v>
      </c>
      <c r="O550" s="101" t="s">
        <v>568</v>
      </c>
      <c r="P550" s="101" t="s">
        <v>569</v>
      </c>
      <c r="Q550" s="101" t="s">
        <v>570</v>
      </c>
      <c r="R550" s="101"/>
      <c r="S550" s="101"/>
      <c r="T550" s="101"/>
      <c r="U550" s="101"/>
      <c r="V550" s="101" t="s">
        <v>2361</v>
      </c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</row>
    <row r="551" spans="10:35" x14ac:dyDescent="0.2">
      <c r="J551" s="101" t="s">
        <v>30</v>
      </c>
      <c r="K551" s="101" t="s">
        <v>1641</v>
      </c>
      <c r="L551" s="101" t="s">
        <v>1590</v>
      </c>
      <c r="M551" s="101" t="s">
        <v>1642</v>
      </c>
      <c r="N551" s="189">
        <v>12310</v>
      </c>
      <c r="O551" s="101" t="s">
        <v>568</v>
      </c>
      <c r="P551" s="101" t="s">
        <v>569</v>
      </c>
      <c r="Q551" s="101" t="s">
        <v>570</v>
      </c>
      <c r="R551" s="101" t="s">
        <v>571</v>
      </c>
      <c r="S551" s="101" t="s">
        <v>572</v>
      </c>
      <c r="T551" s="101" t="s">
        <v>573</v>
      </c>
      <c r="U551" s="101"/>
      <c r="V551" s="101"/>
      <c r="W551" s="101"/>
      <c r="X551" s="101" t="s">
        <v>575</v>
      </c>
      <c r="Y551" s="101"/>
      <c r="Z551" s="101" t="s">
        <v>576</v>
      </c>
      <c r="AA551" s="101" t="s">
        <v>577</v>
      </c>
      <c r="AB551" s="101" t="s">
        <v>578</v>
      </c>
      <c r="AC551" s="101" t="s">
        <v>579</v>
      </c>
      <c r="AD551" s="101" t="s">
        <v>580</v>
      </c>
      <c r="AE551" s="101" t="s">
        <v>581</v>
      </c>
      <c r="AF551" s="101" t="s">
        <v>582</v>
      </c>
      <c r="AG551" s="101" t="s">
        <v>583</v>
      </c>
      <c r="AH551" s="101" t="s">
        <v>584</v>
      </c>
      <c r="AI551" s="101" t="s">
        <v>585</v>
      </c>
    </row>
    <row r="552" spans="10:35" x14ac:dyDescent="0.2">
      <c r="J552" s="101" t="s">
        <v>30</v>
      </c>
      <c r="K552" s="101" t="s">
        <v>1643</v>
      </c>
      <c r="L552" s="101" t="s">
        <v>1590</v>
      </c>
      <c r="M552" s="101" t="s">
        <v>1644</v>
      </c>
      <c r="N552" s="189">
        <v>12360</v>
      </c>
      <c r="O552" s="101" t="s">
        <v>568</v>
      </c>
      <c r="P552" s="101" t="s">
        <v>569</v>
      </c>
      <c r="Q552" s="101" t="s">
        <v>570</v>
      </c>
      <c r="R552" s="101" t="s">
        <v>571</v>
      </c>
      <c r="S552" s="101" t="s">
        <v>572</v>
      </c>
      <c r="T552" s="101" t="s">
        <v>573</v>
      </c>
      <c r="U552" s="101"/>
      <c r="V552" s="101"/>
      <c r="W552" s="101"/>
      <c r="X552" s="101" t="s">
        <v>575</v>
      </c>
      <c r="Y552" s="101"/>
      <c r="Z552" s="101" t="s">
        <v>576</v>
      </c>
      <c r="AA552" s="101" t="s">
        <v>577</v>
      </c>
      <c r="AB552" s="101" t="s">
        <v>578</v>
      </c>
      <c r="AC552" s="101" t="s">
        <v>579</v>
      </c>
      <c r="AD552" s="101" t="s">
        <v>580</v>
      </c>
      <c r="AE552" s="101" t="s">
        <v>581</v>
      </c>
      <c r="AF552" s="101" t="s">
        <v>582</v>
      </c>
      <c r="AG552" s="101"/>
      <c r="AH552" s="101"/>
      <c r="AI552" s="101"/>
    </row>
    <row r="553" spans="10:35" x14ac:dyDescent="0.2">
      <c r="J553" s="101" t="s">
        <v>30</v>
      </c>
      <c r="K553" s="101" t="s">
        <v>1645</v>
      </c>
      <c r="L553" s="101" t="s">
        <v>1603</v>
      </c>
      <c r="M553" s="101" t="s">
        <v>1646</v>
      </c>
      <c r="N553" s="189">
        <v>12300</v>
      </c>
      <c r="O553" s="101" t="s">
        <v>568</v>
      </c>
      <c r="P553" s="101" t="s">
        <v>569</v>
      </c>
      <c r="Q553" s="101" t="s">
        <v>570</v>
      </c>
      <c r="R553" s="101" t="s">
        <v>571</v>
      </c>
      <c r="S553" s="101" t="s">
        <v>572</v>
      </c>
      <c r="T553" s="101" t="s">
        <v>573</v>
      </c>
      <c r="U553" s="101"/>
      <c r="V553" s="101"/>
      <c r="W553" s="101"/>
      <c r="X553" s="101" t="s">
        <v>575</v>
      </c>
      <c r="Y553" s="101"/>
      <c r="Z553" s="101" t="s">
        <v>576</v>
      </c>
      <c r="AA553" s="101" t="s">
        <v>577</v>
      </c>
      <c r="AB553" s="101" t="s">
        <v>578</v>
      </c>
      <c r="AC553" s="101" t="s">
        <v>579</v>
      </c>
      <c r="AD553" s="101" t="s">
        <v>580</v>
      </c>
      <c r="AE553" s="101" t="s">
        <v>581</v>
      </c>
      <c r="AF553" s="101" t="s">
        <v>582</v>
      </c>
      <c r="AG553" s="101" t="s">
        <v>583</v>
      </c>
      <c r="AH553" s="101" t="s">
        <v>584</v>
      </c>
      <c r="AI553" s="101" t="s">
        <v>585</v>
      </c>
    </row>
    <row r="554" spans="10:35" x14ac:dyDescent="0.2">
      <c r="J554" s="101" t="s">
        <v>30</v>
      </c>
      <c r="K554" s="101" t="s">
        <v>1647</v>
      </c>
      <c r="L554" s="101" t="s">
        <v>1590</v>
      </c>
      <c r="M554" s="101" t="s">
        <v>1648</v>
      </c>
      <c r="N554" s="189">
        <v>12430</v>
      </c>
      <c r="O554" s="101" t="s">
        <v>568</v>
      </c>
      <c r="P554" s="101" t="s">
        <v>569</v>
      </c>
      <c r="Q554" s="101" t="s">
        <v>570</v>
      </c>
      <c r="R554" s="101" t="s">
        <v>571</v>
      </c>
      <c r="S554" s="101" t="s">
        <v>572</v>
      </c>
      <c r="T554" s="101" t="s">
        <v>573</v>
      </c>
      <c r="U554" s="101"/>
      <c r="V554" s="101"/>
      <c r="W554" s="101"/>
      <c r="X554" s="101" t="s">
        <v>575</v>
      </c>
      <c r="Y554" s="101"/>
      <c r="Z554" s="101" t="s">
        <v>576</v>
      </c>
      <c r="AA554" s="101" t="s">
        <v>577</v>
      </c>
      <c r="AB554" s="101" t="s">
        <v>578</v>
      </c>
      <c r="AC554" s="101" t="s">
        <v>579</v>
      </c>
      <c r="AD554" s="101" t="s">
        <v>580</v>
      </c>
      <c r="AE554" s="101" t="s">
        <v>581</v>
      </c>
      <c r="AF554" s="101" t="s">
        <v>582</v>
      </c>
      <c r="AG554" s="101" t="s">
        <v>583</v>
      </c>
      <c r="AH554" s="101" t="s">
        <v>584</v>
      </c>
      <c r="AI554" s="101" t="s">
        <v>585</v>
      </c>
    </row>
    <row r="555" spans="10:35" x14ac:dyDescent="0.2">
      <c r="J555" s="101" t="s">
        <v>30</v>
      </c>
      <c r="K555" s="101" t="s">
        <v>1649</v>
      </c>
      <c r="L555" s="101" t="s">
        <v>1603</v>
      </c>
      <c r="M555" s="101" t="s">
        <v>1650</v>
      </c>
      <c r="N555" s="189">
        <v>12360</v>
      </c>
      <c r="O555" s="101" t="s">
        <v>568</v>
      </c>
      <c r="P555" s="101" t="s">
        <v>569</v>
      </c>
      <c r="Q555" s="101" t="s">
        <v>570</v>
      </c>
      <c r="R555" s="101" t="s">
        <v>571</v>
      </c>
      <c r="S555" s="101" t="s">
        <v>572</v>
      </c>
      <c r="T555" s="101" t="s">
        <v>573</v>
      </c>
      <c r="U555" s="101"/>
      <c r="V555" s="101"/>
      <c r="W555" s="101" t="s">
        <v>574</v>
      </c>
      <c r="X555" s="101" t="s">
        <v>575</v>
      </c>
      <c r="Y555" s="101"/>
      <c r="Z555" s="101" t="s">
        <v>576</v>
      </c>
      <c r="AA555" s="101" t="s">
        <v>577</v>
      </c>
      <c r="AB555" s="101" t="s">
        <v>578</v>
      </c>
      <c r="AC555" s="101"/>
      <c r="AD555" s="101"/>
      <c r="AE555" s="101"/>
      <c r="AF555" s="101"/>
      <c r="AG555" s="101"/>
      <c r="AH555" s="101"/>
      <c r="AI555" s="101"/>
    </row>
    <row r="556" spans="10:35" x14ac:dyDescent="0.2">
      <c r="J556" s="101" t="s">
        <v>30</v>
      </c>
      <c r="K556" s="101" t="s">
        <v>1651</v>
      </c>
      <c r="L556" s="101" t="s">
        <v>1603</v>
      </c>
      <c r="M556" s="101" t="s">
        <v>1652</v>
      </c>
      <c r="N556" s="189">
        <v>12200</v>
      </c>
      <c r="O556" s="101" t="s">
        <v>568</v>
      </c>
      <c r="P556" s="101" t="s">
        <v>569</v>
      </c>
      <c r="Q556" s="101" t="s">
        <v>570</v>
      </c>
      <c r="R556" s="101" t="s">
        <v>571</v>
      </c>
      <c r="S556" s="101" t="s">
        <v>572</v>
      </c>
      <c r="T556" s="101" t="s">
        <v>573</v>
      </c>
      <c r="U556" s="101"/>
      <c r="V556" s="101"/>
      <c r="W556" s="101"/>
      <c r="X556" s="101" t="s">
        <v>575</v>
      </c>
      <c r="Y556" s="101"/>
      <c r="Z556" s="101" t="s">
        <v>576</v>
      </c>
      <c r="AA556" s="101" t="s">
        <v>577</v>
      </c>
      <c r="AB556" s="101" t="s">
        <v>578</v>
      </c>
      <c r="AC556" s="101" t="s">
        <v>579</v>
      </c>
      <c r="AD556" s="101" t="s">
        <v>580</v>
      </c>
      <c r="AE556" s="101" t="s">
        <v>581</v>
      </c>
      <c r="AF556" s="101" t="s">
        <v>582</v>
      </c>
      <c r="AG556" s="101" t="s">
        <v>583</v>
      </c>
      <c r="AH556" s="101" t="s">
        <v>584</v>
      </c>
      <c r="AI556" s="101" t="s">
        <v>585</v>
      </c>
    </row>
    <row r="557" spans="10:35" x14ac:dyDescent="0.2">
      <c r="J557" s="101" t="s">
        <v>30</v>
      </c>
      <c r="K557" s="101" t="s">
        <v>1653</v>
      </c>
      <c r="L557" s="101" t="s">
        <v>1379</v>
      </c>
      <c r="M557" s="101" t="s">
        <v>1654</v>
      </c>
      <c r="N557" s="189">
        <v>12460</v>
      </c>
      <c r="O557" s="101" t="s">
        <v>568</v>
      </c>
      <c r="P557" s="101" t="s">
        <v>569</v>
      </c>
      <c r="Q557" s="101" t="s">
        <v>570</v>
      </c>
      <c r="R557" s="101" t="s">
        <v>571</v>
      </c>
      <c r="S557" s="101" t="s">
        <v>572</v>
      </c>
      <c r="T557" s="101" t="s">
        <v>573</v>
      </c>
      <c r="U557" s="101"/>
      <c r="V557" s="101"/>
      <c r="W557" s="101"/>
      <c r="X557" s="101" t="s">
        <v>575</v>
      </c>
      <c r="Y557" s="101"/>
      <c r="Z557" s="101" t="s">
        <v>576</v>
      </c>
      <c r="AA557" s="101" t="s">
        <v>577</v>
      </c>
      <c r="AB557" s="101" t="s">
        <v>578</v>
      </c>
      <c r="AC557" s="101" t="s">
        <v>579</v>
      </c>
      <c r="AD557" s="101" t="s">
        <v>580</v>
      </c>
      <c r="AE557" s="101" t="s">
        <v>581</v>
      </c>
      <c r="AF557" s="101" t="s">
        <v>582</v>
      </c>
      <c r="AG557" s="101"/>
      <c r="AH557" s="101"/>
      <c r="AI557" s="101"/>
    </row>
    <row r="558" spans="10:35" x14ac:dyDescent="0.2">
      <c r="J558" s="101" t="s">
        <v>30</v>
      </c>
      <c r="K558" s="101" t="s">
        <v>1655</v>
      </c>
      <c r="L558" s="101" t="s">
        <v>1379</v>
      </c>
      <c r="M558" s="101" t="s">
        <v>1656</v>
      </c>
      <c r="N558" s="189">
        <v>12410</v>
      </c>
      <c r="O558" s="101" t="s">
        <v>568</v>
      </c>
      <c r="P558" s="101" t="s">
        <v>569</v>
      </c>
      <c r="Q558" s="101" t="s">
        <v>570</v>
      </c>
      <c r="R558" s="101" t="s">
        <v>571</v>
      </c>
      <c r="S558" s="101" t="s">
        <v>572</v>
      </c>
      <c r="T558" s="101" t="s">
        <v>573</v>
      </c>
      <c r="U558" s="101"/>
      <c r="V558" s="101"/>
      <c r="W558" s="101"/>
      <c r="X558" s="101" t="s">
        <v>575</v>
      </c>
      <c r="Y558" s="101"/>
      <c r="Z558" s="101" t="s">
        <v>576</v>
      </c>
      <c r="AA558" s="101" t="s">
        <v>577</v>
      </c>
      <c r="AB558" s="101" t="s">
        <v>578</v>
      </c>
      <c r="AC558" s="101" t="s">
        <v>579</v>
      </c>
      <c r="AD558" s="101" t="s">
        <v>580</v>
      </c>
      <c r="AE558" s="101" t="s">
        <v>581</v>
      </c>
      <c r="AF558" s="101" t="s">
        <v>582</v>
      </c>
      <c r="AG558" s="101" t="s">
        <v>583</v>
      </c>
      <c r="AH558" s="101" t="s">
        <v>584</v>
      </c>
      <c r="AI558" s="101" t="s">
        <v>585</v>
      </c>
    </row>
    <row r="559" spans="10:35" x14ac:dyDescent="0.2">
      <c r="J559" s="101" t="s">
        <v>30</v>
      </c>
      <c r="K559" s="101" t="s">
        <v>1657</v>
      </c>
      <c r="L559" s="101" t="s">
        <v>1658</v>
      </c>
      <c r="M559" s="101" t="s">
        <v>1659</v>
      </c>
      <c r="N559" s="189">
        <v>12480</v>
      </c>
      <c r="O559" s="101" t="s">
        <v>568</v>
      </c>
      <c r="P559" s="101" t="s">
        <v>569</v>
      </c>
      <c r="Q559" s="101" t="s">
        <v>570</v>
      </c>
      <c r="R559" s="101" t="s">
        <v>571</v>
      </c>
      <c r="S559" s="101" t="s">
        <v>572</v>
      </c>
      <c r="T559" s="101" t="s">
        <v>573</v>
      </c>
      <c r="U559" s="101"/>
      <c r="V559" s="101"/>
      <c r="W559" s="101" t="s">
        <v>574</v>
      </c>
      <c r="X559" s="101" t="s">
        <v>575</v>
      </c>
      <c r="Y559" s="101"/>
      <c r="Z559" s="101" t="s">
        <v>576</v>
      </c>
      <c r="AA559" s="101"/>
      <c r="AB559" s="101"/>
      <c r="AC559" s="101"/>
      <c r="AD559" s="101"/>
      <c r="AE559" s="101"/>
      <c r="AF559" s="101"/>
      <c r="AG559" s="101"/>
      <c r="AH559" s="101"/>
      <c r="AI559" s="101"/>
    </row>
    <row r="560" spans="10:35" x14ac:dyDescent="0.2">
      <c r="J560" s="101" t="s">
        <v>30</v>
      </c>
      <c r="K560" s="101" t="s">
        <v>1660</v>
      </c>
      <c r="L560" s="101" t="s">
        <v>1379</v>
      </c>
      <c r="M560" s="101" t="s">
        <v>1661</v>
      </c>
      <c r="N560" s="189">
        <v>12420</v>
      </c>
      <c r="O560" s="101" t="s">
        <v>568</v>
      </c>
      <c r="P560" s="101" t="s">
        <v>569</v>
      </c>
      <c r="Q560" s="101" t="s">
        <v>570</v>
      </c>
      <c r="R560" s="101" t="s">
        <v>571</v>
      </c>
      <c r="S560" s="101" t="s">
        <v>572</v>
      </c>
      <c r="T560" s="101" t="s">
        <v>573</v>
      </c>
      <c r="U560" s="101"/>
      <c r="V560" s="101"/>
      <c r="W560" s="101" t="s">
        <v>574</v>
      </c>
      <c r="X560" s="101" t="s">
        <v>575</v>
      </c>
      <c r="Y560" s="101"/>
      <c r="Z560" s="101" t="s">
        <v>576</v>
      </c>
      <c r="AA560" s="101" t="s">
        <v>577</v>
      </c>
      <c r="AB560" s="101" t="s">
        <v>578</v>
      </c>
      <c r="AC560" s="101" t="s">
        <v>579</v>
      </c>
      <c r="AD560" s="101" t="s">
        <v>580</v>
      </c>
      <c r="AE560" s="101" t="s">
        <v>581</v>
      </c>
      <c r="AF560" s="101" t="s">
        <v>582</v>
      </c>
      <c r="AG560" s="101" t="s">
        <v>583</v>
      </c>
      <c r="AH560" s="101" t="s">
        <v>584</v>
      </c>
      <c r="AI560" s="101" t="s">
        <v>585</v>
      </c>
    </row>
    <row r="561" spans="10:35" x14ac:dyDescent="0.2">
      <c r="J561" s="101" t="s">
        <v>30</v>
      </c>
      <c r="K561" s="101" t="s">
        <v>1662</v>
      </c>
      <c r="L561" s="101" t="s">
        <v>1379</v>
      </c>
      <c r="M561" s="101" t="s">
        <v>1663</v>
      </c>
      <c r="N561" s="189">
        <v>12470</v>
      </c>
      <c r="O561" s="101" t="s">
        <v>568</v>
      </c>
      <c r="P561" s="101" t="s">
        <v>569</v>
      </c>
      <c r="Q561" s="101" t="s">
        <v>570</v>
      </c>
      <c r="R561" s="101" t="s">
        <v>571</v>
      </c>
      <c r="S561" s="101" t="s">
        <v>572</v>
      </c>
      <c r="T561" s="101" t="s">
        <v>573</v>
      </c>
      <c r="U561" s="101"/>
      <c r="V561" s="101"/>
      <c r="W561" s="101"/>
      <c r="X561" s="101" t="s">
        <v>575</v>
      </c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</row>
    <row r="562" spans="10:35" x14ac:dyDescent="0.2">
      <c r="J562" s="101" t="s">
        <v>30</v>
      </c>
      <c r="K562" s="101" t="s">
        <v>1664</v>
      </c>
      <c r="L562" s="101" t="s">
        <v>1379</v>
      </c>
      <c r="M562" s="101" t="s">
        <v>1665</v>
      </c>
      <c r="N562" s="189">
        <v>11770</v>
      </c>
      <c r="O562" s="101" t="s">
        <v>568</v>
      </c>
      <c r="P562" s="101" t="s">
        <v>569</v>
      </c>
      <c r="Q562" s="101" t="s">
        <v>570</v>
      </c>
      <c r="R562" s="101" t="s">
        <v>571</v>
      </c>
      <c r="S562" s="101" t="s">
        <v>572</v>
      </c>
      <c r="T562" s="101" t="s">
        <v>573</v>
      </c>
      <c r="U562" s="101"/>
      <c r="V562" s="101"/>
      <c r="W562" s="101"/>
      <c r="X562" s="101" t="s">
        <v>575</v>
      </c>
      <c r="Y562" s="101"/>
      <c r="Z562" s="101" t="s">
        <v>576</v>
      </c>
      <c r="AA562" s="101" t="s">
        <v>577</v>
      </c>
      <c r="AB562" s="101" t="s">
        <v>578</v>
      </c>
      <c r="AC562" s="101" t="s">
        <v>579</v>
      </c>
      <c r="AD562" s="101" t="s">
        <v>580</v>
      </c>
      <c r="AE562" s="101" t="s">
        <v>581</v>
      </c>
      <c r="AF562" s="101" t="s">
        <v>582</v>
      </c>
      <c r="AG562" s="101" t="s">
        <v>583</v>
      </c>
      <c r="AH562" s="101" t="s">
        <v>584</v>
      </c>
      <c r="AI562" s="101" t="s">
        <v>585</v>
      </c>
    </row>
    <row r="563" spans="10:35" x14ac:dyDescent="0.2">
      <c r="J563" s="101" t="s">
        <v>30</v>
      </c>
      <c r="K563" s="101" t="s">
        <v>1666</v>
      </c>
      <c r="L563" s="101" t="s">
        <v>1379</v>
      </c>
      <c r="M563" s="101" t="s">
        <v>1667</v>
      </c>
      <c r="N563" s="189">
        <v>12390</v>
      </c>
      <c r="O563" s="101" t="s">
        <v>568</v>
      </c>
      <c r="P563" s="101" t="s">
        <v>569</v>
      </c>
      <c r="Q563" s="101" t="s">
        <v>570</v>
      </c>
      <c r="R563" s="101" t="s">
        <v>571</v>
      </c>
      <c r="S563" s="101" t="s">
        <v>572</v>
      </c>
      <c r="T563" s="101" t="s">
        <v>573</v>
      </c>
      <c r="U563" s="101"/>
      <c r="V563" s="101"/>
      <c r="W563" s="101"/>
      <c r="X563" s="101" t="s">
        <v>575</v>
      </c>
      <c r="Y563" s="101"/>
      <c r="Z563" s="101" t="s">
        <v>576</v>
      </c>
      <c r="AA563" s="101" t="s">
        <v>577</v>
      </c>
      <c r="AB563" s="101" t="s">
        <v>578</v>
      </c>
      <c r="AC563" s="101" t="s">
        <v>579</v>
      </c>
      <c r="AD563" s="101" t="s">
        <v>580</v>
      </c>
      <c r="AE563" s="101" t="s">
        <v>581</v>
      </c>
      <c r="AF563" s="101" t="s">
        <v>582</v>
      </c>
      <c r="AG563" s="101" t="s">
        <v>583</v>
      </c>
      <c r="AH563" s="101" t="s">
        <v>584</v>
      </c>
      <c r="AI563" s="101" t="s">
        <v>585</v>
      </c>
    </row>
    <row r="564" spans="10:35" x14ac:dyDescent="0.2">
      <c r="J564" s="101" t="s">
        <v>30</v>
      </c>
      <c r="K564" s="101" t="s">
        <v>1668</v>
      </c>
      <c r="L564" s="101" t="s">
        <v>1379</v>
      </c>
      <c r="M564" s="101" t="s">
        <v>1669</v>
      </c>
      <c r="N564" s="189">
        <v>12420</v>
      </c>
      <c r="O564" s="101" t="s">
        <v>568</v>
      </c>
      <c r="P564" s="101" t="s">
        <v>569</v>
      </c>
      <c r="Q564" s="101" t="s">
        <v>570</v>
      </c>
      <c r="R564" s="101" t="s">
        <v>571</v>
      </c>
      <c r="S564" s="101" t="s">
        <v>572</v>
      </c>
      <c r="T564" s="101" t="s">
        <v>573</v>
      </c>
      <c r="U564" s="101"/>
      <c r="V564" s="101"/>
      <c r="W564" s="101" t="s">
        <v>574</v>
      </c>
      <c r="X564" s="101" t="s">
        <v>575</v>
      </c>
      <c r="Y564" s="101"/>
      <c r="Z564" s="101" t="s">
        <v>576</v>
      </c>
      <c r="AA564" s="101" t="s">
        <v>577</v>
      </c>
      <c r="AB564" s="101" t="s">
        <v>578</v>
      </c>
      <c r="AC564" s="101" t="s">
        <v>579</v>
      </c>
      <c r="AD564" s="101" t="s">
        <v>580</v>
      </c>
      <c r="AE564" s="101" t="s">
        <v>581</v>
      </c>
      <c r="AF564" s="101" t="s">
        <v>582</v>
      </c>
      <c r="AG564" s="101" t="s">
        <v>583</v>
      </c>
      <c r="AH564" s="101" t="s">
        <v>584</v>
      </c>
      <c r="AI564" s="101" t="s">
        <v>585</v>
      </c>
    </row>
    <row r="565" spans="10:35" x14ac:dyDescent="0.2">
      <c r="J565" s="101" t="s">
        <v>30</v>
      </c>
      <c r="K565" s="101" t="s">
        <v>1670</v>
      </c>
      <c r="L565" s="101" t="s">
        <v>1658</v>
      </c>
      <c r="M565" s="101" t="s">
        <v>1671</v>
      </c>
      <c r="N565" s="189">
        <v>11990</v>
      </c>
      <c r="O565" s="101" t="s">
        <v>568</v>
      </c>
      <c r="P565" s="101" t="s">
        <v>569</v>
      </c>
      <c r="Q565" s="101" t="s">
        <v>570</v>
      </c>
      <c r="R565" s="101" t="s">
        <v>571</v>
      </c>
      <c r="S565" s="101" t="s">
        <v>572</v>
      </c>
      <c r="T565" s="101" t="s">
        <v>573</v>
      </c>
      <c r="U565" s="101"/>
      <c r="V565" s="101"/>
      <c r="W565" s="101"/>
      <c r="X565" s="101" t="s">
        <v>575</v>
      </c>
      <c r="Y565" s="101"/>
      <c r="Z565" s="101" t="s">
        <v>576</v>
      </c>
      <c r="AA565" s="101" t="s">
        <v>577</v>
      </c>
      <c r="AB565" s="101" t="s">
        <v>578</v>
      </c>
      <c r="AC565" s="101" t="s">
        <v>579</v>
      </c>
      <c r="AD565" s="101" t="s">
        <v>580</v>
      </c>
      <c r="AE565" s="101" t="s">
        <v>581</v>
      </c>
      <c r="AF565" s="101" t="s">
        <v>582</v>
      </c>
      <c r="AG565" s="101"/>
      <c r="AH565" s="101"/>
      <c r="AI565" s="101"/>
    </row>
    <row r="566" spans="10:35" x14ac:dyDescent="0.2">
      <c r="J566" s="101" t="s">
        <v>30</v>
      </c>
      <c r="K566" s="101" t="s">
        <v>1672</v>
      </c>
      <c r="L566" s="101" t="s">
        <v>1379</v>
      </c>
      <c r="M566" s="101" t="s">
        <v>1673</v>
      </c>
      <c r="N566" s="189">
        <v>12120</v>
      </c>
      <c r="O566" s="101" t="s">
        <v>568</v>
      </c>
      <c r="P566" s="101" t="s">
        <v>569</v>
      </c>
      <c r="Q566" s="101" t="s">
        <v>570</v>
      </c>
      <c r="R566" s="101" t="s">
        <v>571</v>
      </c>
      <c r="S566" s="101" t="s">
        <v>572</v>
      </c>
      <c r="T566" s="101" t="s">
        <v>573</v>
      </c>
      <c r="U566" s="101"/>
      <c r="V566" s="101"/>
      <c r="W566" s="101"/>
      <c r="X566" s="101" t="s">
        <v>575</v>
      </c>
      <c r="Y566" s="101"/>
      <c r="Z566" s="101" t="s">
        <v>576</v>
      </c>
      <c r="AA566" s="101" t="s">
        <v>577</v>
      </c>
      <c r="AB566" s="101" t="s">
        <v>578</v>
      </c>
      <c r="AC566" s="101" t="s">
        <v>579</v>
      </c>
      <c r="AD566" s="101" t="s">
        <v>580</v>
      </c>
      <c r="AE566" s="101" t="s">
        <v>581</v>
      </c>
      <c r="AF566" s="101" t="s">
        <v>582</v>
      </c>
      <c r="AG566" s="101"/>
      <c r="AH566" s="101"/>
      <c r="AI566" s="101"/>
    </row>
    <row r="567" spans="10:35" x14ac:dyDescent="0.2">
      <c r="J567" s="101" t="s">
        <v>30</v>
      </c>
      <c r="K567" s="101" t="s">
        <v>1674</v>
      </c>
      <c r="L567" s="101" t="s">
        <v>1658</v>
      </c>
      <c r="M567" s="101" t="s">
        <v>1675</v>
      </c>
      <c r="N567" s="189">
        <v>12080</v>
      </c>
      <c r="O567" s="101" t="s">
        <v>568</v>
      </c>
      <c r="P567" s="101" t="s">
        <v>569</v>
      </c>
      <c r="Q567" s="101" t="s">
        <v>570</v>
      </c>
      <c r="R567" s="101" t="s">
        <v>571</v>
      </c>
      <c r="S567" s="101" t="s">
        <v>572</v>
      </c>
      <c r="T567" s="101" t="s">
        <v>573</v>
      </c>
      <c r="U567" s="101"/>
      <c r="V567" s="101"/>
      <c r="W567" s="101"/>
      <c r="X567" s="101" t="s">
        <v>575</v>
      </c>
      <c r="Y567" s="101"/>
      <c r="Z567" s="101" t="s">
        <v>576</v>
      </c>
      <c r="AA567" s="101" t="s">
        <v>577</v>
      </c>
      <c r="AB567" s="101" t="s">
        <v>578</v>
      </c>
      <c r="AC567" s="101" t="s">
        <v>579</v>
      </c>
      <c r="AD567" s="101" t="s">
        <v>580</v>
      </c>
      <c r="AE567" s="101" t="s">
        <v>581</v>
      </c>
      <c r="AF567" s="101" t="s">
        <v>582</v>
      </c>
      <c r="AG567" s="101" t="s">
        <v>583</v>
      </c>
      <c r="AH567" s="101" t="s">
        <v>584</v>
      </c>
      <c r="AI567" s="101" t="s">
        <v>585</v>
      </c>
    </row>
    <row r="568" spans="10:35" x14ac:dyDescent="0.2">
      <c r="J568" s="101" t="s">
        <v>30</v>
      </c>
      <c r="K568" s="101" t="s">
        <v>1676</v>
      </c>
      <c r="L568" s="101" t="s">
        <v>1658</v>
      </c>
      <c r="M568" s="101" t="s">
        <v>1677</v>
      </c>
      <c r="N568" s="189">
        <v>12010</v>
      </c>
      <c r="O568" s="101" t="s">
        <v>568</v>
      </c>
      <c r="P568" s="101" t="s">
        <v>569</v>
      </c>
      <c r="Q568" s="101" t="s">
        <v>570</v>
      </c>
      <c r="R568" s="101" t="s">
        <v>571</v>
      </c>
      <c r="S568" s="101" t="s">
        <v>572</v>
      </c>
      <c r="T568" s="101" t="s">
        <v>573</v>
      </c>
      <c r="U568" s="101"/>
      <c r="V568" s="101"/>
      <c r="W568" s="101"/>
      <c r="X568" s="101" t="s">
        <v>575</v>
      </c>
      <c r="Y568" s="101"/>
      <c r="Z568" s="101" t="s">
        <v>576</v>
      </c>
      <c r="AA568" s="101" t="s">
        <v>577</v>
      </c>
      <c r="AB568" s="101" t="s">
        <v>578</v>
      </c>
      <c r="AC568" s="101" t="s">
        <v>579</v>
      </c>
      <c r="AD568" s="101" t="s">
        <v>580</v>
      </c>
      <c r="AE568" s="101" t="s">
        <v>581</v>
      </c>
      <c r="AF568" s="101" t="s">
        <v>582</v>
      </c>
      <c r="AG568" s="101"/>
      <c r="AH568" s="101"/>
      <c r="AI568" s="101"/>
    </row>
    <row r="569" spans="10:35" x14ac:dyDescent="0.2">
      <c r="J569" s="101" t="s">
        <v>30</v>
      </c>
      <c r="K569" s="101" t="s">
        <v>1678</v>
      </c>
      <c r="L569" s="101" t="s">
        <v>1658</v>
      </c>
      <c r="M569" s="101" t="s">
        <v>1679</v>
      </c>
      <c r="N569" s="189">
        <v>12430</v>
      </c>
      <c r="O569" s="101" t="s">
        <v>568</v>
      </c>
      <c r="P569" s="101" t="s">
        <v>569</v>
      </c>
      <c r="Q569" s="101" t="s">
        <v>570</v>
      </c>
      <c r="R569" s="101" t="s">
        <v>571</v>
      </c>
      <c r="S569" s="101" t="s">
        <v>572</v>
      </c>
      <c r="T569" s="101" t="s">
        <v>573</v>
      </c>
      <c r="U569" s="101"/>
      <c r="V569" s="101"/>
      <c r="W569" s="101"/>
      <c r="X569" s="101" t="s">
        <v>575</v>
      </c>
      <c r="Y569" s="101"/>
      <c r="Z569" s="101" t="s">
        <v>576</v>
      </c>
      <c r="AA569" s="101" t="s">
        <v>577</v>
      </c>
      <c r="AB569" s="101" t="s">
        <v>578</v>
      </c>
      <c r="AC569" s="101" t="s">
        <v>579</v>
      </c>
      <c r="AD569" s="101" t="s">
        <v>580</v>
      </c>
      <c r="AE569" s="101" t="s">
        <v>581</v>
      </c>
      <c r="AF569" s="101" t="s">
        <v>582</v>
      </c>
      <c r="AG569" s="101" t="s">
        <v>583</v>
      </c>
      <c r="AH569" s="101" t="s">
        <v>584</v>
      </c>
      <c r="AI569" s="101" t="s">
        <v>585</v>
      </c>
    </row>
    <row r="570" spans="10:35" x14ac:dyDescent="0.2">
      <c r="J570" s="101" t="s">
        <v>30</v>
      </c>
      <c r="K570" s="101" t="s">
        <v>1680</v>
      </c>
      <c r="L570" s="101" t="s">
        <v>1658</v>
      </c>
      <c r="M570" s="101" t="s">
        <v>1681</v>
      </c>
      <c r="N570" s="189">
        <v>12420</v>
      </c>
      <c r="O570" s="101" t="s">
        <v>568</v>
      </c>
      <c r="P570" s="101" t="s">
        <v>569</v>
      </c>
      <c r="Q570" s="101" t="s">
        <v>570</v>
      </c>
      <c r="R570" s="101" t="s">
        <v>571</v>
      </c>
      <c r="S570" s="101" t="s">
        <v>572</v>
      </c>
      <c r="T570" s="101" t="s">
        <v>573</v>
      </c>
      <c r="U570" s="101"/>
      <c r="V570" s="101"/>
      <c r="W570" s="101"/>
      <c r="X570" s="101" t="s">
        <v>575</v>
      </c>
      <c r="Y570" s="101"/>
      <c r="Z570" s="101" t="s">
        <v>576</v>
      </c>
      <c r="AA570" s="101" t="s">
        <v>577</v>
      </c>
      <c r="AB570" s="101" t="s">
        <v>578</v>
      </c>
      <c r="AC570" s="101" t="s">
        <v>579</v>
      </c>
      <c r="AD570" s="101" t="s">
        <v>580</v>
      </c>
      <c r="AE570" s="101" t="s">
        <v>581</v>
      </c>
      <c r="AF570" s="101" t="s">
        <v>582</v>
      </c>
      <c r="AG570" s="101" t="s">
        <v>583</v>
      </c>
      <c r="AH570" s="101" t="s">
        <v>584</v>
      </c>
      <c r="AI570" s="101" t="s">
        <v>585</v>
      </c>
    </row>
    <row r="571" spans="10:35" x14ac:dyDescent="0.2">
      <c r="J571" s="101" t="s">
        <v>30</v>
      </c>
      <c r="K571" s="101" t="s">
        <v>1682</v>
      </c>
      <c r="L571" s="101" t="s">
        <v>1658</v>
      </c>
      <c r="M571" s="101" t="s">
        <v>1683</v>
      </c>
      <c r="N571" s="189">
        <v>12450</v>
      </c>
      <c r="O571" s="101" t="s">
        <v>568</v>
      </c>
      <c r="P571" s="101" t="s">
        <v>569</v>
      </c>
      <c r="Q571" s="101" t="s">
        <v>570</v>
      </c>
      <c r="R571" s="101" t="s">
        <v>571</v>
      </c>
      <c r="S571" s="101" t="s">
        <v>572</v>
      </c>
      <c r="T571" s="101" t="s">
        <v>573</v>
      </c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</row>
    <row r="572" spans="10:35" x14ac:dyDescent="0.2">
      <c r="J572" s="101" t="s">
        <v>30</v>
      </c>
      <c r="K572" s="101" t="s">
        <v>1684</v>
      </c>
      <c r="L572" s="101" t="s">
        <v>1493</v>
      </c>
      <c r="M572" s="101" t="s">
        <v>1685</v>
      </c>
      <c r="N572" s="189">
        <v>12460</v>
      </c>
      <c r="O572" s="101" t="s">
        <v>568</v>
      </c>
      <c r="P572" s="101" t="s">
        <v>569</v>
      </c>
      <c r="Q572" s="101" t="s">
        <v>570</v>
      </c>
      <c r="R572" s="101" t="s">
        <v>571</v>
      </c>
      <c r="S572" s="101" t="s">
        <v>572</v>
      </c>
      <c r="T572" s="101" t="s">
        <v>573</v>
      </c>
      <c r="U572" s="101"/>
      <c r="V572" s="101"/>
      <c r="W572" s="101"/>
      <c r="X572" s="101" t="s">
        <v>575</v>
      </c>
      <c r="Y572" s="101"/>
      <c r="Z572" s="101" t="s">
        <v>576</v>
      </c>
      <c r="AA572" s="101" t="s">
        <v>577</v>
      </c>
      <c r="AB572" s="101" t="s">
        <v>578</v>
      </c>
      <c r="AC572" s="101" t="s">
        <v>579</v>
      </c>
      <c r="AD572" s="101" t="s">
        <v>580</v>
      </c>
      <c r="AE572" s="101" t="s">
        <v>581</v>
      </c>
      <c r="AF572" s="101" t="s">
        <v>582</v>
      </c>
      <c r="AG572" s="101"/>
      <c r="AH572" s="101"/>
      <c r="AI572" s="101"/>
    </row>
    <row r="573" spans="10:35" x14ac:dyDescent="0.2">
      <c r="J573" s="101" t="s">
        <v>30</v>
      </c>
      <c r="K573" s="101" t="s">
        <v>1686</v>
      </c>
      <c r="L573" s="101" t="s">
        <v>1379</v>
      </c>
      <c r="M573" s="101" t="s">
        <v>1687</v>
      </c>
      <c r="N573" s="189">
        <v>12430</v>
      </c>
      <c r="O573" s="101" t="s">
        <v>568</v>
      </c>
      <c r="P573" s="101" t="s">
        <v>569</v>
      </c>
      <c r="Q573" s="101" t="s">
        <v>570</v>
      </c>
      <c r="R573" s="101" t="s">
        <v>571</v>
      </c>
      <c r="S573" s="101" t="s">
        <v>572</v>
      </c>
      <c r="T573" s="101" t="s">
        <v>573</v>
      </c>
      <c r="U573" s="101"/>
      <c r="V573" s="101"/>
      <c r="W573" s="101"/>
      <c r="X573" s="101" t="s">
        <v>575</v>
      </c>
      <c r="Y573" s="101"/>
      <c r="Z573" s="101" t="s">
        <v>576</v>
      </c>
      <c r="AA573" s="101" t="s">
        <v>577</v>
      </c>
      <c r="AB573" s="101" t="s">
        <v>578</v>
      </c>
      <c r="AC573" s="101" t="s">
        <v>579</v>
      </c>
      <c r="AD573" s="101" t="s">
        <v>580</v>
      </c>
      <c r="AE573" s="101" t="s">
        <v>581</v>
      </c>
      <c r="AF573" s="101" t="s">
        <v>582</v>
      </c>
      <c r="AG573" s="101" t="s">
        <v>583</v>
      </c>
      <c r="AH573" s="101" t="s">
        <v>584</v>
      </c>
      <c r="AI573" s="101" t="s">
        <v>585</v>
      </c>
    </row>
    <row r="574" spans="10:35" x14ac:dyDescent="0.2">
      <c r="J574" s="101" t="s">
        <v>30</v>
      </c>
      <c r="K574" s="101" t="s">
        <v>1688</v>
      </c>
      <c r="L574" s="101" t="s">
        <v>1379</v>
      </c>
      <c r="M574" s="101" t="s">
        <v>1689</v>
      </c>
      <c r="N574" s="189">
        <v>12420</v>
      </c>
      <c r="O574" s="101" t="s">
        <v>568</v>
      </c>
      <c r="P574" s="101" t="s">
        <v>569</v>
      </c>
      <c r="Q574" s="101" t="s">
        <v>570</v>
      </c>
      <c r="R574" s="101" t="s">
        <v>571</v>
      </c>
      <c r="S574" s="101" t="s">
        <v>572</v>
      </c>
      <c r="T574" s="101" t="s">
        <v>573</v>
      </c>
      <c r="U574" s="101"/>
      <c r="V574" s="101"/>
      <c r="W574" s="101"/>
      <c r="X574" s="101" t="s">
        <v>575</v>
      </c>
      <c r="Y574" s="101"/>
      <c r="Z574" s="101" t="s">
        <v>576</v>
      </c>
      <c r="AA574" s="101" t="s">
        <v>577</v>
      </c>
      <c r="AB574" s="101" t="s">
        <v>578</v>
      </c>
      <c r="AC574" s="101" t="s">
        <v>579</v>
      </c>
      <c r="AD574" s="101" t="s">
        <v>580</v>
      </c>
      <c r="AE574" s="101" t="s">
        <v>581</v>
      </c>
      <c r="AF574" s="101" t="s">
        <v>582</v>
      </c>
      <c r="AG574" s="101" t="s">
        <v>583</v>
      </c>
      <c r="AH574" s="101" t="s">
        <v>584</v>
      </c>
      <c r="AI574" s="101" t="s">
        <v>585</v>
      </c>
    </row>
    <row r="575" spans="10:35" x14ac:dyDescent="0.2">
      <c r="J575" s="101" t="s">
        <v>30</v>
      </c>
      <c r="K575" s="101" t="s">
        <v>1690</v>
      </c>
      <c r="L575" s="101" t="s">
        <v>1379</v>
      </c>
      <c r="M575" s="101" t="s">
        <v>1691</v>
      </c>
      <c r="N575" s="189">
        <v>12420</v>
      </c>
      <c r="O575" s="101" t="s">
        <v>568</v>
      </c>
      <c r="P575" s="101" t="s">
        <v>569</v>
      </c>
      <c r="Q575" s="101" t="s">
        <v>570</v>
      </c>
      <c r="R575" s="101" t="s">
        <v>571</v>
      </c>
      <c r="S575" s="101" t="s">
        <v>572</v>
      </c>
      <c r="T575" s="101" t="s">
        <v>573</v>
      </c>
      <c r="U575" s="101"/>
      <c r="V575" s="101"/>
      <c r="W575" s="101"/>
      <c r="X575" s="101" t="s">
        <v>575</v>
      </c>
      <c r="Y575" s="101"/>
      <c r="Z575" s="101" t="s">
        <v>576</v>
      </c>
      <c r="AA575" s="101" t="s">
        <v>577</v>
      </c>
      <c r="AB575" s="101" t="s">
        <v>578</v>
      </c>
      <c r="AC575" s="101" t="s">
        <v>579</v>
      </c>
      <c r="AD575" s="101" t="s">
        <v>580</v>
      </c>
      <c r="AE575" s="101" t="s">
        <v>581</v>
      </c>
      <c r="AF575" s="101" t="s">
        <v>582</v>
      </c>
      <c r="AG575" s="101" t="s">
        <v>583</v>
      </c>
      <c r="AH575" s="101" t="s">
        <v>584</v>
      </c>
      <c r="AI575" s="101" t="s">
        <v>585</v>
      </c>
    </row>
    <row r="576" spans="10:35" x14ac:dyDescent="0.2">
      <c r="J576" s="101" t="s">
        <v>30</v>
      </c>
      <c r="K576" s="101" t="s">
        <v>1692</v>
      </c>
      <c r="L576" s="101" t="s">
        <v>1379</v>
      </c>
      <c r="M576" s="101" t="s">
        <v>1693</v>
      </c>
      <c r="N576" s="189">
        <v>12410</v>
      </c>
      <c r="O576" s="101" t="s">
        <v>568</v>
      </c>
      <c r="P576" s="101" t="s">
        <v>569</v>
      </c>
      <c r="Q576" s="101" t="s">
        <v>570</v>
      </c>
      <c r="R576" s="101" t="s">
        <v>571</v>
      </c>
      <c r="S576" s="101" t="s">
        <v>572</v>
      </c>
      <c r="T576" s="101" t="s">
        <v>573</v>
      </c>
      <c r="U576" s="101"/>
      <c r="V576" s="101"/>
      <c r="W576" s="101"/>
      <c r="X576" s="101" t="s">
        <v>575</v>
      </c>
      <c r="Y576" s="101"/>
      <c r="Z576" s="101" t="s">
        <v>576</v>
      </c>
      <c r="AA576" s="101" t="s">
        <v>577</v>
      </c>
      <c r="AB576" s="101" t="s">
        <v>578</v>
      </c>
      <c r="AC576" s="101" t="s">
        <v>579</v>
      </c>
      <c r="AD576" s="101" t="s">
        <v>580</v>
      </c>
      <c r="AE576" s="101" t="s">
        <v>581</v>
      </c>
      <c r="AF576" s="101" t="s">
        <v>582</v>
      </c>
      <c r="AG576" s="101" t="s">
        <v>583</v>
      </c>
      <c r="AH576" s="101" t="s">
        <v>584</v>
      </c>
      <c r="AI576" s="101" t="s">
        <v>585</v>
      </c>
    </row>
    <row r="577" spans="10:35" x14ac:dyDescent="0.2">
      <c r="J577" s="101" t="s">
        <v>30</v>
      </c>
      <c r="K577" s="101" t="s">
        <v>1694</v>
      </c>
      <c r="L577" s="101" t="s">
        <v>1379</v>
      </c>
      <c r="M577" s="101" t="s">
        <v>1695</v>
      </c>
      <c r="N577" s="189">
        <v>12460</v>
      </c>
      <c r="O577" s="101" t="s">
        <v>568</v>
      </c>
      <c r="P577" s="101" t="s">
        <v>569</v>
      </c>
      <c r="Q577" s="101" t="s">
        <v>570</v>
      </c>
      <c r="R577" s="101" t="s">
        <v>571</v>
      </c>
      <c r="S577" s="101" t="s">
        <v>572</v>
      </c>
      <c r="T577" s="101" t="s">
        <v>573</v>
      </c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</row>
    <row r="578" spans="10:35" x14ac:dyDescent="0.2">
      <c r="J578" s="101" t="s">
        <v>30</v>
      </c>
      <c r="K578" s="101" t="s">
        <v>1696</v>
      </c>
      <c r="L578" s="101" t="s">
        <v>1379</v>
      </c>
      <c r="M578" s="101" t="s">
        <v>1697</v>
      </c>
      <c r="N578" s="189">
        <v>12470</v>
      </c>
      <c r="O578" s="101" t="s">
        <v>568</v>
      </c>
      <c r="P578" s="101" t="s">
        <v>569</v>
      </c>
      <c r="Q578" s="101" t="s">
        <v>570</v>
      </c>
      <c r="R578" s="101" t="s">
        <v>571</v>
      </c>
      <c r="S578" s="101" t="s">
        <v>572</v>
      </c>
      <c r="T578" s="101" t="s">
        <v>573</v>
      </c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</row>
    <row r="579" spans="10:35" x14ac:dyDescent="0.2">
      <c r="J579" s="101" t="s">
        <v>30</v>
      </c>
      <c r="K579" s="101" t="s">
        <v>1698</v>
      </c>
      <c r="L579" s="101" t="s">
        <v>1658</v>
      </c>
      <c r="M579" s="101" t="s">
        <v>1699</v>
      </c>
      <c r="N579" s="189">
        <v>12470</v>
      </c>
      <c r="O579" s="101" t="s">
        <v>568</v>
      </c>
      <c r="P579" s="101" t="s">
        <v>569</v>
      </c>
      <c r="Q579" s="101" t="s">
        <v>570</v>
      </c>
      <c r="R579" s="101" t="s">
        <v>571</v>
      </c>
      <c r="S579" s="101" t="s">
        <v>572</v>
      </c>
      <c r="T579" s="101" t="s">
        <v>573</v>
      </c>
      <c r="U579" s="101"/>
      <c r="V579" s="101"/>
      <c r="W579" s="101"/>
      <c r="X579" s="101" t="s">
        <v>575</v>
      </c>
      <c r="Y579" s="101"/>
      <c r="Z579" s="101" t="s">
        <v>576</v>
      </c>
      <c r="AA579" s="101"/>
      <c r="AB579" s="101"/>
      <c r="AC579" s="101"/>
      <c r="AD579" s="101"/>
      <c r="AE579" s="101"/>
      <c r="AF579" s="101"/>
      <c r="AG579" s="101"/>
      <c r="AH579" s="101"/>
      <c r="AI579" s="101"/>
    </row>
    <row r="580" spans="10:35" x14ac:dyDescent="0.2">
      <c r="J580" s="101" t="s">
        <v>30</v>
      </c>
      <c r="K580" s="101" t="s">
        <v>1700</v>
      </c>
      <c r="L580" s="101" t="s">
        <v>1658</v>
      </c>
      <c r="M580" s="101" t="s">
        <v>1701</v>
      </c>
      <c r="N580" s="189">
        <v>12360</v>
      </c>
      <c r="O580" s="101" t="s">
        <v>568</v>
      </c>
      <c r="P580" s="101" t="s">
        <v>569</v>
      </c>
      <c r="Q580" s="101" t="s">
        <v>570</v>
      </c>
      <c r="R580" s="101" t="s">
        <v>571</v>
      </c>
      <c r="S580" s="101" t="s">
        <v>572</v>
      </c>
      <c r="T580" s="101" t="s">
        <v>573</v>
      </c>
      <c r="U580" s="101"/>
      <c r="V580" s="101"/>
      <c r="W580" s="101"/>
      <c r="X580" s="101" t="s">
        <v>575</v>
      </c>
      <c r="Y580" s="101"/>
      <c r="Z580" s="101" t="s">
        <v>576</v>
      </c>
      <c r="AA580" s="101"/>
      <c r="AB580" s="101"/>
      <c r="AC580" s="101"/>
      <c r="AD580" s="101"/>
      <c r="AE580" s="101"/>
      <c r="AF580" s="101"/>
      <c r="AG580" s="101"/>
      <c r="AH580" s="101"/>
      <c r="AI580" s="101"/>
    </row>
    <row r="581" spans="10:35" x14ac:dyDescent="0.2">
      <c r="J581" s="101" t="s">
        <v>30</v>
      </c>
      <c r="K581" s="101" t="s">
        <v>1702</v>
      </c>
      <c r="L581" s="101" t="s">
        <v>1379</v>
      </c>
      <c r="M581" s="101" t="s">
        <v>1703</v>
      </c>
      <c r="N581" s="189">
        <v>12420</v>
      </c>
      <c r="O581" s="101" t="s">
        <v>568</v>
      </c>
      <c r="P581" s="101" t="s">
        <v>569</v>
      </c>
      <c r="Q581" s="101" t="s">
        <v>570</v>
      </c>
      <c r="R581" s="101" t="s">
        <v>571</v>
      </c>
      <c r="S581" s="101" t="s">
        <v>572</v>
      </c>
      <c r="T581" s="101" t="s">
        <v>573</v>
      </c>
      <c r="U581" s="101"/>
      <c r="V581" s="101"/>
      <c r="W581" s="101"/>
      <c r="X581" s="101" t="s">
        <v>575</v>
      </c>
      <c r="Y581" s="101"/>
      <c r="Z581" s="101" t="s">
        <v>576</v>
      </c>
      <c r="AA581" s="101" t="s">
        <v>577</v>
      </c>
      <c r="AB581" s="101" t="s">
        <v>578</v>
      </c>
      <c r="AC581" s="101" t="s">
        <v>579</v>
      </c>
      <c r="AD581" s="101" t="s">
        <v>580</v>
      </c>
      <c r="AE581" s="101" t="s">
        <v>581</v>
      </c>
      <c r="AF581" s="101" t="s">
        <v>582</v>
      </c>
      <c r="AG581" s="101" t="s">
        <v>583</v>
      </c>
      <c r="AH581" s="101" t="s">
        <v>584</v>
      </c>
      <c r="AI581" s="101" t="s">
        <v>585</v>
      </c>
    </row>
    <row r="582" spans="10:35" x14ac:dyDescent="0.2">
      <c r="J582" s="101" t="s">
        <v>30</v>
      </c>
      <c r="K582" s="101" t="s">
        <v>1704</v>
      </c>
      <c r="L582" s="101" t="s">
        <v>1379</v>
      </c>
      <c r="M582" s="101" t="s">
        <v>1705</v>
      </c>
      <c r="N582" s="189">
        <v>12420</v>
      </c>
      <c r="O582" s="101" t="s">
        <v>568</v>
      </c>
      <c r="P582" s="101" t="s">
        <v>569</v>
      </c>
      <c r="Q582" s="101" t="s">
        <v>570</v>
      </c>
      <c r="R582" s="101" t="s">
        <v>571</v>
      </c>
      <c r="S582" s="101" t="s">
        <v>572</v>
      </c>
      <c r="T582" s="101" t="s">
        <v>573</v>
      </c>
      <c r="U582" s="101"/>
      <c r="V582" s="101"/>
      <c r="W582" s="101" t="s">
        <v>574</v>
      </c>
      <c r="X582" s="101" t="s">
        <v>575</v>
      </c>
      <c r="Y582" s="101"/>
      <c r="Z582" s="101" t="s">
        <v>576</v>
      </c>
      <c r="AA582" s="101" t="s">
        <v>577</v>
      </c>
      <c r="AB582" s="101" t="s">
        <v>578</v>
      </c>
      <c r="AC582" s="101" t="s">
        <v>579</v>
      </c>
      <c r="AD582" s="101" t="s">
        <v>580</v>
      </c>
      <c r="AE582" s="101" t="s">
        <v>581</v>
      </c>
      <c r="AF582" s="101" t="s">
        <v>582</v>
      </c>
      <c r="AG582" s="101" t="s">
        <v>583</v>
      </c>
      <c r="AH582" s="101" t="s">
        <v>584</v>
      </c>
      <c r="AI582" s="101" t="s">
        <v>585</v>
      </c>
    </row>
    <row r="583" spans="10:35" x14ac:dyDescent="0.2">
      <c r="J583" s="101" t="s">
        <v>30</v>
      </c>
      <c r="K583" s="101" t="s">
        <v>1706</v>
      </c>
      <c r="L583" s="101" t="s">
        <v>1658</v>
      </c>
      <c r="M583" s="101" t="s">
        <v>1707</v>
      </c>
      <c r="N583" s="189">
        <v>12460</v>
      </c>
      <c r="O583" s="101" t="s">
        <v>568</v>
      </c>
      <c r="P583" s="101" t="s">
        <v>569</v>
      </c>
      <c r="Q583" s="101" t="s">
        <v>570</v>
      </c>
      <c r="R583" s="101" t="s">
        <v>571</v>
      </c>
      <c r="S583" s="101" t="s">
        <v>572</v>
      </c>
      <c r="T583" s="101" t="s">
        <v>573</v>
      </c>
      <c r="U583" s="101"/>
      <c r="V583" s="101"/>
      <c r="W583" s="101"/>
      <c r="X583" s="101" t="s">
        <v>575</v>
      </c>
      <c r="Y583" s="101"/>
      <c r="Z583" s="101" t="s">
        <v>576</v>
      </c>
      <c r="AA583" s="101" t="s">
        <v>577</v>
      </c>
      <c r="AB583" s="101" t="s">
        <v>578</v>
      </c>
      <c r="AC583" s="101" t="s">
        <v>579</v>
      </c>
      <c r="AD583" s="101" t="s">
        <v>580</v>
      </c>
      <c r="AE583" s="101" t="s">
        <v>581</v>
      </c>
      <c r="AF583" s="101" t="s">
        <v>582</v>
      </c>
      <c r="AG583" s="101"/>
      <c r="AH583" s="101"/>
      <c r="AI583" s="101"/>
    </row>
    <row r="584" spans="10:35" x14ac:dyDescent="0.2">
      <c r="J584" s="101" t="s">
        <v>30</v>
      </c>
      <c r="K584" s="101" t="s">
        <v>1708</v>
      </c>
      <c r="L584" s="101" t="s">
        <v>1658</v>
      </c>
      <c r="M584" s="101" t="s">
        <v>1709</v>
      </c>
      <c r="N584" s="189">
        <v>12470</v>
      </c>
      <c r="O584" s="101" t="s">
        <v>568</v>
      </c>
      <c r="P584" s="101" t="s">
        <v>569</v>
      </c>
      <c r="Q584" s="101" t="s">
        <v>570</v>
      </c>
      <c r="R584" s="101" t="s">
        <v>571</v>
      </c>
      <c r="S584" s="101" t="s">
        <v>572</v>
      </c>
      <c r="T584" s="101" t="s">
        <v>573</v>
      </c>
      <c r="U584" s="101"/>
      <c r="V584" s="101"/>
      <c r="W584" s="101" t="s">
        <v>574</v>
      </c>
      <c r="X584" s="101" t="s">
        <v>575</v>
      </c>
      <c r="Y584" s="101"/>
      <c r="Z584" s="101" t="s">
        <v>576</v>
      </c>
      <c r="AA584" s="101" t="s">
        <v>577</v>
      </c>
      <c r="AB584" s="101"/>
      <c r="AC584" s="101"/>
      <c r="AD584" s="101"/>
      <c r="AE584" s="101"/>
      <c r="AF584" s="101"/>
      <c r="AG584" s="101"/>
      <c r="AH584" s="101"/>
      <c r="AI584" s="101"/>
    </row>
    <row r="585" spans="10:35" x14ac:dyDescent="0.2">
      <c r="J585" s="101" t="s">
        <v>30</v>
      </c>
      <c r="K585" s="101" t="s">
        <v>1710</v>
      </c>
      <c r="L585" s="101" t="s">
        <v>1379</v>
      </c>
      <c r="M585" s="101" t="s">
        <v>1711</v>
      </c>
      <c r="N585" s="189">
        <v>12420</v>
      </c>
      <c r="O585" s="101" t="s">
        <v>568</v>
      </c>
      <c r="P585" s="101" t="s">
        <v>569</v>
      </c>
      <c r="Q585" s="101" t="s">
        <v>570</v>
      </c>
      <c r="R585" s="101" t="s">
        <v>571</v>
      </c>
      <c r="S585" s="101" t="s">
        <v>572</v>
      </c>
      <c r="T585" s="101" t="s">
        <v>573</v>
      </c>
      <c r="U585" s="101"/>
      <c r="V585" s="101"/>
      <c r="W585" s="101"/>
      <c r="X585" s="101" t="s">
        <v>575</v>
      </c>
      <c r="Y585" s="101"/>
      <c r="Z585" s="101" t="s">
        <v>576</v>
      </c>
      <c r="AA585" s="101" t="s">
        <v>577</v>
      </c>
      <c r="AB585" s="101" t="s">
        <v>578</v>
      </c>
      <c r="AC585" s="101" t="s">
        <v>579</v>
      </c>
      <c r="AD585" s="101" t="s">
        <v>580</v>
      </c>
      <c r="AE585" s="101" t="s">
        <v>581</v>
      </c>
      <c r="AF585" s="101" t="s">
        <v>582</v>
      </c>
      <c r="AG585" s="101" t="s">
        <v>583</v>
      </c>
      <c r="AH585" s="101" t="s">
        <v>584</v>
      </c>
      <c r="AI585" s="101" t="s">
        <v>585</v>
      </c>
    </row>
    <row r="586" spans="10:35" x14ac:dyDescent="0.2">
      <c r="J586" s="101" t="s">
        <v>30</v>
      </c>
      <c r="K586" s="101" t="s">
        <v>1712</v>
      </c>
      <c r="L586" s="101" t="s">
        <v>1658</v>
      </c>
      <c r="M586" s="101" t="s">
        <v>1713</v>
      </c>
      <c r="N586" s="189">
        <v>12320</v>
      </c>
      <c r="O586" s="101" t="s">
        <v>568</v>
      </c>
      <c r="P586" s="101" t="s">
        <v>569</v>
      </c>
      <c r="Q586" s="101" t="s">
        <v>570</v>
      </c>
      <c r="R586" s="101" t="s">
        <v>571</v>
      </c>
      <c r="S586" s="101" t="s">
        <v>572</v>
      </c>
      <c r="T586" s="101" t="s">
        <v>573</v>
      </c>
      <c r="U586" s="101"/>
      <c r="V586" s="101"/>
      <c r="W586" s="101"/>
      <c r="X586" s="101" t="s">
        <v>575</v>
      </c>
      <c r="Y586" s="101"/>
      <c r="Z586" s="101" t="s">
        <v>576</v>
      </c>
      <c r="AA586" s="101" t="s">
        <v>577</v>
      </c>
      <c r="AB586" s="101" t="s">
        <v>578</v>
      </c>
      <c r="AC586" s="101" t="s">
        <v>579</v>
      </c>
      <c r="AD586" s="101" t="s">
        <v>580</v>
      </c>
      <c r="AE586" s="101" t="s">
        <v>581</v>
      </c>
      <c r="AF586" s="101" t="s">
        <v>582</v>
      </c>
      <c r="AG586" s="101" t="s">
        <v>583</v>
      </c>
      <c r="AH586" s="101" t="s">
        <v>584</v>
      </c>
      <c r="AI586" s="101" t="s">
        <v>585</v>
      </c>
    </row>
    <row r="587" spans="10:35" x14ac:dyDescent="0.2">
      <c r="J587" s="101" t="s">
        <v>30</v>
      </c>
      <c r="K587" s="101" t="s">
        <v>1714</v>
      </c>
      <c r="L587" s="101" t="s">
        <v>1658</v>
      </c>
      <c r="M587" s="101" t="s">
        <v>1715</v>
      </c>
      <c r="N587" s="189">
        <v>12360</v>
      </c>
      <c r="O587" s="101" t="s">
        <v>568</v>
      </c>
      <c r="P587" s="101" t="s">
        <v>569</v>
      </c>
      <c r="Q587" s="101" t="s">
        <v>570</v>
      </c>
      <c r="R587" s="101" t="s">
        <v>571</v>
      </c>
      <c r="S587" s="101" t="s">
        <v>572</v>
      </c>
      <c r="T587" s="101" t="s">
        <v>573</v>
      </c>
      <c r="U587" s="101"/>
      <c r="V587" s="101"/>
      <c r="W587" s="101"/>
      <c r="X587" s="101" t="s">
        <v>575</v>
      </c>
      <c r="Y587" s="101"/>
      <c r="Z587" s="101" t="s">
        <v>576</v>
      </c>
      <c r="AA587" s="101" t="s">
        <v>577</v>
      </c>
      <c r="AB587" s="101" t="s">
        <v>578</v>
      </c>
      <c r="AC587" s="101" t="s">
        <v>579</v>
      </c>
      <c r="AD587" s="101" t="s">
        <v>580</v>
      </c>
      <c r="AE587" s="101" t="s">
        <v>581</v>
      </c>
      <c r="AF587" s="101"/>
      <c r="AG587" s="101"/>
      <c r="AH587" s="101"/>
      <c r="AI587" s="101"/>
    </row>
    <row r="588" spans="10:35" x14ac:dyDescent="0.2">
      <c r="J588" s="101" t="s">
        <v>30</v>
      </c>
      <c r="K588" s="101" t="s">
        <v>1716</v>
      </c>
      <c r="L588" s="101" t="s">
        <v>1658</v>
      </c>
      <c r="M588" s="101" t="s">
        <v>1717</v>
      </c>
      <c r="N588" s="189">
        <v>12360</v>
      </c>
      <c r="O588" s="101" t="s">
        <v>568</v>
      </c>
      <c r="P588" s="101" t="s">
        <v>569</v>
      </c>
      <c r="Q588" s="101" t="s">
        <v>570</v>
      </c>
      <c r="R588" s="101" t="s">
        <v>571</v>
      </c>
      <c r="S588" s="101" t="s">
        <v>572</v>
      </c>
      <c r="T588" s="101" t="s">
        <v>573</v>
      </c>
      <c r="U588" s="101"/>
      <c r="V588" s="101"/>
      <c r="W588" s="101"/>
      <c r="X588" s="101" t="s">
        <v>575</v>
      </c>
      <c r="Y588" s="101"/>
      <c r="Z588" s="101" t="s">
        <v>576</v>
      </c>
      <c r="AA588" s="101"/>
      <c r="AB588" s="101"/>
      <c r="AC588" s="101"/>
      <c r="AD588" s="101"/>
      <c r="AE588" s="101"/>
      <c r="AF588" s="101"/>
      <c r="AG588" s="101"/>
      <c r="AH588" s="101"/>
      <c r="AI588" s="101"/>
    </row>
    <row r="589" spans="10:35" x14ac:dyDescent="0.2">
      <c r="J589" s="101" t="s">
        <v>30</v>
      </c>
      <c r="K589" s="101" t="s">
        <v>1718</v>
      </c>
      <c r="L589" s="101" t="s">
        <v>1379</v>
      </c>
      <c r="M589" s="101" t="s">
        <v>1719</v>
      </c>
      <c r="N589" s="189">
        <v>12460</v>
      </c>
      <c r="O589" s="101" t="s">
        <v>568</v>
      </c>
      <c r="P589" s="101" t="s">
        <v>569</v>
      </c>
      <c r="Q589" s="101" t="s">
        <v>570</v>
      </c>
      <c r="R589" s="101" t="s">
        <v>571</v>
      </c>
      <c r="S589" s="101" t="s">
        <v>572</v>
      </c>
      <c r="T589" s="101" t="s">
        <v>573</v>
      </c>
      <c r="U589" s="101"/>
      <c r="V589" s="101"/>
      <c r="W589" s="101"/>
      <c r="X589" s="101" t="s">
        <v>575</v>
      </c>
      <c r="Y589" s="101"/>
      <c r="Z589" s="101" t="s">
        <v>576</v>
      </c>
      <c r="AA589" s="101" t="s">
        <v>577</v>
      </c>
      <c r="AB589" s="101"/>
      <c r="AC589" s="101"/>
      <c r="AD589" s="101"/>
      <c r="AE589" s="101"/>
      <c r="AF589" s="101"/>
      <c r="AG589" s="101"/>
      <c r="AH589" s="101"/>
      <c r="AI589" s="101"/>
    </row>
    <row r="590" spans="10:35" x14ac:dyDescent="0.2">
      <c r="J590" s="101" t="s">
        <v>30</v>
      </c>
      <c r="K590" s="101" t="s">
        <v>1720</v>
      </c>
      <c r="L590" s="101" t="s">
        <v>1658</v>
      </c>
      <c r="M590" s="101" t="s">
        <v>1721</v>
      </c>
      <c r="N590" s="189">
        <v>12470</v>
      </c>
      <c r="O590" s="101" t="s">
        <v>568</v>
      </c>
      <c r="P590" s="101" t="s">
        <v>569</v>
      </c>
      <c r="Q590" s="101" t="s">
        <v>570</v>
      </c>
      <c r="R590" s="101" t="s">
        <v>571</v>
      </c>
      <c r="S590" s="101" t="s">
        <v>572</v>
      </c>
      <c r="T590" s="101" t="s">
        <v>573</v>
      </c>
      <c r="U590" s="101"/>
      <c r="V590" s="101"/>
      <c r="W590" s="101"/>
      <c r="X590" s="101" t="s">
        <v>575</v>
      </c>
      <c r="Y590" s="101"/>
      <c r="Z590" s="101" t="s">
        <v>576</v>
      </c>
      <c r="AA590" s="101"/>
      <c r="AB590" s="101"/>
      <c r="AC590" s="101"/>
      <c r="AD590" s="101"/>
      <c r="AE590" s="101"/>
      <c r="AF590" s="101"/>
      <c r="AG590" s="101"/>
      <c r="AH590" s="101"/>
      <c r="AI590" s="101"/>
    </row>
    <row r="591" spans="10:35" x14ac:dyDescent="0.2">
      <c r="J591" s="101" t="s">
        <v>30</v>
      </c>
      <c r="K591" s="101" t="s">
        <v>1722</v>
      </c>
      <c r="L591" s="101" t="s">
        <v>1379</v>
      </c>
      <c r="M591" s="101" t="s">
        <v>1723</v>
      </c>
      <c r="N591" s="189">
        <v>12460</v>
      </c>
      <c r="O591" s="101" t="s">
        <v>568</v>
      </c>
      <c r="P591" s="101" t="s">
        <v>569</v>
      </c>
      <c r="Q591" s="101" t="s">
        <v>570</v>
      </c>
      <c r="R591" s="101" t="s">
        <v>571</v>
      </c>
      <c r="S591" s="101" t="s">
        <v>572</v>
      </c>
      <c r="T591" s="101" t="s">
        <v>573</v>
      </c>
      <c r="U591" s="101"/>
      <c r="V591" s="101"/>
      <c r="W591" s="101" t="s">
        <v>574</v>
      </c>
      <c r="X591" s="101" t="s">
        <v>575</v>
      </c>
      <c r="Y591" s="101"/>
      <c r="Z591" s="101" t="s">
        <v>576</v>
      </c>
      <c r="AA591" s="101"/>
      <c r="AB591" s="101"/>
      <c r="AC591" s="101"/>
      <c r="AD591" s="101"/>
      <c r="AE591" s="101"/>
      <c r="AF591" s="101"/>
      <c r="AG591" s="101"/>
      <c r="AH591" s="101"/>
      <c r="AI591" s="101"/>
    </row>
    <row r="592" spans="10:35" x14ac:dyDescent="0.2">
      <c r="J592" s="101" t="s">
        <v>30</v>
      </c>
      <c r="K592" s="101" t="s">
        <v>1724</v>
      </c>
      <c r="L592" s="101" t="s">
        <v>1658</v>
      </c>
      <c r="M592" s="101" t="s">
        <v>1725</v>
      </c>
      <c r="N592" s="189">
        <v>12460</v>
      </c>
      <c r="O592" s="101" t="s">
        <v>568</v>
      </c>
      <c r="P592" s="101" t="s">
        <v>569</v>
      </c>
      <c r="Q592" s="101" t="s">
        <v>570</v>
      </c>
      <c r="R592" s="101" t="s">
        <v>571</v>
      </c>
      <c r="S592" s="101" t="s">
        <v>572</v>
      </c>
      <c r="T592" s="101" t="s">
        <v>573</v>
      </c>
      <c r="U592" s="101"/>
      <c r="V592" s="101"/>
      <c r="W592" s="101"/>
      <c r="X592" s="101" t="s">
        <v>575</v>
      </c>
      <c r="Y592" s="101"/>
      <c r="Z592" s="101" t="s">
        <v>576</v>
      </c>
      <c r="AA592" s="101" t="s">
        <v>577</v>
      </c>
      <c r="AB592" s="101" t="s">
        <v>578</v>
      </c>
      <c r="AC592" s="101" t="s">
        <v>579</v>
      </c>
      <c r="AD592" s="101" t="s">
        <v>580</v>
      </c>
      <c r="AE592" s="101" t="s">
        <v>581</v>
      </c>
      <c r="AF592" s="101" t="s">
        <v>582</v>
      </c>
      <c r="AG592" s="101" t="s">
        <v>583</v>
      </c>
      <c r="AH592" s="101" t="s">
        <v>584</v>
      </c>
      <c r="AI592" s="101"/>
    </row>
    <row r="593" spans="10:35" x14ac:dyDescent="0.2">
      <c r="J593" s="101" t="s">
        <v>30</v>
      </c>
      <c r="K593" s="101" t="s">
        <v>1726</v>
      </c>
      <c r="L593" s="101" t="s">
        <v>1379</v>
      </c>
      <c r="M593" s="101" t="s">
        <v>1727</v>
      </c>
      <c r="N593" s="189">
        <v>12470</v>
      </c>
      <c r="O593" s="101" t="s">
        <v>568</v>
      </c>
      <c r="P593" s="101" t="s">
        <v>569</v>
      </c>
      <c r="Q593" s="101" t="s">
        <v>570</v>
      </c>
      <c r="R593" s="101" t="s">
        <v>571</v>
      </c>
      <c r="S593" s="101" t="s">
        <v>572</v>
      </c>
      <c r="T593" s="101" t="s">
        <v>573</v>
      </c>
      <c r="U593" s="101"/>
      <c r="V593" s="101"/>
      <c r="W593" s="101"/>
      <c r="X593" s="101" t="s">
        <v>575</v>
      </c>
      <c r="Y593" s="101"/>
      <c r="Z593" s="101" t="s">
        <v>576</v>
      </c>
      <c r="AA593" s="101"/>
      <c r="AB593" s="101"/>
      <c r="AC593" s="101"/>
      <c r="AD593" s="101"/>
      <c r="AE593" s="101"/>
      <c r="AF593" s="101"/>
      <c r="AG593" s="101"/>
      <c r="AH593" s="101"/>
      <c r="AI593" s="101"/>
    </row>
    <row r="594" spans="10:35" x14ac:dyDescent="0.2">
      <c r="J594" s="101" t="s">
        <v>30</v>
      </c>
      <c r="K594" s="101" t="s">
        <v>1728</v>
      </c>
      <c r="L594" s="101" t="s">
        <v>1379</v>
      </c>
      <c r="M594" s="101" t="s">
        <v>1729</v>
      </c>
      <c r="N594" s="189">
        <v>12340</v>
      </c>
      <c r="O594" s="101" t="s">
        <v>568</v>
      </c>
      <c r="P594" s="101" t="s">
        <v>569</v>
      </c>
      <c r="Q594" s="101" t="s">
        <v>570</v>
      </c>
      <c r="R594" s="101" t="s">
        <v>571</v>
      </c>
      <c r="S594" s="101" t="s">
        <v>572</v>
      </c>
      <c r="T594" s="101" t="s">
        <v>573</v>
      </c>
      <c r="U594" s="101"/>
      <c r="V594" s="101"/>
      <c r="W594" s="101"/>
      <c r="X594" s="101" t="s">
        <v>575</v>
      </c>
      <c r="Y594" s="101"/>
      <c r="Z594" s="101" t="s">
        <v>576</v>
      </c>
      <c r="AA594" s="101" t="s">
        <v>577</v>
      </c>
      <c r="AB594" s="101" t="s">
        <v>578</v>
      </c>
      <c r="AC594" s="101" t="s">
        <v>579</v>
      </c>
      <c r="AD594" s="101" t="s">
        <v>580</v>
      </c>
      <c r="AE594" s="101" t="s">
        <v>581</v>
      </c>
      <c r="AF594" s="101" t="s">
        <v>582</v>
      </c>
      <c r="AG594" s="101" t="s">
        <v>583</v>
      </c>
      <c r="AH594" s="101" t="s">
        <v>584</v>
      </c>
      <c r="AI594" s="101" t="s">
        <v>585</v>
      </c>
    </row>
    <row r="595" spans="10:35" x14ac:dyDescent="0.2">
      <c r="J595" s="101" t="s">
        <v>30</v>
      </c>
      <c r="K595" s="101" t="s">
        <v>1730</v>
      </c>
      <c r="L595" s="101" t="s">
        <v>1379</v>
      </c>
      <c r="M595" s="101" t="s">
        <v>1731</v>
      </c>
      <c r="N595" s="189">
        <v>12450</v>
      </c>
      <c r="O595" s="101" t="s">
        <v>568</v>
      </c>
      <c r="P595" s="101" t="s">
        <v>569</v>
      </c>
      <c r="Q595" s="101" t="s">
        <v>570</v>
      </c>
      <c r="R595" s="101" t="s">
        <v>571</v>
      </c>
      <c r="S595" s="101" t="s">
        <v>572</v>
      </c>
      <c r="T595" s="101" t="s">
        <v>573</v>
      </c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</row>
    <row r="596" spans="10:35" x14ac:dyDescent="0.2">
      <c r="J596" s="101" t="s">
        <v>30</v>
      </c>
      <c r="K596" s="101" t="s">
        <v>1732</v>
      </c>
      <c r="L596" s="101" t="s">
        <v>1379</v>
      </c>
      <c r="M596" s="101" t="s">
        <v>1733</v>
      </c>
      <c r="N596" s="189">
        <v>12420</v>
      </c>
      <c r="O596" s="101" t="s">
        <v>568</v>
      </c>
      <c r="P596" s="101" t="s">
        <v>569</v>
      </c>
      <c r="Q596" s="101" t="s">
        <v>570</v>
      </c>
      <c r="R596" s="101" t="s">
        <v>571</v>
      </c>
      <c r="S596" s="101" t="s">
        <v>572</v>
      </c>
      <c r="T596" s="101" t="s">
        <v>573</v>
      </c>
      <c r="U596" s="101"/>
      <c r="V596" s="101"/>
      <c r="W596" s="101"/>
      <c r="X596" s="101" t="s">
        <v>575</v>
      </c>
      <c r="Y596" s="101"/>
      <c r="Z596" s="101" t="s">
        <v>576</v>
      </c>
      <c r="AA596" s="101" t="s">
        <v>577</v>
      </c>
      <c r="AB596" s="101" t="s">
        <v>578</v>
      </c>
      <c r="AC596" s="101" t="s">
        <v>579</v>
      </c>
      <c r="AD596" s="101" t="s">
        <v>580</v>
      </c>
      <c r="AE596" s="101" t="s">
        <v>581</v>
      </c>
      <c r="AF596" s="101" t="s">
        <v>582</v>
      </c>
      <c r="AG596" s="101" t="s">
        <v>583</v>
      </c>
      <c r="AH596" s="101" t="s">
        <v>584</v>
      </c>
      <c r="AI596" s="101" t="s">
        <v>585</v>
      </c>
    </row>
    <row r="597" spans="10:35" x14ac:dyDescent="0.2">
      <c r="J597" s="101" t="s">
        <v>30</v>
      </c>
      <c r="K597" s="101" t="s">
        <v>1734</v>
      </c>
      <c r="L597" s="101" t="s">
        <v>1658</v>
      </c>
      <c r="M597" s="101" t="s">
        <v>1735</v>
      </c>
      <c r="N597" s="189">
        <v>12420</v>
      </c>
      <c r="O597" s="101" t="s">
        <v>568</v>
      </c>
      <c r="P597" s="101" t="s">
        <v>569</v>
      </c>
      <c r="Q597" s="101" t="s">
        <v>570</v>
      </c>
      <c r="R597" s="101" t="s">
        <v>571</v>
      </c>
      <c r="S597" s="101" t="s">
        <v>572</v>
      </c>
      <c r="T597" s="101" t="s">
        <v>573</v>
      </c>
      <c r="U597" s="101"/>
      <c r="V597" s="101"/>
      <c r="W597" s="101"/>
      <c r="X597" s="101" t="s">
        <v>575</v>
      </c>
      <c r="Y597" s="101"/>
      <c r="Z597" s="101" t="s">
        <v>576</v>
      </c>
      <c r="AA597" s="101" t="s">
        <v>577</v>
      </c>
      <c r="AB597" s="101" t="s">
        <v>578</v>
      </c>
      <c r="AC597" s="101" t="s">
        <v>579</v>
      </c>
      <c r="AD597" s="101" t="s">
        <v>580</v>
      </c>
      <c r="AE597" s="101" t="s">
        <v>581</v>
      </c>
      <c r="AF597" s="101" t="s">
        <v>582</v>
      </c>
      <c r="AG597" s="101" t="s">
        <v>583</v>
      </c>
      <c r="AH597" s="101" t="s">
        <v>584</v>
      </c>
      <c r="AI597" s="101" t="s">
        <v>585</v>
      </c>
    </row>
    <row r="598" spans="10:35" x14ac:dyDescent="0.2">
      <c r="J598" s="101" t="s">
        <v>30</v>
      </c>
      <c r="K598" s="101" t="s">
        <v>1736</v>
      </c>
      <c r="L598" s="101" t="s">
        <v>1658</v>
      </c>
      <c r="M598" s="101" t="s">
        <v>1737</v>
      </c>
      <c r="N598" s="189">
        <v>12420</v>
      </c>
      <c r="O598" s="101" t="s">
        <v>568</v>
      </c>
      <c r="P598" s="101" t="s">
        <v>569</v>
      </c>
      <c r="Q598" s="101" t="s">
        <v>570</v>
      </c>
      <c r="R598" s="101" t="s">
        <v>571</v>
      </c>
      <c r="S598" s="101" t="s">
        <v>572</v>
      </c>
      <c r="T598" s="101" t="s">
        <v>573</v>
      </c>
      <c r="U598" s="101"/>
      <c r="V598" s="101"/>
      <c r="W598" s="101"/>
      <c r="X598" s="101" t="s">
        <v>575</v>
      </c>
      <c r="Y598" s="101"/>
      <c r="Z598" s="101" t="s">
        <v>576</v>
      </c>
      <c r="AA598" s="101" t="s">
        <v>577</v>
      </c>
      <c r="AB598" s="101" t="s">
        <v>578</v>
      </c>
      <c r="AC598" s="101" t="s">
        <v>579</v>
      </c>
      <c r="AD598" s="101" t="s">
        <v>580</v>
      </c>
      <c r="AE598" s="101" t="s">
        <v>581</v>
      </c>
      <c r="AF598" s="101" t="s">
        <v>582</v>
      </c>
      <c r="AG598" s="101" t="s">
        <v>583</v>
      </c>
      <c r="AH598" s="101" t="s">
        <v>584</v>
      </c>
      <c r="AI598" s="101" t="s">
        <v>585</v>
      </c>
    </row>
    <row r="599" spans="10:35" x14ac:dyDescent="0.2">
      <c r="J599" s="101" t="s">
        <v>30</v>
      </c>
      <c r="K599" s="101" t="s">
        <v>1738</v>
      </c>
      <c r="L599" s="101" t="s">
        <v>1658</v>
      </c>
      <c r="M599" s="101" t="s">
        <v>1739</v>
      </c>
      <c r="N599" s="189">
        <v>12440</v>
      </c>
      <c r="O599" s="101" t="s">
        <v>568</v>
      </c>
      <c r="P599" s="101" t="s">
        <v>569</v>
      </c>
      <c r="Q599" s="101" t="s">
        <v>570</v>
      </c>
      <c r="R599" s="101" t="s">
        <v>571</v>
      </c>
      <c r="S599" s="101" t="s">
        <v>572</v>
      </c>
      <c r="T599" s="101" t="s">
        <v>573</v>
      </c>
      <c r="U599" s="101"/>
      <c r="V599" s="101"/>
      <c r="W599" s="101"/>
      <c r="X599" s="101" t="s">
        <v>575</v>
      </c>
      <c r="Y599" s="101"/>
      <c r="Z599" s="101" t="s">
        <v>576</v>
      </c>
      <c r="AA599" s="101" t="s">
        <v>577</v>
      </c>
      <c r="AB599" s="101" t="s">
        <v>578</v>
      </c>
      <c r="AC599" s="101" t="s">
        <v>579</v>
      </c>
      <c r="AD599" s="101" t="s">
        <v>580</v>
      </c>
      <c r="AE599" s="101" t="s">
        <v>581</v>
      </c>
      <c r="AF599" s="101" t="s">
        <v>582</v>
      </c>
      <c r="AG599" s="101"/>
      <c r="AH599" s="101"/>
      <c r="AI599" s="101"/>
    </row>
    <row r="600" spans="10:35" x14ac:dyDescent="0.2">
      <c r="J600" s="101" t="s">
        <v>30</v>
      </c>
      <c r="K600" s="101" t="s">
        <v>1740</v>
      </c>
      <c r="L600" s="101" t="s">
        <v>1658</v>
      </c>
      <c r="M600" s="101" t="s">
        <v>1741</v>
      </c>
      <c r="N600" s="189">
        <v>12360</v>
      </c>
      <c r="O600" s="101" t="s">
        <v>568</v>
      </c>
      <c r="P600" s="101" t="s">
        <v>569</v>
      </c>
      <c r="Q600" s="101" t="s">
        <v>570</v>
      </c>
      <c r="R600" s="101" t="s">
        <v>571</v>
      </c>
      <c r="S600" s="101" t="s">
        <v>572</v>
      </c>
      <c r="T600" s="101" t="s">
        <v>573</v>
      </c>
      <c r="U600" s="101"/>
      <c r="V600" s="101"/>
      <c r="W600" s="101"/>
      <c r="X600" s="101" t="s">
        <v>575</v>
      </c>
      <c r="Y600" s="101"/>
      <c r="Z600" s="101" t="s">
        <v>576</v>
      </c>
      <c r="AA600" s="101"/>
      <c r="AB600" s="101"/>
      <c r="AC600" s="101"/>
      <c r="AD600" s="101"/>
      <c r="AE600" s="101"/>
      <c r="AF600" s="101"/>
      <c r="AG600" s="101"/>
      <c r="AH600" s="101"/>
      <c r="AI600" s="101"/>
    </row>
    <row r="601" spans="10:35" x14ac:dyDescent="0.2">
      <c r="J601" s="101" t="s">
        <v>30</v>
      </c>
      <c r="K601" s="101" t="s">
        <v>1742</v>
      </c>
      <c r="L601" s="101" t="s">
        <v>1658</v>
      </c>
      <c r="M601" s="101" t="s">
        <v>1743</v>
      </c>
      <c r="N601" s="189">
        <v>12460</v>
      </c>
      <c r="O601" s="101" t="s">
        <v>568</v>
      </c>
      <c r="P601" s="101" t="s">
        <v>569</v>
      </c>
      <c r="Q601" s="101" t="s">
        <v>570</v>
      </c>
      <c r="R601" s="101" t="s">
        <v>571</v>
      </c>
      <c r="S601" s="101" t="s">
        <v>572</v>
      </c>
      <c r="T601" s="101" t="s">
        <v>573</v>
      </c>
      <c r="U601" s="101"/>
      <c r="V601" s="101"/>
      <c r="W601" s="101"/>
      <c r="X601" s="101" t="s">
        <v>575</v>
      </c>
      <c r="Y601" s="101"/>
      <c r="Z601" s="101" t="s">
        <v>576</v>
      </c>
      <c r="AA601" s="101"/>
      <c r="AB601" s="101"/>
      <c r="AC601" s="101"/>
      <c r="AD601" s="101"/>
      <c r="AE601" s="101"/>
      <c r="AF601" s="101"/>
      <c r="AG601" s="101"/>
      <c r="AH601" s="101"/>
      <c r="AI601" s="101"/>
    </row>
    <row r="602" spans="10:35" x14ac:dyDescent="0.2">
      <c r="J602" s="101" t="s">
        <v>30</v>
      </c>
      <c r="K602" s="101" t="s">
        <v>1744</v>
      </c>
      <c r="L602" s="101" t="s">
        <v>1658</v>
      </c>
      <c r="M602" s="101" t="s">
        <v>1745</v>
      </c>
      <c r="N602" s="189">
        <v>12370</v>
      </c>
      <c r="O602" s="101" t="s">
        <v>568</v>
      </c>
      <c r="P602" s="101" t="s">
        <v>569</v>
      </c>
      <c r="Q602" s="101" t="s">
        <v>570</v>
      </c>
      <c r="R602" s="101" t="s">
        <v>571</v>
      </c>
      <c r="S602" s="101" t="s">
        <v>572</v>
      </c>
      <c r="T602" s="101" t="s">
        <v>573</v>
      </c>
      <c r="U602" s="101"/>
      <c r="V602" s="101"/>
      <c r="W602" s="101"/>
      <c r="X602" s="101" t="s">
        <v>575</v>
      </c>
      <c r="Y602" s="101"/>
      <c r="Z602" s="101" t="s">
        <v>576</v>
      </c>
      <c r="AA602" s="101" t="s">
        <v>577</v>
      </c>
      <c r="AB602" s="101" t="s">
        <v>578</v>
      </c>
      <c r="AC602" s="101" t="s">
        <v>579</v>
      </c>
      <c r="AD602" s="101" t="s">
        <v>580</v>
      </c>
      <c r="AE602" s="101" t="s">
        <v>581</v>
      </c>
      <c r="AF602" s="101" t="s">
        <v>582</v>
      </c>
      <c r="AG602" s="101"/>
      <c r="AH602" s="101"/>
      <c r="AI602" s="101"/>
    </row>
    <row r="603" spans="10:35" x14ac:dyDescent="0.2">
      <c r="J603" s="101" t="s">
        <v>30</v>
      </c>
      <c r="K603" s="101" t="s">
        <v>1746</v>
      </c>
      <c r="L603" s="101" t="s">
        <v>1658</v>
      </c>
      <c r="M603" s="101" t="s">
        <v>1747</v>
      </c>
      <c r="N603" s="189">
        <v>12430</v>
      </c>
      <c r="O603" s="101" t="s">
        <v>568</v>
      </c>
      <c r="P603" s="101" t="s">
        <v>569</v>
      </c>
      <c r="Q603" s="101" t="s">
        <v>570</v>
      </c>
      <c r="R603" s="101" t="s">
        <v>571</v>
      </c>
      <c r="S603" s="101" t="s">
        <v>572</v>
      </c>
      <c r="T603" s="101" t="s">
        <v>573</v>
      </c>
      <c r="U603" s="101"/>
      <c r="V603" s="101"/>
      <c r="W603" s="101" t="s">
        <v>574</v>
      </c>
      <c r="X603" s="101" t="s">
        <v>575</v>
      </c>
      <c r="Y603" s="101"/>
      <c r="Z603" s="101" t="s">
        <v>576</v>
      </c>
      <c r="AA603" s="101" t="s">
        <v>577</v>
      </c>
      <c r="AB603" s="101" t="s">
        <v>578</v>
      </c>
      <c r="AC603" s="101" t="s">
        <v>579</v>
      </c>
      <c r="AD603" s="101" t="s">
        <v>580</v>
      </c>
      <c r="AE603" s="101" t="s">
        <v>581</v>
      </c>
      <c r="AF603" s="101" t="s">
        <v>582</v>
      </c>
      <c r="AG603" s="101" t="s">
        <v>583</v>
      </c>
      <c r="AH603" s="101" t="s">
        <v>584</v>
      </c>
      <c r="AI603" s="101" t="s">
        <v>585</v>
      </c>
    </row>
    <row r="604" spans="10:35" x14ac:dyDescent="0.2">
      <c r="J604" s="101" t="s">
        <v>30</v>
      </c>
      <c r="K604" s="101" t="s">
        <v>1748</v>
      </c>
      <c r="L604" s="101" t="s">
        <v>1658</v>
      </c>
      <c r="M604" s="101" t="s">
        <v>1749</v>
      </c>
      <c r="N604" s="189">
        <v>12460</v>
      </c>
      <c r="O604" s="101" t="s">
        <v>568</v>
      </c>
      <c r="P604" s="101" t="s">
        <v>569</v>
      </c>
      <c r="Q604" s="101" t="s">
        <v>570</v>
      </c>
      <c r="R604" s="101" t="s">
        <v>571</v>
      </c>
      <c r="S604" s="101" t="s">
        <v>572</v>
      </c>
      <c r="T604" s="101" t="s">
        <v>573</v>
      </c>
      <c r="U604" s="101"/>
      <c r="V604" s="101"/>
      <c r="W604" s="101"/>
      <c r="X604" s="101" t="s">
        <v>575</v>
      </c>
      <c r="Y604" s="101"/>
      <c r="Z604" s="101" t="s">
        <v>576</v>
      </c>
      <c r="AA604" s="101" t="s">
        <v>577</v>
      </c>
      <c r="AB604" s="101" t="s">
        <v>578</v>
      </c>
      <c r="AC604" s="101" t="s">
        <v>579</v>
      </c>
      <c r="AD604" s="101" t="s">
        <v>580</v>
      </c>
      <c r="AE604" s="101" t="s">
        <v>581</v>
      </c>
      <c r="AF604" s="101" t="s">
        <v>582</v>
      </c>
      <c r="AG604" s="101"/>
      <c r="AH604" s="101"/>
      <c r="AI604" s="101"/>
    </row>
    <row r="605" spans="10:35" x14ac:dyDescent="0.2">
      <c r="J605" s="101" t="s">
        <v>30</v>
      </c>
      <c r="K605" s="101" t="s">
        <v>1750</v>
      </c>
      <c r="L605" s="101" t="s">
        <v>1379</v>
      </c>
      <c r="M605" s="101" t="s">
        <v>1751</v>
      </c>
      <c r="N605" s="189">
        <v>12470</v>
      </c>
      <c r="O605" s="101" t="s">
        <v>568</v>
      </c>
      <c r="P605" s="101" t="s">
        <v>569</v>
      </c>
      <c r="Q605" s="101" t="s">
        <v>570</v>
      </c>
      <c r="R605" s="101" t="s">
        <v>571</v>
      </c>
      <c r="S605" s="101" t="s">
        <v>572</v>
      </c>
      <c r="T605" s="101" t="s">
        <v>573</v>
      </c>
      <c r="U605" s="101"/>
      <c r="V605" s="101"/>
      <c r="W605" s="101"/>
      <c r="X605" s="101" t="s">
        <v>575</v>
      </c>
      <c r="Y605" s="101"/>
      <c r="Z605" s="101" t="s">
        <v>576</v>
      </c>
      <c r="AA605" s="101" t="s">
        <v>577</v>
      </c>
      <c r="AB605" s="101" t="s">
        <v>578</v>
      </c>
      <c r="AC605" s="101" t="s">
        <v>579</v>
      </c>
      <c r="AD605" s="101" t="s">
        <v>580</v>
      </c>
      <c r="AE605" s="101" t="s">
        <v>581</v>
      </c>
      <c r="AF605" s="101" t="s">
        <v>582</v>
      </c>
      <c r="AG605" s="101"/>
      <c r="AH605" s="101"/>
      <c r="AI605" s="101"/>
    </row>
    <row r="606" spans="10:35" x14ac:dyDescent="0.2">
      <c r="J606" s="101" t="s">
        <v>30</v>
      </c>
      <c r="K606" s="101" t="s">
        <v>1752</v>
      </c>
      <c r="L606" s="101" t="s">
        <v>1658</v>
      </c>
      <c r="M606" s="101" t="s">
        <v>1753</v>
      </c>
      <c r="N606" s="189">
        <v>12460</v>
      </c>
      <c r="O606" s="101" t="s">
        <v>568</v>
      </c>
      <c r="P606" s="101" t="s">
        <v>569</v>
      </c>
      <c r="Q606" s="101" t="s">
        <v>570</v>
      </c>
      <c r="R606" s="101" t="s">
        <v>571</v>
      </c>
      <c r="S606" s="101" t="s">
        <v>572</v>
      </c>
      <c r="T606" s="101" t="s">
        <v>573</v>
      </c>
      <c r="U606" s="101"/>
      <c r="V606" s="101"/>
      <c r="W606" s="101"/>
      <c r="X606" s="101" t="s">
        <v>575</v>
      </c>
      <c r="Y606" s="101"/>
      <c r="Z606" s="101" t="s">
        <v>576</v>
      </c>
      <c r="AA606" s="101"/>
      <c r="AB606" s="101"/>
      <c r="AC606" s="101"/>
      <c r="AD606" s="101"/>
      <c r="AE606" s="101"/>
      <c r="AF606" s="101"/>
      <c r="AG606" s="101"/>
      <c r="AH606" s="101"/>
      <c r="AI606" s="101"/>
    </row>
    <row r="607" spans="10:35" x14ac:dyDescent="0.2">
      <c r="J607" s="101" t="s">
        <v>30</v>
      </c>
      <c r="K607" s="101" t="s">
        <v>1754</v>
      </c>
      <c r="L607" s="101" t="s">
        <v>1658</v>
      </c>
      <c r="M607" s="101" t="s">
        <v>1755</v>
      </c>
      <c r="N607" s="189">
        <v>12450</v>
      </c>
      <c r="O607" s="101" t="s">
        <v>568</v>
      </c>
      <c r="P607" s="101" t="s">
        <v>569</v>
      </c>
      <c r="Q607" s="101" t="s">
        <v>570</v>
      </c>
      <c r="R607" s="101" t="s">
        <v>571</v>
      </c>
      <c r="S607" s="101" t="s">
        <v>572</v>
      </c>
      <c r="T607" s="101" t="s">
        <v>573</v>
      </c>
      <c r="U607" s="101"/>
      <c r="V607" s="101"/>
      <c r="W607" s="101"/>
      <c r="X607" s="101" t="s">
        <v>575</v>
      </c>
      <c r="Y607" s="101"/>
      <c r="Z607" s="101" t="s">
        <v>576</v>
      </c>
      <c r="AA607" s="101" t="s">
        <v>577</v>
      </c>
      <c r="AB607" s="101" t="s">
        <v>578</v>
      </c>
      <c r="AC607" s="101" t="s">
        <v>579</v>
      </c>
      <c r="AD607" s="101" t="s">
        <v>580</v>
      </c>
      <c r="AE607" s="101" t="s">
        <v>581</v>
      </c>
      <c r="AF607" s="101" t="s">
        <v>582</v>
      </c>
      <c r="AG607" s="101"/>
      <c r="AH607" s="101"/>
      <c r="AI607" s="101"/>
    </row>
    <row r="608" spans="10:35" x14ac:dyDescent="0.2">
      <c r="J608" s="101" t="s">
        <v>30</v>
      </c>
      <c r="K608" s="101" t="s">
        <v>1756</v>
      </c>
      <c r="L608" s="101" t="s">
        <v>1658</v>
      </c>
      <c r="M608" s="101" t="s">
        <v>1757</v>
      </c>
      <c r="N608" s="189">
        <v>12340</v>
      </c>
      <c r="O608" s="101" t="s">
        <v>568</v>
      </c>
      <c r="P608" s="101" t="s">
        <v>569</v>
      </c>
      <c r="Q608" s="101" t="s">
        <v>570</v>
      </c>
      <c r="R608" s="101" t="s">
        <v>571</v>
      </c>
      <c r="S608" s="101" t="s">
        <v>572</v>
      </c>
      <c r="T608" s="101" t="s">
        <v>573</v>
      </c>
      <c r="U608" s="101"/>
      <c r="V608" s="101"/>
      <c r="W608" s="101"/>
      <c r="X608" s="101" t="s">
        <v>575</v>
      </c>
      <c r="Y608" s="101"/>
      <c r="Z608" s="101" t="s">
        <v>576</v>
      </c>
      <c r="AA608" s="101" t="s">
        <v>577</v>
      </c>
      <c r="AB608" s="101" t="s">
        <v>578</v>
      </c>
      <c r="AC608" s="101" t="s">
        <v>579</v>
      </c>
      <c r="AD608" s="101" t="s">
        <v>580</v>
      </c>
      <c r="AE608" s="101" t="s">
        <v>581</v>
      </c>
      <c r="AF608" s="101" t="s">
        <v>582</v>
      </c>
      <c r="AG608" s="101"/>
      <c r="AH608" s="101"/>
      <c r="AI608" s="101"/>
    </row>
    <row r="609" spans="10:35" x14ac:dyDescent="0.2">
      <c r="J609" s="101" t="s">
        <v>30</v>
      </c>
      <c r="K609" s="101" t="s">
        <v>1758</v>
      </c>
      <c r="L609" s="101" t="s">
        <v>1379</v>
      </c>
      <c r="M609" s="101" t="s">
        <v>1759</v>
      </c>
      <c r="N609" s="189">
        <v>12470</v>
      </c>
      <c r="O609" s="101" t="s">
        <v>568</v>
      </c>
      <c r="P609" s="101" t="s">
        <v>569</v>
      </c>
      <c r="Q609" s="101" t="s">
        <v>570</v>
      </c>
      <c r="R609" s="101" t="s">
        <v>571</v>
      </c>
      <c r="S609" s="101" t="s">
        <v>572</v>
      </c>
      <c r="T609" s="101" t="s">
        <v>573</v>
      </c>
      <c r="U609" s="101"/>
      <c r="V609" s="101"/>
      <c r="W609" s="101"/>
      <c r="X609" s="101" t="s">
        <v>575</v>
      </c>
      <c r="Y609" s="101"/>
      <c r="Z609" s="101" t="s">
        <v>576</v>
      </c>
      <c r="AA609" s="101" t="s">
        <v>577</v>
      </c>
      <c r="AB609" s="101" t="s">
        <v>578</v>
      </c>
      <c r="AC609" s="101" t="s">
        <v>579</v>
      </c>
      <c r="AD609" s="101" t="s">
        <v>580</v>
      </c>
      <c r="AE609" s="101" t="s">
        <v>581</v>
      </c>
      <c r="AF609" s="101" t="s">
        <v>582</v>
      </c>
      <c r="AG609" s="101"/>
      <c r="AH609" s="101"/>
      <c r="AI609" s="101"/>
    </row>
    <row r="610" spans="10:35" x14ac:dyDescent="0.2">
      <c r="J610" s="101" t="s">
        <v>30</v>
      </c>
      <c r="K610" s="101" t="s">
        <v>1760</v>
      </c>
      <c r="L610" s="101" t="s">
        <v>1379</v>
      </c>
      <c r="M610" s="101" t="s">
        <v>1761</v>
      </c>
      <c r="N610" s="189">
        <v>12460</v>
      </c>
      <c r="O610" s="101" t="s">
        <v>568</v>
      </c>
      <c r="P610" s="101" t="s">
        <v>569</v>
      </c>
      <c r="Q610" s="101" t="s">
        <v>570</v>
      </c>
      <c r="R610" s="101" t="s">
        <v>571</v>
      </c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</row>
    <row r="611" spans="10:35" x14ac:dyDescent="0.2">
      <c r="J611" s="101" t="s">
        <v>30</v>
      </c>
      <c r="K611" s="101" t="s">
        <v>1762</v>
      </c>
      <c r="L611" s="101" t="s">
        <v>1658</v>
      </c>
      <c r="M611" s="101" t="s">
        <v>1763</v>
      </c>
      <c r="N611" s="189">
        <v>12470</v>
      </c>
      <c r="O611" s="101" t="s">
        <v>568</v>
      </c>
      <c r="P611" s="101" t="s">
        <v>569</v>
      </c>
      <c r="Q611" s="101" t="s">
        <v>570</v>
      </c>
      <c r="R611" s="101" t="s">
        <v>571</v>
      </c>
      <c r="S611" s="101" t="s">
        <v>572</v>
      </c>
      <c r="T611" s="101" t="s">
        <v>573</v>
      </c>
      <c r="U611" s="101"/>
      <c r="V611" s="101"/>
      <c r="W611" s="101" t="s">
        <v>574</v>
      </c>
      <c r="X611" s="101" t="s">
        <v>575</v>
      </c>
      <c r="Y611" s="101"/>
      <c r="Z611" s="101" t="s">
        <v>576</v>
      </c>
      <c r="AA611" s="101" t="s">
        <v>577</v>
      </c>
      <c r="AB611" s="101" t="s">
        <v>578</v>
      </c>
      <c r="AC611" s="101" t="s">
        <v>579</v>
      </c>
      <c r="AD611" s="101" t="s">
        <v>580</v>
      </c>
      <c r="AE611" s="101" t="s">
        <v>581</v>
      </c>
      <c r="AF611" s="101" t="s">
        <v>582</v>
      </c>
      <c r="AG611" s="101" t="s">
        <v>583</v>
      </c>
      <c r="AH611" s="101"/>
      <c r="AI611" s="101"/>
    </row>
    <row r="612" spans="10:35" x14ac:dyDescent="0.2">
      <c r="J612" s="101" t="s">
        <v>30</v>
      </c>
      <c r="K612" s="101" t="s">
        <v>1764</v>
      </c>
      <c r="L612" s="101" t="s">
        <v>1379</v>
      </c>
      <c r="M612" s="101" t="s">
        <v>1765</v>
      </c>
      <c r="N612" s="189">
        <v>11940</v>
      </c>
      <c r="O612" s="101" t="s">
        <v>568</v>
      </c>
      <c r="P612" s="101" t="s">
        <v>569</v>
      </c>
      <c r="Q612" s="101" t="s">
        <v>570</v>
      </c>
      <c r="R612" s="101" t="s">
        <v>571</v>
      </c>
      <c r="S612" s="101" t="s">
        <v>572</v>
      </c>
      <c r="T612" s="101" t="s">
        <v>573</v>
      </c>
      <c r="U612" s="101"/>
      <c r="V612" s="101"/>
      <c r="W612" s="101"/>
      <c r="X612" s="101" t="s">
        <v>575</v>
      </c>
      <c r="Y612" s="101"/>
      <c r="Z612" s="101" t="s">
        <v>576</v>
      </c>
      <c r="AA612" s="101" t="s">
        <v>577</v>
      </c>
      <c r="AB612" s="101" t="s">
        <v>578</v>
      </c>
      <c r="AC612" s="101" t="s">
        <v>579</v>
      </c>
      <c r="AD612" s="101" t="s">
        <v>580</v>
      </c>
      <c r="AE612" s="101" t="s">
        <v>581</v>
      </c>
      <c r="AF612" s="101" t="s">
        <v>582</v>
      </c>
      <c r="AG612" s="101" t="s">
        <v>583</v>
      </c>
      <c r="AH612" s="101" t="s">
        <v>584</v>
      </c>
      <c r="AI612" s="101" t="s">
        <v>585</v>
      </c>
    </row>
    <row r="613" spans="10:35" x14ac:dyDescent="0.2">
      <c r="J613" s="101" t="s">
        <v>30</v>
      </c>
      <c r="K613" s="101" t="s">
        <v>1766</v>
      </c>
      <c r="L613" s="101" t="s">
        <v>1382</v>
      </c>
      <c r="M613" s="101" t="s">
        <v>1767</v>
      </c>
      <c r="N613" s="189">
        <v>12460</v>
      </c>
      <c r="O613" s="101" t="s">
        <v>568</v>
      </c>
      <c r="P613" s="101" t="s">
        <v>569</v>
      </c>
      <c r="Q613" s="101" t="s">
        <v>570</v>
      </c>
      <c r="R613" s="101" t="s">
        <v>571</v>
      </c>
      <c r="S613" s="101" t="s">
        <v>572</v>
      </c>
      <c r="T613" s="101" t="s">
        <v>573</v>
      </c>
      <c r="U613" s="101"/>
      <c r="V613" s="101"/>
      <c r="W613" s="101"/>
      <c r="X613" s="101" t="s">
        <v>575</v>
      </c>
      <c r="Y613" s="101"/>
      <c r="Z613" s="101" t="s">
        <v>576</v>
      </c>
      <c r="AA613" s="101"/>
      <c r="AB613" s="101"/>
      <c r="AC613" s="101"/>
      <c r="AD613" s="101"/>
      <c r="AE613" s="101"/>
      <c r="AF613" s="101"/>
      <c r="AG613" s="101"/>
      <c r="AH613" s="101"/>
      <c r="AI613" s="101"/>
    </row>
    <row r="614" spans="10:35" x14ac:dyDescent="0.2">
      <c r="J614" s="101" t="s">
        <v>30</v>
      </c>
      <c r="K614" s="101" t="s">
        <v>1768</v>
      </c>
      <c r="L614" s="101" t="s">
        <v>1373</v>
      </c>
      <c r="M614" s="101" t="s">
        <v>1769</v>
      </c>
      <c r="N614" s="189">
        <v>12460</v>
      </c>
      <c r="O614" s="101" t="s">
        <v>568</v>
      </c>
      <c r="P614" s="101" t="s">
        <v>569</v>
      </c>
      <c r="Q614" s="101" t="s">
        <v>570</v>
      </c>
      <c r="R614" s="101" t="s">
        <v>571</v>
      </c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</row>
    <row r="615" spans="10:35" x14ac:dyDescent="0.2">
      <c r="J615" s="101" t="s">
        <v>30</v>
      </c>
      <c r="K615" s="101" t="s">
        <v>1770</v>
      </c>
      <c r="L615" s="101" t="s">
        <v>1373</v>
      </c>
      <c r="M615" s="101" t="s">
        <v>1771</v>
      </c>
      <c r="N615" s="189">
        <v>12460</v>
      </c>
      <c r="O615" s="101" t="s">
        <v>568</v>
      </c>
      <c r="P615" s="101" t="s">
        <v>569</v>
      </c>
      <c r="Q615" s="101" t="s">
        <v>570</v>
      </c>
      <c r="R615" s="101" t="s">
        <v>571</v>
      </c>
      <c r="S615" s="101" t="s">
        <v>572</v>
      </c>
      <c r="T615" s="101" t="s">
        <v>573</v>
      </c>
      <c r="U615" s="101"/>
      <c r="V615" s="101"/>
      <c r="W615" s="101"/>
      <c r="X615" s="101" t="s">
        <v>575</v>
      </c>
      <c r="Y615" s="101"/>
      <c r="Z615" s="101" t="s">
        <v>576</v>
      </c>
      <c r="AA615" s="101"/>
      <c r="AB615" s="101"/>
      <c r="AC615" s="101"/>
      <c r="AD615" s="101"/>
      <c r="AE615" s="101"/>
      <c r="AF615" s="101"/>
      <c r="AG615" s="101"/>
      <c r="AH615" s="101"/>
      <c r="AI615" s="101"/>
    </row>
    <row r="616" spans="10:35" x14ac:dyDescent="0.2">
      <c r="J616" s="101" t="s">
        <v>30</v>
      </c>
      <c r="K616" s="101" t="s">
        <v>1772</v>
      </c>
      <c r="L616" s="101" t="s">
        <v>1382</v>
      </c>
      <c r="M616" s="101" t="s">
        <v>1773</v>
      </c>
      <c r="N616" s="189">
        <v>12470</v>
      </c>
      <c r="O616" s="101" t="s">
        <v>568</v>
      </c>
      <c r="P616" s="101" t="s">
        <v>569</v>
      </c>
      <c r="Q616" s="101" t="s">
        <v>570</v>
      </c>
      <c r="R616" s="101" t="s">
        <v>571</v>
      </c>
      <c r="S616" s="101" t="s">
        <v>572</v>
      </c>
      <c r="T616" s="101" t="s">
        <v>573</v>
      </c>
      <c r="U616" s="101"/>
      <c r="V616" s="101"/>
      <c r="W616" s="101"/>
      <c r="X616" s="101" t="s">
        <v>575</v>
      </c>
      <c r="Y616" s="101"/>
      <c r="Z616" s="101" t="s">
        <v>576</v>
      </c>
      <c r="AA616" s="101"/>
      <c r="AB616" s="101"/>
      <c r="AC616" s="101"/>
      <c r="AD616" s="101"/>
      <c r="AE616" s="101"/>
      <c r="AF616" s="101"/>
      <c r="AG616" s="101"/>
      <c r="AH616" s="101"/>
      <c r="AI616" s="101"/>
    </row>
    <row r="617" spans="10:35" x14ac:dyDescent="0.2">
      <c r="J617" s="101" t="s">
        <v>30</v>
      </c>
      <c r="K617" s="101" t="s">
        <v>1774</v>
      </c>
      <c r="L617" s="101" t="s">
        <v>1373</v>
      </c>
      <c r="M617" s="101" t="s">
        <v>1775</v>
      </c>
      <c r="N617" s="189">
        <v>12460</v>
      </c>
      <c r="O617" s="101" t="s">
        <v>568</v>
      </c>
      <c r="P617" s="101" t="s">
        <v>569</v>
      </c>
      <c r="Q617" s="101" t="s">
        <v>570</v>
      </c>
      <c r="R617" s="101" t="s">
        <v>571</v>
      </c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</row>
    <row r="618" spans="10:35" x14ac:dyDescent="0.2">
      <c r="J618" s="101" t="s">
        <v>30</v>
      </c>
      <c r="K618" s="101" t="s">
        <v>1776</v>
      </c>
      <c r="L618" s="101" t="s">
        <v>1373</v>
      </c>
      <c r="M618" s="101" t="s">
        <v>1777</v>
      </c>
      <c r="N618" s="189">
        <v>12060</v>
      </c>
      <c r="O618" s="101" t="s">
        <v>568</v>
      </c>
      <c r="P618" s="101" t="s">
        <v>569</v>
      </c>
      <c r="Q618" s="101" t="s">
        <v>570</v>
      </c>
      <c r="R618" s="101" t="s">
        <v>571</v>
      </c>
      <c r="S618" s="101" t="s">
        <v>572</v>
      </c>
      <c r="T618" s="101" t="s">
        <v>573</v>
      </c>
      <c r="U618" s="101"/>
      <c r="V618" s="101"/>
      <c r="W618" s="101"/>
      <c r="X618" s="101" t="s">
        <v>575</v>
      </c>
      <c r="Y618" s="101"/>
      <c r="Z618" s="101" t="s">
        <v>576</v>
      </c>
      <c r="AA618" s="101" t="s">
        <v>577</v>
      </c>
      <c r="AB618" s="101" t="s">
        <v>578</v>
      </c>
      <c r="AC618" s="101" t="s">
        <v>579</v>
      </c>
      <c r="AD618" s="101" t="s">
        <v>580</v>
      </c>
      <c r="AE618" s="101" t="s">
        <v>581</v>
      </c>
      <c r="AF618" s="101" t="s">
        <v>582</v>
      </c>
      <c r="AG618" s="101" t="s">
        <v>583</v>
      </c>
      <c r="AH618" s="101" t="s">
        <v>584</v>
      </c>
      <c r="AI618" s="101" t="s">
        <v>585</v>
      </c>
    </row>
    <row r="619" spans="10:35" x14ac:dyDescent="0.2">
      <c r="J619" s="101" t="s">
        <v>30</v>
      </c>
      <c r="K619" s="101" t="s">
        <v>1778</v>
      </c>
      <c r="L619" s="101" t="s">
        <v>1382</v>
      </c>
      <c r="M619" s="101" t="s">
        <v>1779</v>
      </c>
      <c r="N619" s="189">
        <v>12460</v>
      </c>
      <c r="O619" s="101" t="s">
        <v>568</v>
      </c>
      <c r="P619" s="101" t="s">
        <v>569</v>
      </c>
      <c r="Q619" s="101" t="s">
        <v>570</v>
      </c>
      <c r="R619" s="101" t="s">
        <v>571</v>
      </c>
      <c r="S619" s="101" t="s">
        <v>572</v>
      </c>
      <c r="T619" s="101" t="s">
        <v>573</v>
      </c>
      <c r="U619" s="101"/>
      <c r="V619" s="101"/>
      <c r="W619" s="101"/>
      <c r="X619" s="101" t="s">
        <v>575</v>
      </c>
      <c r="Y619" s="101"/>
      <c r="Z619" s="101" t="s">
        <v>576</v>
      </c>
      <c r="AA619" s="101"/>
      <c r="AB619" s="101"/>
      <c r="AC619" s="101"/>
      <c r="AD619" s="101"/>
      <c r="AE619" s="101"/>
      <c r="AF619" s="101"/>
      <c r="AG619" s="101"/>
      <c r="AH619" s="101"/>
      <c r="AI619" s="101"/>
    </row>
    <row r="620" spans="10:35" x14ac:dyDescent="0.2">
      <c r="J620" s="101" t="s">
        <v>30</v>
      </c>
      <c r="K620" s="101" t="s">
        <v>1780</v>
      </c>
      <c r="L620" s="101" t="s">
        <v>1373</v>
      </c>
      <c r="M620" s="101" t="s">
        <v>1781</v>
      </c>
      <c r="N620" s="189">
        <v>12450</v>
      </c>
      <c r="O620" s="101" t="s">
        <v>568</v>
      </c>
      <c r="P620" s="101" t="s">
        <v>569</v>
      </c>
      <c r="Q620" s="101" t="s">
        <v>570</v>
      </c>
      <c r="R620" s="101" t="s">
        <v>571</v>
      </c>
      <c r="S620" s="101" t="s">
        <v>572</v>
      </c>
      <c r="T620" s="101" t="s">
        <v>573</v>
      </c>
      <c r="U620" s="101"/>
      <c r="V620" s="101"/>
      <c r="W620" s="101" t="s">
        <v>574</v>
      </c>
      <c r="X620" s="101" t="s">
        <v>575</v>
      </c>
      <c r="Y620" s="101"/>
      <c r="Z620" s="101" t="s">
        <v>576</v>
      </c>
      <c r="AA620" s="101"/>
      <c r="AB620" s="101"/>
      <c r="AC620" s="101"/>
      <c r="AD620" s="101"/>
      <c r="AE620" s="101"/>
      <c r="AF620" s="101"/>
      <c r="AG620" s="101"/>
      <c r="AH620" s="101"/>
      <c r="AI620" s="101"/>
    </row>
    <row r="621" spans="10:35" x14ac:dyDescent="0.2">
      <c r="J621" s="101" t="s">
        <v>30</v>
      </c>
      <c r="K621" s="101" t="s">
        <v>1782</v>
      </c>
      <c r="L621" s="101" t="s">
        <v>1373</v>
      </c>
      <c r="M621" s="101" t="s">
        <v>1783</v>
      </c>
      <c r="N621" s="189">
        <v>12420</v>
      </c>
      <c r="O621" s="101" t="s">
        <v>568</v>
      </c>
      <c r="P621" s="101" t="s">
        <v>569</v>
      </c>
      <c r="Q621" s="101" t="s">
        <v>570</v>
      </c>
      <c r="R621" s="101" t="s">
        <v>571</v>
      </c>
      <c r="S621" s="101" t="s">
        <v>572</v>
      </c>
      <c r="T621" s="101" t="s">
        <v>573</v>
      </c>
      <c r="U621" s="101"/>
      <c r="V621" s="101"/>
      <c r="W621" s="101" t="s">
        <v>574</v>
      </c>
      <c r="X621" s="101" t="s">
        <v>575</v>
      </c>
      <c r="Y621" s="101"/>
      <c r="Z621" s="101" t="s">
        <v>576</v>
      </c>
      <c r="AA621" s="101" t="s">
        <v>577</v>
      </c>
      <c r="AB621" s="101" t="s">
        <v>578</v>
      </c>
      <c r="AC621" s="101" t="s">
        <v>579</v>
      </c>
      <c r="AD621" s="101" t="s">
        <v>580</v>
      </c>
      <c r="AE621" s="101" t="s">
        <v>581</v>
      </c>
      <c r="AF621" s="101" t="s">
        <v>582</v>
      </c>
      <c r="AG621" s="101" t="s">
        <v>583</v>
      </c>
      <c r="AH621" s="101" t="s">
        <v>584</v>
      </c>
      <c r="AI621" s="101" t="s">
        <v>585</v>
      </c>
    </row>
    <row r="622" spans="10:35" x14ac:dyDescent="0.2">
      <c r="J622" s="101" t="s">
        <v>30</v>
      </c>
      <c r="K622" s="101" t="s">
        <v>1784</v>
      </c>
      <c r="L622" s="101" t="s">
        <v>1382</v>
      </c>
      <c r="M622" s="101" t="s">
        <v>1785</v>
      </c>
      <c r="N622" s="189">
        <v>12460</v>
      </c>
      <c r="O622" s="101" t="s">
        <v>568</v>
      </c>
      <c r="P622" s="101" t="s">
        <v>569</v>
      </c>
      <c r="Q622" s="101" t="s">
        <v>570</v>
      </c>
      <c r="R622" s="101" t="s">
        <v>571</v>
      </c>
      <c r="S622" s="101" t="s">
        <v>572</v>
      </c>
      <c r="T622" s="101" t="s">
        <v>573</v>
      </c>
      <c r="U622" s="101"/>
      <c r="V622" s="101"/>
      <c r="W622" s="101"/>
      <c r="X622" s="101" t="s">
        <v>575</v>
      </c>
      <c r="Y622" s="101"/>
      <c r="Z622" s="101" t="s">
        <v>576</v>
      </c>
      <c r="AA622" s="101"/>
      <c r="AB622" s="101"/>
      <c r="AC622" s="101"/>
      <c r="AD622" s="101"/>
      <c r="AE622" s="101"/>
      <c r="AF622" s="101"/>
      <c r="AG622" s="101"/>
      <c r="AH622" s="101"/>
      <c r="AI622" s="101"/>
    </row>
    <row r="623" spans="10:35" x14ac:dyDescent="0.2">
      <c r="J623" s="101" t="s">
        <v>30</v>
      </c>
      <c r="K623" s="101" t="s">
        <v>1786</v>
      </c>
      <c r="L623" s="101" t="s">
        <v>1373</v>
      </c>
      <c r="M623" s="101" t="s">
        <v>1787</v>
      </c>
      <c r="N623" s="189">
        <v>12460</v>
      </c>
      <c r="O623" s="101" t="s">
        <v>568</v>
      </c>
      <c r="P623" s="101" t="s">
        <v>569</v>
      </c>
      <c r="Q623" s="101" t="s">
        <v>570</v>
      </c>
      <c r="R623" s="101" t="s">
        <v>571</v>
      </c>
      <c r="S623" s="101" t="s">
        <v>572</v>
      </c>
      <c r="T623" s="101" t="s">
        <v>573</v>
      </c>
      <c r="U623" s="101"/>
      <c r="V623" s="101"/>
      <c r="W623" s="101" t="s">
        <v>574</v>
      </c>
      <c r="X623" s="101" t="s">
        <v>575</v>
      </c>
      <c r="Y623" s="101"/>
      <c r="Z623" s="101" t="s">
        <v>576</v>
      </c>
      <c r="AA623" s="101" t="s">
        <v>577</v>
      </c>
      <c r="AB623" s="101" t="s">
        <v>578</v>
      </c>
      <c r="AC623" s="101" t="s">
        <v>579</v>
      </c>
      <c r="AD623" s="101" t="s">
        <v>580</v>
      </c>
      <c r="AE623" s="101"/>
      <c r="AF623" s="101"/>
      <c r="AG623" s="101"/>
      <c r="AH623" s="101"/>
      <c r="AI623" s="101"/>
    </row>
    <row r="624" spans="10:35" x14ac:dyDescent="0.2">
      <c r="J624" s="101" t="s">
        <v>30</v>
      </c>
      <c r="K624" s="101" t="s">
        <v>1788</v>
      </c>
      <c r="L624" s="101" t="s">
        <v>1382</v>
      </c>
      <c r="M624" s="101" t="s">
        <v>1789</v>
      </c>
      <c r="N624" s="189">
        <v>12120</v>
      </c>
      <c r="O624" s="101" t="s">
        <v>568</v>
      </c>
      <c r="P624" s="101" t="s">
        <v>569</v>
      </c>
      <c r="Q624" s="101" t="s">
        <v>570</v>
      </c>
      <c r="R624" s="101" t="s">
        <v>571</v>
      </c>
      <c r="S624" s="101" t="s">
        <v>572</v>
      </c>
      <c r="T624" s="101" t="s">
        <v>573</v>
      </c>
      <c r="U624" s="101"/>
      <c r="V624" s="101"/>
      <c r="W624" s="101"/>
      <c r="X624" s="101" t="s">
        <v>575</v>
      </c>
      <c r="Y624" s="101"/>
      <c r="Z624" s="101" t="s">
        <v>576</v>
      </c>
      <c r="AA624" s="101" t="s">
        <v>577</v>
      </c>
      <c r="AB624" s="101" t="s">
        <v>578</v>
      </c>
      <c r="AC624" s="101" t="s">
        <v>579</v>
      </c>
      <c r="AD624" s="101" t="s">
        <v>580</v>
      </c>
      <c r="AE624" s="101" t="s">
        <v>581</v>
      </c>
      <c r="AF624" s="101" t="s">
        <v>582</v>
      </c>
      <c r="AG624" s="101"/>
      <c r="AH624" s="101"/>
      <c r="AI624" s="101"/>
    </row>
    <row r="625" spans="10:35" x14ac:dyDescent="0.2">
      <c r="J625" s="101" t="s">
        <v>30</v>
      </c>
      <c r="K625" s="101" t="s">
        <v>1790</v>
      </c>
      <c r="L625" s="101" t="s">
        <v>1373</v>
      </c>
      <c r="M625" s="101" t="s">
        <v>1791</v>
      </c>
      <c r="N625" s="189">
        <v>12430</v>
      </c>
      <c r="O625" s="101" t="s">
        <v>568</v>
      </c>
      <c r="P625" s="101" t="s">
        <v>569</v>
      </c>
      <c r="Q625" s="101" t="s">
        <v>570</v>
      </c>
      <c r="R625" s="101" t="s">
        <v>571</v>
      </c>
      <c r="S625" s="101" t="s">
        <v>572</v>
      </c>
      <c r="T625" s="101" t="s">
        <v>573</v>
      </c>
      <c r="U625" s="101"/>
      <c r="V625" s="101"/>
      <c r="W625" s="101" t="s">
        <v>574</v>
      </c>
      <c r="X625" s="101" t="s">
        <v>575</v>
      </c>
      <c r="Y625" s="101"/>
      <c r="Z625" s="101" t="s">
        <v>576</v>
      </c>
      <c r="AA625" s="101" t="s">
        <v>577</v>
      </c>
      <c r="AB625" s="101" t="s">
        <v>578</v>
      </c>
      <c r="AC625" s="101" t="s">
        <v>579</v>
      </c>
      <c r="AD625" s="101" t="s">
        <v>580</v>
      </c>
      <c r="AE625" s="101" t="s">
        <v>581</v>
      </c>
      <c r="AF625" s="101" t="s">
        <v>582</v>
      </c>
      <c r="AG625" s="101" t="s">
        <v>583</v>
      </c>
      <c r="AH625" s="101" t="s">
        <v>584</v>
      </c>
      <c r="AI625" s="101" t="s">
        <v>585</v>
      </c>
    </row>
    <row r="626" spans="10:35" x14ac:dyDescent="0.2">
      <c r="J626" s="101" t="s">
        <v>30</v>
      </c>
      <c r="K626" s="101" t="s">
        <v>1792</v>
      </c>
      <c r="L626" s="101" t="s">
        <v>1373</v>
      </c>
      <c r="M626" s="101" t="s">
        <v>1793</v>
      </c>
      <c r="N626" s="189">
        <v>12360</v>
      </c>
      <c r="O626" s="101" t="s">
        <v>568</v>
      </c>
      <c r="P626" s="101" t="s">
        <v>569</v>
      </c>
      <c r="Q626" s="101" t="s">
        <v>570</v>
      </c>
      <c r="R626" s="101" t="s">
        <v>571</v>
      </c>
      <c r="S626" s="101" t="s">
        <v>572</v>
      </c>
      <c r="T626" s="101" t="s">
        <v>573</v>
      </c>
      <c r="U626" s="101"/>
      <c r="V626" s="101"/>
      <c r="W626" s="101"/>
      <c r="X626" s="101" t="s">
        <v>575</v>
      </c>
      <c r="Y626" s="101"/>
      <c r="Z626" s="101" t="s">
        <v>576</v>
      </c>
      <c r="AA626" s="101" t="s">
        <v>577</v>
      </c>
      <c r="AB626" s="101"/>
      <c r="AC626" s="101"/>
      <c r="AD626" s="101"/>
      <c r="AE626" s="101"/>
      <c r="AF626" s="101"/>
      <c r="AG626" s="101"/>
      <c r="AH626" s="101"/>
      <c r="AI626" s="101"/>
    </row>
    <row r="627" spans="10:35" x14ac:dyDescent="0.2">
      <c r="J627" s="101" t="s">
        <v>30</v>
      </c>
      <c r="K627" s="101" t="s">
        <v>1794</v>
      </c>
      <c r="L627" s="101" t="s">
        <v>1373</v>
      </c>
      <c r="M627" s="101" t="s">
        <v>1795</v>
      </c>
      <c r="N627" s="189">
        <v>12460</v>
      </c>
      <c r="O627" s="101" t="s">
        <v>568</v>
      </c>
      <c r="P627" s="101" t="s">
        <v>569</v>
      </c>
      <c r="Q627" s="101" t="s">
        <v>570</v>
      </c>
      <c r="R627" s="101" t="s">
        <v>571</v>
      </c>
      <c r="S627" s="101" t="s">
        <v>572</v>
      </c>
      <c r="T627" s="101" t="s">
        <v>573</v>
      </c>
      <c r="U627" s="101"/>
      <c r="V627" s="101"/>
      <c r="W627" s="101"/>
      <c r="X627" s="101" t="s">
        <v>575</v>
      </c>
      <c r="Y627" s="101"/>
      <c r="Z627" s="101" t="s">
        <v>576</v>
      </c>
      <c r="AA627" s="101" t="s">
        <v>577</v>
      </c>
      <c r="AB627" s="101" t="s">
        <v>578</v>
      </c>
      <c r="AC627" s="101" t="s">
        <v>579</v>
      </c>
      <c r="AD627" s="101" t="s">
        <v>580</v>
      </c>
      <c r="AE627" s="101" t="s">
        <v>581</v>
      </c>
      <c r="AF627" s="101" t="s">
        <v>582</v>
      </c>
      <c r="AG627" s="101"/>
      <c r="AH627" s="101"/>
      <c r="AI627" s="101"/>
    </row>
    <row r="628" spans="10:35" x14ac:dyDescent="0.2">
      <c r="J628" s="101" t="s">
        <v>30</v>
      </c>
      <c r="K628" s="101" t="s">
        <v>1796</v>
      </c>
      <c r="L628" s="101" t="s">
        <v>1373</v>
      </c>
      <c r="M628" s="101" t="s">
        <v>1797</v>
      </c>
      <c r="N628" s="189">
        <v>12460</v>
      </c>
      <c r="O628" s="101" t="s">
        <v>568</v>
      </c>
      <c r="P628" s="101" t="s">
        <v>569</v>
      </c>
      <c r="Q628" s="101" t="s">
        <v>570</v>
      </c>
      <c r="R628" s="101" t="s">
        <v>571</v>
      </c>
      <c r="S628" s="101" t="s">
        <v>572</v>
      </c>
      <c r="T628" s="101" t="s">
        <v>573</v>
      </c>
      <c r="U628" s="101"/>
      <c r="V628" s="101"/>
      <c r="W628" s="101"/>
      <c r="X628" s="101" t="s">
        <v>575</v>
      </c>
      <c r="Y628" s="101"/>
      <c r="Z628" s="101" t="s">
        <v>576</v>
      </c>
      <c r="AA628" s="101"/>
      <c r="AB628" s="101"/>
      <c r="AC628" s="101"/>
      <c r="AD628" s="101"/>
      <c r="AE628" s="101"/>
      <c r="AF628" s="101"/>
      <c r="AG628" s="101"/>
      <c r="AH628" s="101"/>
      <c r="AI628" s="101"/>
    </row>
    <row r="629" spans="10:35" x14ac:dyDescent="0.2">
      <c r="J629" s="101" t="s">
        <v>30</v>
      </c>
      <c r="K629" s="101" t="s">
        <v>1798</v>
      </c>
      <c r="L629" s="101" t="s">
        <v>1373</v>
      </c>
      <c r="M629" s="101" t="s">
        <v>1799</v>
      </c>
      <c r="N629" s="189">
        <v>12470</v>
      </c>
      <c r="O629" s="101" t="s">
        <v>568</v>
      </c>
      <c r="P629" s="101" t="s">
        <v>569</v>
      </c>
      <c r="Q629" s="101" t="s">
        <v>570</v>
      </c>
      <c r="R629" s="101" t="s">
        <v>571</v>
      </c>
      <c r="S629" s="101" t="s">
        <v>572</v>
      </c>
      <c r="T629" s="101" t="s">
        <v>573</v>
      </c>
      <c r="U629" s="101"/>
      <c r="V629" s="101"/>
      <c r="W629" s="101"/>
      <c r="X629" s="101" t="s">
        <v>575</v>
      </c>
      <c r="Y629" s="101"/>
      <c r="Z629" s="101" t="s">
        <v>576</v>
      </c>
      <c r="AA629" s="101" t="s">
        <v>577</v>
      </c>
      <c r="AB629" s="101" t="s">
        <v>578</v>
      </c>
      <c r="AC629" s="101" t="s">
        <v>579</v>
      </c>
      <c r="AD629" s="101" t="s">
        <v>580</v>
      </c>
      <c r="AE629" s="101" t="s">
        <v>581</v>
      </c>
      <c r="AF629" s="101" t="s">
        <v>582</v>
      </c>
      <c r="AG629" s="101"/>
      <c r="AH629" s="101"/>
      <c r="AI629" s="101"/>
    </row>
    <row r="630" spans="10:35" x14ac:dyDescent="0.2">
      <c r="J630" s="101" t="s">
        <v>30</v>
      </c>
      <c r="K630" s="101" t="s">
        <v>1800</v>
      </c>
      <c r="L630" s="101" t="s">
        <v>1373</v>
      </c>
      <c r="M630" s="101" t="s">
        <v>1801</v>
      </c>
      <c r="N630" s="189">
        <v>12450</v>
      </c>
      <c r="O630" s="101" t="s">
        <v>568</v>
      </c>
      <c r="P630" s="101" t="s">
        <v>569</v>
      </c>
      <c r="Q630" s="101" t="s">
        <v>570</v>
      </c>
      <c r="R630" s="101" t="s">
        <v>571</v>
      </c>
      <c r="S630" s="101" t="s">
        <v>572</v>
      </c>
      <c r="T630" s="101" t="s">
        <v>573</v>
      </c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</row>
    <row r="631" spans="10:35" x14ac:dyDescent="0.2">
      <c r="J631" s="101" t="s">
        <v>30</v>
      </c>
      <c r="K631" s="101" t="s">
        <v>1802</v>
      </c>
      <c r="L631" s="101" t="s">
        <v>1373</v>
      </c>
      <c r="M631" s="101" t="s">
        <v>1803</v>
      </c>
      <c r="N631" s="189">
        <v>12420</v>
      </c>
      <c r="O631" s="101" t="s">
        <v>568</v>
      </c>
      <c r="P631" s="101" t="s">
        <v>569</v>
      </c>
      <c r="Q631" s="101" t="s">
        <v>570</v>
      </c>
      <c r="R631" s="101" t="s">
        <v>571</v>
      </c>
      <c r="S631" s="101" t="s">
        <v>572</v>
      </c>
      <c r="T631" s="101" t="s">
        <v>573</v>
      </c>
      <c r="U631" s="101"/>
      <c r="V631" s="101"/>
      <c r="W631" s="101" t="s">
        <v>574</v>
      </c>
      <c r="X631" s="101" t="s">
        <v>575</v>
      </c>
      <c r="Y631" s="101"/>
      <c r="Z631" s="101" t="s">
        <v>576</v>
      </c>
      <c r="AA631" s="101" t="s">
        <v>577</v>
      </c>
      <c r="AB631" s="101" t="s">
        <v>578</v>
      </c>
      <c r="AC631" s="101" t="s">
        <v>579</v>
      </c>
      <c r="AD631" s="101" t="s">
        <v>580</v>
      </c>
      <c r="AE631" s="101" t="s">
        <v>581</v>
      </c>
      <c r="AF631" s="101" t="s">
        <v>582</v>
      </c>
      <c r="AG631" s="101" t="s">
        <v>583</v>
      </c>
      <c r="AH631" s="101" t="s">
        <v>584</v>
      </c>
      <c r="AI631" s="101" t="s">
        <v>585</v>
      </c>
    </row>
    <row r="632" spans="10:35" x14ac:dyDescent="0.2">
      <c r="J632" s="101" t="s">
        <v>30</v>
      </c>
      <c r="K632" s="101" t="s">
        <v>1804</v>
      </c>
      <c r="L632" s="101" t="s">
        <v>1373</v>
      </c>
      <c r="M632" s="101" t="s">
        <v>1805</v>
      </c>
      <c r="N632" s="189">
        <v>12460</v>
      </c>
      <c r="O632" s="101" t="s">
        <v>568</v>
      </c>
      <c r="P632" s="101" t="s">
        <v>569</v>
      </c>
      <c r="Q632" s="101" t="s">
        <v>570</v>
      </c>
      <c r="R632" s="101" t="s">
        <v>571</v>
      </c>
      <c r="S632" s="101" t="s">
        <v>572</v>
      </c>
      <c r="T632" s="101" t="s">
        <v>573</v>
      </c>
      <c r="U632" s="101"/>
      <c r="V632" s="101"/>
      <c r="W632" s="101" t="s">
        <v>574</v>
      </c>
      <c r="X632" s="101" t="s">
        <v>575</v>
      </c>
      <c r="Y632" s="101"/>
      <c r="Z632" s="101" t="s">
        <v>576</v>
      </c>
      <c r="AA632" s="101"/>
      <c r="AB632" s="101"/>
      <c r="AC632" s="101"/>
      <c r="AD632" s="101"/>
      <c r="AE632" s="101"/>
      <c r="AF632" s="101"/>
      <c r="AG632" s="101"/>
      <c r="AH632" s="101"/>
      <c r="AI632" s="101"/>
    </row>
    <row r="633" spans="10:35" x14ac:dyDescent="0.2">
      <c r="J633" s="101" t="s">
        <v>30</v>
      </c>
      <c r="K633" s="101" t="s">
        <v>1806</v>
      </c>
      <c r="L633" s="101" t="s">
        <v>1373</v>
      </c>
      <c r="M633" s="101" t="s">
        <v>1807</v>
      </c>
      <c r="N633" s="189">
        <v>12460</v>
      </c>
      <c r="O633" s="101" t="s">
        <v>568</v>
      </c>
      <c r="P633" s="101" t="s">
        <v>569</v>
      </c>
      <c r="Q633" s="101" t="s">
        <v>570</v>
      </c>
      <c r="R633" s="101" t="s">
        <v>571</v>
      </c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</row>
    <row r="634" spans="10:35" x14ac:dyDescent="0.2">
      <c r="J634" s="101" t="s">
        <v>30</v>
      </c>
      <c r="K634" s="101" t="s">
        <v>1808</v>
      </c>
      <c r="L634" s="101" t="s">
        <v>1373</v>
      </c>
      <c r="M634" s="101" t="s">
        <v>1809</v>
      </c>
      <c r="N634" s="189">
        <v>12460</v>
      </c>
      <c r="O634" s="101" t="s">
        <v>568</v>
      </c>
      <c r="P634" s="101" t="s">
        <v>569</v>
      </c>
      <c r="Q634" s="101" t="s">
        <v>570</v>
      </c>
      <c r="R634" s="101" t="s">
        <v>571</v>
      </c>
      <c r="S634" s="101" t="s">
        <v>572</v>
      </c>
      <c r="T634" s="101" t="s">
        <v>573</v>
      </c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</row>
    <row r="635" spans="10:35" x14ac:dyDescent="0.2">
      <c r="J635" s="101" t="s">
        <v>30</v>
      </c>
      <c r="K635" s="101" t="s">
        <v>1810</v>
      </c>
      <c r="L635" s="101" t="s">
        <v>1382</v>
      </c>
      <c r="M635" s="101" t="s">
        <v>1811</v>
      </c>
      <c r="N635" s="189">
        <v>12350</v>
      </c>
      <c r="O635" s="101" t="s">
        <v>568</v>
      </c>
      <c r="P635" s="101" t="s">
        <v>569</v>
      </c>
      <c r="Q635" s="101" t="s">
        <v>570</v>
      </c>
      <c r="R635" s="101" t="s">
        <v>571</v>
      </c>
      <c r="S635" s="101" t="s">
        <v>572</v>
      </c>
      <c r="T635" s="101" t="s">
        <v>573</v>
      </c>
      <c r="U635" s="101"/>
      <c r="V635" s="101"/>
      <c r="W635" s="101"/>
      <c r="X635" s="101" t="s">
        <v>575</v>
      </c>
      <c r="Y635" s="101"/>
      <c r="Z635" s="101" t="s">
        <v>576</v>
      </c>
      <c r="AA635" s="101" t="s">
        <v>577</v>
      </c>
      <c r="AB635" s="101" t="s">
        <v>578</v>
      </c>
      <c r="AC635" s="101" t="s">
        <v>579</v>
      </c>
      <c r="AD635" s="101" t="s">
        <v>580</v>
      </c>
      <c r="AE635" s="101" t="s">
        <v>581</v>
      </c>
      <c r="AF635" s="101"/>
      <c r="AG635" s="101"/>
      <c r="AH635" s="101"/>
      <c r="AI635" s="101"/>
    </row>
    <row r="636" spans="10:35" x14ac:dyDescent="0.2">
      <c r="J636" s="101" t="s">
        <v>30</v>
      </c>
      <c r="K636" s="101" t="s">
        <v>989</v>
      </c>
      <c r="L636" s="101" t="s">
        <v>819</v>
      </c>
      <c r="M636" s="101" t="s">
        <v>990</v>
      </c>
      <c r="N636" s="189">
        <v>12060</v>
      </c>
      <c r="O636" s="101" t="s">
        <v>568</v>
      </c>
      <c r="P636" s="101" t="s">
        <v>569</v>
      </c>
      <c r="Q636" s="101" t="s">
        <v>570</v>
      </c>
      <c r="R636" s="101" t="s">
        <v>571</v>
      </c>
      <c r="S636" s="101" t="s">
        <v>572</v>
      </c>
      <c r="T636" s="101" t="s">
        <v>573</v>
      </c>
      <c r="U636" s="101"/>
      <c r="V636" s="101"/>
      <c r="W636" s="101" t="s">
        <v>574</v>
      </c>
      <c r="X636" s="101" t="s">
        <v>575</v>
      </c>
      <c r="Y636" s="101"/>
      <c r="Z636" s="101" t="s">
        <v>576</v>
      </c>
      <c r="AA636" s="101" t="s">
        <v>577</v>
      </c>
      <c r="AB636" s="101" t="s">
        <v>578</v>
      </c>
      <c r="AC636" s="101" t="s">
        <v>579</v>
      </c>
      <c r="AD636" s="101" t="s">
        <v>580</v>
      </c>
      <c r="AE636" s="101" t="s">
        <v>581</v>
      </c>
      <c r="AF636" s="101" t="s">
        <v>582</v>
      </c>
      <c r="AG636" s="101"/>
      <c r="AH636" s="101"/>
      <c r="AI636" s="101"/>
    </row>
    <row r="637" spans="10:35" x14ac:dyDescent="0.2">
      <c r="J637" s="101" t="s">
        <v>30</v>
      </c>
      <c r="K637" s="101" t="s">
        <v>425</v>
      </c>
      <c r="L637" s="101" t="s">
        <v>40</v>
      </c>
      <c r="M637" s="101" t="s">
        <v>426</v>
      </c>
      <c r="N637" s="189">
        <v>12020</v>
      </c>
      <c r="O637" s="101" t="s">
        <v>568</v>
      </c>
      <c r="P637" s="101" t="s">
        <v>569</v>
      </c>
      <c r="Q637" s="101" t="s">
        <v>570</v>
      </c>
      <c r="R637" s="101" t="s">
        <v>571</v>
      </c>
      <c r="S637" s="101" t="s">
        <v>572</v>
      </c>
      <c r="T637" s="101" t="s">
        <v>573</v>
      </c>
      <c r="U637" s="101"/>
      <c r="V637" s="101"/>
      <c r="W637" s="101" t="s">
        <v>574</v>
      </c>
      <c r="X637" s="101" t="s">
        <v>575</v>
      </c>
      <c r="Y637" s="101"/>
      <c r="Z637" s="101" t="s">
        <v>576</v>
      </c>
      <c r="AA637" s="101" t="s">
        <v>577</v>
      </c>
      <c r="AB637" s="101" t="s">
        <v>578</v>
      </c>
      <c r="AC637" s="101" t="s">
        <v>579</v>
      </c>
      <c r="AD637" s="101" t="s">
        <v>580</v>
      </c>
      <c r="AE637" s="101" t="s">
        <v>581</v>
      </c>
      <c r="AF637" s="101" t="s">
        <v>582</v>
      </c>
      <c r="AG637" s="101" t="s">
        <v>583</v>
      </c>
      <c r="AH637" s="101" t="s">
        <v>584</v>
      </c>
      <c r="AI637" s="101" t="s">
        <v>585</v>
      </c>
    </row>
    <row r="638" spans="10:35" x14ac:dyDescent="0.2">
      <c r="J638" s="101" t="s">
        <v>30</v>
      </c>
      <c r="K638" s="101" t="s">
        <v>1812</v>
      </c>
      <c r="L638" s="101" t="s">
        <v>1382</v>
      </c>
      <c r="M638" s="101" t="s">
        <v>1813</v>
      </c>
      <c r="N638" s="189">
        <v>12460</v>
      </c>
      <c r="O638" s="101" t="s">
        <v>568</v>
      </c>
      <c r="P638" s="101" t="s">
        <v>569</v>
      </c>
      <c r="Q638" s="101" t="s">
        <v>570</v>
      </c>
      <c r="R638" s="101" t="s">
        <v>571</v>
      </c>
      <c r="S638" s="101" t="s">
        <v>572</v>
      </c>
      <c r="T638" s="101" t="s">
        <v>573</v>
      </c>
      <c r="U638" s="101"/>
      <c r="V638" s="101"/>
      <c r="W638" s="101" t="s">
        <v>574</v>
      </c>
      <c r="X638" s="101" t="s">
        <v>575</v>
      </c>
      <c r="Y638" s="101"/>
      <c r="Z638" s="101" t="s">
        <v>576</v>
      </c>
      <c r="AA638" s="101" t="s">
        <v>577</v>
      </c>
      <c r="AB638" s="101" t="s">
        <v>578</v>
      </c>
      <c r="AC638" s="101"/>
      <c r="AD638" s="101"/>
      <c r="AE638" s="101"/>
      <c r="AF638" s="101"/>
      <c r="AG638" s="101"/>
      <c r="AH638" s="101"/>
      <c r="AI638" s="101"/>
    </row>
    <row r="639" spans="10:35" x14ac:dyDescent="0.2">
      <c r="J639" s="101" t="s">
        <v>30</v>
      </c>
      <c r="K639" s="101" t="s">
        <v>1814</v>
      </c>
      <c r="L639" s="101" t="s">
        <v>1382</v>
      </c>
      <c r="M639" s="101" t="s">
        <v>1815</v>
      </c>
      <c r="N639" s="189">
        <v>12420</v>
      </c>
      <c r="O639" s="101" t="s">
        <v>568</v>
      </c>
      <c r="P639" s="101" t="s">
        <v>569</v>
      </c>
      <c r="Q639" s="101" t="s">
        <v>570</v>
      </c>
      <c r="R639" s="101" t="s">
        <v>571</v>
      </c>
      <c r="S639" s="101" t="s">
        <v>572</v>
      </c>
      <c r="T639" s="101" t="s">
        <v>573</v>
      </c>
      <c r="U639" s="101"/>
      <c r="V639" s="101"/>
      <c r="W639" s="101" t="s">
        <v>574</v>
      </c>
      <c r="X639" s="101" t="s">
        <v>575</v>
      </c>
      <c r="Y639" s="101"/>
      <c r="Z639" s="101" t="s">
        <v>576</v>
      </c>
      <c r="AA639" s="101" t="s">
        <v>577</v>
      </c>
      <c r="AB639" s="101" t="s">
        <v>578</v>
      </c>
      <c r="AC639" s="101" t="s">
        <v>579</v>
      </c>
      <c r="AD639" s="101" t="s">
        <v>580</v>
      </c>
      <c r="AE639" s="101" t="s">
        <v>581</v>
      </c>
      <c r="AF639" s="101" t="s">
        <v>582</v>
      </c>
      <c r="AG639" s="101" t="s">
        <v>583</v>
      </c>
      <c r="AH639" s="101" t="s">
        <v>584</v>
      </c>
      <c r="AI639" s="101" t="s">
        <v>585</v>
      </c>
    </row>
    <row r="640" spans="10:35" x14ac:dyDescent="0.2">
      <c r="J640" s="101" t="s">
        <v>30</v>
      </c>
      <c r="K640" s="101" t="s">
        <v>1816</v>
      </c>
      <c r="L640" s="101" t="s">
        <v>1382</v>
      </c>
      <c r="M640" s="101" t="s">
        <v>1817</v>
      </c>
      <c r="N640" s="189">
        <v>12470</v>
      </c>
      <c r="O640" s="101" t="s">
        <v>568</v>
      </c>
      <c r="P640" s="101" t="s">
        <v>569</v>
      </c>
      <c r="Q640" s="101" t="s">
        <v>570</v>
      </c>
      <c r="R640" s="101" t="s">
        <v>571</v>
      </c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</row>
    <row r="641" spans="10:35" x14ac:dyDescent="0.2">
      <c r="J641" s="101" t="s">
        <v>30</v>
      </c>
      <c r="K641" s="101" t="s">
        <v>1818</v>
      </c>
      <c r="L641" s="101" t="s">
        <v>1382</v>
      </c>
      <c r="M641" s="101" t="s">
        <v>1819</v>
      </c>
      <c r="N641" s="189">
        <v>12460</v>
      </c>
      <c r="O641" s="101" t="s">
        <v>568</v>
      </c>
      <c r="P641" s="101" t="s">
        <v>569</v>
      </c>
      <c r="Q641" s="101" t="s">
        <v>570</v>
      </c>
      <c r="R641" s="101" t="s">
        <v>571</v>
      </c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</row>
    <row r="642" spans="10:35" x14ac:dyDescent="0.2">
      <c r="J642" s="101" t="s">
        <v>30</v>
      </c>
      <c r="K642" s="101" t="s">
        <v>1820</v>
      </c>
      <c r="L642" s="101" t="s">
        <v>1382</v>
      </c>
      <c r="M642" s="101" t="s">
        <v>1821</v>
      </c>
      <c r="N642" s="189">
        <v>12470</v>
      </c>
      <c r="O642" s="101" t="s">
        <v>568</v>
      </c>
      <c r="P642" s="101" t="s">
        <v>569</v>
      </c>
      <c r="Q642" s="101" t="s">
        <v>570</v>
      </c>
      <c r="R642" s="101" t="s">
        <v>571</v>
      </c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</row>
    <row r="643" spans="10:35" x14ac:dyDescent="0.2">
      <c r="J643" s="101" t="s">
        <v>30</v>
      </c>
      <c r="K643" s="101" t="s">
        <v>1822</v>
      </c>
      <c r="L643" s="101" t="s">
        <v>1373</v>
      </c>
      <c r="M643" s="101" t="s">
        <v>1823</v>
      </c>
      <c r="N643" s="189">
        <v>12000</v>
      </c>
      <c r="O643" s="101" t="s">
        <v>568</v>
      </c>
      <c r="P643" s="101" t="s">
        <v>569</v>
      </c>
      <c r="Q643" s="101" t="s">
        <v>570</v>
      </c>
      <c r="R643" s="101" t="s">
        <v>571</v>
      </c>
      <c r="S643" s="101" t="s">
        <v>572</v>
      </c>
      <c r="T643" s="101" t="s">
        <v>573</v>
      </c>
      <c r="U643" s="101"/>
      <c r="V643" s="101"/>
      <c r="W643" s="101"/>
      <c r="X643" s="101" t="s">
        <v>575</v>
      </c>
      <c r="Y643" s="101"/>
      <c r="Z643" s="101" t="s">
        <v>576</v>
      </c>
      <c r="AA643" s="101" t="s">
        <v>577</v>
      </c>
      <c r="AB643" s="101" t="s">
        <v>578</v>
      </c>
      <c r="AC643" s="101" t="s">
        <v>579</v>
      </c>
      <c r="AD643" s="101" t="s">
        <v>580</v>
      </c>
      <c r="AE643" s="101" t="s">
        <v>581</v>
      </c>
      <c r="AF643" s="101" t="s">
        <v>582</v>
      </c>
      <c r="AG643" s="101" t="s">
        <v>583</v>
      </c>
      <c r="AH643" s="101" t="s">
        <v>584</v>
      </c>
      <c r="AI643" s="101"/>
    </row>
    <row r="644" spans="10:35" x14ac:dyDescent="0.2">
      <c r="J644" s="101" t="s">
        <v>30</v>
      </c>
      <c r="K644" s="101" t="s">
        <v>1824</v>
      </c>
      <c r="L644" s="101" t="s">
        <v>1382</v>
      </c>
      <c r="M644" s="101" t="s">
        <v>1825</v>
      </c>
      <c r="N644" s="189">
        <v>11980</v>
      </c>
      <c r="O644" s="101" t="s">
        <v>568</v>
      </c>
      <c r="P644" s="101" t="s">
        <v>569</v>
      </c>
      <c r="Q644" s="101" t="s">
        <v>570</v>
      </c>
      <c r="R644" s="101" t="s">
        <v>571</v>
      </c>
      <c r="S644" s="101" t="s">
        <v>572</v>
      </c>
      <c r="T644" s="101" t="s">
        <v>573</v>
      </c>
      <c r="U644" s="101"/>
      <c r="V644" s="101"/>
      <c r="W644" s="101"/>
      <c r="X644" s="101" t="s">
        <v>575</v>
      </c>
      <c r="Y644" s="101"/>
      <c r="Z644" s="101" t="s">
        <v>576</v>
      </c>
      <c r="AA644" s="101" t="s">
        <v>577</v>
      </c>
      <c r="AB644" s="101" t="s">
        <v>578</v>
      </c>
      <c r="AC644" s="101" t="s">
        <v>579</v>
      </c>
      <c r="AD644" s="101" t="s">
        <v>580</v>
      </c>
      <c r="AE644" s="101" t="s">
        <v>581</v>
      </c>
      <c r="AF644" s="101" t="s">
        <v>582</v>
      </c>
      <c r="AG644" s="101"/>
      <c r="AH644" s="101"/>
      <c r="AI644" s="101"/>
    </row>
    <row r="645" spans="10:35" x14ac:dyDescent="0.2">
      <c r="J645" s="101" t="s">
        <v>30</v>
      </c>
      <c r="K645" s="101" t="s">
        <v>1826</v>
      </c>
      <c r="L645" s="101" t="s">
        <v>1373</v>
      </c>
      <c r="M645" s="101" t="s">
        <v>1827</v>
      </c>
      <c r="N645" s="189">
        <v>12420</v>
      </c>
      <c r="O645" s="101" t="s">
        <v>568</v>
      </c>
      <c r="P645" s="101" t="s">
        <v>569</v>
      </c>
      <c r="Q645" s="101" t="s">
        <v>570</v>
      </c>
      <c r="R645" s="101" t="s">
        <v>571</v>
      </c>
      <c r="S645" s="101" t="s">
        <v>572</v>
      </c>
      <c r="T645" s="101" t="s">
        <v>573</v>
      </c>
      <c r="U645" s="101"/>
      <c r="V645" s="101"/>
      <c r="W645" s="101" t="s">
        <v>574</v>
      </c>
      <c r="X645" s="101" t="s">
        <v>575</v>
      </c>
      <c r="Y645" s="101"/>
      <c r="Z645" s="101" t="s">
        <v>576</v>
      </c>
      <c r="AA645" s="101" t="s">
        <v>577</v>
      </c>
      <c r="AB645" s="101" t="s">
        <v>578</v>
      </c>
      <c r="AC645" s="101" t="s">
        <v>579</v>
      </c>
      <c r="AD645" s="101" t="s">
        <v>580</v>
      </c>
      <c r="AE645" s="101" t="s">
        <v>581</v>
      </c>
      <c r="AF645" s="101" t="s">
        <v>582</v>
      </c>
      <c r="AG645" s="101" t="s">
        <v>583</v>
      </c>
      <c r="AH645" s="101" t="s">
        <v>584</v>
      </c>
      <c r="AI645" s="101" t="s">
        <v>585</v>
      </c>
    </row>
    <row r="646" spans="10:35" x14ac:dyDescent="0.2">
      <c r="J646" s="101" t="s">
        <v>30</v>
      </c>
      <c r="K646" s="101" t="s">
        <v>1828</v>
      </c>
      <c r="L646" s="101" t="s">
        <v>1373</v>
      </c>
      <c r="M646" s="101" t="s">
        <v>1829</v>
      </c>
      <c r="N646" s="189">
        <v>12450</v>
      </c>
      <c r="O646" s="101" t="s">
        <v>568</v>
      </c>
      <c r="P646" s="101" t="s">
        <v>569</v>
      </c>
      <c r="Q646" s="101" t="s">
        <v>570</v>
      </c>
      <c r="R646" s="101" t="s">
        <v>571</v>
      </c>
      <c r="S646" s="101" t="s">
        <v>572</v>
      </c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</row>
    <row r="647" spans="10:35" x14ac:dyDescent="0.2">
      <c r="J647" s="101" t="s">
        <v>30</v>
      </c>
      <c r="K647" s="101" t="s">
        <v>1830</v>
      </c>
      <c r="L647" s="101" t="s">
        <v>1373</v>
      </c>
      <c r="M647" s="101" t="s">
        <v>1831</v>
      </c>
      <c r="N647" s="189">
        <v>12470</v>
      </c>
      <c r="O647" s="101" t="s">
        <v>568</v>
      </c>
      <c r="P647" s="101" t="s">
        <v>569</v>
      </c>
      <c r="Q647" s="101" t="s">
        <v>570</v>
      </c>
      <c r="R647" s="101" t="s">
        <v>571</v>
      </c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</row>
    <row r="648" spans="10:35" x14ac:dyDescent="0.2">
      <c r="J648" s="101" t="s">
        <v>30</v>
      </c>
      <c r="K648" s="101" t="s">
        <v>1832</v>
      </c>
      <c r="L648" s="101" t="s">
        <v>1373</v>
      </c>
      <c r="M648" s="101" t="s">
        <v>1833</v>
      </c>
      <c r="N648" s="189">
        <v>11950</v>
      </c>
      <c r="O648" s="101" t="s">
        <v>568</v>
      </c>
      <c r="P648" s="101" t="s">
        <v>569</v>
      </c>
      <c r="Q648" s="101" t="s">
        <v>570</v>
      </c>
      <c r="R648" s="101" t="s">
        <v>571</v>
      </c>
      <c r="S648" s="101" t="s">
        <v>572</v>
      </c>
      <c r="T648" s="101" t="s">
        <v>573</v>
      </c>
      <c r="U648" s="101"/>
      <c r="V648" s="101"/>
      <c r="W648" s="101"/>
      <c r="X648" s="101" t="s">
        <v>575</v>
      </c>
      <c r="Y648" s="101"/>
      <c r="Z648" s="101" t="s">
        <v>576</v>
      </c>
      <c r="AA648" s="101" t="s">
        <v>577</v>
      </c>
      <c r="AB648" s="101" t="s">
        <v>578</v>
      </c>
      <c r="AC648" s="101" t="s">
        <v>579</v>
      </c>
      <c r="AD648" s="101" t="s">
        <v>580</v>
      </c>
      <c r="AE648" s="101" t="s">
        <v>581</v>
      </c>
      <c r="AF648" s="101" t="s">
        <v>582</v>
      </c>
      <c r="AG648" s="101" t="s">
        <v>583</v>
      </c>
      <c r="AH648" s="101" t="s">
        <v>584</v>
      </c>
      <c r="AI648" s="101" t="s">
        <v>585</v>
      </c>
    </row>
    <row r="649" spans="10:35" x14ac:dyDescent="0.2">
      <c r="J649" s="101" t="s">
        <v>30</v>
      </c>
      <c r="K649" s="101" t="s">
        <v>1834</v>
      </c>
      <c r="L649" s="101" t="s">
        <v>1373</v>
      </c>
      <c r="M649" s="101" t="s">
        <v>1835</v>
      </c>
      <c r="N649" s="189">
        <v>12470</v>
      </c>
      <c r="O649" s="101" t="s">
        <v>568</v>
      </c>
      <c r="P649" s="101" t="s">
        <v>569</v>
      </c>
      <c r="Q649" s="101" t="s">
        <v>570</v>
      </c>
      <c r="R649" s="101" t="s">
        <v>571</v>
      </c>
      <c r="S649" s="101" t="s">
        <v>572</v>
      </c>
      <c r="T649" s="101" t="s">
        <v>573</v>
      </c>
      <c r="U649" s="101"/>
      <c r="V649" s="101"/>
      <c r="W649" s="101"/>
      <c r="X649" s="101" t="s">
        <v>575</v>
      </c>
      <c r="Y649" s="101"/>
      <c r="Z649" s="101" t="s">
        <v>576</v>
      </c>
      <c r="AA649" s="101"/>
      <c r="AB649" s="101"/>
      <c r="AC649" s="101"/>
      <c r="AD649" s="101"/>
      <c r="AE649" s="101"/>
      <c r="AF649" s="101"/>
      <c r="AG649" s="101"/>
      <c r="AH649" s="101"/>
      <c r="AI649" s="101"/>
    </row>
    <row r="650" spans="10:35" x14ac:dyDescent="0.2">
      <c r="J650" s="101" t="s">
        <v>30</v>
      </c>
      <c r="K650" s="101" t="s">
        <v>1836</v>
      </c>
      <c r="L650" s="101" t="s">
        <v>1373</v>
      </c>
      <c r="M650" s="101" t="s">
        <v>1837</v>
      </c>
      <c r="N650" s="189">
        <v>12460</v>
      </c>
      <c r="O650" s="101" t="s">
        <v>568</v>
      </c>
      <c r="P650" s="101" t="s">
        <v>569</v>
      </c>
      <c r="Q650" s="101" t="s">
        <v>570</v>
      </c>
      <c r="R650" s="101" t="s">
        <v>571</v>
      </c>
      <c r="S650" s="101" t="s">
        <v>572</v>
      </c>
      <c r="T650" s="101" t="s">
        <v>573</v>
      </c>
      <c r="U650" s="101"/>
      <c r="V650" s="101"/>
      <c r="W650" s="101"/>
      <c r="X650" s="101" t="s">
        <v>575</v>
      </c>
      <c r="Y650" s="101"/>
      <c r="Z650" s="101" t="s">
        <v>576</v>
      </c>
      <c r="AA650" s="101"/>
      <c r="AB650" s="101"/>
      <c r="AC650" s="101"/>
      <c r="AD650" s="101"/>
      <c r="AE650" s="101"/>
      <c r="AF650" s="101"/>
      <c r="AG650" s="101"/>
      <c r="AH650" s="101"/>
      <c r="AI650" s="101"/>
    </row>
    <row r="651" spans="10:35" x14ac:dyDescent="0.2">
      <c r="J651" s="101" t="s">
        <v>30</v>
      </c>
      <c r="K651" s="101" t="s">
        <v>1838</v>
      </c>
      <c r="L651" s="101" t="s">
        <v>1373</v>
      </c>
      <c r="M651" s="101" t="s">
        <v>1839</v>
      </c>
      <c r="N651" s="189">
        <v>12470</v>
      </c>
      <c r="O651" s="101" t="s">
        <v>568</v>
      </c>
      <c r="P651" s="101" t="s">
        <v>569</v>
      </c>
      <c r="Q651" s="101" t="s">
        <v>570</v>
      </c>
      <c r="R651" s="101" t="s">
        <v>571</v>
      </c>
      <c r="S651" s="101"/>
      <c r="T651" s="101"/>
      <c r="U651" s="101"/>
      <c r="V651" s="101" t="s">
        <v>2361</v>
      </c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</row>
    <row r="652" spans="10:35" x14ac:dyDescent="0.2">
      <c r="J652" s="101" t="s">
        <v>30</v>
      </c>
      <c r="K652" s="101" t="s">
        <v>1840</v>
      </c>
      <c r="L652" s="101" t="s">
        <v>1382</v>
      </c>
      <c r="M652" s="101" t="s">
        <v>1841</v>
      </c>
      <c r="N652" s="189">
        <v>12000</v>
      </c>
      <c r="O652" s="101" t="s">
        <v>568</v>
      </c>
      <c r="P652" s="101" t="s">
        <v>569</v>
      </c>
      <c r="Q652" s="101" t="s">
        <v>570</v>
      </c>
      <c r="R652" s="101" t="s">
        <v>571</v>
      </c>
      <c r="S652" s="101" t="s">
        <v>572</v>
      </c>
      <c r="T652" s="101" t="s">
        <v>573</v>
      </c>
      <c r="U652" s="101"/>
      <c r="V652" s="101"/>
      <c r="W652" s="101"/>
      <c r="X652" s="101" t="s">
        <v>575</v>
      </c>
      <c r="Y652" s="101"/>
      <c r="Z652" s="101" t="s">
        <v>576</v>
      </c>
      <c r="AA652" s="101" t="s">
        <v>577</v>
      </c>
      <c r="AB652" s="101" t="s">
        <v>578</v>
      </c>
      <c r="AC652" s="101" t="s">
        <v>579</v>
      </c>
      <c r="AD652" s="101" t="s">
        <v>580</v>
      </c>
      <c r="AE652" s="101" t="s">
        <v>581</v>
      </c>
      <c r="AF652" s="101" t="s">
        <v>582</v>
      </c>
      <c r="AG652" s="101"/>
      <c r="AH652" s="101"/>
      <c r="AI652" s="101"/>
    </row>
    <row r="653" spans="10:35" x14ac:dyDescent="0.2">
      <c r="J653" s="101" t="s">
        <v>30</v>
      </c>
      <c r="K653" s="101" t="s">
        <v>1842</v>
      </c>
      <c r="L653" s="101" t="s">
        <v>1843</v>
      </c>
      <c r="M653" s="101" t="s">
        <v>1844</v>
      </c>
      <c r="N653" s="189">
        <v>12460</v>
      </c>
      <c r="O653" s="101" t="s">
        <v>568</v>
      </c>
      <c r="P653" s="101" t="s">
        <v>569</v>
      </c>
      <c r="Q653" s="101" t="s">
        <v>570</v>
      </c>
      <c r="R653" s="101" t="s">
        <v>571</v>
      </c>
      <c r="S653" s="101" t="s">
        <v>572</v>
      </c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</row>
    <row r="654" spans="10:35" x14ac:dyDescent="0.2">
      <c r="J654" s="101" t="s">
        <v>30</v>
      </c>
      <c r="K654" s="101" t="s">
        <v>1845</v>
      </c>
      <c r="L654" s="101" t="s">
        <v>1843</v>
      </c>
      <c r="M654" s="101" t="s">
        <v>1846</v>
      </c>
      <c r="N654" s="189">
        <v>12460</v>
      </c>
      <c r="O654" s="101" t="s">
        <v>568</v>
      </c>
      <c r="P654" s="101" t="s">
        <v>569</v>
      </c>
      <c r="Q654" s="101" t="s">
        <v>570</v>
      </c>
      <c r="R654" s="101" t="s">
        <v>571</v>
      </c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</row>
    <row r="655" spans="10:35" x14ac:dyDescent="0.2">
      <c r="J655" s="101" t="s">
        <v>30</v>
      </c>
      <c r="K655" s="101" t="s">
        <v>1847</v>
      </c>
      <c r="L655" s="101" t="s">
        <v>1843</v>
      </c>
      <c r="M655" s="101" t="s">
        <v>1848</v>
      </c>
      <c r="N655" s="189">
        <v>12460</v>
      </c>
      <c r="O655" s="101" t="s">
        <v>568</v>
      </c>
      <c r="P655" s="101" t="s">
        <v>569</v>
      </c>
      <c r="Q655" s="101" t="s">
        <v>570</v>
      </c>
      <c r="R655" s="101" t="s">
        <v>571</v>
      </c>
      <c r="S655" s="101" t="s">
        <v>572</v>
      </c>
      <c r="T655" s="101" t="s">
        <v>573</v>
      </c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</row>
    <row r="656" spans="10:35" x14ac:dyDescent="0.2">
      <c r="J656" s="101" t="s">
        <v>30</v>
      </c>
      <c r="K656" s="101" t="s">
        <v>1849</v>
      </c>
      <c r="L656" s="101" t="s">
        <v>1843</v>
      </c>
      <c r="M656" s="101" t="s">
        <v>1850</v>
      </c>
      <c r="N656" s="189">
        <v>12450</v>
      </c>
      <c r="O656" s="101" t="s">
        <v>568</v>
      </c>
      <c r="P656" s="101" t="s">
        <v>569</v>
      </c>
      <c r="Q656" s="101" t="s">
        <v>570</v>
      </c>
      <c r="R656" s="101" t="s">
        <v>571</v>
      </c>
      <c r="S656" s="101" t="s">
        <v>572</v>
      </c>
      <c r="T656" s="101" t="s">
        <v>573</v>
      </c>
      <c r="U656" s="101"/>
      <c r="V656" s="101"/>
      <c r="W656" s="101"/>
      <c r="X656" s="101" t="s">
        <v>575</v>
      </c>
      <c r="Y656" s="101"/>
      <c r="Z656" s="101" t="s">
        <v>576</v>
      </c>
      <c r="AA656" s="101"/>
      <c r="AB656" s="101"/>
      <c r="AC656" s="101"/>
      <c r="AD656" s="101"/>
      <c r="AE656" s="101"/>
      <c r="AF656" s="101"/>
      <c r="AG656" s="101"/>
      <c r="AH656" s="101"/>
      <c r="AI656" s="101"/>
    </row>
    <row r="657" spans="10:35" x14ac:dyDescent="0.2">
      <c r="J657" s="101" t="s">
        <v>30</v>
      </c>
      <c r="K657" s="101" t="s">
        <v>1851</v>
      </c>
      <c r="L657" s="101" t="s">
        <v>1843</v>
      </c>
      <c r="M657" s="101" t="s">
        <v>1852</v>
      </c>
      <c r="N657" s="189">
        <v>12470</v>
      </c>
      <c r="O657" s="101" t="s">
        <v>568</v>
      </c>
      <c r="P657" s="101" t="s">
        <v>569</v>
      </c>
      <c r="Q657" s="101" t="s">
        <v>570</v>
      </c>
      <c r="R657" s="101" t="s">
        <v>571</v>
      </c>
      <c r="S657" s="101" t="s">
        <v>572</v>
      </c>
      <c r="T657" s="101" t="s">
        <v>573</v>
      </c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</row>
    <row r="658" spans="10:35" x14ac:dyDescent="0.2">
      <c r="J658" s="101" t="s">
        <v>30</v>
      </c>
      <c r="K658" s="101" t="s">
        <v>1853</v>
      </c>
      <c r="L658" s="101" t="s">
        <v>1843</v>
      </c>
      <c r="M658" s="101" t="s">
        <v>1854</v>
      </c>
      <c r="N658" s="189">
        <v>12460</v>
      </c>
      <c r="O658" s="101" t="s">
        <v>568</v>
      </c>
      <c r="P658" s="101" t="s">
        <v>569</v>
      </c>
      <c r="Q658" s="101" t="s">
        <v>570</v>
      </c>
      <c r="R658" s="101" t="s">
        <v>571</v>
      </c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</row>
    <row r="659" spans="10:35" x14ac:dyDescent="0.2">
      <c r="J659" s="101" t="s">
        <v>30</v>
      </c>
      <c r="K659" s="101" t="s">
        <v>1855</v>
      </c>
      <c r="L659" s="101" t="s">
        <v>1856</v>
      </c>
      <c r="M659" s="101" t="s">
        <v>1857</v>
      </c>
      <c r="N659" s="189">
        <v>12210</v>
      </c>
      <c r="O659" s="101" t="s">
        <v>568</v>
      </c>
      <c r="P659" s="101" t="s">
        <v>569</v>
      </c>
      <c r="Q659" s="101" t="s">
        <v>570</v>
      </c>
      <c r="R659" s="101" t="s">
        <v>571</v>
      </c>
      <c r="S659" s="101" t="s">
        <v>572</v>
      </c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</row>
    <row r="660" spans="10:35" x14ac:dyDescent="0.2">
      <c r="J660" s="101" t="s">
        <v>30</v>
      </c>
      <c r="K660" s="101" t="s">
        <v>1858</v>
      </c>
      <c r="L660" s="101" t="s">
        <v>1856</v>
      </c>
      <c r="M660" s="101" t="s">
        <v>1859</v>
      </c>
      <c r="N660" s="189">
        <v>12460</v>
      </c>
      <c r="O660" s="101" t="s">
        <v>568</v>
      </c>
      <c r="P660" s="101" t="s">
        <v>569</v>
      </c>
      <c r="Q660" s="101" t="s">
        <v>570</v>
      </c>
      <c r="R660" s="101" t="s">
        <v>571</v>
      </c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</row>
    <row r="661" spans="10:35" x14ac:dyDescent="0.2">
      <c r="J661" s="101" t="s">
        <v>30</v>
      </c>
      <c r="K661" s="101" t="s">
        <v>1860</v>
      </c>
      <c r="L661" s="101" t="s">
        <v>1856</v>
      </c>
      <c r="M661" s="101" t="s">
        <v>1861</v>
      </c>
      <c r="N661" s="189">
        <v>12460</v>
      </c>
      <c r="O661" s="101" t="s">
        <v>568</v>
      </c>
      <c r="P661" s="101" t="s">
        <v>569</v>
      </c>
      <c r="Q661" s="101" t="s">
        <v>570</v>
      </c>
      <c r="R661" s="101" t="s">
        <v>571</v>
      </c>
      <c r="S661" s="101" t="s">
        <v>572</v>
      </c>
      <c r="T661" s="101" t="s">
        <v>573</v>
      </c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</row>
    <row r="662" spans="10:35" x14ac:dyDescent="0.2">
      <c r="J662" s="101" t="s">
        <v>30</v>
      </c>
      <c r="K662" s="101" t="s">
        <v>1862</v>
      </c>
      <c r="L662" s="101" t="s">
        <v>1856</v>
      </c>
      <c r="M662" s="101" t="s">
        <v>1863</v>
      </c>
      <c r="N662" s="189">
        <v>12460</v>
      </c>
      <c r="O662" s="101" t="s">
        <v>568</v>
      </c>
      <c r="P662" s="101" t="s">
        <v>569</v>
      </c>
      <c r="Q662" s="101" t="s">
        <v>570</v>
      </c>
      <c r="R662" s="101" t="s">
        <v>571</v>
      </c>
      <c r="S662" s="101" t="s">
        <v>572</v>
      </c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</row>
    <row r="663" spans="10:35" x14ac:dyDescent="0.2">
      <c r="J663" s="101" t="s">
        <v>30</v>
      </c>
      <c r="K663" s="101" t="s">
        <v>1864</v>
      </c>
      <c r="L663" s="101" t="s">
        <v>1856</v>
      </c>
      <c r="M663" s="101" t="s">
        <v>1865</v>
      </c>
      <c r="N663" s="189">
        <v>12470</v>
      </c>
      <c r="O663" s="101" t="s">
        <v>568</v>
      </c>
      <c r="P663" s="101" t="s">
        <v>569</v>
      </c>
      <c r="Q663" s="101" t="s">
        <v>570</v>
      </c>
      <c r="R663" s="101"/>
      <c r="S663" s="101"/>
      <c r="T663" s="101"/>
      <c r="U663" s="101"/>
      <c r="V663" s="101" t="s">
        <v>2361</v>
      </c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</row>
    <row r="664" spans="10:35" x14ac:dyDescent="0.2">
      <c r="J664" s="101" t="s">
        <v>30</v>
      </c>
      <c r="K664" s="101" t="s">
        <v>1866</v>
      </c>
      <c r="L664" s="101" t="s">
        <v>1856</v>
      </c>
      <c r="M664" s="101" t="s">
        <v>1867</v>
      </c>
      <c r="N664" s="189">
        <v>12460</v>
      </c>
      <c r="O664" s="101" t="s">
        <v>568</v>
      </c>
      <c r="P664" s="101" t="s">
        <v>569</v>
      </c>
      <c r="Q664" s="101" t="s">
        <v>570</v>
      </c>
      <c r="R664" s="101" t="s">
        <v>571</v>
      </c>
      <c r="S664" s="101" t="s">
        <v>572</v>
      </c>
      <c r="T664" s="101" t="s">
        <v>573</v>
      </c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</row>
    <row r="665" spans="10:35" x14ac:dyDescent="0.2">
      <c r="J665" s="101" t="s">
        <v>30</v>
      </c>
      <c r="K665" s="101" t="s">
        <v>1868</v>
      </c>
      <c r="L665" s="101" t="s">
        <v>1856</v>
      </c>
      <c r="M665" s="101" t="s">
        <v>1869</v>
      </c>
      <c r="N665" s="189">
        <v>12460</v>
      </c>
      <c r="O665" s="101" t="s">
        <v>568</v>
      </c>
      <c r="P665" s="101" t="s">
        <v>569</v>
      </c>
      <c r="Q665" s="101" t="s">
        <v>570</v>
      </c>
      <c r="R665" s="101" t="s">
        <v>571</v>
      </c>
      <c r="S665" s="101" t="s">
        <v>572</v>
      </c>
      <c r="T665" s="101" t="s">
        <v>573</v>
      </c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</row>
    <row r="666" spans="10:35" x14ac:dyDescent="0.2">
      <c r="J666" s="101" t="s">
        <v>30</v>
      </c>
      <c r="K666" s="101" t="s">
        <v>1870</v>
      </c>
      <c r="L666" s="101" t="s">
        <v>1856</v>
      </c>
      <c r="M666" s="101" t="s">
        <v>1871</v>
      </c>
      <c r="N666" s="189">
        <v>12460</v>
      </c>
      <c r="O666" s="101" t="s">
        <v>568</v>
      </c>
      <c r="P666" s="101" t="s">
        <v>569</v>
      </c>
      <c r="Q666" s="101" t="s">
        <v>570</v>
      </c>
      <c r="R666" s="101" t="s">
        <v>571</v>
      </c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</row>
    <row r="667" spans="10:35" x14ac:dyDescent="0.2">
      <c r="J667" s="101" t="s">
        <v>30</v>
      </c>
      <c r="K667" s="101" t="s">
        <v>1872</v>
      </c>
      <c r="L667" s="101" t="s">
        <v>1856</v>
      </c>
      <c r="M667" s="101" t="s">
        <v>1873</v>
      </c>
      <c r="N667" s="189">
        <v>12460</v>
      </c>
      <c r="O667" s="101" t="s">
        <v>568</v>
      </c>
      <c r="P667" s="101" t="s">
        <v>569</v>
      </c>
      <c r="Q667" s="101" t="s">
        <v>570</v>
      </c>
      <c r="R667" s="101" t="s">
        <v>571</v>
      </c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</row>
    <row r="668" spans="10:35" x14ac:dyDescent="0.2">
      <c r="J668" s="101" t="s">
        <v>30</v>
      </c>
      <c r="K668" s="101" t="s">
        <v>1874</v>
      </c>
      <c r="L668" s="101" t="s">
        <v>1843</v>
      </c>
      <c r="M668" s="101" t="s">
        <v>1875</v>
      </c>
      <c r="N668" s="189">
        <v>12450</v>
      </c>
      <c r="O668" s="101" t="s">
        <v>568</v>
      </c>
      <c r="P668" s="101" t="s">
        <v>569</v>
      </c>
      <c r="Q668" s="101" t="s">
        <v>570</v>
      </c>
      <c r="R668" s="101" t="s">
        <v>571</v>
      </c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</row>
    <row r="669" spans="10:35" x14ac:dyDescent="0.2">
      <c r="J669" s="101" t="s">
        <v>30</v>
      </c>
      <c r="K669" s="101" t="s">
        <v>1876</v>
      </c>
      <c r="L669" s="101" t="s">
        <v>1843</v>
      </c>
      <c r="M669" s="101" t="s">
        <v>1877</v>
      </c>
      <c r="N669" s="189">
        <v>12440</v>
      </c>
      <c r="O669" s="101" t="s">
        <v>568</v>
      </c>
      <c r="P669" s="101" t="s">
        <v>569</v>
      </c>
      <c r="Q669" s="101" t="s">
        <v>570</v>
      </c>
      <c r="R669" s="101" t="s">
        <v>571</v>
      </c>
      <c r="S669" s="101" t="s">
        <v>572</v>
      </c>
      <c r="T669" s="101" t="s">
        <v>573</v>
      </c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</row>
    <row r="670" spans="10:35" x14ac:dyDescent="0.2">
      <c r="J670" s="101" t="s">
        <v>30</v>
      </c>
      <c r="K670" s="101" t="s">
        <v>1878</v>
      </c>
      <c r="L670" s="101" t="s">
        <v>1856</v>
      </c>
      <c r="M670" s="101" t="s">
        <v>1879</v>
      </c>
      <c r="N670" s="189">
        <v>12470</v>
      </c>
      <c r="O670" s="101" t="s">
        <v>568</v>
      </c>
      <c r="P670" s="101" t="s">
        <v>569</v>
      </c>
      <c r="Q670" s="101" t="s">
        <v>570</v>
      </c>
      <c r="R670" s="101" t="s">
        <v>571</v>
      </c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</row>
    <row r="671" spans="10:35" x14ac:dyDescent="0.2">
      <c r="J671" s="101" t="s">
        <v>30</v>
      </c>
      <c r="K671" s="101" t="s">
        <v>1880</v>
      </c>
      <c r="L671" s="101" t="s">
        <v>1856</v>
      </c>
      <c r="M671" s="101" t="s">
        <v>1881</v>
      </c>
      <c r="N671" s="189">
        <v>12470</v>
      </c>
      <c r="O671" s="101" t="s">
        <v>568</v>
      </c>
      <c r="P671" s="101" t="s">
        <v>569</v>
      </c>
      <c r="Q671" s="101" t="s">
        <v>570</v>
      </c>
      <c r="R671" s="101" t="s">
        <v>571</v>
      </c>
      <c r="S671" s="101" t="s">
        <v>572</v>
      </c>
      <c r="T671" s="101" t="s">
        <v>573</v>
      </c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</row>
    <row r="672" spans="10:35" x14ac:dyDescent="0.2">
      <c r="J672" s="101" t="s">
        <v>30</v>
      </c>
      <c r="K672" s="101" t="s">
        <v>1882</v>
      </c>
      <c r="L672" s="101" t="s">
        <v>1856</v>
      </c>
      <c r="M672" s="101" t="s">
        <v>1883</v>
      </c>
      <c r="N672" s="189">
        <v>12460</v>
      </c>
      <c r="O672" s="101" t="s">
        <v>568</v>
      </c>
      <c r="P672" s="101" t="s">
        <v>569</v>
      </c>
      <c r="Q672" s="101" t="s">
        <v>570</v>
      </c>
      <c r="R672" s="101" t="s">
        <v>571</v>
      </c>
      <c r="S672" s="101" t="s">
        <v>572</v>
      </c>
      <c r="T672" s="101" t="s">
        <v>573</v>
      </c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</row>
    <row r="673" spans="10:35" x14ac:dyDescent="0.2">
      <c r="J673" s="101" t="s">
        <v>30</v>
      </c>
      <c r="K673" s="101" t="s">
        <v>1884</v>
      </c>
      <c r="L673" s="101" t="s">
        <v>1856</v>
      </c>
      <c r="M673" s="101" t="s">
        <v>1885</v>
      </c>
      <c r="N673" s="189">
        <v>12450</v>
      </c>
      <c r="O673" s="101" t="s">
        <v>568</v>
      </c>
      <c r="P673" s="101" t="s">
        <v>569</v>
      </c>
      <c r="Q673" s="101" t="s">
        <v>570</v>
      </c>
      <c r="R673" s="101" t="s">
        <v>571</v>
      </c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</row>
    <row r="674" spans="10:35" x14ac:dyDescent="0.2">
      <c r="J674" s="101" t="s">
        <v>30</v>
      </c>
      <c r="K674" s="101" t="s">
        <v>1886</v>
      </c>
      <c r="L674" s="101" t="s">
        <v>1856</v>
      </c>
      <c r="M674" s="101" t="s">
        <v>1887</v>
      </c>
      <c r="N674" s="189">
        <v>12470</v>
      </c>
      <c r="O674" s="101" t="s">
        <v>568</v>
      </c>
      <c r="P674" s="101" t="s">
        <v>569</v>
      </c>
      <c r="Q674" s="101" t="s">
        <v>570</v>
      </c>
      <c r="R674" s="101" t="s">
        <v>571</v>
      </c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</row>
    <row r="675" spans="10:35" x14ac:dyDescent="0.2">
      <c r="J675" s="101" t="s">
        <v>30</v>
      </c>
      <c r="K675" s="101" t="s">
        <v>1888</v>
      </c>
      <c r="L675" s="101" t="s">
        <v>1856</v>
      </c>
      <c r="M675" s="101" t="s">
        <v>1889</v>
      </c>
      <c r="N675" s="189">
        <v>12000</v>
      </c>
      <c r="O675" s="101" t="s">
        <v>568</v>
      </c>
      <c r="P675" s="101" t="s">
        <v>569</v>
      </c>
      <c r="Q675" s="101" t="s">
        <v>570</v>
      </c>
      <c r="R675" s="101" t="s">
        <v>571</v>
      </c>
      <c r="S675" s="101" t="s">
        <v>572</v>
      </c>
      <c r="T675" s="101" t="s">
        <v>573</v>
      </c>
      <c r="U675" s="101"/>
      <c r="V675" s="101"/>
      <c r="W675" s="101"/>
      <c r="X675" s="101" t="s">
        <v>575</v>
      </c>
      <c r="Y675" s="101"/>
      <c r="Z675" s="101" t="s">
        <v>576</v>
      </c>
      <c r="AA675" s="101" t="s">
        <v>577</v>
      </c>
      <c r="AB675" s="101" t="s">
        <v>578</v>
      </c>
      <c r="AC675" s="101" t="s">
        <v>579</v>
      </c>
      <c r="AD675" s="101" t="s">
        <v>580</v>
      </c>
      <c r="AE675" s="101" t="s">
        <v>581</v>
      </c>
      <c r="AF675" s="101"/>
      <c r="AG675" s="101"/>
      <c r="AH675" s="101"/>
      <c r="AI675" s="101"/>
    </row>
    <row r="676" spans="10:35" x14ac:dyDescent="0.2">
      <c r="J676" s="101" t="s">
        <v>30</v>
      </c>
      <c r="K676" s="101" t="s">
        <v>1890</v>
      </c>
      <c r="L676" s="101" t="s">
        <v>1856</v>
      </c>
      <c r="M676" s="101" t="s">
        <v>1891</v>
      </c>
      <c r="N676" s="189">
        <v>12460</v>
      </c>
      <c r="O676" s="101" t="s">
        <v>568</v>
      </c>
      <c r="P676" s="101" t="s">
        <v>569</v>
      </c>
      <c r="Q676" s="101" t="s">
        <v>570</v>
      </c>
      <c r="R676" s="101" t="s">
        <v>571</v>
      </c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</row>
    <row r="677" spans="10:35" x14ac:dyDescent="0.2">
      <c r="J677" s="101" t="s">
        <v>30</v>
      </c>
      <c r="K677" s="101" t="s">
        <v>1892</v>
      </c>
      <c r="L677" s="101" t="s">
        <v>1856</v>
      </c>
      <c r="M677" s="101" t="s">
        <v>1893</v>
      </c>
      <c r="N677" s="189">
        <v>12000</v>
      </c>
      <c r="O677" s="101" t="s">
        <v>568</v>
      </c>
      <c r="P677" s="101" t="s">
        <v>569</v>
      </c>
      <c r="Q677" s="101" t="s">
        <v>570</v>
      </c>
      <c r="R677" s="101" t="s">
        <v>571</v>
      </c>
      <c r="S677" s="101" t="s">
        <v>572</v>
      </c>
      <c r="T677" s="101" t="s">
        <v>573</v>
      </c>
      <c r="U677" s="101"/>
      <c r="V677" s="101"/>
      <c r="W677" s="101"/>
      <c r="X677" s="101" t="s">
        <v>575</v>
      </c>
      <c r="Y677" s="101"/>
      <c r="Z677" s="101" t="s">
        <v>576</v>
      </c>
      <c r="AA677" s="101" t="s">
        <v>577</v>
      </c>
      <c r="AB677" s="101" t="s">
        <v>578</v>
      </c>
      <c r="AC677" s="101" t="s">
        <v>579</v>
      </c>
      <c r="AD677" s="101" t="s">
        <v>580</v>
      </c>
      <c r="AE677" s="101" t="s">
        <v>581</v>
      </c>
      <c r="AF677" s="101" t="s">
        <v>582</v>
      </c>
      <c r="AG677" s="101"/>
      <c r="AH677" s="101"/>
      <c r="AI677" s="101"/>
    </row>
    <row r="678" spans="10:35" x14ac:dyDescent="0.2">
      <c r="J678" s="101" t="s">
        <v>30</v>
      </c>
      <c r="K678" s="101" t="s">
        <v>1894</v>
      </c>
      <c r="L678" s="101" t="s">
        <v>1856</v>
      </c>
      <c r="M678" s="101" t="s">
        <v>1895</v>
      </c>
      <c r="N678" s="189">
        <v>12470</v>
      </c>
      <c r="O678" s="101" t="s">
        <v>568</v>
      </c>
      <c r="P678" s="101" t="s">
        <v>569</v>
      </c>
      <c r="Q678" s="101" t="s">
        <v>570</v>
      </c>
      <c r="R678" s="101" t="s">
        <v>571</v>
      </c>
      <c r="S678" s="101" t="s">
        <v>572</v>
      </c>
      <c r="T678" s="101" t="s">
        <v>573</v>
      </c>
      <c r="U678" s="101"/>
      <c r="V678" s="101"/>
      <c r="W678" s="101" t="s">
        <v>574</v>
      </c>
      <c r="X678" s="101" t="s">
        <v>575</v>
      </c>
      <c r="Y678" s="101"/>
      <c r="Z678" s="101" t="s">
        <v>576</v>
      </c>
      <c r="AA678" s="101" t="s">
        <v>577</v>
      </c>
      <c r="AB678" s="101" t="s">
        <v>578</v>
      </c>
      <c r="AC678" s="101" t="s">
        <v>579</v>
      </c>
      <c r="AD678" s="101" t="s">
        <v>580</v>
      </c>
      <c r="AE678" s="101" t="s">
        <v>581</v>
      </c>
      <c r="AF678" s="101"/>
      <c r="AG678" s="101"/>
      <c r="AH678" s="101"/>
      <c r="AI678" s="101"/>
    </row>
    <row r="679" spans="10:35" x14ac:dyDescent="0.2">
      <c r="J679" s="101" t="s">
        <v>30</v>
      </c>
      <c r="K679" s="101" t="s">
        <v>1896</v>
      </c>
      <c r="L679" s="101" t="s">
        <v>1856</v>
      </c>
      <c r="M679" s="101" t="s">
        <v>1897</v>
      </c>
      <c r="N679" s="189">
        <v>12470</v>
      </c>
      <c r="O679" s="101" t="s">
        <v>568</v>
      </c>
      <c r="P679" s="101" t="s">
        <v>569</v>
      </c>
      <c r="Q679" s="101" t="s">
        <v>570</v>
      </c>
      <c r="R679" s="101" t="s">
        <v>571</v>
      </c>
      <c r="S679" s="101" t="s">
        <v>572</v>
      </c>
      <c r="T679" s="101" t="s">
        <v>573</v>
      </c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</row>
    <row r="680" spans="10:35" x14ac:dyDescent="0.2">
      <c r="J680" s="101" t="s">
        <v>30</v>
      </c>
      <c r="K680" s="101" t="s">
        <v>1898</v>
      </c>
      <c r="L680" s="101" t="s">
        <v>1843</v>
      </c>
      <c r="M680" s="101" t="s">
        <v>1899</v>
      </c>
      <c r="N680" s="189">
        <v>12450</v>
      </c>
      <c r="O680" s="101" t="s">
        <v>568</v>
      </c>
      <c r="P680" s="101" t="s">
        <v>569</v>
      </c>
      <c r="Q680" s="101" t="s">
        <v>570</v>
      </c>
      <c r="R680" s="101" t="s">
        <v>571</v>
      </c>
      <c r="S680" s="101" t="s">
        <v>572</v>
      </c>
      <c r="T680" s="101" t="s">
        <v>573</v>
      </c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</row>
    <row r="681" spans="10:35" x14ac:dyDescent="0.2">
      <c r="J681" s="101" t="s">
        <v>30</v>
      </c>
      <c r="K681" s="101" t="s">
        <v>1900</v>
      </c>
      <c r="L681" s="101" t="s">
        <v>1843</v>
      </c>
      <c r="M681" s="101" t="s">
        <v>1901</v>
      </c>
      <c r="N681" s="189">
        <v>12460</v>
      </c>
      <c r="O681" s="101" t="s">
        <v>568</v>
      </c>
      <c r="P681" s="101" t="s">
        <v>569</v>
      </c>
      <c r="Q681" s="101" t="s">
        <v>570</v>
      </c>
      <c r="R681" s="101" t="s">
        <v>571</v>
      </c>
      <c r="S681" s="101" t="s">
        <v>572</v>
      </c>
      <c r="T681" s="101" t="s">
        <v>573</v>
      </c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</row>
    <row r="682" spans="10:35" x14ac:dyDescent="0.2">
      <c r="J682" s="101" t="s">
        <v>30</v>
      </c>
      <c r="K682" s="101" t="s">
        <v>1902</v>
      </c>
      <c r="L682" s="101" t="s">
        <v>1843</v>
      </c>
      <c r="M682" s="101" t="s">
        <v>1903</v>
      </c>
      <c r="N682" s="189">
        <v>12450</v>
      </c>
      <c r="O682" s="101" t="s">
        <v>568</v>
      </c>
      <c r="P682" s="101" t="s">
        <v>569</v>
      </c>
      <c r="Q682" s="101" t="s">
        <v>570</v>
      </c>
      <c r="R682" s="101" t="s">
        <v>571</v>
      </c>
      <c r="S682" s="101" t="s">
        <v>572</v>
      </c>
      <c r="T682" s="101" t="s">
        <v>573</v>
      </c>
      <c r="U682" s="101"/>
      <c r="V682" s="101"/>
      <c r="W682" s="101"/>
      <c r="X682" s="101" t="s">
        <v>575</v>
      </c>
      <c r="Y682" s="101"/>
      <c r="Z682" s="101" t="s">
        <v>576</v>
      </c>
      <c r="AA682" s="101"/>
      <c r="AB682" s="101"/>
      <c r="AC682" s="101"/>
      <c r="AD682" s="101"/>
      <c r="AE682" s="101"/>
      <c r="AF682" s="101"/>
      <c r="AG682" s="101"/>
      <c r="AH682" s="101"/>
      <c r="AI682" s="101"/>
    </row>
    <row r="683" spans="10:35" x14ac:dyDescent="0.2">
      <c r="J683" s="101" t="s">
        <v>30</v>
      </c>
      <c r="K683" s="101" t="s">
        <v>1904</v>
      </c>
      <c r="L683" s="101" t="s">
        <v>1843</v>
      </c>
      <c r="M683" s="101" t="s">
        <v>1905</v>
      </c>
      <c r="N683" s="189">
        <v>12450</v>
      </c>
      <c r="O683" s="101" t="s">
        <v>568</v>
      </c>
      <c r="P683" s="101" t="s">
        <v>569</v>
      </c>
      <c r="Q683" s="101" t="s">
        <v>570</v>
      </c>
      <c r="R683" s="101" t="s">
        <v>571</v>
      </c>
      <c r="S683" s="101" t="s">
        <v>572</v>
      </c>
      <c r="T683" s="101" t="s">
        <v>573</v>
      </c>
      <c r="U683" s="101"/>
      <c r="V683" s="101"/>
      <c r="W683" s="101" t="s">
        <v>574</v>
      </c>
      <c r="X683" s="101" t="s">
        <v>575</v>
      </c>
      <c r="Y683" s="101"/>
      <c r="Z683" s="101" t="s">
        <v>576</v>
      </c>
      <c r="AA683" s="101" t="s">
        <v>577</v>
      </c>
      <c r="AB683" s="101" t="s">
        <v>578</v>
      </c>
      <c r="AC683" s="101"/>
      <c r="AD683" s="101"/>
      <c r="AE683" s="101"/>
      <c r="AF683" s="101"/>
      <c r="AG683" s="101"/>
      <c r="AH683" s="101"/>
      <c r="AI683" s="101"/>
    </row>
    <row r="684" spans="10:35" x14ac:dyDescent="0.2">
      <c r="J684" s="101" t="s">
        <v>30</v>
      </c>
      <c r="K684" s="101" t="s">
        <v>1906</v>
      </c>
      <c r="L684" s="101" t="s">
        <v>1843</v>
      </c>
      <c r="M684" s="101" t="s">
        <v>1907</v>
      </c>
      <c r="N684" s="189">
        <v>12450</v>
      </c>
      <c r="O684" s="101" t="s">
        <v>568</v>
      </c>
      <c r="P684" s="101" t="s">
        <v>569</v>
      </c>
      <c r="Q684" s="101" t="s">
        <v>570</v>
      </c>
      <c r="R684" s="101" t="s">
        <v>571</v>
      </c>
      <c r="S684" s="101" t="s">
        <v>572</v>
      </c>
      <c r="T684" s="101" t="s">
        <v>573</v>
      </c>
      <c r="U684" s="101"/>
      <c r="V684" s="101"/>
      <c r="W684" s="101"/>
      <c r="X684" s="101" t="s">
        <v>575</v>
      </c>
      <c r="Y684" s="101"/>
      <c r="Z684" s="101" t="s">
        <v>576</v>
      </c>
      <c r="AA684" s="101" t="s">
        <v>577</v>
      </c>
      <c r="AB684" s="101" t="s">
        <v>578</v>
      </c>
      <c r="AC684" s="101" t="s">
        <v>579</v>
      </c>
      <c r="AD684" s="101" t="s">
        <v>580</v>
      </c>
      <c r="AE684" s="101" t="s">
        <v>581</v>
      </c>
      <c r="AF684" s="101" t="s">
        <v>582</v>
      </c>
      <c r="AG684" s="101"/>
      <c r="AH684" s="101"/>
      <c r="AI684" s="101"/>
    </row>
    <row r="685" spans="10:35" x14ac:dyDescent="0.2">
      <c r="J685" s="101" t="s">
        <v>30</v>
      </c>
      <c r="K685" s="101" t="s">
        <v>1908</v>
      </c>
      <c r="L685" s="101" t="s">
        <v>1843</v>
      </c>
      <c r="M685" s="101" t="s">
        <v>1909</v>
      </c>
      <c r="N685" s="189">
        <v>12460</v>
      </c>
      <c r="O685" s="101" t="s">
        <v>568</v>
      </c>
      <c r="P685" s="101" t="s">
        <v>569</v>
      </c>
      <c r="Q685" s="101" t="s">
        <v>570</v>
      </c>
      <c r="R685" s="101" t="s">
        <v>571</v>
      </c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</row>
    <row r="686" spans="10:35" x14ac:dyDescent="0.2">
      <c r="J686" s="101" t="s">
        <v>30</v>
      </c>
      <c r="K686" s="101" t="s">
        <v>1910</v>
      </c>
      <c r="L686" s="101" t="s">
        <v>1856</v>
      </c>
      <c r="M686" s="101" t="s">
        <v>1911</v>
      </c>
      <c r="N686" s="189">
        <v>12300</v>
      </c>
      <c r="O686" s="101" t="s">
        <v>568</v>
      </c>
      <c r="P686" s="101" t="s">
        <v>569</v>
      </c>
      <c r="Q686" s="101" t="s">
        <v>570</v>
      </c>
      <c r="R686" s="101" t="s">
        <v>571</v>
      </c>
      <c r="S686" s="101" t="s">
        <v>572</v>
      </c>
      <c r="T686" s="101" t="s">
        <v>573</v>
      </c>
      <c r="U686" s="101"/>
      <c r="V686" s="101"/>
      <c r="W686" s="101"/>
      <c r="X686" s="101" t="s">
        <v>575</v>
      </c>
      <c r="Y686" s="101"/>
      <c r="Z686" s="101" t="s">
        <v>576</v>
      </c>
      <c r="AA686" s="101" t="s">
        <v>577</v>
      </c>
      <c r="AB686" s="101" t="s">
        <v>578</v>
      </c>
      <c r="AC686" s="101" t="s">
        <v>579</v>
      </c>
      <c r="AD686" s="101" t="s">
        <v>580</v>
      </c>
      <c r="AE686" s="101" t="s">
        <v>581</v>
      </c>
      <c r="AF686" s="101" t="s">
        <v>582</v>
      </c>
      <c r="AG686" s="101" t="s">
        <v>583</v>
      </c>
      <c r="AH686" s="101" t="s">
        <v>584</v>
      </c>
      <c r="AI686" s="101" t="s">
        <v>585</v>
      </c>
    </row>
    <row r="687" spans="10:35" x14ac:dyDescent="0.2">
      <c r="J687" s="101" t="s">
        <v>30</v>
      </c>
      <c r="K687" s="101" t="s">
        <v>1912</v>
      </c>
      <c r="L687" s="101" t="s">
        <v>1856</v>
      </c>
      <c r="M687" s="101" t="s">
        <v>1913</v>
      </c>
      <c r="N687" s="189">
        <v>12460</v>
      </c>
      <c r="O687" s="101" t="s">
        <v>568</v>
      </c>
      <c r="P687" s="101" t="s">
        <v>569</v>
      </c>
      <c r="Q687" s="101" t="s">
        <v>570</v>
      </c>
      <c r="R687" s="101" t="s">
        <v>571</v>
      </c>
      <c r="S687" s="101" t="s">
        <v>572</v>
      </c>
      <c r="T687" s="101" t="s">
        <v>573</v>
      </c>
      <c r="U687" s="101"/>
      <c r="V687" s="101"/>
      <c r="W687" s="101" t="s">
        <v>574</v>
      </c>
      <c r="X687" s="101" t="s">
        <v>575</v>
      </c>
      <c r="Y687" s="101"/>
      <c r="Z687" s="101" t="s">
        <v>576</v>
      </c>
      <c r="AA687" s="101" t="s">
        <v>577</v>
      </c>
      <c r="AB687" s="101" t="s">
        <v>578</v>
      </c>
      <c r="AC687" s="101" t="s">
        <v>579</v>
      </c>
      <c r="AD687" s="101" t="s">
        <v>580</v>
      </c>
      <c r="AE687" s="101" t="s">
        <v>581</v>
      </c>
      <c r="AF687" s="101" t="s">
        <v>582</v>
      </c>
      <c r="AG687" s="101"/>
      <c r="AH687" s="101"/>
      <c r="AI687" s="101"/>
    </row>
    <row r="688" spans="10:35" x14ac:dyDescent="0.2">
      <c r="J688" s="101" t="s">
        <v>30</v>
      </c>
      <c r="K688" s="101" t="s">
        <v>1914</v>
      </c>
      <c r="L688" s="101" t="s">
        <v>1856</v>
      </c>
      <c r="M688" s="101" t="s">
        <v>1915</v>
      </c>
      <c r="N688" s="189">
        <v>12460</v>
      </c>
      <c r="O688" s="101" t="s">
        <v>568</v>
      </c>
      <c r="P688" s="101" t="s">
        <v>569</v>
      </c>
      <c r="Q688" s="101" t="s">
        <v>570</v>
      </c>
      <c r="R688" s="101" t="s">
        <v>571</v>
      </c>
      <c r="S688" s="101" t="s">
        <v>572</v>
      </c>
      <c r="T688" s="101" t="s">
        <v>573</v>
      </c>
      <c r="U688" s="101"/>
      <c r="V688" s="101"/>
      <c r="W688" s="101" t="s">
        <v>574</v>
      </c>
      <c r="X688" s="101" t="s">
        <v>575</v>
      </c>
      <c r="Y688" s="101"/>
      <c r="Z688" s="101" t="s">
        <v>576</v>
      </c>
      <c r="AA688" s="101" t="s">
        <v>577</v>
      </c>
      <c r="AB688" s="101" t="s">
        <v>578</v>
      </c>
      <c r="AC688" s="101" t="s">
        <v>579</v>
      </c>
      <c r="AD688" s="101" t="s">
        <v>580</v>
      </c>
      <c r="AE688" s="101"/>
      <c r="AF688" s="101"/>
      <c r="AG688" s="101"/>
      <c r="AH688" s="101"/>
      <c r="AI688" s="101"/>
    </row>
    <row r="689" spans="10:35" x14ac:dyDescent="0.2">
      <c r="J689" s="101" t="s">
        <v>30</v>
      </c>
      <c r="K689" s="101" t="s">
        <v>1916</v>
      </c>
      <c r="L689" s="101" t="s">
        <v>1856</v>
      </c>
      <c r="M689" s="101" t="s">
        <v>1917</v>
      </c>
      <c r="N689" s="189">
        <v>12360</v>
      </c>
      <c r="O689" s="101" t="s">
        <v>568</v>
      </c>
      <c r="P689" s="101" t="s">
        <v>569</v>
      </c>
      <c r="Q689" s="101" t="s">
        <v>570</v>
      </c>
      <c r="R689" s="101" t="s">
        <v>571</v>
      </c>
      <c r="S689" s="101" t="s">
        <v>572</v>
      </c>
      <c r="T689" s="101" t="s">
        <v>573</v>
      </c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</row>
    <row r="690" spans="10:35" x14ac:dyDescent="0.2">
      <c r="J690" s="101" t="s">
        <v>30</v>
      </c>
      <c r="K690" s="101" t="s">
        <v>1918</v>
      </c>
      <c r="L690" s="101" t="s">
        <v>1843</v>
      </c>
      <c r="M690" s="101" t="s">
        <v>1919</v>
      </c>
      <c r="N690" s="189">
        <v>12350</v>
      </c>
      <c r="O690" s="101" t="s">
        <v>568</v>
      </c>
      <c r="P690" s="101" t="s">
        <v>569</v>
      </c>
      <c r="Q690" s="101" t="s">
        <v>570</v>
      </c>
      <c r="R690" s="101" t="s">
        <v>571</v>
      </c>
      <c r="S690" s="101" t="s">
        <v>572</v>
      </c>
      <c r="T690" s="101" t="s">
        <v>573</v>
      </c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</row>
    <row r="691" spans="10:35" x14ac:dyDescent="0.2">
      <c r="J691" s="101" t="s">
        <v>30</v>
      </c>
      <c r="K691" s="101" t="s">
        <v>1920</v>
      </c>
      <c r="L691" s="101" t="s">
        <v>1856</v>
      </c>
      <c r="M691" s="101" t="s">
        <v>1921</v>
      </c>
      <c r="N691" s="189">
        <v>12120</v>
      </c>
      <c r="O691" s="101" t="s">
        <v>568</v>
      </c>
      <c r="P691" s="101" t="s">
        <v>569</v>
      </c>
      <c r="Q691" s="101" t="s">
        <v>570</v>
      </c>
      <c r="R691" s="101" t="s">
        <v>571</v>
      </c>
      <c r="S691" s="101" t="s">
        <v>572</v>
      </c>
      <c r="T691" s="101" t="s">
        <v>573</v>
      </c>
      <c r="U691" s="101"/>
      <c r="V691" s="101"/>
      <c r="W691" s="101"/>
      <c r="X691" s="101" t="s">
        <v>575</v>
      </c>
      <c r="Y691" s="101"/>
      <c r="Z691" s="101" t="s">
        <v>576</v>
      </c>
      <c r="AA691" s="101" t="s">
        <v>577</v>
      </c>
      <c r="AB691" s="101" t="s">
        <v>578</v>
      </c>
      <c r="AC691" s="101" t="s">
        <v>579</v>
      </c>
      <c r="AD691" s="101" t="s">
        <v>580</v>
      </c>
      <c r="AE691" s="101" t="s">
        <v>581</v>
      </c>
      <c r="AF691" s="101" t="s">
        <v>582</v>
      </c>
      <c r="AG691" s="101"/>
      <c r="AH691" s="101"/>
      <c r="AI691" s="101"/>
    </row>
    <row r="692" spans="10:35" x14ac:dyDescent="0.2">
      <c r="J692" s="101" t="s">
        <v>30</v>
      </c>
      <c r="K692" s="101" t="s">
        <v>1922</v>
      </c>
      <c r="L692" s="101" t="s">
        <v>1856</v>
      </c>
      <c r="M692" s="101" t="s">
        <v>1923</v>
      </c>
      <c r="N692" s="189">
        <v>12460</v>
      </c>
      <c r="O692" s="101" t="s">
        <v>568</v>
      </c>
      <c r="P692" s="101" t="s">
        <v>569</v>
      </c>
      <c r="Q692" s="101" t="s">
        <v>570</v>
      </c>
      <c r="R692" s="101" t="s">
        <v>571</v>
      </c>
      <c r="S692" s="101" t="s">
        <v>572</v>
      </c>
      <c r="T692" s="101" t="s">
        <v>573</v>
      </c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</row>
    <row r="693" spans="10:35" x14ac:dyDescent="0.2">
      <c r="J693" s="101" t="s">
        <v>30</v>
      </c>
      <c r="K693" s="101" t="s">
        <v>1924</v>
      </c>
      <c r="L693" s="101" t="s">
        <v>1843</v>
      </c>
      <c r="M693" s="101" t="s">
        <v>1925</v>
      </c>
      <c r="N693" s="189">
        <v>12460</v>
      </c>
      <c r="O693" s="101" t="s">
        <v>568</v>
      </c>
      <c r="P693" s="101" t="s">
        <v>569</v>
      </c>
      <c r="Q693" s="101" t="s">
        <v>570</v>
      </c>
      <c r="R693" s="101" t="s">
        <v>571</v>
      </c>
      <c r="S693" s="101" t="s">
        <v>572</v>
      </c>
      <c r="T693" s="101" t="s">
        <v>573</v>
      </c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</row>
    <row r="694" spans="10:35" x14ac:dyDescent="0.2">
      <c r="J694" s="101" t="s">
        <v>30</v>
      </c>
      <c r="K694" s="101" t="s">
        <v>1926</v>
      </c>
      <c r="L694" s="101" t="s">
        <v>1843</v>
      </c>
      <c r="M694" s="101" t="s">
        <v>1927</v>
      </c>
      <c r="N694" s="189">
        <v>12440</v>
      </c>
      <c r="O694" s="101" t="s">
        <v>568</v>
      </c>
      <c r="P694" s="101" t="s">
        <v>569</v>
      </c>
      <c r="Q694" s="101" t="s">
        <v>570</v>
      </c>
      <c r="R694" s="101" t="s">
        <v>571</v>
      </c>
      <c r="S694" s="101" t="s">
        <v>572</v>
      </c>
      <c r="T694" s="101" t="s">
        <v>573</v>
      </c>
      <c r="U694" s="101"/>
      <c r="V694" s="101"/>
      <c r="W694" s="101"/>
      <c r="X694" s="101" t="s">
        <v>575</v>
      </c>
      <c r="Y694" s="101"/>
      <c r="Z694" s="101" t="s">
        <v>576</v>
      </c>
      <c r="AA694" s="101" t="s">
        <v>577</v>
      </c>
      <c r="AB694" s="101" t="s">
        <v>578</v>
      </c>
      <c r="AC694" s="101" t="s">
        <v>579</v>
      </c>
      <c r="AD694" s="101" t="s">
        <v>580</v>
      </c>
      <c r="AE694" s="101"/>
      <c r="AF694" s="101"/>
      <c r="AG694" s="101"/>
      <c r="AH694" s="101"/>
      <c r="AI694" s="101"/>
    </row>
    <row r="695" spans="10:35" x14ac:dyDescent="0.2">
      <c r="J695" s="101" t="s">
        <v>30</v>
      </c>
      <c r="K695" s="101" t="s">
        <v>1928</v>
      </c>
      <c r="L695" s="101" t="s">
        <v>1843</v>
      </c>
      <c r="M695" s="101" t="s">
        <v>1929</v>
      </c>
      <c r="N695" s="189">
        <v>12450</v>
      </c>
      <c r="O695" s="101" t="s">
        <v>568</v>
      </c>
      <c r="P695" s="101" t="s">
        <v>569</v>
      </c>
      <c r="Q695" s="101" t="s">
        <v>570</v>
      </c>
      <c r="R695" s="101" t="s">
        <v>571</v>
      </c>
      <c r="S695" s="101" t="s">
        <v>572</v>
      </c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</row>
    <row r="696" spans="10:35" x14ac:dyDescent="0.2">
      <c r="J696" s="101" t="s">
        <v>30</v>
      </c>
      <c r="K696" s="101" t="s">
        <v>1930</v>
      </c>
      <c r="L696" s="101" t="s">
        <v>1843</v>
      </c>
      <c r="M696" s="101" t="s">
        <v>1931</v>
      </c>
      <c r="N696" s="189">
        <v>12460</v>
      </c>
      <c r="O696" s="101" t="s">
        <v>568</v>
      </c>
      <c r="P696" s="101" t="s">
        <v>569</v>
      </c>
      <c r="Q696" s="101" t="s">
        <v>570</v>
      </c>
      <c r="R696" s="101" t="s">
        <v>571</v>
      </c>
      <c r="S696" s="101" t="s">
        <v>572</v>
      </c>
      <c r="T696" s="101" t="s">
        <v>573</v>
      </c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</row>
    <row r="697" spans="10:35" x14ac:dyDescent="0.2">
      <c r="J697" s="101" t="s">
        <v>30</v>
      </c>
      <c r="K697" s="101" t="s">
        <v>1932</v>
      </c>
      <c r="L697" s="101" t="s">
        <v>1843</v>
      </c>
      <c r="M697" s="101" t="s">
        <v>1933</v>
      </c>
      <c r="N697" s="189">
        <v>12460</v>
      </c>
      <c r="O697" s="101" t="s">
        <v>568</v>
      </c>
      <c r="P697" s="101" t="s">
        <v>569</v>
      </c>
      <c r="Q697" s="101" t="s">
        <v>570</v>
      </c>
      <c r="R697" s="101" t="s">
        <v>571</v>
      </c>
      <c r="S697" s="101" t="s">
        <v>572</v>
      </c>
      <c r="T697" s="101" t="s">
        <v>573</v>
      </c>
      <c r="U697" s="101"/>
      <c r="V697" s="101"/>
      <c r="W697" s="101"/>
      <c r="X697" s="101" t="s">
        <v>575</v>
      </c>
      <c r="Y697" s="101"/>
      <c r="Z697" s="101" t="s">
        <v>576</v>
      </c>
      <c r="AA697" s="101" t="s">
        <v>577</v>
      </c>
      <c r="AB697" s="101" t="s">
        <v>578</v>
      </c>
      <c r="AC697" s="101" t="s">
        <v>579</v>
      </c>
      <c r="AD697" s="101" t="s">
        <v>580</v>
      </c>
      <c r="AE697" s="101"/>
      <c r="AF697" s="101"/>
      <c r="AG697" s="101"/>
      <c r="AH697" s="101"/>
      <c r="AI697" s="101"/>
    </row>
    <row r="698" spans="10:35" x14ac:dyDescent="0.2">
      <c r="J698" s="101" t="s">
        <v>30</v>
      </c>
      <c r="K698" s="101" t="s">
        <v>1934</v>
      </c>
      <c r="L698" s="101" t="s">
        <v>1843</v>
      </c>
      <c r="M698" s="101" t="s">
        <v>1935</v>
      </c>
      <c r="N698" s="189">
        <v>11950</v>
      </c>
      <c r="O698" s="101" t="s">
        <v>568</v>
      </c>
      <c r="P698" s="101" t="s">
        <v>569</v>
      </c>
      <c r="Q698" s="101" t="s">
        <v>570</v>
      </c>
      <c r="R698" s="101" t="s">
        <v>571</v>
      </c>
      <c r="S698" s="101" t="s">
        <v>572</v>
      </c>
      <c r="T698" s="101" t="s">
        <v>573</v>
      </c>
      <c r="U698" s="101"/>
      <c r="V698" s="101"/>
      <c r="W698" s="101" t="s">
        <v>574</v>
      </c>
      <c r="X698" s="101" t="s">
        <v>575</v>
      </c>
      <c r="Y698" s="101"/>
      <c r="Z698" s="101" t="s">
        <v>576</v>
      </c>
      <c r="AA698" s="101" t="s">
        <v>577</v>
      </c>
      <c r="AB698" s="101" t="s">
        <v>578</v>
      </c>
      <c r="AC698" s="101" t="s">
        <v>579</v>
      </c>
      <c r="AD698" s="101" t="s">
        <v>580</v>
      </c>
      <c r="AE698" s="101" t="s">
        <v>581</v>
      </c>
      <c r="AF698" s="101" t="s">
        <v>582</v>
      </c>
      <c r="AG698" s="101" t="s">
        <v>583</v>
      </c>
      <c r="AH698" s="101" t="s">
        <v>584</v>
      </c>
      <c r="AI698" s="101" t="s">
        <v>585</v>
      </c>
    </row>
    <row r="699" spans="10:35" x14ac:dyDescent="0.2">
      <c r="J699" s="101" t="s">
        <v>30</v>
      </c>
      <c r="K699" s="101" t="s">
        <v>1936</v>
      </c>
      <c r="L699" s="101" t="s">
        <v>1843</v>
      </c>
      <c r="M699" s="101" t="s">
        <v>1937</v>
      </c>
      <c r="N699" s="189">
        <v>12450</v>
      </c>
      <c r="O699" s="101" t="s">
        <v>568</v>
      </c>
      <c r="P699" s="101" t="s">
        <v>569</v>
      </c>
      <c r="Q699" s="101" t="s">
        <v>570</v>
      </c>
      <c r="R699" s="101" t="s">
        <v>571</v>
      </c>
      <c r="S699" s="101" t="s">
        <v>572</v>
      </c>
      <c r="T699" s="101" t="s">
        <v>573</v>
      </c>
      <c r="U699" s="101"/>
      <c r="V699" s="101"/>
      <c r="W699" s="101" t="s">
        <v>574</v>
      </c>
      <c r="X699" s="101" t="s">
        <v>575</v>
      </c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</row>
    <row r="700" spans="10:35" x14ac:dyDescent="0.2">
      <c r="J700" s="101" t="s">
        <v>30</v>
      </c>
      <c r="K700" s="101" t="s">
        <v>1938</v>
      </c>
      <c r="L700" s="101" t="s">
        <v>1843</v>
      </c>
      <c r="M700" s="101" t="s">
        <v>1939</v>
      </c>
      <c r="N700" s="189">
        <v>12460</v>
      </c>
      <c r="O700" s="101" t="s">
        <v>568</v>
      </c>
      <c r="P700" s="101" t="s">
        <v>569</v>
      </c>
      <c r="Q700" s="101" t="s">
        <v>570</v>
      </c>
      <c r="R700" s="101" t="s">
        <v>571</v>
      </c>
      <c r="S700" s="101" t="s">
        <v>572</v>
      </c>
      <c r="T700" s="101" t="s">
        <v>573</v>
      </c>
      <c r="U700" s="101"/>
      <c r="V700" s="101"/>
      <c r="W700" s="101"/>
      <c r="X700" s="101" t="s">
        <v>575</v>
      </c>
      <c r="Y700" s="101"/>
      <c r="Z700" s="101" t="s">
        <v>576</v>
      </c>
      <c r="AA700" s="101" t="s">
        <v>577</v>
      </c>
      <c r="AB700" s="101"/>
      <c r="AC700" s="101"/>
      <c r="AD700" s="101"/>
      <c r="AE700" s="101"/>
      <c r="AF700" s="101"/>
      <c r="AG700" s="101"/>
      <c r="AH700" s="101"/>
      <c r="AI700" s="101"/>
    </row>
    <row r="701" spans="10:35" x14ac:dyDescent="0.2">
      <c r="J701" s="101" t="s">
        <v>30</v>
      </c>
      <c r="K701" s="101" t="s">
        <v>1940</v>
      </c>
      <c r="L701" s="101" t="s">
        <v>1843</v>
      </c>
      <c r="M701" s="101" t="s">
        <v>1941</v>
      </c>
      <c r="N701" s="189">
        <v>12460</v>
      </c>
      <c r="O701" s="101" t="s">
        <v>568</v>
      </c>
      <c r="P701" s="101" t="s">
        <v>569</v>
      </c>
      <c r="Q701" s="101" t="s">
        <v>570</v>
      </c>
      <c r="R701" s="101" t="s">
        <v>571</v>
      </c>
      <c r="S701" s="101" t="s">
        <v>572</v>
      </c>
      <c r="T701" s="101" t="s">
        <v>573</v>
      </c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</row>
    <row r="702" spans="10:35" x14ac:dyDescent="0.2">
      <c r="J702" s="101" t="s">
        <v>30</v>
      </c>
      <c r="K702" s="101" t="s">
        <v>1942</v>
      </c>
      <c r="L702" s="101" t="s">
        <v>1843</v>
      </c>
      <c r="M702" s="101" t="s">
        <v>1943</v>
      </c>
      <c r="N702" s="189">
        <v>12460</v>
      </c>
      <c r="O702" s="101" t="s">
        <v>568</v>
      </c>
      <c r="P702" s="101" t="s">
        <v>569</v>
      </c>
      <c r="Q702" s="101" t="s">
        <v>570</v>
      </c>
      <c r="R702" s="101" t="s">
        <v>571</v>
      </c>
      <c r="S702" s="101" t="s">
        <v>572</v>
      </c>
      <c r="T702" s="101" t="s">
        <v>573</v>
      </c>
      <c r="U702" s="101"/>
      <c r="V702" s="101"/>
      <c r="W702" s="101" t="s">
        <v>574</v>
      </c>
      <c r="X702" s="101" t="s">
        <v>575</v>
      </c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</row>
    <row r="703" spans="10:35" x14ac:dyDescent="0.2">
      <c r="J703" s="101" t="s">
        <v>30</v>
      </c>
      <c r="K703" s="101" t="s">
        <v>1944</v>
      </c>
      <c r="L703" s="101" t="s">
        <v>1843</v>
      </c>
      <c r="M703" s="101" t="s">
        <v>1945</v>
      </c>
      <c r="N703" s="189">
        <v>12450</v>
      </c>
      <c r="O703" s="101" t="s">
        <v>568</v>
      </c>
      <c r="P703" s="101" t="s">
        <v>569</v>
      </c>
      <c r="Q703" s="101" t="s">
        <v>570</v>
      </c>
      <c r="R703" s="101" t="s">
        <v>571</v>
      </c>
      <c r="S703" s="101" t="s">
        <v>572</v>
      </c>
      <c r="T703" s="101" t="s">
        <v>573</v>
      </c>
      <c r="U703" s="101"/>
      <c r="V703" s="101"/>
      <c r="W703" s="101" t="s">
        <v>574</v>
      </c>
      <c r="X703" s="101" t="s">
        <v>575</v>
      </c>
      <c r="Y703" s="101"/>
      <c r="Z703" s="101" t="s">
        <v>576</v>
      </c>
      <c r="AA703" s="101" t="s">
        <v>577</v>
      </c>
      <c r="AB703" s="101"/>
      <c r="AC703" s="101"/>
      <c r="AD703" s="101"/>
      <c r="AE703" s="101"/>
      <c r="AF703" s="101"/>
      <c r="AG703" s="101"/>
      <c r="AH703" s="101"/>
      <c r="AI703" s="101"/>
    </row>
    <row r="704" spans="10:35" x14ac:dyDescent="0.2">
      <c r="J704" s="101" t="s">
        <v>30</v>
      </c>
      <c r="K704" s="101" t="s">
        <v>1946</v>
      </c>
      <c r="L704" s="101" t="s">
        <v>1843</v>
      </c>
      <c r="M704" s="101" t="s">
        <v>1947</v>
      </c>
      <c r="N704" s="189">
        <v>11990</v>
      </c>
      <c r="O704" s="101" t="s">
        <v>568</v>
      </c>
      <c r="P704" s="101" t="s">
        <v>569</v>
      </c>
      <c r="Q704" s="101" t="s">
        <v>570</v>
      </c>
      <c r="R704" s="101" t="s">
        <v>571</v>
      </c>
      <c r="S704" s="101" t="s">
        <v>572</v>
      </c>
      <c r="T704" s="101" t="s">
        <v>573</v>
      </c>
      <c r="U704" s="101"/>
      <c r="V704" s="101"/>
      <c r="W704" s="101" t="s">
        <v>574</v>
      </c>
      <c r="X704" s="101" t="s">
        <v>575</v>
      </c>
      <c r="Y704" s="101"/>
      <c r="Z704" s="101" t="s">
        <v>576</v>
      </c>
      <c r="AA704" s="101" t="s">
        <v>577</v>
      </c>
      <c r="AB704" s="101"/>
      <c r="AC704" s="101"/>
      <c r="AD704" s="101"/>
      <c r="AE704" s="101"/>
      <c r="AF704" s="101"/>
      <c r="AG704" s="101"/>
      <c r="AH704" s="101"/>
      <c r="AI704" s="101"/>
    </row>
    <row r="705" spans="10:35" x14ac:dyDescent="0.2">
      <c r="J705" s="101" t="s">
        <v>30</v>
      </c>
      <c r="K705" s="101" t="s">
        <v>1948</v>
      </c>
      <c r="L705" s="101" t="s">
        <v>1843</v>
      </c>
      <c r="M705" s="101" t="s">
        <v>1949</v>
      </c>
      <c r="N705" s="189">
        <v>12460</v>
      </c>
      <c r="O705" s="101" t="s">
        <v>568</v>
      </c>
      <c r="P705" s="101" t="s">
        <v>569</v>
      </c>
      <c r="Q705" s="101" t="s">
        <v>570</v>
      </c>
      <c r="R705" s="101" t="s">
        <v>571</v>
      </c>
      <c r="S705" s="101" t="s">
        <v>572</v>
      </c>
      <c r="T705" s="101" t="s">
        <v>573</v>
      </c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</row>
    <row r="706" spans="10:35" x14ac:dyDescent="0.2">
      <c r="J706" s="101" t="s">
        <v>30</v>
      </c>
      <c r="K706" s="101" t="s">
        <v>1950</v>
      </c>
      <c r="L706" s="101" t="s">
        <v>1856</v>
      </c>
      <c r="M706" s="101" t="s">
        <v>1951</v>
      </c>
      <c r="N706" s="189">
        <v>12460</v>
      </c>
      <c r="O706" s="101" t="s">
        <v>568</v>
      </c>
      <c r="P706" s="101" t="s">
        <v>569</v>
      </c>
      <c r="Q706" s="101" t="s">
        <v>570</v>
      </c>
      <c r="R706" s="101" t="s">
        <v>571</v>
      </c>
      <c r="S706" s="101" t="s">
        <v>572</v>
      </c>
      <c r="T706" s="101" t="s">
        <v>573</v>
      </c>
      <c r="U706" s="101"/>
      <c r="V706" s="101"/>
      <c r="W706" s="101"/>
      <c r="X706" s="101" t="s">
        <v>575</v>
      </c>
      <c r="Y706" s="101"/>
      <c r="Z706" s="101" t="s">
        <v>576</v>
      </c>
      <c r="AA706" s="101" t="s">
        <v>577</v>
      </c>
      <c r="AB706" s="101" t="s">
        <v>578</v>
      </c>
      <c r="AC706" s="101" t="s">
        <v>579</v>
      </c>
      <c r="AD706" s="101" t="s">
        <v>580</v>
      </c>
      <c r="AE706" s="101"/>
      <c r="AF706" s="101"/>
      <c r="AG706" s="101"/>
      <c r="AH706" s="101"/>
      <c r="AI706" s="101"/>
    </row>
    <row r="707" spans="10:35" x14ac:dyDescent="0.2">
      <c r="J707" s="101" t="s">
        <v>30</v>
      </c>
      <c r="K707" s="101" t="s">
        <v>1952</v>
      </c>
      <c r="L707" s="101" t="s">
        <v>1953</v>
      </c>
      <c r="M707" s="101" t="s">
        <v>1954</v>
      </c>
      <c r="N707" s="189">
        <v>12450</v>
      </c>
      <c r="O707" s="101" t="s">
        <v>568</v>
      </c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</row>
    <row r="708" spans="10:35" x14ac:dyDescent="0.2">
      <c r="J708" s="101" t="s">
        <v>30</v>
      </c>
      <c r="K708" s="101" t="s">
        <v>1955</v>
      </c>
      <c r="L708" s="101" t="s">
        <v>1953</v>
      </c>
      <c r="M708" s="101" t="s">
        <v>1956</v>
      </c>
      <c r="N708" s="189">
        <v>12450</v>
      </c>
      <c r="O708" s="101" t="s">
        <v>568</v>
      </c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</row>
    <row r="709" spans="10:35" x14ac:dyDescent="0.2">
      <c r="J709" s="101" t="s">
        <v>30</v>
      </c>
      <c r="K709" s="101" t="s">
        <v>1957</v>
      </c>
      <c r="L709" s="101" t="s">
        <v>1953</v>
      </c>
      <c r="M709" s="101" t="s">
        <v>1958</v>
      </c>
      <c r="N709" s="189">
        <v>12450</v>
      </c>
      <c r="O709" s="101" t="s">
        <v>568</v>
      </c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</row>
    <row r="710" spans="10:35" x14ac:dyDescent="0.2">
      <c r="J710" s="101" t="s">
        <v>30</v>
      </c>
      <c r="K710" s="101" t="s">
        <v>1959</v>
      </c>
      <c r="L710" s="101" t="s">
        <v>1953</v>
      </c>
      <c r="M710" s="101" t="s">
        <v>1960</v>
      </c>
      <c r="N710" s="189">
        <v>12450</v>
      </c>
      <c r="O710" s="101" t="s">
        <v>568</v>
      </c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</row>
    <row r="711" spans="10:35" x14ac:dyDescent="0.2">
      <c r="J711" s="101" t="s">
        <v>30</v>
      </c>
      <c r="K711" s="101" t="s">
        <v>1961</v>
      </c>
      <c r="L711" s="101" t="s">
        <v>1962</v>
      </c>
      <c r="M711" s="101" t="s">
        <v>1963</v>
      </c>
      <c r="N711" s="189">
        <v>12450</v>
      </c>
      <c r="O711" s="101" t="s">
        <v>568</v>
      </c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</row>
    <row r="712" spans="10:35" x14ac:dyDescent="0.2">
      <c r="J712" s="101" t="s">
        <v>30</v>
      </c>
      <c r="K712" s="101" t="s">
        <v>1964</v>
      </c>
      <c r="L712" s="101" t="s">
        <v>1962</v>
      </c>
      <c r="M712" s="101" t="s">
        <v>1965</v>
      </c>
      <c r="N712" s="189">
        <v>12450</v>
      </c>
      <c r="O712" s="101" t="s">
        <v>568</v>
      </c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</row>
    <row r="713" spans="10:35" x14ac:dyDescent="0.2">
      <c r="J713" s="101" t="s">
        <v>30</v>
      </c>
      <c r="K713" s="101" t="s">
        <v>1966</v>
      </c>
      <c r="L713" s="101" t="s">
        <v>1962</v>
      </c>
      <c r="M713" s="101" t="s">
        <v>1967</v>
      </c>
      <c r="N713" s="189">
        <v>12450</v>
      </c>
      <c r="O713" s="101" t="s">
        <v>568</v>
      </c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</row>
    <row r="714" spans="10:35" x14ac:dyDescent="0.2">
      <c r="J714" s="101" t="s">
        <v>30</v>
      </c>
      <c r="K714" s="101" t="s">
        <v>1968</v>
      </c>
      <c r="L714" s="101" t="s">
        <v>1962</v>
      </c>
      <c r="M714" s="101" t="s">
        <v>1969</v>
      </c>
      <c r="N714" s="189">
        <v>12450</v>
      </c>
      <c r="O714" s="101" t="s">
        <v>568</v>
      </c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</row>
    <row r="715" spans="10:35" x14ac:dyDescent="0.2">
      <c r="J715" s="101" t="s">
        <v>30</v>
      </c>
      <c r="K715" s="101" t="s">
        <v>1970</v>
      </c>
      <c r="L715" s="101" t="s">
        <v>1962</v>
      </c>
      <c r="M715" s="101" t="s">
        <v>1971</v>
      </c>
      <c r="N715" s="189">
        <v>12450</v>
      </c>
      <c r="O715" s="101" t="s">
        <v>568</v>
      </c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</row>
    <row r="716" spans="10:35" x14ac:dyDescent="0.2">
      <c r="J716" s="101" t="s">
        <v>30</v>
      </c>
      <c r="K716" s="101" t="s">
        <v>1972</v>
      </c>
      <c r="L716" s="101" t="s">
        <v>1962</v>
      </c>
      <c r="M716" s="101" t="s">
        <v>1973</v>
      </c>
      <c r="N716" s="189">
        <v>12450</v>
      </c>
      <c r="O716" s="101" t="s">
        <v>568</v>
      </c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</row>
    <row r="717" spans="10:35" x14ac:dyDescent="0.2">
      <c r="J717" s="101" t="s">
        <v>30</v>
      </c>
      <c r="K717" s="101" t="s">
        <v>1974</v>
      </c>
      <c r="L717" s="101" t="s">
        <v>1953</v>
      </c>
      <c r="M717" s="101" t="s">
        <v>1975</v>
      </c>
      <c r="N717" s="189">
        <v>12450</v>
      </c>
      <c r="O717" s="101" t="s">
        <v>568</v>
      </c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</row>
    <row r="718" spans="10:35" x14ac:dyDescent="0.2">
      <c r="J718" s="101" t="s">
        <v>30</v>
      </c>
      <c r="K718" s="101" t="s">
        <v>1976</v>
      </c>
      <c r="L718" s="101" t="s">
        <v>1953</v>
      </c>
      <c r="M718" s="101" t="s">
        <v>1977</v>
      </c>
      <c r="N718" s="189">
        <v>12450</v>
      </c>
      <c r="O718" s="101" t="s">
        <v>568</v>
      </c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</row>
    <row r="719" spans="10:35" x14ac:dyDescent="0.2">
      <c r="J719" s="101" t="s">
        <v>30</v>
      </c>
      <c r="K719" s="101" t="s">
        <v>1978</v>
      </c>
      <c r="L719" s="101" t="s">
        <v>1953</v>
      </c>
      <c r="M719" s="101" t="s">
        <v>1979</v>
      </c>
      <c r="N719" s="189">
        <v>12450</v>
      </c>
      <c r="O719" s="101" t="s">
        <v>568</v>
      </c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</row>
    <row r="720" spans="10:35" x14ac:dyDescent="0.2">
      <c r="J720" s="101" t="s">
        <v>30</v>
      </c>
      <c r="K720" s="101" t="s">
        <v>1980</v>
      </c>
      <c r="L720" s="101" t="s">
        <v>1953</v>
      </c>
      <c r="M720" s="101" t="s">
        <v>1981</v>
      </c>
      <c r="N720" s="189">
        <v>12450</v>
      </c>
      <c r="O720" s="101" t="s">
        <v>568</v>
      </c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</row>
    <row r="721" spans="10:35" x14ac:dyDescent="0.2">
      <c r="J721" s="101" t="s">
        <v>30</v>
      </c>
      <c r="K721" s="101" t="s">
        <v>1982</v>
      </c>
      <c r="L721" s="101" t="s">
        <v>1953</v>
      </c>
      <c r="M721" s="101" t="s">
        <v>1983</v>
      </c>
      <c r="N721" s="189">
        <v>12450</v>
      </c>
      <c r="O721" s="101" t="s">
        <v>568</v>
      </c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</row>
    <row r="722" spans="10:35" x14ac:dyDescent="0.2">
      <c r="J722" s="101" t="s">
        <v>30</v>
      </c>
      <c r="K722" s="101" t="s">
        <v>1984</v>
      </c>
      <c r="L722" s="101" t="s">
        <v>1953</v>
      </c>
      <c r="M722" s="101" t="s">
        <v>1985</v>
      </c>
      <c r="N722" s="189">
        <v>12450</v>
      </c>
      <c r="O722" s="101" t="s">
        <v>568</v>
      </c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</row>
    <row r="723" spans="10:35" x14ac:dyDescent="0.2">
      <c r="J723" s="101" t="s">
        <v>30</v>
      </c>
      <c r="K723" s="101" t="s">
        <v>1986</v>
      </c>
      <c r="L723" s="101" t="s">
        <v>1953</v>
      </c>
      <c r="M723" s="101" t="s">
        <v>1987</v>
      </c>
      <c r="N723" s="189">
        <v>12450</v>
      </c>
      <c r="O723" s="101" t="s">
        <v>568</v>
      </c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</row>
    <row r="724" spans="10:35" x14ac:dyDescent="0.2">
      <c r="J724" s="101" t="s">
        <v>30</v>
      </c>
      <c r="K724" s="101" t="s">
        <v>1988</v>
      </c>
      <c r="L724" s="101" t="s">
        <v>1953</v>
      </c>
      <c r="M724" s="101" t="s">
        <v>1989</v>
      </c>
      <c r="N724" s="189">
        <v>12450</v>
      </c>
      <c r="O724" s="101" t="s">
        <v>568</v>
      </c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</row>
    <row r="725" spans="10:35" x14ac:dyDescent="0.2">
      <c r="J725" s="101" t="s">
        <v>30</v>
      </c>
      <c r="K725" s="101" t="s">
        <v>1990</v>
      </c>
      <c r="L725" s="101" t="s">
        <v>1953</v>
      </c>
      <c r="M725" s="101" t="s">
        <v>1991</v>
      </c>
      <c r="N725" s="189">
        <v>12450</v>
      </c>
      <c r="O725" s="101" t="s">
        <v>568</v>
      </c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</row>
    <row r="726" spans="10:35" x14ac:dyDescent="0.2">
      <c r="J726" s="101" t="s">
        <v>30</v>
      </c>
      <c r="K726" s="101" t="s">
        <v>1992</v>
      </c>
      <c r="L726" s="101" t="s">
        <v>1962</v>
      </c>
      <c r="M726" s="101" t="s">
        <v>1993</v>
      </c>
      <c r="N726" s="189">
        <v>12450</v>
      </c>
      <c r="O726" s="101" t="s">
        <v>568</v>
      </c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</row>
    <row r="727" spans="10:35" x14ac:dyDescent="0.2">
      <c r="J727" s="101" t="s">
        <v>30</v>
      </c>
      <c r="K727" s="101" t="s">
        <v>1994</v>
      </c>
      <c r="L727" s="101" t="s">
        <v>1962</v>
      </c>
      <c r="M727" s="101" t="s">
        <v>1995</v>
      </c>
      <c r="N727" s="189">
        <v>12450</v>
      </c>
      <c r="O727" s="101" t="s">
        <v>568</v>
      </c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</row>
    <row r="728" spans="10:35" x14ac:dyDescent="0.2">
      <c r="J728" s="101" t="s">
        <v>30</v>
      </c>
      <c r="K728" s="101" t="s">
        <v>1996</v>
      </c>
      <c r="L728" s="101" t="s">
        <v>1962</v>
      </c>
      <c r="M728" s="101" t="s">
        <v>1997</v>
      </c>
      <c r="N728" s="189">
        <v>12450</v>
      </c>
      <c r="O728" s="101" t="s">
        <v>568</v>
      </c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</row>
    <row r="729" spans="10:35" x14ac:dyDescent="0.2">
      <c r="J729" s="101" t="s">
        <v>30</v>
      </c>
      <c r="K729" s="101" t="s">
        <v>1998</v>
      </c>
      <c r="L729" s="101" t="s">
        <v>1962</v>
      </c>
      <c r="M729" s="101" t="s">
        <v>1999</v>
      </c>
      <c r="N729" s="189">
        <v>12450</v>
      </c>
      <c r="O729" s="101" t="s">
        <v>568</v>
      </c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</row>
    <row r="730" spans="10:35" x14ac:dyDescent="0.2">
      <c r="J730" s="101" t="s">
        <v>30</v>
      </c>
      <c r="K730" s="101" t="s">
        <v>2000</v>
      </c>
      <c r="L730" s="101" t="s">
        <v>1962</v>
      </c>
      <c r="M730" s="101" t="s">
        <v>2001</v>
      </c>
      <c r="N730" s="189">
        <v>12450</v>
      </c>
      <c r="O730" s="101" t="s">
        <v>568</v>
      </c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</row>
    <row r="731" spans="10:35" x14ac:dyDescent="0.2">
      <c r="J731" s="101" t="s">
        <v>30</v>
      </c>
      <c r="K731" s="101" t="s">
        <v>2002</v>
      </c>
      <c r="L731" s="101" t="s">
        <v>1962</v>
      </c>
      <c r="M731" s="101" t="s">
        <v>2003</v>
      </c>
      <c r="N731" s="189">
        <v>12450</v>
      </c>
      <c r="O731" s="101" t="s">
        <v>568</v>
      </c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</row>
    <row r="732" spans="10:35" x14ac:dyDescent="0.2">
      <c r="J732" s="101" t="s">
        <v>30</v>
      </c>
      <c r="K732" s="101" t="s">
        <v>2004</v>
      </c>
      <c r="L732" s="101" t="s">
        <v>1962</v>
      </c>
      <c r="M732" s="101" t="s">
        <v>2005</v>
      </c>
      <c r="N732" s="189">
        <v>12450</v>
      </c>
      <c r="O732" s="101" t="s">
        <v>568</v>
      </c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</row>
    <row r="733" spans="10:35" x14ac:dyDescent="0.2">
      <c r="J733" s="101" t="s">
        <v>30</v>
      </c>
      <c r="K733" s="101" t="s">
        <v>2006</v>
      </c>
      <c r="L733" s="101" t="s">
        <v>1962</v>
      </c>
      <c r="M733" s="101" t="s">
        <v>2007</v>
      </c>
      <c r="N733" s="189">
        <v>12450</v>
      </c>
      <c r="O733" s="101" t="s">
        <v>568</v>
      </c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</row>
    <row r="734" spans="10:35" x14ac:dyDescent="0.2">
      <c r="J734" s="101" t="s">
        <v>30</v>
      </c>
      <c r="K734" s="101" t="s">
        <v>2008</v>
      </c>
      <c r="L734" s="101" t="s">
        <v>1962</v>
      </c>
      <c r="M734" s="101" t="s">
        <v>2009</v>
      </c>
      <c r="N734" s="189">
        <v>12450</v>
      </c>
      <c r="O734" s="101" t="s">
        <v>568</v>
      </c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</row>
    <row r="735" spans="10:35" x14ac:dyDescent="0.2">
      <c r="J735" s="101" t="s">
        <v>30</v>
      </c>
      <c r="K735" s="101" t="s">
        <v>2010</v>
      </c>
      <c r="L735" s="101" t="s">
        <v>1962</v>
      </c>
      <c r="M735" s="101" t="s">
        <v>2011</v>
      </c>
      <c r="N735" s="189">
        <v>12450</v>
      </c>
      <c r="O735" s="101" t="s">
        <v>568</v>
      </c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</row>
    <row r="736" spans="10:35" x14ac:dyDescent="0.2">
      <c r="J736" s="101" t="s">
        <v>30</v>
      </c>
      <c r="K736" s="101" t="s">
        <v>2012</v>
      </c>
      <c r="L736" s="101" t="s">
        <v>1962</v>
      </c>
      <c r="M736" s="101" t="s">
        <v>2013</v>
      </c>
      <c r="N736" s="189">
        <v>12450</v>
      </c>
      <c r="O736" s="101" t="s">
        <v>568</v>
      </c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</row>
    <row r="737" spans="10:35" x14ac:dyDescent="0.2">
      <c r="J737" s="101" t="s">
        <v>30</v>
      </c>
      <c r="K737" s="101" t="s">
        <v>2014</v>
      </c>
      <c r="L737" s="101" t="s">
        <v>1962</v>
      </c>
      <c r="M737" s="101" t="s">
        <v>2015</v>
      </c>
      <c r="N737" s="189">
        <v>12450</v>
      </c>
      <c r="O737" s="101" t="s">
        <v>568</v>
      </c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</row>
    <row r="738" spans="10:35" x14ac:dyDescent="0.2">
      <c r="J738" s="101" t="s">
        <v>30</v>
      </c>
      <c r="K738" s="101" t="s">
        <v>2016</v>
      </c>
      <c r="L738" s="101" t="s">
        <v>1962</v>
      </c>
      <c r="M738" s="101" t="s">
        <v>2017</v>
      </c>
      <c r="N738" s="189">
        <v>12450</v>
      </c>
      <c r="O738" s="101" t="s">
        <v>568</v>
      </c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</row>
    <row r="739" spans="10:35" x14ac:dyDescent="0.2">
      <c r="J739" s="101" t="s">
        <v>30</v>
      </c>
      <c r="K739" s="101" t="s">
        <v>2018</v>
      </c>
      <c r="L739" s="101" t="s">
        <v>1962</v>
      </c>
      <c r="M739" s="101" t="s">
        <v>2019</v>
      </c>
      <c r="N739" s="189">
        <v>12450</v>
      </c>
      <c r="O739" s="101" t="s">
        <v>568</v>
      </c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</row>
    <row r="740" spans="10:35" x14ac:dyDescent="0.2">
      <c r="J740" s="101" t="s">
        <v>30</v>
      </c>
      <c r="K740" s="101" t="s">
        <v>2020</v>
      </c>
      <c r="L740" s="101" t="s">
        <v>1962</v>
      </c>
      <c r="M740" s="101" t="s">
        <v>2021</v>
      </c>
      <c r="N740" s="189">
        <v>12450</v>
      </c>
      <c r="O740" s="101" t="s">
        <v>568</v>
      </c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</row>
    <row r="741" spans="10:35" x14ac:dyDescent="0.2">
      <c r="J741" s="101" t="s">
        <v>30</v>
      </c>
      <c r="K741" s="101" t="s">
        <v>2022</v>
      </c>
      <c r="L741" s="101" t="s">
        <v>1962</v>
      </c>
      <c r="M741" s="101" t="s">
        <v>2023</v>
      </c>
      <c r="N741" s="189">
        <v>12450</v>
      </c>
      <c r="O741" s="101" t="s">
        <v>568</v>
      </c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</row>
    <row r="742" spans="10:35" x14ac:dyDescent="0.2">
      <c r="J742" s="101" t="s">
        <v>30</v>
      </c>
      <c r="K742" s="101" t="s">
        <v>2024</v>
      </c>
      <c r="L742" s="101" t="s">
        <v>1962</v>
      </c>
      <c r="M742" s="101" t="s">
        <v>2025</v>
      </c>
      <c r="N742" s="189">
        <v>12450</v>
      </c>
      <c r="O742" s="101" t="s">
        <v>568</v>
      </c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</row>
    <row r="743" spans="10:35" x14ac:dyDescent="0.2">
      <c r="J743" s="101" t="s">
        <v>30</v>
      </c>
      <c r="K743" s="101" t="s">
        <v>2026</v>
      </c>
      <c r="L743" s="101" t="s">
        <v>1962</v>
      </c>
      <c r="M743" s="101" t="s">
        <v>2027</v>
      </c>
      <c r="N743" s="189">
        <v>12450</v>
      </c>
      <c r="O743" s="101" t="s">
        <v>568</v>
      </c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</row>
    <row r="744" spans="10:35" x14ac:dyDescent="0.2">
      <c r="J744" s="101" t="s">
        <v>30</v>
      </c>
      <c r="K744" s="101" t="s">
        <v>2028</v>
      </c>
      <c r="L744" s="101" t="s">
        <v>1962</v>
      </c>
      <c r="M744" s="101" t="s">
        <v>2029</v>
      </c>
      <c r="N744" s="189">
        <v>12450</v>
      </c>
      <c r="O744" s="101" t="s">
        <v>568</v>
      </c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</row>
    <row r="745" spans="10:35" x14ac:dyDescent="0.2">
      <c r="J745" s="101" t="s">
        <v>30</v>
      </c>
      <c r="K745" s="101" t="s">
        <v>2030</v>
      </c>
      <c r="L745" s="101" t="s">
        <v>1962</v>
      </c>
      <c r="M745" s="101" t="s">
        <v>2031</v>
      </c>
      <c r="N745" s="189">
        <v>12450</v>
      </c>
      <c r="O745" s="101" t="s">
        <v>568</v>
      </c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</row>
    <row r="746" spans="10:35" x14ac:dyDescent="0.2">
      <c r="J746" s="101" t="s">
        <v>30</v>
      </c>
      <c r="K746" s="101" t="s">
        <v>2032</v>
      </c>
      <c r="L746" s="101" t="s">
        <v>1953</v>
      </c>
      <c r="M746" s="101" t="s">
        <v>2033</v>
      </c>
      <c r="N746" s="189">
        <v>12450</v>
      </c>
      <c r="O746" s="101" t="s">
        <v>568</v>
      </c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</row>
    <row r="747" spans="10:35" x14ac:dyDescent="0.2">
      <c r="J747" s="101" t="s">
        <v>30</v>
      </c>
      <c r="K747" s="101" t="s">
        <v>2034</v>
      </c>
      <c r="L747" s="101" t="s">
        <v>1953</v>
      </c>
      <c r="M747" s="101" t="s">
        <v>2035</v>
      </c>
      <c r="N747" s="189">
        <v>12460</v>
      </c>
      <c r="O747" s="101" t="s">
        <v>568</v>
      </c>
      <c r="P747" s="101" t="s">
        <v>569</v>
      </c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</row>
    <row r="748" spans="10:35" x14ac:dyDescent="0.2">
      <c r="J748" s="101" t="s">
        <v>30</v>
      </c>
      <c r="K748" s="101" t="s">
        <v>2036</v>
      </c>
      <c r="L748" s="101" t="s">
        <v>1953</v>
      </c>
      <c r="M748" s="101" t="s">
        <v>2037</v>
      </c>
      <c r="N748" s="189">
        <v>12450</v>
      </c>
      <c r="O748" s="101" t="s">
        <v>568</v>
      </c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</row>
    <row r="749" spans="10:35" x14ac:dyDescent="0.2">
      <c r="J749" s="101" t="s">
        <v>30</v>
      </c>
      <c r="K749" s="101" t="s">
        <v>2038</v>
      </c>
      <c r="L749" s="101" t="s">
        <v>1953</v>
      </c>
      <c r="M749" s="101" t="s">
        <v>2039</v>
      </c>
      <c r="N749" s="189">
        <v>12450</v>
      </c>
      <c r="O749" s="101" t="s">
        <v>568</v>
      </c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</row>
    <row r="750" spans="10:35" x14ac:dyDescent="0.2">
      <c r="J750" s="101" t="s">
        <v>30</v>
      </c>
      <c r="K750" s="101" t="s">
        <v>2040</v>
      </c>
      <c r="L750" s="101" t="s">
        <v>1953</v>
      </c>
      <c r="M750" s="101" t="s">
        <v>2041</v>
      </c>
      <c r="N750" s="189">
        <v>12450</v>
      </c>
      <c r="O750" s="101" t="s">
        <v>568</v>
      </c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</row>
    <row r="751" spans="10:35" x14ac:dyDescent="0.2">
      <c r="J751" s="101" t="s">
        <v>30</v>
      </c>
      <c r="K751" s="101" t="s">
        <v>2042</v>
      </c>
      <c r="L751" s="101" t="s">
        <v>1953</v>
      </c>
      <c r="M751" s="101" t="s">
        <v>2043</v>
      </c>
      <c r="N751" s="189">
        <v>12450</v>
      </c>
      <c r="O751" s="101" t="s">
        <v>568</v>
      </c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</row>
    <row r="752" spans="10:35" x14ac:dyDescent="0.2">
      <c r="J752" s="101" t="s">
        <v>30</v>
      </c>
      <c r="K752" s="101" t="s">
        <v>2044</v>
      </c>
      <c r="L752" s="101" t="s">
        <v>1953</v>
      </c>
      <c r="M752" s="101" t="s">
        <v>2045</v>
      </c>
      <c r="N752" s="189">
        <v>12450</v>
      </c>
      <c r="O752" s="101" t="s">
        <v>568</v>
      </c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</row>
    <row r="753" spans="10:35" x14ac:dyDescent="0.2">
      <c r="J753" s="101" t="s">
        <v>30</v>
      </c>
      <c r="K753" s="101" t="s">
        <v>2046</v>
      </c>
      <c r="L753" s="101" t="s">
        <v>1953</v>
      </c>
      <c r="M753" s="101" t="s">
        <v>2047</v>
      </c>
      <c r="N753" s="189">
        <v>12460</v>
      </c>
      <c r="O753" s="101" t="s">
        <v>568</v>
      </c>
      <c r="P753" s="101" t="s">
        <v>569</v>
      </c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</row>
    <row r="754" spans="10:35" x14ac:dyDescent="0.2">
      <c r="J754" s="101" t="s">
        <v>30</v>
      </c>
      <c r="K754" s="101" t="s">
        <v>2048</v>
      </c>
      <c r="L754" s="101" t="s">
        <v>1953</v>
      </c>
      <c r="M754" s="101" t="s">
        <v>2049</v>
      </c>
      <c r="N754" s="189">
        <v>12450</v>
      </c>
      <c r="O754" s="101" t="s">
        <v>568</v>
      </c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</row>
    <row r="755" spans="10:35" x14ac:dyDescent="0.2">
      <c r="J755" s="101" t="s">
        <v>30</v>
      </c>
      <c r="K755" s="101" t="s">
        <v>2050</v>
      </c>
      <c r="L755" s="101" t="s">
        <v>1953</v>
      </c>
      <c r="M755" s="101" t="s">
        <v>2051</v>
      </c>
      <c r="N755" s="189">
        <v>12450</v>
      </c>
      <c r="O755" s="101" t="s">
        <v>568</v>
      </c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</row>
    <row r="756" spans="10:35" x14ac:dyDescent="0.2">
      <c r="J756" s="101" t="s">
        <v>30</v>
      </c>
      <c r="K756" s="101" t="s">
        <v>2052</v>
      </c>
      <c r="L756" s="101" t="s">
        <v>1953</v>
      </c>
      <c r="M756" s="101" t="s">
        <v>2053</v>
      </c>
      <c r="N756" s="189">
        <v>12470</v>
      </c>
      <c r="O756" s="101" t="s">
        <v>568</v>
      </c>
      <c r="P756" s="101" t="s">
        <v>569</v>
      </c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</row>
    <row r="757" spans="10:35" x14ac:dyDescent="0.2">
      <c r="J757" s="101" t="s">
        <v>30</v>
      </c>
      <c r="K757" s="101" t="s">
        <v>2054</v>
      </c>
      <c r="L757" s="101" t="s">
        <v>1962</v>
      </c>
      <c r="M757" s="101" t="s">
        <v>2055</v>
      </c>
      <c r="N757" s="189">
        <v>12290</v>
      </c>
      <c r="O757" s="101" t="s">
        <v>568</v>
      </c>
      <c r="P757" s="101" t="s">
        <v>569</v>
      </c>
      <c r="Q757" s="101" t="s">
        <v>570</v>
      </c>
      <c r="R757" s="101" t="s">
        <v>571</v>
      </c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</row>
    <row r="758" spans="10:35" x14ac:dyDescent="0.2">
      <c r="J758" s="101" t="s">
        <v>30</v>
      </c>
      <c r="K758" s="101" t="s">
        <v>2056</v>
      </c>
      <c r="L758" s="101" t="s">
        <v>1962</v>
      </c>
      <c r="M758" s="101" t="s">
        <v>2057</v>
      </c>
      <c r="N758" s="189">
        <v>12450</v>
      </c>
      <c r="O758" s="101" t="s">
        <v>568</v>
      </c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</row>
    <row r="759" spans="10:35" x14ac:dyDescent="0.2">
      <c r="J759" s="101" t="s">
        <v>30</v>
      </c>
      <c r="K759" s="101" t="s">
        <v>2058</v>
      </c>
      <c r="L759" s="101" t="s">
        <v>1953</v>
      </c>
      <c r="M759" s="101" t="s">
        <v>2059</v>
      </c>
      <c r="N759" s="189">
        <v>12450</v>
      </c>
      <c r="O759" s="101" t="s">
        <v>568</v>
      </c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</row>
    <row r="760" spans="10:35" x14ac:dyDescent="0.2">
      <c r="J760" s="101" t="s">
        <v>30</v>
      </c>
      <c r="K760" s="101" t="s">
        <v>2060</v>
      </c>
      <c r="L760" s="101" t="s">
        <v>1953</v>
      </c>
      <c r="M760" s="101" t="s">
        <v>2061</v>
      </c>
      <c r="N760" s="189">
        <v>12450</v>
      </c>
      <c r="O760" s="101" t="s">
        <v>568</v>
      </c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</row>
    <row r="761" spans="10:35" x14ac:dyDescent="0.2">
      <c r="J761" s="101" t="s">
        <v>30</v>
      </c>
      <c r="K761" s="101" t="s">
        <v>2062</v>
      </c>
      <c r="L761" s="101" t="s">
        <v>1953</v>
      </c>
      <c r="M761" s="101" t="s">
        <v>2063</v>
      </c>
      <c r="N761" s="189">
        <v>12470</v>
      </c>
      <c r="O761" s="101" t="s">
        <v>568</v>
      </c>
      <c r="P761" s="101" t="s">
        <v>569</v>
      </c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</row>
    <row r="762" spans="10:35" x14ac:dyDescent="0.2">
      <c r="J762" s="101" t="s">
        <v>30</v>
      </c>
      <c r="K762" s="101" t="s">
        <v>2064</v>
      </c>
      <c r="L762" s="101" t="s">
        <v>1953</v>
      </c>
      <c r="M762" s="101" t="s">
        <v>2065</v>
      </c>
      <c r="N762" s="189">
        <v>12460</v>
      </c>
      <c r="O762" s="101" t="s">
        <v>568</v>
      </c>
      <c r="P762" s="101" t="s">
        <v>569</v>
      </c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</row>
    <row r="763" spans="10:35" x14ac:dyDescent="0.2">
      <c r="J763" s="101" t="s">
        <v>30</v>
      </c>
      <c r="K763" s="101" t="s">
        <v>2066</v>
      </c>
      <c r="L763" s="101" t="s">
        <v>1385</v>
      </c>
      <c r="M763" s="101" t="s">
        <v>2067</v>
      </c>
      <c r="N763" s="189">
        <v>12450</v>
      </c>
      <c r="O763" s="101" t="s">
        <v>568</v>
      </c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</row>
    <row r="764" spans="10:35" x14ac:dyDescent="0.2">
      <c r="J764" s="101" t="s">
        <v>30</v>
      </c>
      <c r="K764" s="101" t="s">
        <v>219</v>
      </c>
      <c r="L764" s="101" t="s">
        <v>150</v>
      </c>
      <c r="M764" s="101" t="s">
        <v>220</v>
      </c>
      <c r="N764" s="189">
        <v>12430</v>
      </c>
      <c r="O764" s="101" t="s">
        <v>568</v>
      </c>
      <c r="P764" s="101" t="s">
        <v>569</v>
      </c>
      <c r="Q764" s="101" t="s">
        <v>570</v>
      </c>
      <c r="R764" s="101" t="s">
        <v>571</v>
      </c>
      <c r="S764" s="101" t="s">
        <v>572</v>
      </c>
      <c r="T764" s="101" t="s">
        <v>573</v>
      </c>
      <c r="U764" s="101"/>
      <c r="V764" s="101"/>
      <c r="W764" s="101" t="s">
        <v>574</v>
      </c>
      <c r="X764" s="101" t="s">
        <v>575</v>
      </c>
      <c r="Y764" s="101"/>
      <c r="Z764" s="101" t="s">
        <v>576</v>
      </c>
      <c r="AA764" s="101" t="s">
        <v>577</v>
      </c>
      <c r="AB764" s="101" t="s">
        <v>578</v>
      </c>
      <c r="AC764" s="101" t="s">
        <v>579</v>
      </c>
      <c r="AD764" s="101" t="s">
        <v>580</v>
      </c>
      <c r="AE764" s="101" t="s">
        <v>581</v>
      </c>
      <c r="AF764" s="101" t="s">
        <v>582</v>
      </c>
      <c r="AG764" s="101" t="s">
        <v>583</v>
      </c>
      <c r="AH764" s="101" t="s">
        <v>584</v>
      </c>
      <c r="AI764" s="101" t="s">
        <v>585</v>
      </c>
    </row>
    <row r="765" spans="10:35" x14ac:dyDescent="0.2">
      <c r="J765" s="101" t="s">
        <v>30</v>
      </c>
      <c r="K765" s="101" t="s">
        <v>2068</v>
      </c>
      <c r="L765" s="101" t="s">
        <v>1385</v>
      </c>
      <c r="M765" s="101" t="s">
        <v>2069</v>
      </c>
      <c r="N765" s="189">
        <v>12450</v>
      </c>
      <c r="O765" s="101" t="s">
        <v>568</v>
      </c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</row>
    <row r="766" spans="10:35" x14ac:dyDescent="0.2">
      <c r="J766" s="101" t="s">
        <v>30</v>
      </c>
      <c r="K766" s="101" t="s">
        <v>2070</v>
      </c>
      <c r="L766" s="101" t="s">
        <v>1385</v>
      </c>
      <c r="M766" s="101" t="s">
        <v>2071</v>
      </c>
      <c r="N766" s="189">
        <v>12450</v>
      </c>
      <c r="O766" s="101" t="s">
        <v>568</v>
      </c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</row>
    <row r="767" spans="10:35" x14ac:dyDescent="0.2">
      <c r="J767" s="101" t="s">
        <v>30</v>
      </c>
      <c r="K767" s="101" t="s">
        <v>2072</v>
      </c>
      <c r="L767" s="101" t="s">
        <v>2073</v>
      </c>
      <c r="M767" s="101" t="s">
        <v>2074</v>
      </c>
      <c r="N767" s="189">
        <v>12450</v>
      </c>
      <c r="O767" s="101" t="s">
        <v>568</v>
      </c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</row>
    <row r="768" spans="10:35" x14ac:dyDescent="0.2">
      <c r="J768" s="101" t="s">
        <v>30</v>
      </c>
      <c r="K768" s="101" t="s">
        <v>2075</v>
      </c>
      <c r="L768" s="101" t="s">
        <v>1385</v>
      </c>
      <c r="M768" s="101" t="s">
        <v>2076</v>
      </c>
      <c r="N768" s="189">
        <v>12450</v>
      </c>
      <c r="O768" s="101" t="s">
        <v>568</v>
      </c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</row>
    <row r="769" spans="10:35" x14ac:dyDescent="0.2">
      <c r="J769" s="101" t="s">
        <v>30</v>
      </c>
      <c r="K769" s="101" t="s">
        <v>2077</v>
      </c>
      <c r="L769" s="101" t="s">
        <v>2073</v>
      </c>
      <c r="M769" s="101" t="s">
        <v>2078</v>
      </c>
      <c r="N769" s="189">
        <v>12450</v>
      </c>
      <c r="O769" s="101" t="s">
        <v>568</v>
      </c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</row>
    <row r="770" spans="10:35" x14ac:dyDescent="0.2">
      <c r="J770" s="101" t="s">
        <v>30</v>
      </c>
      <c r="K770" s="101" t="s">
        <v>2079</v>
      </c>
      <c r="L770" s="101" t="s">
        <v>2073</v>
      </c>
      <c r="M770" s="101" t="s">
        <v>2080</v>
      </c>
      <c r="N770" s="189">
        <v>12450</v>
      </c>
      <c r="O770" s="101" t="s">
        <v>568</v>
      </c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</row>
    <row r="771" spans="10:35" x14ac:dyDescent="0.2">
      <c r="J771" s="101" t="s">
        <v>30</v>
      </c>
      <c r="K771" s="101" t="s">
        <v>2081</v>
      </c>
      <c r="L771" s="101" t="s">
        <v>2073</v>
      </c>
      <c r="M771" s="101" t="s">
        <v>2082</v>
      </c>
      <c r="N771" s="189">
        <v>12450</v>
      </c>
      <c r="O771" s="101" t="s">
        <v>568</v>
      </c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</row>
    <row r="772" spans="10:35" x14ac:dyDescent="0.2">
      <c r="J772" s="101" t="s">
        <v>30</v>
      </c>
      <c r="K772" s="101" t="s">
        <v>2083</v>
      </c>
      <c r="L772" s="101" t="s">
        <v>2073</v>
      </c>
      <c r="M772" s="101" t="s">
        <v>2084</v>
      </c>
      <c r="N772" s="189">
        <v>12450</v>
      </c>
      <c r="O772" s="101" t="s">
        <v>568</v>
      </c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</row>
    <row r="773" spans="10:35" x14ac:dyDescent="0.2">
      <c r="J773" s="101" t="s">
        <v>30</v>
      </c>
      <c r="K773" s="101" t="s">
        <v>2085</v>
      </c>
      <c r="L773" s="101" t="s">
        <v>2073</v>
      </c>
      <c r="M773" s="101" t="s">
        <v>2086</v>
      </c>
      <c r="N773" s="189">
        <v>12450</v>
      </c>
      <c r="O773" s="101" t="s">
        <v>568</v>
      </c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</row>
    <row r="774" spans="10:35" x14ac:dyDescent="0.2">
      <c r="J774" s="101" t="s">
        <v>30</v>
      </c>
      <c r="K774" s="101" t="s">
        <v>2087</v>
      </c>
      <c r="L774" s="101" t="s">
        <v>2073</v>
      </c>
      <c r="M774" s="101" t="s">
        <v>2088</v>
      </c>
      <c r="N774" s="189">
        <v>12450</v>
      </c>
      <c r="O774" s="101" t="s">
        <v>568</v>
      </c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</row>
    <row r="775" spans="10:35" x14ac:dyDescent="0.2">
      <c r="J775" s="101" t="s">
        <v>30</v>
      </c>
      <c r="K775" s="101" t="s">
        <v>2089</v>
      </c>
      <c r="L775" s="101" t="s">
        <v>2073</v>
      </c>
      <c r="M775" s="101" t="s">
        <v>2090</v>
      </c>
      <c r="N775" s="189">
        <v>12450</v>
      </c>
      <c r="O775" s="101" t="s">
        <v>568</v>
      </c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</row>
    <row r="776" spans="10:35" x14ac:dyDescent="0.2">
      <c r="J776" s="101" t="s">
        <v>30</v>
      </c>
      <c r="K776" s="101" t="s">
        <v>2091</v>
      </c>
      <c r="L776" s="101" t="s">
        <v>2073</v>
      </c>
      <c r="M776" s="101" t="s">
        <v>2092</v>
      </c>
      <c r="N776" s="189">
        <v>12450</v>
      </c>
      <c r="O776" s="101" t="s">
        <v>568</v>
      </c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</row>
    <row r="777" spans="10:35" x14ac:dyDescent="0.2">
      <c r="J777" s="101" t="s">
        <v>30</v>
      </c>
      <c r="K777" s="101" t="s">
        <v>2093</v>
      </c>
      <c r="L777" s="101" t="s">
        <v>2073</v>
      </c>
      <c r="M777" s="101" t="s">
        <v>2094</v>
      </c>
      <c r="N777" s="189">
        <v>12450</v>
      </c>
      <c r="O777" s="101" t="s">
        <v>568</v>
      </c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</row>
    <row r="778" spans="10:35" x14ac:dyDescent="0.2">
      <c r="J778" s="101" t="s">
        <v>30</v>
      </c>
      <c r="K778" s="101" t="s">
        <v>2095</v>
      </c>
      <c r="L778" s="101" t="s">
        <v>2073</v>
      </c>
      <c r="M778" s="101" t="s">
        <v>2096</v>
      </c>
      <c r="N778" s="189">
        <v>12450</v>
      </c>
      <c r="O778" s="101" t="s">
        <v>568</v>
      </c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</row>
    <row r="779" spans="10:35" x14ac:dyDescent="0.2">
      <c r="J779" s="101" t="s">
        <v>30</v>
      </c>
      <c r="K779" s="101" t="s">
        <v>2097</v>
      </c>
      <c r="L779" s="101" t="s">
        <v>2073</v>
      </c>
      <c r="M779" s="101" t="s">
        <v>2098</v>
      </c>
      <c r="N779" s="189">
        <v>12450</v>
      </c>
      <c r="O779" s="101" t="s">
        <v>568</v>
      </c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</row>
    <row r="780" spans="10:35" x14ac:dyDescent="0.2">
      <c r="J780" s="101" t="s">
        <v>30</v>
      </c>
      <c r="K780" s="101" t="s">
        <v>2099</v>
      </c>
      <c r="L780" s="101" t="s">
        <v>2073</v>
      </c>
      <c r="M780" s="101" t="s">
        <v>2100</v>
      </c>
      <c r="N780" s="189">
        <v>12450</v>
      </c>
      <c r="O780" s="101" t="s">
        <v>568</v>
      </c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</row>
    <row r="781" spans="10:35" x14ac:dyDescent="0.2">
      <c r="J781" s="101" t="s">
        <v>30</v>
      </c>
      <c r="K781" s="101" t="s">
        <v>2101</v>
      </c>
      <c r="L781" s="101" t="s">
        <v>2073</v>
      </c>
      <c r="M781" s="101" t="s">
        <v>2102</v>
      </c>
      <c r="N781" s="189">
        <v>12450</v>
      </c>
      <c r="O781" s="101" t="s">
        <v>568</v>
      </c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</row>
    <row r="782" spans="10:35" x14ac:dyDescent="0.2">
      <c r="J782" s="101" t="s">
        <v>30</v>
      </c>
      <c r="K782" s="101" t="s">
        <v>2103</v>
      </c>
      <c r="L782" s="101" t="s">
        <v>2073</v>
      </c>
      <c r="M782" s="101" t="s">
        <v>2104</v>
      </c>
      <c r="N782" s="189">
        <v>12450</v>
      </c>
      <c r="O782" s="101" t="s">
        <v>568</v>
      </c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</row>
    <row r="783" spans="10:35" x14ac:dyDescent="0.2">
      <c r="J783" s="101" t="s">
        <v>30</v>
      </c>
      <c r="K783" s="101" t="s">
        <v>2105</v>
      </c>
      <c r="L783" s="101" t="s">
        <v>2073</v>
      </c>
      <c r="M783" s="101" t="s">
        <v>2106</v>
      </c>
      <c r="N783" s="189">
        <v>12450</v>
      </c>
      <c r="O783" s="101" t="s">
        <v>568</v>
      </c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</row>
    <row r="784" spans="10:35" x14ac:dyDescent="0.2">
      <c r="J784" s="101" t="s">
        <v>30</v>
      </c>
      <c r="K784" s="101" t="s">
        <v>2107</v>
      </c>
      <c r="L784" s="101" t="s">
        <v>2073</v>
      </c>
      <c r="M784" s="101" t="s">
        <v>2108</v>
      </c>
      <c r="N784" s="189">
        <v>12450</v>
      </c>
      <c r="O784" s="101" t="s">
        <v>568</v>
      </c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</row>
    <row r="785" spans="10:35" x14ac:dyDescent="0.2">
      <c r="J785" s="101" t="s">
        <v>30</v>
      </c>
      <c r="K785" s="101" t="s">
        <v>2109</v>
      </c>
      <c r="L785" s="101" t="s">
        <v>2073</v>
      </c>
      <c r="M785" s="101" t="s">
        <v>2110</v>
      </c>
      <c r="N785" s="189">
        <v>12450</v>
      </c>
      <c r="O785" s="101" t="s">
        <v>568</v>
      </c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</row>
    <row r="786" spans="10:35" x14ac:dyDescent="0.2">
      <c r="J786" s="101" t="s">
        <v>30</v>
      </c>
      <c r="K786" s="101" t="s">
        <v>2111</v>
      </c>
      <c r="L786" s="101" t="s">
        <v>1385</v>
      </c>
      <c r="M786" s="101" t="s">
        <v>2112</v>
      </c>
      <c r="N786" s="189">
        <v>12450</v>
      </c>
      <c r="O786" s="101" t="s">
        <v>568</v>
      </c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</row>
    <row r="787" spans="10:35" x14ac:dyDescent="0.2">
      <c r="J787" s="101" t="s">
        <v>30</v>
      </c>
      <c r="K787" s="101" t="s">
        <v>2113</v>
      </c>
      <c r="L787" s="101" t="s">
        <v>1385</v>
      </c>
      <c r="M787" s="101" t="s">
        <v>2114</v>
      </c>
      <c r="N787" s="189">
        <v>12450</v>
      </c>
      <c r="O787" s="101" t="s">
        <v>568</v>
      </c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</row>
    <row r="788" spans="10:35" x14ac:dyDescent="0.2">
      <c r="J788" s="101" t="s">
        <v>30</v>
      </c>
      <c r="K788" s="101" t="s">
        <v>2115</v>
      </c>
      <c r="L788" s="101" t="s">
        <v>2073</v>
      </c>
      <c r="M788" s="101" t="s">
        <v>2116</v>
      </c>
      <c r="N788" s="189">
        <v>12450</v>
      </c>
      <c r="O788" s="101" t="s">
        <v>568</v>
      </c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</row>
    <row r="789" spans="10:35" x14ac:dyDescent="0.2">
      <c r="J789" s="101" t="s">
        <v>30</v>
      </c>
      <c r="K789" s="101" t="s">
        <v>2117</v>
      </c>
      <c r="L789" s="101" t="s">
        <v>2073</v>
      </c>
      <c r="M789" s="101" t="s">
        <v>2118</v>
      </c>
      <c r="N789" s="189">
        <v>12450</v>
      </c>
      <c r="O789" s="101" t="s">
        <v>568</v>
      </c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</row>
    <row r="790" spans="10:35" x14ac:dyDescent="0.2">
      <c r="J790" s="101" t="s">
        <v>30</v>
      </c>
      <c r="K790" s="101" t="s">
        <v>2119</v>
      </c>
      <c r="L790" s="101" t="s">
        <v>1385</v>
      </c>
      <c r="M790" s="101" t="s">
        <v>2120</v>
      </c>
      <c r="N790" s="189">
        <v>12450</v>
      </c>
      <c r="O790" s="101" t="s">
        <v>568</v>
      </c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</row>
    <row r="791" spans="10:35" x14ac:dyDescent="0.2">
      <c r="J791" s="101" t="s">
        <v>30</v>
      </c>
      <c r="K791" s="101" t="s">
        <v>2121</v>
      </c>
      <c r="L791" s="101" t="s">
        <v>2073</v>
      </c>
      <c r="M791" s="101" t="s">
        <v>2122</v>
      </c>
      <c r="N791" s="189">
        <v>12450</v>
      </c>
      <c r="O791" s="101" t="s">
        <v>568</v>
      </c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</row>
    <row r="792" spans="10:35" x14ac:dyDescent="0.2">
      <c r="J792" s="101" t="s">
        <v>30</v>
      </c>
      <c r="K792" s="101" t="s">
        <v>2123</v>
      </c>
      <c r="L792" s="101" t="s">
        <v>1385</v>
      </c>
      <c r="M792" s="101" t="s">
        <v>2124</v>
      </c>
      <c r="N792" s="189">
        <v>12450</v>
      </c>
      <c r="O792" s="101" t="s">
        <v>568</v>
      </c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</row>
    <row r="793" spans="10:35" x14ac:dyDescent="0.2">
      <c r="J793" s="101" t="s">
        <v>30</v>
      </c>
      <c r="K793" s="101" t="s">
        <v>2125</v>
      </c>
      <c r="L793" s="101" t="s">
        <v>1385</v>
      </c>
      <c r="M793" s="101" t="s">
        <v>2126</v>
      </c>
      <c r="N793" s="189">
        <v>12450</v>
      </c>
      <c r="O793" s="101" t="s">
        <v>568</v>
      </c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</row>
    <row r="794" spans="10:35" x14ac:dyDescent="0.2">
      <c r="J794" s="101" t="s">
        <v>30</v>
      </c>
      <c r="K794" s="101" t="s">
        <v>2127</v>
      </c>
      <c r="L794" s="101" t="s">
        <v>1385</v>
      </c>
      <c r="M794" s="101" t="s">
        <v>2128</v>
      </c>
      <c r="N794" s="189">
        <v>12450</v>
      </c>
      <c r="O794" s="101" t="s">
        <v>568</v>
      </c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</row>
    <row r="795" spans="10:35" x14ac:dyDescent="0.2">
      <c r="J795" s="101" t="s">
        <v>30</v>
      </c>
      <c r="K795" s="101" t="s">
        <v>2129</v>
      </c>
      <c r="L795" s="101" t="s">
        <v>1385</v>
      </c>
      <c r="M795" s="101" t="s">
        <v>2130</v>
      </c>
      <c r="N795" s="189">
        <v>12450</v>
      </c>
      <c r="O795" s="101" t="s">
        <v>568</v>
      </c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</row>
    <row r="796" spans="10:35" x14ac:dyDescent="0.2">
      <c r="J796" s="101" t="s">
        <v>30</v>
      </c>
      <c r="K796" s="101" t="s">
        <v>2131</v>
      </c>
      <c r="L796" s="101" t="s">
        <v>1385</v>
      </c>
      <c r="M796" s="101" t="s">
        <v>2132</v>
      </c>
      <c r="N796" s="189">
        <v>12450</v>
      </c>
      <c r="O796" s="101" t="s">
        <v>568</v>
      </c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</row>
    <row r="797" spans="10:35" x14ac:dyDescent="0.2">
      <c r="J797" s="101" t="s">
        <v>30</v>
      </c>
      <c r="K797" s="101" t="s">
        <v>2133</v>
      </c>
      <c r="L797" s="101" t="s">
        <v>1385</v>
      </c>
      <c r="M797" s="101" t="s">
        <v>2134</v>
      </c>
      <c r="N797" s="189">
        <v>12450</v>
      </c>
      <c r="O797" s="101" t="s">
        <v>568</v>
      </c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</row>
    <row r="798" spans="10:35" x14ac:dyDescent="0.2">
      <c r="J798" s="101" t="s">
        <v>30</v>
      </c>
      <c r="K798" s="101" t="s">
        <v>2135</v>
      </c>
      <c r="L798" s="101" t="s">
        <v>1385</v>
      </c>
      <c r="M798" s="101" t="s">
        <v>2136</v>
      </c>
      <c r="N798" s="189">
        <v>12450</v>
      </c>
      <c r="O798" s="101" t="s">
        <v>568</v>
      </c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</row>
    <row r="799" spans="10:35" x14ac:dyDescent="0.2">
      <c r="J799" s="101" t="s">
        <v>30</v>
      </c>
      <c r="K799" s="101" t="s">
        <v>2137</v>
      </c>
      <c r="L799" s="101" t="s">
        <v>2073</v>
      </c>
      <c r="M799" s="101" t="s">
        <v>2138</v>
      </c>
      <c r="N799" s="189">
        <v>12450</v>
      </c>
      <c r="O799" s="101" t="s">
        <v>568</v>
      </c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</row>
    <row r="800" spans="10:35" x14ac:dyDescent="0.2">
      <c r="J800" s="101" t="s">
        <v>30</v>
      </c>
      <c r="K800" s="101" t="s">
        <v>2139</v>
      </c>
      <c r="L800" s="101" t="s">
        <v>1385</v>
      </c>
      <c r="M800" s="101" t="s">
        <v>2140</v>
      </c>
      <c r="N800" s="189">
        <v>12450</v>
      </c>
      <c r="O800" s="101" t="s">
        <v>568</v>
      </c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</row>
    <row r="801" spans="10:35" x14ac:dyDescent="0.2">
      <c r="J801" s="101" t="s">
        <v>30</v>
      </c>
      <c r="K801" s="101" t="s">
        <v>2141</v>
      </c>
      <c r="L801" s="101" t="s">
        <v>1385</v>
      </c>
      <c r="M801" s="101" t="s">
        <v>2142</v>
      </c>
      <c r="N801" s="189">
        <v>12450</v>
      </c>
      <c r="O801" s="101" t="s">
        <v>568</v>
      </c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</row>
    <row r="802" spans="10:35" x14ac:dyDescent="0.2">
      <c r="J802" s="101" t="s">
        <v>30</v>
      </c>
      <c r="K802" s="101" t="s">
        <v>2143</v>
      </c>
      <c r="L802" s="101" t="s">
        <v>1385</v>
      </c>
      <c r="M802" s="101" t="s">
        <v>2144</v>
      </c>
      <c r="N802" s="189">
        <v>12450</v>
      </c>
      <c r="O802" s="101" t="s">
        <v>568</v>
      </c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</row>
    <row r="803" spans="10:35" x14ac:dyDescent="0.2">
      <c r="J803" s="101" t="s">
        <v>30</v>
      </c>
      <c r="K803" s="101" t="s">
        <v>2145</v>
      </c>
      <c r="L803" s="101" t="s">
        <v>1385</v>
      </c>
      <c r="M803" s="101" t="s">
        <v>2146</v>
      </c>
      <c r="N803" s="189">
        <v>12450</v>
      </c>
      <c r="O803" s="101" t="s">
        <v>568</v>
      </c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</row>
    <row r="804" spans="10:35" x14ac:dyDescent="0.2">
      <c r="J804" s="101" t="s">
        <v>30</v>
      </c>
      <c r="K804" s="101" t="s">
        <v>2147</v>
      </c>
      <c r="L804" s="101" t="s">
        <v>1385</v>
      </c>
      <c r="M804" s="101" t="s">
        <v>2148</v>
      </c>
      <c r="N804" s="189">
        <v>12450</v>
      </c>
      <c r="O804" s="101" t="s">
        <v>568</v>
      </c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</row>
    <row r="805" spans="10:35" x14ac:dyDescent="0.2">
      <c r="J805" s="101" t="s">
        <v>30</v>
      </c>
      <c r="K805" s="101" t="s">
        <v>2149</v>
      </c>
      <c r="L805" s="101" t="s">
        <v>1385</v>
      </c>
      <c r="M805" s="101" t="s">
        <v>2150</v>
      </c>
      <c r="N805" s="189">
        <v>12450</v>
      </c>
      <c r="O805" s="101" t="s">
        <v>568</v>
      </c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</row>
    <row r="806" spans="10:35" x14ac:dyDescent="0.2">
      <c r="J806" s="101" t="s">
        <v>30</v>
      </c>
      <c r="K806" s="101" t="s">
        <v>2151</v>
      </c>
      <c r="L806" s="101" t="s">
        <v>2152</v>
      </c>
      <c r="M806" s="101" t="s">
        <v>2153</v>
      </c>
      <c r="N806" s="189">
        <v>12450</v>
      </c>
      <c r="O806" s="101" t="s">
        <v>568</v>
      </c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</row>
    <row r="807" spans="10:35" x14ac:dyDescent="0.2">
      <c r="J807" s="101" t="s">
        <v>30</v>
      </c>
      <c r="K807" s="101" t="s">
        <v>2154</v>
      </c>
      <c r="L807" s="101" t="s">
        <v>2152</v>
      </c>
      <c r="M807" s="101" t="s">
        <v>2155</v>
      </c>
      <c r="N807" s="189">
        <v>12450</v>
      </c>
      <c r="O807" s="101" t="s">
        <v>568</v>
      </c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</row>
    <row r="808" spans="10:35" x14ac:dyDescent="0.2">
      <c r="J808" s="101" t="s">
        <v>30</v>
      </c>
      <c r="K808" s="101" t="s">
        <v>2156</v>
      </c>
      <c r="L808" s="101" t="s">
        <v>2152</v>
      </c>
      <c r="M808" s="101" t="s">
        <v>2157</v>
      </c>
      <c r="N808" s="189">
        <v>12450</v>
      </c>
      <c r="O808" s="101" t="s">
        <v>568</v>
      </c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</row>
    <row r="809" spans="10:35" x14ac:dyDescent="0.2">
      <c r="J809" s="101" t="s">
        <v>30</v>
      </c>
      <c r="K809" s="101" t="s">
        <v>2158</v>
      </c>
      <c r="L809" s="101" t="s">
        <v>2159</v>
      </c>
      <c r="M809" s="101" t="s">
        <v>2160</v>
      </c>
      <c r="N809" s="189">
        <v>12450</v>
      </c>
      <c r="O809" s="101" t="s">
        <v>568</v>
      </c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</row>
    <row r="810" spans="10:35" x14ac:dyDescent="0.2">
      <c r="J810" s="101" t="s">
        <v>30</v>
      </c>
      <c r="K810" s="101" t="s">
        <v>2161</v>
      </c>
      <c r="L810" s="101" t="s">
        <v>2159</v>
      </c>
      <c r="M810" s="101" t="s">
        <v>2162</v>
      </c>
      <c r="N810" s="189">
        <v>12450</v>
      </c>
      <c r="O810" s="101" t="s">
        <v>568</v>
      </c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</row>
    <row r="811" spans="10:35" x14ac:dyDescent="0.2">
      <c r="J811" s="101" t="s">
        <v>30</v>
      </c>
      <c r="K811" s="101" t="s">
        <v>2163</v>
      </c>
      <c r="L811" s="101" t="s">
        <v>2159</v>
      </c>
      <c r="M811" s="101" t="s">
        <v>2164</v>
      </c>
      <c r="N811" s="189">
        <v>12450</v>
      </c>
      <c r="O811" s="101" t="s">
        <v>568</v>
      </c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</row>
    <row r="812" spans="10:35" x14ac:dyDescent="0.2">
      <c r="J812" s="101" t="s">
        <v>30</v>
      </c>
      <c r="K812" s="101" t="s">
        <v>2165</v>
      </c>
      <c r="L812" s="101" t="s">
        <v>2152</v>
      </c>
      <c r="M812" s="101" t="s">
        <v>2166</v>
      </c>
      <c r="N812" s="189">
        <v>12450</v>
      </c>
      <c r="O812" s="101" t="s">
        <v>568</v>
      </c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</row>
    <row r="813" spans="10:35" x14ac:dyDescent="0.2">
      <c r="J813" s="101" t="s">
        <v>30</v>
      </c>
      <c r="K813" s="101" t="s">
        <v>2167</v>
      </c>
      <c r="L813" s="101" t="s">
        <v>2159</v>
      </c>
      <c r="M813" s="101" t="s">
        <v>2168</v>
      </c>
      <c r="N813" s="189">
        <v>12450</v>
      </c>
      <c r="O813" s="101" t="s">
        <v>568</v>
      </c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</row>
    <row r="814" spans="10:35" x14ac:dyDescent="0.2">
      <c r="J814" s="101" t="s">
        <v>30</v>
      </c>
      <c r="K814" s="101" t="s">
        <v>2169</v>
      </c>
      <c r="L814" s="101" t="s">
        <v>2152</v>
      </c>
      <c r="M814" s="101" t="s">
        <v>2170</v>
      </c>
      <c r="N814" s="189">
        <v>12450</v>
      </c>
      <c r="O814" s="101" t="s">
        <v>568</v>
      </c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</row>
    <row r="815" spans="10:35" x14ac:dyDescent="0.2">
      <c r="J815" s="101" t="s">
        <v>30</v>
      </c>
      <c r="K815" s="101" t="s">
        <v>2171</v>
      </c>
      <c r="L815" s="101" t="s">
        <v>2159</v>
      </c>
      <c r="M815" s="101" t="s">
        <v>2172</v>
      </c>
      <c r="N815" s="189">
        <v>12450</v>
      </c>
      <c r="O815" s="101" t="s">
        <v>568</v>
      </c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</row>
    <row r="816" spans="10:35" x14ac:dyDescent="0.2">
      <c r="J816" s="101" t="s">
        <v>30</v>
      </c>
      <c r="K816" s="101" t="s">
        <v>2173</v>
      </c>
      <c r="L816" s="101" t="s">
        <v>2152</v>
      </c>
      <c r="M816" s="101" t="s">
        <v>2174</v>
      </c>
      <c r="N816" s="189">
        <v>12450</v>
      </c>
      <c r="O816" s="101" t="s">
        <v>568</v>
      </c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</row>
    <row r="817" spans="10:35" x14ac:dyDescent="0.2">
      <c r="J817" s="101" t="s">
        <v>30</v>
      </c>
      <c r="K817" s="101" t="s">
        <v>2175</v>
      </c>
      <c r="L817" s="101" t="s">
        <v>2152</v>
      </c>
      <c r="M817" s="101" t="s">
        <v>2176</v>
      </c>
      <c r="N817" s="189">
        <v>12450</v>
      </c>
      <c r="O817" s="101" t="s">
        <v>568</v>
      </c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</row>
    <row r="818" spans="10:35" x14ac:dyDescent="0.2">
      <c r="J818" s="101" t="s">
        <v>30</v>
      </c>
      <c r="K818" s="101" t="s">
        <v>2177</v>
      </c>
      <c r="L818" s="101" t="s">
        <v>2159</v>
      </c>
      <c r="M818" s="101" t="s">
        <v>2178</v>
      </c>
      <c r="N818" s="189">
        <v>12450</v>
      </c>
      <c r="O818" s="101" t="s">
        <v>568</v>
      </c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</row>
    <row r="819" spans="10:35" x14ac:dyDescent="0.2">
      <c r="J819" s="101" t="s">
        <v>30</v>
      </c>
      <c r="K819" s="101" t="s">
        <v>2179</v>
      </c>
      <c r="L819" s="101" t="s">
        <v>2159</v>
      </c>
      <c r="M819" s="101" t="s">
        <v>2180</v>
      </c>
      <c r="N819" s="189">
        <v>12450</v>
      </c>
      <c r="O819" s="101" t="s">
        <v>568</v>
      </c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</row>
    <row r="820" spans="10:35" x14ac:dyDescent="0.2">
      <c r="J820" s="101" t="s">
        <v>30</v>
      </c>
      <c r="K820" s="101" t="s">
        <v>2181</v>
      </c>
      <c r="L820" s="101" t="s">
        <v>2159</v>
      </c>
      <c r="M820" s="101" t="s">
        <v>2182</v>
      </c>
      <c r="N820" s="189">
        <v>12450</v>
      </c>
      <c r="O820" s="101" t="s">
        <v>568</v>
      </c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</row>
    <row r="821" spans="10:35" x14ac:dyDescent="0.2">
      <c r="J821" s="101" t="s">
        <v>30</v>
      </c>
      <c r="K821" s="101" t="s">
        <v>2183</v>
      </c>
      <c r="L821" s="101" t="s">
        <v>2159</v>
      </c>
      <c r="M821" s="101" t="s">
        <v>2184</v>
      </c>
      <c r="N821" s="189">
        <v>12450</v>
      </c>
      <c r="O821" s="101" t="s">
        <v>568</v>
      </c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</row>
    <row r="822" spans="10:35" x14ac:dyDescent="0.2">
      <c r="J822" s="101" t="s">
        <v>30</v>
      </c>
      <c r="K822" s="101" t="s">
        <v>2185</v>
      </c>
      <c r="L822" s="101" t="s">
        <v>2159</v>
      </c>
      <c r="M822" s="101" t="s">
        <v>2186</v>
      </c>
      <c r="N822" s="189">
        <v>12450</v>
      </c>
      <c r="O822" s="101" t="s">
        <v>568</v>
      </c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</row>
    <row r="823" spans="10:35" x14ac:dyDescent="0.2">
      <c r="J823" s="101" t="s">
        <v>30</v>
      </c>
      <c r="K823" s="101" t="s">
        <v>2187</v>
      </c>
      <c r="L823" s="101" t="s">
        <v>2159</v>
      </c>
      <c r="M823" s="101" t="s">
        <v>2188</v>
      </c>
      <c r="N823" s="189">
        <v>12450</v>
      </c>
      <c r="O823" s="101" t="s">
        <v>568</v>
      </c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</row>
    <row r="824" spans="10:35" x14ac:dyDescent="0.2">
      <c r="J824" s="101" t="s">
        <v>30</v>
      </c>
      <c r="K824" s="101" t="s">
        <v>2189</v>
      </c>
      <c r="L824" s="101" t="s">
        <v>2152</v>
      </c>
      <c r="M824" s="101" t="s">
        <v>2190</v>
      </c>
      <c r="N824" s="189">
        <v>12450</v>
      </c>
      <c r="O824" s="101" t="s">
        <v>568</v>
      </c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</row>
    <row r="825" spans="10:35" x14ac:dyDescent="0.2">
      <c r="J825" s="101" t="s">
        <v>30</v>
      </c>
      <c r="K825" s="101" t="s">
        <v>2191</v>
      </c>
      <c r="L825" s="101" t="s">
        <v>2159</v>
      </c>
      <c r="M825" s="101" t="s">
        <v>2192</v>
      </c>
      <c r="N825" s="189">
        <v>12450</v>
      </c>
      <c r="O825" s="101" t="s">
        <v>568</v>
      </c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</row>
    <row r="826" spans="10:35" x14ac:dyDescent="0.2">
      <c r="J826" s="101" t="s">
        <v>30</v>
      </c>
      <c r="K826" s="101" t="s">
        <v>2193</v>
      </c>
      <c r="L826" s="101" t="s">
        <v>2159</v>
      </c>
      <c r="M826" s="101" t="s">
        <v>2194</v>
      </c>
      <c r="N826" s="189">
        <v>12450</v>
      </c>
      <c r="O826" s="101" t="s">
        <v>568</v>
      </c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</row>
    <row r="827" spans="10:35" x14ac:dyDescent="0.2">
      <c r="J827" s="101" t="s">
        <v>30</v>
      </c>
      <c r="K827" s="101" t="s">
        <v>2195</v>
      </c>
      <c r="L827" s="101" t="s">
        <v>2159</v>
      </c>
      <c r="M827" s="101" t="s">
        <v>2196</v>
      </c>
      <c r="N827" s="189">
        <v>12450</v>
      </c>
      <c r="O827" s="101" t="s">
        <v>568</v>
      </c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</row>
    <row r="828" spans="10:35" x14ac:dyDescent="0.2">
      <c r="J828" s="101" t="s">
        <v>30</v>
      </c>
      <c r="K828" s="101" t="s">
        <v>2197</v>
      </c>
      <c r="L828" s="101" t="s">
        <v>2152</v>
      </c>
      <c r="M828" s="101" t="s">
        <v>2198</v>
      </c>
      <c r="N828" s="189">
        <v>12450</v>
      </c>
      <c r="O828" s="101" t="s">
        <v>568</v>
      </c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</row>
    <row r="829" spans="10:35" x14ac:dyDescent="0.2">
      <c r="J829" s="101" t="s">
        <v>30</v>
      </c>
      <c r="K829" s="101" t="s">
        <v>2199</v>
      </c>
      <c r="L829" s="101" t="s">
        <v>2152</v>
      </c>
      <c r="M829" s="101" t="s">
        <v>2200</v>
      </c>
      <c r="N829" s="189">
        <v>12450</v>
      </c>
      <c r="O829" s="101" t="s">
        <v>568</v>
      </c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</row>
    <row r="830" spans="10:35" x14ac:dyDescent="0.2">
      <c r="J830" s="101" t="s">
        <v>30</v>
      </c>
      <c r="K830" s="101" t="s">
        <v>2201</v>
      </c>
      <c r="L830" s="101" t="s">
        <v>2152</v>
      </c>
      <c r="M830" s="101" t="s">
        <v>2202</v>
      </c>
      <c r="N830" s="189">
        <v>12450</v>
      </c>
      <c r="O830" s="101" t="s">
        <v>568</v>
      </c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</row>
    <row r="831" spans="10:35" x14ac:dyDescent="0.2">
      <c r="J831" s="101" t="s">
        <v>30</v>
      </c>
      <c r="K831" s="101" t="s">
        <v>2203</v>
      </c>
      <c r="L831" s="101" t="s">
        <v>2152</v>
      </c>
      <c r="M831" s="101" t="s">
        <v>2204</v>
      </c>
      <c r="N831" s="189">
        <v>12450</v>
      </c>
      <c r="O831" s="101" t="s">
        <v>568</v>
      </c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</row>
    <row r="832" spans="10:35" x14ac:dyDescent="0.2">
      <c r="J832" s="101" t="s">
        <v>30</v>
      </c>
      <c r="K832" s="101" t="s">
        <v>2205</v>
      </c>
      <c r="L832" s="101" t="s">
        <v>2152</v>
      </c>
      <c r="M832" s="101" t="s">
        <v>2206</v>
      </c>
      <c r="N832" s="189">
        <v>12450</v>
      </c>
      <c r="O832" s="101" t="s">
        <v>568</v>
      </c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</row>
    <row r="833" spans="10:35" x14ac:dyDescent="0.2">
      <c r="J833" s="101" t="s">
        <v>30</v>
      </c>
      <c r="K833" s="101" t="s">
        <v>2207</v>
      </c>
      <c r="L833" s="101" t="s">
        <v>2152</v>
      </c>
      <c r="M833" s="101" t="s">
        <v>2208</v>
      </c>
      <c r="N833" s="189">
        <v>12450</v>
      </c>
      <c r="O833" s="101" t="s">
        <v>568</v>
      </c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</row>
    <row r="834" spans="10:35" x14ac:dyDescent="0.2">
      <c r="J834" s="101" t="s">
        <v>30</v>
      </c>
      <c r="K834" s="101" t="s">
        <v>2209</v>
      </c>
      <c r="L834" s="101" t="s">
        <v>2152</v>
      </c>
      <c r="M834" s="101" t="s">
        <v>2210</v>
      </c>
      <c r="N834" s="189">
        <v>12450</v>
      </c>
      <c r="O834" s="101" t="s">
        <v>568</v>
      </c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</row>
    <row r="835" spans="10:35" x14ac:dyDescent="0.2">
      <c r="J835" s="101" t="s">
        <v>30</v>
      </c>
      <c r="K835" s="101" t="s">
        <v>2211</v>
      </c>
      <c r="L835" s="101" t="s">
        <v>2152</v>
      </c>
      <c r="M835" s="101" t="s">
        <v>2212</v>
      </c>
      <c r="N835" s="189">
        <v>12450</v>
      </c>
      <c r="O835" s="101" t="s">
        <v>568</v>
      </c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</row>
    <row r="836" spans="10:35" x14ac:dyDescent="0.2">
      <c r="J836" s="101" t="s">
        <v>30</v>
      </c>
      <c r="K836" s="101" t="s">
        <v>2213</v>
      </c>
      <c r="L836" s="101" t="s">
        <v>2152</v>
      </c>
      <c r="M836" s="101" t="s">
        <v>2214</v>
      </c>
      <c r="N836" s="189">
        <v>12450</v>
      </c>
      <c r="O836" s="101" t="s">
        <v>568</v>
      </c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</row>
    <row r="837" spans="10:35" x14ac:dyDescent="0.2">
      <c r="J837" s="101" t="s">
        <v>30</v>
      </c>
      <c r="K837" s="101" t="s">
        <v>2215</v>
      </c>
      <c r="L837" s="101" t="s">
        <v>2152</v>
      </c>
      <c r="M837" s="101" t="s">
        <v>2216</v>
      </c>
      <c r="N837" s="189">
        <v>12450</v>
      </c>
      <c r="O837" s="101" t="s">
        <v>568</v>
      </c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</row>
    <row r="838" spans="10:35" x14ac:dyDescent="0.2">
      <c r="J838" s="101" t="s">
        <v>30</v>
      </c>
      <c r="K838" s="101" t="s">
        <v>2217</v>
      </c>
      <c r="L838" s="101" t="s">
        <v>2159</v>
      </c>
      <c r="M838" s="101" t="s">
        <v>2218</v>
      </c>
      <c r="N838" s="189">
        <v>12450</v>
      </c>
      <c r="O838" s="101" t="s">
        <v>568</v>
      </c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</row>
    <row r="839" spans="10:35" x14ac:dyDescent="0.2">
      <c r="J839" s="101" t="s">
        <v>30</v>
      </c>
      <c r="K839" s="101" t="s">
        <v>2219</v>
      </c>
      <c r="L839" s="101" t="s">
        <v>2152</v>
      </c>
      <c r="M839" s="101" t="s">
        <v>2220</v>
      </c>
      <c r="N839" s="189">
        <v>12450</v>
      </c>
      <c r="O839" s="101" t="s">
        <v>568</v>
      </c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</row>
    <row r="840" spans="10:35" x14ac:dyDescent="0.2">
      <c r="J840" s="101" t="s">
        <v>30</v>
      </c>
      <c r="K840" s="101" t="s">
        <v>2221</v>
      </c>
      <c r="L840" s="101" t="s">
        <v>2159</v>
      </c>
      <c r="M840" s="101" t="s">
        <v>2222</v>
      </c>
      <c r="N840" s="189">
        <v>12450</v>
      </c>
      <c r="O840" s="101" t="s">
        <v>568</v>
      </c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</row>
    <row r="841" spans="10:35" x14ac:dyDescent="0.2">
      <c r="J841" s="101" t="s">
        <v>30</v>
      </c>
      <c r="K841" s="101" t="s">
        <v>2223</v>
      </c>
      <c r="L841" s="101" t="s">
        <v>2159</v>
      </c>
      <c r="M841" s="101" t="s">
        <v>2224</v>
      </c>
      <c r="N841" s="189">
        <v>12450</v>
      </c>
      <c r="O841" s="101" t="s">
        <v>568</v>
      </c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</row>
    <row r="842" spans="10:35" x14ac:dyDescent="0.2">
      <c r="J842" s="101" t="s">
        <v>30</v>
      </c>
      <c r="K842" s="101" t="s">
        <v>2225</v>
      </c>
      <c r="L842" s="101" t="s">
        <v>2159</v>
      </c>
      <c r="M842" s="101" t="s">
        <v>2226</v>
      </c>
      <c r="N842" s="189">
        <v>12450</v>
      </c>
      <c r="O842" s="101" t="s">
        <v>568</v>
      </c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</row>
    <row r="843" spans="10:35" x14ac:dyDescent="0.2">
      <c r="J843" s="101" t="s">
        <v>30</v>
      </c>
      <c r="K843" s="101" t="s">
        <v>2227</v>
      </c>
      <c r="L843" s="101" t="s">
        <v>2159</v>
      </c>
      <c r="M843" s="101" t="s">
        <v>2228</v>
      </c>
      <c r="N843" s="189">
        <v>12450</v>
      </c>
      <c r="O843" s="101" t="s">
        <v>568</v>
      </c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</row>
    <row r="844" spans="10:35" x14ac:dyDescent="0.2">
      <c r="J844" s="101" t="s">
        <v>30</v>
      </c>
      <c r="K844" s="101" t="s">
        <v>2229</v>
      </c>
      <c r="L844" s="101" t="s">
        <v>2159</v>
      </c>
      <c r="M844" s="101" t="s">
        <v>2230</v>
      </c>
      <c r="N844" s="189">
        <v>12450</v>
      </c>
      <c r="O844" s="101" t="s">
        <v>568</v>
      </c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</row>
    <row r="845" spans="10:35" x14ac:dyDescent="0.2">
      <c r="J845" s="101" t="s">
        <v>30</v>
      </c>
      <c r="K845" s="101" t="s">
        <v>2231</v>
      </c>
      <c r="L845" s="101" t="s">
        <v>2159</v>
      </c>
      <c r="M845" s="101" t="s">
        <v>2232</v>
      </c>
      <c r="N845" s="189">
        <v>12450</v>
      </c>
      <c r="O845" s="101" t="s">
        <v>568</v>
      </c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</row>
    <row r="846" spans="10:35" x14ac:dyDescent="0.2">
      <c r="J846" s="101" t="s">
        <v>30</v>
      </c>
      <c r="K846" s="101" t="s">
        <v>2233</v>
      </c>
      <c r="L846" s="101" t="s">
        <v>2159</v>
      </c>
      <c r="M846" s="101" t="s">
        <v>2234</v>
      </c>
      <c r="N846" s="189">
        <v>12450</v>
      </c>
      <c r="O846" s="101" t="s">
        <v>568</v>
      </c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</row>
    <row r="847" spans="10:35" x14ac:dyDescent="0.2">
      <c r="J847" s="101" t="s">
        <v>30</v>
      </c>
      <c r="K847" s="101" t="s">
        <v>2235</v>
      </c>
      <c r="L847" s="101" t="s">
        <v>2152</v>
      </c>
      <c r="M847" s="101" t="s">
        <v>2236</v>
      </c>
      <c r="N847" s="189">
        <v>12450</v>
      </c>
      <c r="O847" s="101" t="s">
        <v>568</v>
      </c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</row>
    <row r="848" spans="10:35" x14ac:dyDescent="0.2">
      <c r="J848" s="101" t="s">
        <v>30</v>
      </c>
      <c r="K848" s="101" t="s">
        <v>2237</v>
      </c>
      <c r="L848" s="101" t="s">
        <v>2159</v>
      </c>
      <c r="M848" s="101" t="s">
        <v>2238</v>
      </c>
      <c r="N848" s="189">
        <v>12450</v>
      </c>
      <c r="O848" s="101" t="s">
        <v>568</v>
      </c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</row>
    <row r="849" spans="10:35" x14ac:dyDescent="0.2">
      <c r="J849" s="101" t="s">
        <v>30</v>
      </c>
      <c r="K849" s="101" t="s">
        <v>2239</v>
      </c>
      <c r="L849" s="101" t="s">
        <v>2159</v>
      </c>
      <c r="M849" s="101" t="s">
        <v>2240</v>
      </c>
      <c r="N849" s="189">
        <v>12450</v>
      </c>
      <c r="O849" s="101" t="s">
        <v>568</v>
      </c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</row>
    <row r="850" spans="10:35" x14ac:dyDescent="0.2">
      <c r="J850" s="101" t="s">
        <v>30</v>
      </c>
      <c r="K850" s="101" t="s">
        <v>2241</v>
      </c>
      <c r="L850" s="101" t="s">
        <v>2159</v>
      </c>
      <c r="M850" s="101" t="s">
        <v>2242</v>
      </c>
      <c r="N850" s="189">
        <v>12450</v>
      </c>
      <c r="O850" s="101" t="s">
        <v>568</v>
      </c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</row>
    <row r="851" spans="10:35" x14ac:dyDescent="0.2">
      <c r="J851" s="101" t="s">
        <v>30</v>
      </c>
      <c r="K851" s="101" t="s">
        <v>2243</v>
      </c>
      <c r="L851" s="101" t="s">
        <v>2159</v>
      </c>
      <c r="M851" s="101" t="s">
        <v>2244</v>
      </c>
      <c r="N851" s="189">
        <v>12450</v>
      </c>
      <c r="O851" s="101" t="s">
        <v>568</v>
      </c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</row>
    <row r="852" spans="10:35" x14ac:dyDescent="0.2">
      <c r="J852" s="101" t="s">
        <v>30</v>
      </c>
      <c r="K852" s="101" t="s">
        <v>2245</v>
      </c>
      <c r="L852" s="101" t="s">
        <v>2159</v>
      </c>
      <c r="M852" s="101" t="s">
        <v>2246</v>
      </c>
      <c r="N852" s="189">
        <v>12450</v>
      </c>
      <c r="O852" s="101" t="s">
        <v>568</v>
      </c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</row>
    <row r="853" spans="10:35" x14ac:dyDescent="0.2">
      <c r="J853" s="101" t="s">
        <v>30</v>
      </c>
      <c r="K853" s="101" t="s">
        <v>2247</v>
      </c>
      <c r="L853" s="101" t="s">
        <v>2152</v>
      </c>
      <c r="M853" s="101" t="s">
        <v>2248</v>
      </c>
      <c r="N853" s="189">
        <v>12450</v>
      </c>
      <c r="O853" s="101" t="s">
        <v>568</v>
      </c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</row>
    <row r="854" spans="10:35" x14ac:dyDescent="0.2">
      <c r="J854" s="101" t="s">
        <v>30</v>
      </c>
      <c r="K854" s="101" t="s">
        <v>2249</v>
      </c>
      <c r="L854" s="101" t="s">
        <v>2152</v>
      </c>
      <c r="M854" s="101" t="s">
        <v>2250</v>
      </c>
      <c r="N854" s="189">
        <v>12450</v>
      </c>
      <c r="O854" s="101" t="s">
        <v>568</v>
      </c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</row>
    <row r="855" spans="10:35" x14ac:dyDescent="0.2">
      <c r="J855" s="101" t="s">
        <v>30</v>
      </c>
      <c r="K855" s="101" t="s">
        <v>2251</v>
      </c>
      <c r="L855" s="101" t="s">
        <v>2152</v>
      </c>
      <c r="M855" s="101" t="s">
        <v>2252</v>
      </c>
      <c r="N855" s="189">
        <v>12450</v>
      </c>
      <c r="O855" s="101" t="s">
        <v>568</v>
      </c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</row>
    <row r="856" spans="10:35" x14ac:dyDescent="0.2">
      <c r="J856" s="101" t="s">
        <v>30</v>
      </c>
      <c r="K856" s="101" t="s">
        <v>2253</v>
      </c>
      <c r="L856" s="101" t="s">
        <v>2152</v>
      </c>
      <c r="M856" s="101" t="s">
        <v>2254</v>
      </c>
      <c r="N856" s="189">
        <v>12450</v>
      </c>
      <c r="O856" s="101" t="s">
        <v>568</v>
      </c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</row>
    <row r="857" spans="10:35" x14ac:dyDescent="0.2">
      <c r="J857" s="101" t="s">
        <v>30</v>
      </c>
      <c r="K857" s="101" t="s">
        <v>2255</v>
      </c>
      <c r="L857" s="101" t="s">
        <v>2152</v>
      </c>
      <c r="M857" s="101" t="s">
        <v>2256</v>
      </c>
      <c r="N857" s="189">
        <v>12450</v>
      </c>
      <c r="O857" s="101" t="s">
        <v>568</v>
      </c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</row>
    <row r="858" spans="10:35" x14ac:dyDescent="0.2">
      <c r="J858" s="101" t="s">
        <v>30</v>
      </c>
      <c r="K858" s="101" t="s">
        <v>2257</v>
      </c>
      <c r="L858" s="101" t="s">
        <v>2159</v>
      </c>
      <c r="M858" s="101" t="s">
        <v>2258</v>
      </c>
      <c r="N858" s="189">
        <v>12450</v>
      </c>
      <c r="O858" s="101" t="s">
        <v>568</v>
      </c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</row>
    <row r="859" spans="10:35" x14ac:dyDescent="0.2">
      <c r="J859" s="101" t="s">
        <v>30</v>
      </c>
      <c r="K859" s="101" t="s">
        <v>2259</v>
      </c>
      <c r="L859" s="101" t="s">
        <v>2152</v>
      </c>
      <c r="M859" s="101" t="s">
        <v>2260</v>
      </c>
      <c r="N859" s="189">
        <v>12450</v>
      </c>
      <c r="O859" s="101" t="s">
        <v>568</v>
      </c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</row>
    <row r="860" spans="10:35" x14ac:dyDescent="0.2">
      <c r="J860" s="101" t="s">
        <v>30</v>
      </c>
      <c r="K860" s="101" t="s">
        <v>2261</v>
      </c>
      <c r="L860" s="101" t="s">
        <v>2262</v>
      </c>
      <c r="M860" s="101" t="s">
        <v>2263</v>
      </c>
      <c r="N860" s="189">
        <v>12450</v>
      </c>
      <c r="O860" s="101" t="s">
        <v>568</v>
      </c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</row>
    <row r="861" spans="10:35" x14ac:dyDescent="0.2">
      <c r="J861" s="101" t="s">
        <v>30</v>
      </c>
      <c r="K861" s="101" t="s">
        <v>2264</v>
      </c>
      <c r="L861" s="101" t="s">
        <v>2262</v>
      </c>
      <c r="M861" s="101" t="s">
        <v>2265</v>
      </c>
      <c r="N861" s="189">
        <v>12450</v>
      </c>
      <c r="O861" s="101" t="s">
        <v>568</v>
      </c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</row>
    <row r="862" spans="10:35" x14ac:dyDescent="0.2">
      <c r="J862" s="101" t="s">
        <v>30</v>
      </c>
      <c r="K862" s="101" t="s">
        <v>2266</v>
      </c>
      <c r="L862" s="101" t="s">
        <v>2262</v>
      </c>
      <c r="M862" s="101" t="s">
        <v>2267</v>
      </c>
      <c r="N862" s="189">
        <v>12450</v>
      </c>
      <c r="O862" s="101" t="s">
        <v>568</v>
      </c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</row>
    <row r="863" spans="10:35" x14ac:dyDescent="0.2">
      <c r="J863" s="101" t="s">
        <v>30</v>
      </c>
      <c r="K863" s="101" t="s">
        <v>2268</v>
      </c>
      <c r="L863" s="101" t="s">
        <v>2262</v>
      </c>
      <c r="M863" s="101" t="s">
        <v>2269</v>
      </c>
      <c r="N863" s="189">
        <v>12450</v>
      </c>
      <c r="O863" s="101" t="s">
        <v>568</v>
      </c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</row>
    <row r="864" spans="10:35" x14ac:dyDescent="0.2">
      <c r="J864" s="101" t="s">
        <v>30</v>
      </c>
      <c r="K864" s="101" t="s">
        <v>2270</v>
      </c>
      <c r="L864" s="101" t="s">
        <v>2262</v>
      </c>
      <c r="M864" s="101" t="s">
        <v>2271</v>
      </c>
      <c r="N864" s="189">
        <v>12450</v>
      </c>
      <c r="O864" s="101" t="s">
        <v>568</v>
      </c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</row>
    <row r="865" spans="10:35" x14ac:dyDescent="0.2">
      <c r="J865" s="101" t="s">
        <v>30</v>
      </c>
      <c r="K865" s="101" t="s">
        <v>2272</v>
      </c>
      <c r="L865" s="101" t="s">
        <v>2262</v>
      </c>
      <c r="M865" s="101" t="s">
        <v>2273</v>
      </c>
      <c r="N865" s="189">
        <v>12450</v>
      </c>
      <c r="O865" s="101" t="s">
        <v>568</v>
      </c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</row>
    <row r="866" spans="10:35" x14ac:dyDescent="0.2">
      <c r="J866" s="101" t="s">
        <v>30</v>
      </c>
      <c r="K866" s="101" t="s">
        <v>2274</v>
      </c>
      <c r="L866" s="101" t="s">
        <v>2262</v>
      </c>
      <c r="M866" s="101" t="s">
        <v>2275</v>
      </c>
      <c r="N866" s="189">
        <v>12450</v>
      </c>
      <c r="O866" s="101" t="s">
        <v>568</v>
      </c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</row>
    <row r="867" spans="10:35" x14ac:dyDescent="0.2">
      <c r="J867" s="101" t="s">
        <v>30</v>
      </c>
      <c r="K867" s="101" t="s">
        <v>2276</v>
      </c>
      <c r="L867" s="101" t="s">
        <v>2262</v>
      </c>
      <c r="M867" s="101" t="s">
        <v>2277</v>
      </c>
      <c r="N867" s="189">
        <v>12450</v>
      </c>
      <c r="O867" s="101" t="s">
        <v>568</v>
      </c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</row>
    <row r="868" spans="10:35" x14ac:dyDescent="0.2">
      <c r="J868" s="101" t="s">
        <v>30</v>
      </c>
      <c r="K868" s="101" t="s">
        <v>2278</v>
      </c>
      <c r="L868" s="101" t="s">
        <v>2279</v>
      </c>
      <c r="M868" s="101" t="s">
        <v>2280</v>
      </c>
      <c r="N868" s="189">
        <v>12450</v>
      </c>
      <c r="O868" s="101" t="s">
        <v>568</v>
      </c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</row>
    <row r="869" spans="10:35" x14ac:dyDescent="0.2">
      <c r="J869" s="101" t="s">
        <v>30</v>
      </c>
      <c r="K869" s="101" t="s">
        <v>2281</v>
      </c>
      <c r="L869" s="101" t="s">
        <v>2262</v>
      </c>
      <c r="M869" s="101" t="s">
        <v>2282</v>
      </c>
      <c r="N869" s="189">
        <v>12450</v>
      </c>
      <c r="O869" s="101" t="s">
        <v>568</v>
      </c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</row>
    <row r="870" spans="10:35" x14ac:dyDescent="0.2">
      <c r="J870" s="101" t="s">
        <v>30</v>
      </c>
      <c r="K870" s="101" t="s">
        <v>2283</v>
      </c>
      <c r="L870" s="101" t="s">
        <v>2279</v>
      </c>
      <c r="M870" s="101" t="s">
        <v>2284</v>
      </c>
      <c r="N870" s="189">
        <v>12450</v>
      </c>
      <c r="O870" s="101" t="s">
        <v>568</v>
      </c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</row>
    <row r="871" spans="10:35" x14ac:dyDescent="0.2">
      <c r="J871" s="101" t="s">
        <v>30</v>
      </c>
      <c r="K871" s="101" t="s">
        <v>2285</v>
      </c>
      <c r="L871" s="101" t="s">
        <v>2279</v>
      </c>
      <c r="M871" s="101" t="s">
        <v>2286</v>
      </c>
      <c r="N871" s="189">
        <v>12450</v>
      </c>
      <c r="O871" s="101" t="s">
        <v>568</v>
      </c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</row>
    <row r="872" spans="10:35" x14ac:dyDescent="0.2">
      <c r="J872" s="101" t="s">
        <v>30</v>
      </c>
      <c r="K872" s="101" t="s">
        <v>2287</v>
      </c>
      <c r="L872" s="101" t="s">
        <v>2279</v>
      </c>
      <c r="M872" s="101" t="s">
        <v>2288</v>
      </c>
      <c r="N872" s="189">
        <v>12450</v>
      </c>
      <c r="O872" s="101" t="s">
        <v>568</v>
      </c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</row>
    <row r="873" spans="10:35" x14ac:dyDescent="0.2">
      <c r="J873" s="101" t="s">
        <v>30</v>
      </c>
      <c r="K873" s="101" t="s">
        <v>2289</v>
      </c>
      <c r="L873" s="101" t="s">
        <v>2279</v>
      </c>
      <c r="M873" s="101" t="s">
        <v>2290</v>
      </c>
      <c r="N873" s="189">
        <v>12450</v>
      </c>
      <c r="O873" s="101" t="s">
        <v>568</v>
      </c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</row>
    <row r="874" spans="10:35" x14ac:dyDescent="0.2">
      <c r="J874" s="101" t="s">
        <v>30</v>
      </c>
      <c r="K874" s="101" t="s">
        <v>2291</v>
      </c>
      <c r="L874" s="101" t="s">
        <v>2279</v>
      </c>
      <c r="M874" s="101" t="s">
        <v>2292</v>
      </c>
      <c r="N874" s="189">
        <v>12450</v>
      </c>
      <c r="O874" s="101" t="s">
        <v>568</v>
      </c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</row>
    <row r="875" spans="10:35" x14ac:dyDescent="0.2">
      <c r="J875" s="101" t="s">
        <v>30</v>
      </c>
      <c r="K875" s="101" t="s">
        <v>2293</v>
      </c>
      <c r="L875" s="101" t="s">
        <v>2279</v>
      </c>
      <c r="M875" s="101" t="s">
        <v>2294</v>
      </c>
      <c r="N875" s="189">
        <v>12450</v>
      </c>
      <c r="O875" s="101" t="s">
        <v>568</v>
      </c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</row>
    <row r="876" spans="10:35" x14ac:dyDescent="0.2">
      <c r="J876" s="101" t="s">
        <v>30</v>
      </c>
      <c r="K876" s="101" t="s">
        <v>2295</v>
      </c>
      <c r="L876" s="101" t="s">
        <v>2262</v>
      </c>
      <c r="M876" s="101" t="s">
        <v>2296</v>
      </c>
      <c r="N876" s="189">
        <v>12450</v>
      </c>
      <c r="O876" s="101" t="s">
        <v>568</v>
      </c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</row>
    <row r="877" spans="10:35" x14ac:dyDescent="0.2">
      <c r="J877" s="101" t="s">
        <v>30</v>
      </c>
      <c r="K877" s="101" t="s">
        <v>2297</v>
      </c>
      <c r="L877" s="101" t="s">
        <v>2262</v>
      </c>
      <c r="M877" s="101" t="s">
        <v>2298</v>
      </c>
      <c r="N877" s="189">
        <v>12450</v>
      </c>
      <c r="O877" s="101" t="s">
        <v>568</v>
      </c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</row>
    <row r="878" spans="10:35" x14ac:dyDescent="0.2">
      <c r="J878" s="101" t="s">
        <v>30</v>
      </c>
      <c r="K878" s="101" t="s">
        <v>2299</v>
      </c>
      <c r="L878" s="101" t="s">
        <v>2279</v>
      </c>
      <c r="M878" s="101" t="s">
        <v>2300</v>
      </c>
      <c r="N878" s="189">
        <v>12450</v>
      </c>
      <c r="O878" s="101" t="s">
        <v>568</v>
      </c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</row>
    <row r="879" spans="10:35" x14ac:dyDescent="0.2">
      <c r="J879" s="101" t="s">
        <v>30</v>
      </c>
      <c r="K879" s="101" t="s">
        <v>2301</v>
      </c>
      <c r="L879" s="101" t="s">
        <v>2279</v>
      </c>
      <c r="M879" s="101" t="s">
        <v>2302</v>
      </c>
      <c r="N879" s="189">
        <v>12450</v>
      </c>
      <c r="O879" s="101" t="s">
        <v>568</v>
      </c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</row>
    <row r="880" spans="10:35" x14ac:dyDescent="0.2">
      <c r="J880" s="101" t="s">
        <v>30</v>
      </c>
      <c r="K880" s="101" t="s">
        <v>2303</v>
      </c>
      <c r="L880" s="101" t="s">
        <v>2279</v>
      </c>
      <c r="M880" s="101" t="s">
        <v>2304</v>
      </c>
      <c r="N880" s="189">
        <v>12450</v>
      </c>
      <c r="O880" s="101" t="s">
        <v>568</v>
      </c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</row>
    <row r="881" spans="10:35" x14ac:dyDescent="0.2">
      <c r="J881" s="101" t="s">
        <v>30</v>
      </c>
      <c r="K881" s="101" t="s">
        <v>2305</v>
      </c>
      <c r="L881" s="101" t="s">
        <v>2279</v>
      </c>
      <c r="M881" s="101" t="s">
        <v>2306</v>
      </c>
      <c r="N881" s="189">
        <v>12450</v>
      </c>
      <c r="O881" s="101" t="s">
        <v>568</v>
      </c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</row>
    <row r="882" spans="10:35" x14ac:dyDescent="0.2">
      <c r="J882" s="101" t="s">
        <v>30</v>
      </c>
      <c r="K882" s="101" t="s">
        <v>2307</v>
      </c>
      <c r="L882" s="101" t="s">
        <v>2262</v>
      </c>
      <c r="M882" s="101" t="s">
        <v>2308</v>
      </c>
      <c r="N882" s="189">
        <v>12450</v>
      </c>
      <c r="O882" s="101" t="s">
        <v>568</v>
      </c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</row>
    <row r="883" spans="10:35" x14ac:dyDescent="0.2">
      <c r="J883" s="101" t="s">
        <v>30</v>
      </c>
      <c r="K883" s="101" t="s">
        <v>2309</v>
      </c>
      <c r="L883" s="101" t="s">
        <v>2262</v>
      </c>
      <c r="M883" s="101" t="s">
        <v>2310</v>
      </c>
      <c r="N883" s="189">
        <v>12450</v>
      </c>
      <c r="O883" s="101" t="s">
        <v>568</v>
      </c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</row>
    <row r="884" spans="10:35" x14ac:dyDescent="0.2">
      <c r="J884" s="101" t="s">
        <v>30</v>
      </c>
      <c r="K884" s="101" t="s">
        <v>2311</v>
      </c>
      <c r="L884" s="101" t="s">
        <v>2262</v>
      </c>
      <c r="M884" s="101" t="s">
        <v>2312</v>
      </c>
      <c r="N884" s="189">
        <v>12450</v>
      </c>
      <c r="O884" s="101" t="s">
        <v>568</v>
      </c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</row>
    <row r="885" spans="10:35" x14ac:dyDescent="0.2">
      <c r="J885" s="101" t="s">
        <v>30</v>
      </c>
      <c r="K885" s="101" t="s">
        <v>2313</v>
      </c>
      <c r="L885" s="101" t="s">
        <v>2279</v>
      </c>
      <c r="M885" s="101" t="s">
        <v>2314</v>
      </c>
      <c r="N885" s="189">
        <v>12450</v>
      </c>
      <c r="O885" s="101" t="s">
        <v>568</v>
      </c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</row>
    <row r="886" spans="10:35" x14ac:dyDescent="0.2">
      <c r="J886" s="101" t="s">
        <v>30</v>
      </c>
      <c r="K886" s="101" t="s">
        <v>2315</v>
      </c>
      <c r="L886" s="101" t="s">
        <v>2262</v>
      </c>
      <c r="M886" s="101" t="s">
        <v>2316</v>
      </c>
      <c r="N886" s="189">
        <v>12450</v>
      </c>
      <c r="O886" s="101" t="s">
        <v>568</v>
      </c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</row>
    <row r="887" spans="10:35" x14ac:dyDescent="0.2">
      <c r="J887" s="101" t="s">
        <v>30</v>
      </c>
      <c r="K887" s="101" t="s">
        <v>2317</v>
      </c>
      <c r="L887" s="101" t="s">
        <v>2262</v>
      </c>
      <c r="M887" s="101" t="s">
        <v>2318</v>
      </c>
      <c r="N887" s="189">
        <v>12450</v>
      </c>
      <c r="O887" s="101" t="s">
        <v>568</v>
      </c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</row>
    <row r="888" spans="10:35" x14ac:dyDescent="0.2">
      <c r="J888" s="101" t="s">
        <v>30</v>
      </c>
      <c r="K888" s="101" t="s">
        <v>2319</v>
      </c>
      <c r="L888" s="101" t="s">
        <v>2279</v>
      </c>
      <c r="M888" s="101" t="s">
        <v>2320</v>
      </c>
      <c r="N888" s="189">
        <v>12450</v>
      </c>
      <c r="O888" s="101" t="s">
        <v>568</v>
      </c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</row>
    <row r="889" spans="10:35" x14ac:dyDescent="0.2">
      <c r="J889" s="101" t="s">
        <v>30</v>
      </c>
      <c r="K889" s="101" t="s">
        <v>2321</v>
      </c>
      <c r="L889" s="101" t="s">
        <v>2262</v>
      </c>
      <c r="M889" s="101" t="s">
        <v>2322</v>
      </c>
      <c r="N889" s="189">
        <v>12450</v>
      </c>
      <c r="O889" s="101" t="s">
        <v>568</v>
      </c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</row>
    <row r="890" spans="10:35" x14ac:dyDescent="0.2">
      <c r="J890" s="101" t="s">
        <v>30</v>
      </c>
      <c r="K890" s="101" t="s">
        <v>2323</v>
      </c>
      <c r="L890" s="101" t="s">
        <v>2262</v>
      </c>
      <c r="M890" s="101" t="s">
        <v>2324</v>
      </c>
      <c r="N890" s="189">
        <v>12450</v>
      </c>
      <c r="O890" s="101" t="s">
        <v>568</v>
      </c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</row>
    <row r="891" spans="10:35" x14ac:dyDescent="0.2">
      <c r="J891" s="101" t="s">
        <v>30</v>
      </c>
      <c r="K891" s="101" t="s">
        <v>2325</v>
      </c>
      <c r="L891" s="101" t="s">
        <v>2279</v>
      </c>
      <c r="M891" s="101" t="s">
        <v>2326</v>
      </c>
      <c r="N891" s="189">
        <v>12450</v>
      </c>
      <c r="O891" s="101" t="s">
        <v>568</v>
      </c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</row>
    <row r="892" spans="10:35" x14ac:dyDescent="0.2">
      <c r="J892" s="101" t="s">
        <v>30</v>
      </c>
      <c r="K892" s="101" t="s">
        <v>2327</v>
      </c>
      <c r="L892" s="101" t="s">
        <v>2262</v>
      </c>
      <c r="M892" s="101" t="s">
        <v>2328</v>
      </c>
      <c r="N892" s="189">
        <v>12450</v>
      </c>
      <c r="O892" s="101" t="s">
        <v>568</v>
      </c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</row>
    <row r="893" spans="10:35" x14ac:dyDescent="0.2">
      <c r="J893" s="101" t="s">
        <v>30</v>
      </c>
      <c r="K893" s="101" t="s">
        <v>2329</v>
      </c>
      <c r="L893" s="101" t="s">
        <v>2279</v>
      </c>
      <c r="M893" s="101" t="s">
        <v>2330</v>
      </c>
      <c r="N893" s="189">
        <v>12450</v>
      </c>
      <c r="O893" s="101" t="s">
        <v>568</v>
      </c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</row>
    <row r="894" spans="10:35" x14ac:dyDescent="0.2">
      <c r="J894" s="101" t="s">
        <v>30</v>
      </c>
      <c r="K894" s="101" t="s">
        <v>2331</v>
      </c>
      <c r="L894" s="101" t="s">
        <v>2279</v>
      </c>
      <c r="M894" s="101" t="s">
        <v>2332</v>
      </c>
      <c r="N894" s="189">
        <v>12450</v>
      </c>
      <c r="O894" s="101" t="s">
        <v>568</v>
      </c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</row>
    <row r="895" spans="10:35" x14ac:dyDescent="0.2">
      <c r="J895" s="101" t="s">
        <v>30</v>
      </c>
      <c r="K895" s="101" t="s">
        <v>2333</v>
      </c>
      <c r="L895" s="101" t="s">
        <v>2279</v>
      </c>
      <c r="M895" s="101" t="s">
        <v>2334</v>
      </c>
      <c r="N895" s="189">
        <v>12450</v>
      </c>
      <c r="O895" s="101" t="s">
        <v>568</v>
      </c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</row>
    <row r="896" spans="10:35" x14ac:dyDescent="0.2">
      <c r="J896" s="101" t="s">
        <v>30</v>
      </c>
      <c r="K896" s="101" t="s">
        <v>2335</v>
      </c>
      <c r="L896" s="101" t="s">
        <v>2262</v>
      </c>
      <c r="M896" s="101" t="s">
        <v>2336</v>
      </c>
      <c r="N896" s="189">
        <v>12450</v>
      </c>
      <c r="O896" s="101" t="s">
        <v>568</v>
      </c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</row>
    <row r="897" spans="10:35" x14ac:dyDescent="0.2">
      <c r="J897" s="101" t="s">
        <v>30</v>
      </c>
      <c r="K897" s="101" t="s">
        <v>2337</v>
      </c>
      <c r="L897" s="101" t="s">
        <v>2279</v>
      </c>
      <c r="M897" s="101" t="s">
        <v>2338</v>
      </c>
      <c r="N897" s="189">
        <v>12450</v>
      </c>
      <c r="O897" s="101" t="s">
        <v>568</v>
      </c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</row>
    <row r="898" spans="10:35" x14ac:dyDescent="0.2">
      <c r="J898" s="101" t="s">
        <v>30</v>
      </c>
      <c r="K898" s="101" t="s">
        <v>2339</v>
      </c>
      <c r="L898" s="101" t="s">
        <v>2262</v>
      </c>
      <c r="M898" s="101" t="s">
        <v>2340</v>
      </c>
      <c r="N898" s="189">
        <v>12450</v>
      </c>
      <c r="O898" s="101" t="s">
        <v>568</v>
      </c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</row>
    <row r="899" spans="10:35" x14ac:dyDescent="0.2">
      <c r="J899" s="101" t="s">
        <v>30</v>
      </c>
      <c r="K899" s="101" t="s">
        <v>2341</v>
      </c>
      <c r="L899" s="101" t="s">
        <v>2279</v>
      </c>
      <c r="M899" s="101" t="s">
        <v>2342</v>
      </c>
      <c r="N899" s="189">
        <v>12450</v>
      </c>
      <c r="O899" s="101" t="s">
        <v>568</v>
      </c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</row>
    <row r="900" spans="10:35" x14ac:dyDescent="0.2">
      <c r="J900" s="101" t="s">
        <v>30</v>
      </c>
      <c r="K900" s="101" t="s">
        <v>2343</v>
      </c>
      <c r="L900" s="101" t="s">
        <v>2279</v>
      </c>
      <c r="M900" s="101" t="s">
        <v>2344</v>
      </c>
      <c r="N900" s="189">
        <v>12450</v>
      </c>
      <c r="O900" s="101" t="s">
        <v>568</v>
      </c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</row>
    <row r="901" spans="10:35" x14ac:dyDescent="0.2">
      <c r="J901" s="101" t="s">
        <v>30</v>
      </c>
      <c r="K901" s="101" t="s">
        <v>2345</v>
      </c>
      <c r="L901" s="101" t="s">
        <v>2279</v>
      </c>
      <c r="M901" s="101" t="s">
        <v>2346</v>
      </c>
      <c r="N901" s="189">
        <v>12450</v>
      </c>
      <c r="O901" s="101" t="s">
        <v>568</v>
      </c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</row>
    <row r="902" spans="10:35" x14ac:dyDescent="0.2">
      <c r="J902" s="101" t="s">
        <v>30</v>
      </c>
      <c r="K902" s="101" t="s">
        <v>2347</v>
      </c>
      <c r="L902" s="101" t="s">
        <v>2279</v>
      </c>
      <c r="M902" s="101" t="s">
        <v>2348</v>
      </c>
      <c r="N902" s="189">
        <v>12450</v>
      </c>
      <c r="O902" s="101" t="s">
        <v>568</v>
      </c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</row>
    <row r="903" spans="10:35" x14ac:dyDescent="0.2">
      <c r="J903" s="101" t="s">
        <v>30</v>
      </c>
      <c r="K903" s="101" t="s">
        <v>2349</v>
      </c>
      <c r="L903" s="101" t="s">
        <v>2279</v>
      </c>
      <c r="M903" s="101" t="s">
        <v>2350</v>
      </c>
      <c r="N903" s="189">
        <v>12450</v>
      </c>
      <c r="O903" s="101" t="s">
        <v>568</v>
      </c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</row>
    <row r="904" spans="10:35" x14ac:dyDescent="0.2">
      <c r="J904" s="101" t="s">
        <v>30</v>
      </c>
      <c r="K904" s="101" t="s">
        <v>2351</v>
      </c>
      <c r="L904" s="101" t="s">
        <v>2279</v>
      </c>
      <c r="M904" s="101" t="s">
        <v>2352</v>
      </c>
      <c r="N904" s="189">
        <v>12450</v>
      </c>
      <c r="O904" s="101" t="s">
        <v>568</v>
      </c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</row>
    <row r="905" spans="10:35" x14ac:dyDescent="0.2">
      <c r="J905" s="101" t="s">
        <v>30</v>
      </c>
      <c r="K905" s="101" t="s">
        <v>2353</v>
      </c>
      <c r="L905" s="101" t="s">
        <v>2262</v>
      </c>
      <c r="M905" s="101" t="s">
        <v>2354</v>
      </c>
      <c r="N905" s="189">
        <v>12450</v>
      </c>
      <c r="O905" s="101" t="s">
        <v>568</v>
      </c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</row>
    <row r="906" spans="10:35" x14ac:dyDescent="0.2">
      <c r="J906" s="101" t="s">
        <v>30</v>
      </c>
      <c r="K906" s="101" t="s">
        <v>2355</v>
      </c>
      <c r="L906" s="101" t="s">
        <v>2262</v>
      </c>
      <c r="M906" s="101" t="s">
        <v>2356</v>
      </c>
      <c r="N906" s="189">
        <v>12450</v>
      </c>
      <c r="O906" s="101" t="s">
        <v>568</v>
      </c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</row>
    <row r="907" spans="10:35" x14ac:dyDescent="0.2">
      <c r="J907" s="101" t="s">
        <v>30</v>
      </c>
      <c r="K907" s="101" t="s">
        <v>2357</v>
      </c>
      <c r="L907" s="101" t="s">
        <v>2262</v>
      </c>
      <c r="M907" s="101" t="s">
        <v>2358</v>
      </c>
      <c r="N907" s="189">
        <v>12450</v>
      </c>
      <c r="O907" s="101" t="s">
        <v>568</v>
      </c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</row>
    <row r="908" spans="10:35" x14ac:dyDescent="0.2">
      <c r="J908" s="101" t="s">
        <v>30</v>
      </c>
      <c r="K908" s="101" t="s">
        <v>113</v>
      </c>
      <c r="L908" s="101" t="s">
        <v>34</v>
      </c>
      <c r="M908" s="101" t="s">
        <v>114</v>
      </c>
      <c r="N908" s="189">
        <v>12290</v>
      </c>
      <c r="O908" s="101" t="s">
        <v>568</v>
      </c>
      <c r="P908" s="101" t="s">
        <v>569</v>
      </c>
      <c r="Q908" s="101" t="s">
        <v>570</v>
      </c>
      <c r="R908" s="101" t="s">
        <v>571</v>
      </c>
      <c r="S908" s="101" t="s">
        <v>572</v>
      </c>
      <c r="T908" s="101" t="s">
        <v>573</v>
      </c>
      <c r="U908" s="101"/>
      <c r="V908" s="101"/>
      <c r="W908" s="101" t="s">
        <v>574</v>
      </c>
      <c r="X908" s="101" t="s">
        <v>575</v>
      </c>
      <c r="Y908" s="101"/>
      <c r="Z908" s="101" t="s">
        <v>576</v>
      </c>
      <c r="AA908" s="101" t="s">
        <v>577</v>
      </c>
      <c r="AB908" s="101" t="s">
        <v>578</v>
      </c>
      <c r="AC908" s="101" t="s">
        <v>579</v>
      </c>
      <c r="AD908" s="101" t="s">
        <v>580</v>
      </c>
      <c r="AE908" s="101" t="s">
        <v>581</v>
      </c>
      <c r="AF908" s="101" t="s">
        <v>582</v>
      </c>
      <c r="AG908" s="101" t="s">
        <v>583</v>
      </c>
      <c r="AH908" s="101" t="s">
        <v>584</v>
      </c>
      <c r="AI908" s="101" t="s">
        <v>585</v>
      </c>
    </row>
    <row r="909" spans="10:35" x14ac:dyDescent="0.2">
      <c r="J909" s="101" t="s">
        <v>30</v>
      </c>
      <c r="K909" s="101" t="s">
        <v>237</v>
      </c>
      <c r="L909" s="101" t="s">
        <v>34</v>
      </c>
      <c r="M909" s="101" t="s">
        <v>238</v>
      </c>
      <c r="N909" s="189">
        <v>12040</v>
      </c>
      <c r="O909" s="101" t="s">
        <v>568</v>
      </c>
      <c r="P909" s="101" t="s">
        <v>569</v>
      </c>
      <c r="Q909" s="101" t="s">
        <v>570</v>
      </c>
      <c r="R909" s="101" t="s">
        <v>571</v>
      </c>
      <c r="S909" s="101" t="s">
        <v>572</v>
      </c>
      <c r="T909" s="101" t="s">
        <v>573</v>
      </c>
      <c r="U909" s="101"/>
      <c r="V909" s="101"/>
      <c r="W909" s="101" t="s">
        <v>574</v>
      </c>
      <c r="X909" s="101" t="s">
        <v>575</v>
      </c>
      <c r="Y909" s="101"/>
      <c r="Z909" s="101" t="s">
        <v>576</v>
      </c>
      <c r="AA909" s="101" t="s">
        <v>577</v>
      </c>
      <c r="AB909" s="101" t="s">
        <v>578</v>
      </c>
      <c r="AC909" s="101" t="s">
        <v>579</v>
      </c>
      <c r="AD909" s="101" t="s">
        <v>580</v>
      </c>
      <c r="AE909" s="101" t="s">
        <v>581</v>
      </c>
      <c r="AF909" s="101" t="s">
        <v>582</v>
      </c>
      <c r="AG909" s="101" t="s">
        <v>583</v>
      </c>
      <c r="AH909" s="101" t="s">
        <v>584</v>
      </c>
      <c r="AI909" s="101" t="s">
        <v>585</v>
      </c>
    </row>
    <row r="910" spans="10:35" x14ac:dyDescent="0.2">
      <c r="J910" s="101" t="s">
        <v>30</v>
      </c>
      <c r="K910" s="101" t="s">
        <v>2359</v>
      </c>
      <c r="L910" s="101" t="s">
        <v>1394</v>
      </c>
      <c r="M910" s="101" t="s">
        <v>2360</v>
      </c>
      <c r="N910" s="189">
        <v>12460</v>
      </c>
      <c r="O910" s="101" t="s">
        <v>568</v>
      </c>
      <c r="P910" s="101" t="s">
        <v>569</v>
      </c>
      <c r="Q910" s="101" t="s">
        <v>570</v>
      </c>
      <c r="R910" s="101" t="s">
        <v>571</v>
      </c>
      <c r="S910" s="101" t="s">
        <v>572</v>
      </c>
      <c r="T910" s="101" t="s">
        <v>573</v>
      </c>
      <c r="U910" s="101"/>
      <c r="V910" s="101"/>
      <c r="W910" s="101"/>
      <c r="X910" s="101" t="s">
        <v>575</v>
      </c>
      <c r="Y910" s="101"/>
      <c r="Z910" s="101" t="s">
        <v>576</v>
      </c>
      <c r="AA910" s="101"/>
      <c r="AB910" s="101"/>
      <c r="AC910" s="101"/>
      <c r="AD910" s="101"/>
      <c r="AE910" s="101"/>
      <c r="AF910" s="101"/>
      <c r="AG910" s="101"/>
      <c r="AH910" s="101"/>
      <c r="AI910" s="101"/>
    </row>
    <row r="913" spans="11:11" x14ac:dyDescent="0.2">
      <c r="K913" s="69"/>
    </row>
    <row r="914" spans="11:11" x14ac:dyDescent="0.2">
      <c r="K914" s="69"/>
    </row>
    <row r="915" spans="11:11" x14ac:dyDescent="0.2">
      <c r="K915" s="69"/>
    </row>
    <row r="916" spans="11:11" x14ac:dyDescent="0.2">
      <c r="K916" s="69"/>
    </row>
    <row r="917" spans="11:11" x14ac:dyDescent="0.2">
      <c r="K917" s="69"/>
    </row>
  </sheetData>
  <phoneticPr fontId="29" type="noConversion"/>
  <conditionalFormatting sqref="K1:K1048576">
    <cfRule type="duplicateValues" dxfId="88" priority="1"/>
    <cfRule type="duplicateValues" dxfId="87" priority="2"/>
    <cfRule type="duplicateValues" dxfId="86" priority="3"/>
  </conditionalFormatting>
  <conditionalFormatting sqref="K3:K910">
    <cfRule type="duplicateValues" dxfId="85" priority="103"/>
  </conditionalFormatting>
  <conditionalFormatting sqref="K918:K1048576 K1:K912">
    <cfRule type="duplicateValues" dxfId="84" priority="4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3:Z353"/>
  <sheetViews>
    <sheetView topLeftCell="A13" workbookViewId="0">
      <selection activeCell="G23" sqref="G23"/>
    </sheetView>
  </sheetViews>
  <sheetFormatPr defaultColWidth="8.7109375" defaultRowHeight="12.75" x14ac:dyDescent="0.2"/>
  <cols>
    <col min="1" max="1" width="22.85546875" style="3" bestFit="1" customWidth="1"/>
    <col min="2" max="2" width="11.5703125" style="3" bestFit="1" customWidth="1"/>
    <col min="3" max="9" width="9.5703125" style="3" bestFit="1" customWidth="1"/>
    <col min="10" max="10" width="15.28515625" style="3" bestFit="1" customWidth="1"/>
    <col min="11" max="11" width="15.42578125" style="3" bestFit="1" customWidth="1"/>
    <col min="12" max="13" width="11.5703125" style="3" bestFit="1" customWidth="1"/>
    <col min="14" max="14" width="15.42578125" style="3" bestFit="1" customWidth="1"/>
    <col min="15" max="17" width="9.85546875" style="3" bestFit="1" customWidth="1"/>
    <col min="18" max="18" width="13.140625" style="3" bestFit="1" customWidth="1"/>
    <col min="19" max="24" width="9.5703125" style="3" bestFit="1" customWidth="1"/>
    <col min="25" max="25" width="12.42578125" style="3" bestFit="1" customWidth="1"/>
    <col min="26" max="26" width="15.42578125" style="3" bestFit="1" customWidth="1"/>
    <col min="27" max="16384" width="8.7109375" style="3"/>
  </cols>
  <sheetData>
    <row r="3" spans="1:26" x14ac:dyDescent="0.2">
      <c r="B3" s="4" t="s">
        <v>661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">
      <c r="B4" s="3" t="s">
        <v>662</v>
      </c>
      <c r="J4" s="3" t="s">
        <v>663</v>
      </c>
      <c r="K4" s="3" t="s">
        <v>587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">
      <c r="B5" s="3" t="s">
        <v>259</v>
      </c>
      <c r="C5" s="3" t="s">
        <v>40</v>
      </c>
      <c r="D5" s="3" t="s">
        <v>79</v>
      </c>
      <c r="E5" s="3" t="s">
        <v>34</v>
      </c>
      <c r="F5" s="3" t="s">
        <v>150</v>
      </c>
      <c r="G5" s="3" t="s">
        <v>57</v>
      </c>
      <c r="H5" s="3" t="s">
        <v>72</v>
      </c>
      <c r="I5" s="3" t="s">
        <v>323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2">
      <c r="A6" s="4" t="s">
        <v>660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2">
      <c r="A7" s="32" t="s">
        <v>597</v>
      </c>
      <c r="B7" s="3">
        <v>28</v>
      </c>
      <c r="C7" s="3">
        <v>15</v>
      </c>
      <c r="D7" s="3">
        <v>21</v>
      </c>
      <c r="E7" s="3">
        <v>21</v>
      </c>
      <c r="F7" s="3">
        <v>25</v>
      </c>
      <c r="G7" s="3">
        <v>16</v>
      </c>
      <c r="H7" s="3">
        <v>18</v>
      </c>
      <c r="I7" s="3">
        <v>26</v>
      </c>
      <c r="J7" s="3">
        <v>170</v>
      </c>
      <c r="K7" s="3">
        <v>170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">
      <c r="A8" s="32" t="s">
        <v>588</v>
      </c>
      <c r="B8" s="3">
        <v>28</v>
      </c>
      <c r="C8" s="3">
        <v>15</v>
      </c>
      <c r="D8" s="3">
        <v>21</v>
      </c>
      <c r="E8" s="3">
        <v>21</v>
      </c>
      <c r="F8" s="3">
        <v>25</v>
      </c>
      <c r="G8" s="3">
        <v>16</v>
      </c>
      <c r="H8" s="3">
        <v>18</v>
      </c>
      <c r="I8" s="3">
        <v>26</v>
      </c>
      <c r="J8" s="3">
        <v>170</v>
      </c>
      <c r="K8" s="3">
        <v>170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">
      <c r="A9" s="32" t="s">
        <v>589</v>
      </c>
      <c r="B9" s="3">
        <v>28</v>
      </c>
      <c r="C9" s="3">
        <v>15</v>
      </c>
      <c r="D9" s="3">
        <v>21</v>
      </c>
      <c r="E9" s="3">
        <v>21</v>
      </c>
      <c r="F9" s="3">
        <v>25</v>
      </c>
      <c r="G9" s="3">
        <v>16</v>
      </c>
      <c r="H9" s="3">
        <v>18</v>
      </c>
      <c r="I9" s="3">
        <v>26</v>
      </c>
      <c r="J9" s="3">
        <v>170</v>
      </c>
      <c r="K9" s="3">
        <v>170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">
      <c r="A10" s="32" t="s">
        <v>591</v>
      </c>
      <c r="B10" s="3">
        <v>28</v>
      </c>
      <c r="C10" s="3">
        <v>15</v>
      </c>
      <c r="D10" s="3">
        <v>21</v>
      </c>
      <c r="E10" s="3">
        <v>21</v>
      </c>
      <c r="F10" s="3">
        <v>25</v>
      </c>
      <c r="G10" s="3">
        <v>16</v>
      </c>
      <c r="H10" s="3">
        <v>18</v>
      </c>
      <c r="I10" s="3">
        <v>26</v>
      </c>
      <c r="J10" s="3">
        <v>170</v>
      </c>
      <c r="K10" s="3">
        <v>170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">
      <c r="A11" s="32" t="s">
        <v>590</v>
      </c>
      <c r="B11" s="3">
        <v>28</v>
      </c>
      <c r="C11" s="3">
        <v>15</v>
      </c>
      <c r="D11" s="3">
        <v>21</v>
      </c>
      <c r="E11" s="3">
        <v>21</v>
      </c>
      <c r="F11" s="3">
        <v>25</v>
      </c>
      <c r="G11" s="3">
        <v>16</v>
      </c>
      <c r="H11" s="3">
        <v>18</v>
      </c>
      <c r="I11" s="3">
        <v>26</v>
      </c>
      <c r="J11" s="3">
        <v>170</v>
      </c>
      <c r="K11" s="3">
        <v>170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">
      <c r="A12" s="32" t="s">
        <v>592</v>
      </c>
      <c r="B12" s="3">
        <v>28</v>
      </c>
      <c r="C12" s="3">
        <v>15</v>
      </c>
      <c r="D12" s="3">
        <v>21</v>
      </c>
      <c r="E12" s="3">
        <v>21</v>
      </c>
      <c r="F12" s="3">
        <v>25</v>
      </c>
      <c r="G12" s="3">
        <v>16</v>
      </c>
      <c r="H12" s="3">
        <v>18</v>
      </c>
      <c r="I12" s="3">
        <v>26</v>
      </c>
      <c r="J12" s="3">
        <v>170</v>
      </c>
      <c r="K12" s="3">
        <v>170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">
      <c r="A13" s="32" t="s">
        <v>593</v>
      </c>
      <c r="D13" s="3">
        <v>3</v>
      </c>
      <c r="E13" s="3">
        <v>1</v>
      </c>
      <c r="F13" s="3">
        <v>1</v>
      </c>
      <c r="G13" s="3">
        <v>1</v>
      </c>
      <c r="H13" s="3">
        <v>4</v>
      </c>
      <c r="I13" s="3">
        <v>2</v>
      </c>
      <c r="J13" s="3">
        <v>12</v>
      </c>
      <c r="K13" s="3">
        <v>12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">
      <c r="A14" s="32" t="s">
        <v>594</v>
      </c>
      <c r="C14" s="3">
        <v>2</v>
      </c>
      <c r="E14" s="3">
        <v>1</v>
      </c>
      <c r="H14" s="3">
        <v>1</v>
      </c>
      <c r="J14" s="3">
        <v>4</v>
      </c>
      <c r="K14" s="3">
        <v>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">
      <c r="A15" s="32" t="s">
        <v>595</v>
      </c>
      <c r="B15" s="3">
        <v>28</v>
      </c>
      <c r="C15" s="3">
        <v>13</v>
      </c>
      <c r="D15" s="3">
        <v>21</v>
      </c>
      <c r="E15" s="3">
        <v>20</v>
      </c>
      <c r="F15" s="3">
        <v>24</v>
      </c>
      <c r="G15" s="3">
        <v>16</v>
      </c>
      <c r="H15" s="3">
        <v>16</v>
      </c>
      <c r="I15" s="3">
        <v>26</v>
      </c>
      <c r="J15" s="3">
        <v>164</v>
      </c>
      <c r="K15" s="3">
        <v>164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">
      <c r="A16" s="32" t="s">
        <v>596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">
      <c r="A17" s="32" t="s">
        <v>598</v>
      </c>
      <c r="B17" s="3">
        <v>28</v>
      </c>
      <c r="C17" s="3">
        <v>13</v>
      </c>
      <c r="D17" s="3">
        <v>21</v>
      </c>
      <c r="E17" s="3">
        <v>20</v>
      </c>
      <c r="F17" s="3">
        <v>24</v>
      </c>
      <c r="G17" s="3">
        <v>16</v>
      </c>
      <c r="H17" s="3">
        <v>16</v>
      </c>
      <c r="I17" s="3">
        <v>26</v>
      </c>
      <c r="J17" s="3">
        <v>164</v>
      </c>
      <c r="K17" s="3">
        <v>164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">
      <c r="A18" s="32" t="s">
        <v>599</v>
      </c>
      <c r="B18" s="3">
        <v>1</v>
      </c>
      <c r="D18" s="3">
        <v>2</v>
      </c>
      <c r="E18" s="3">
        <v>2</v>
      </c>
      <c r="H18" s="3">
        <v>1</v>
      </c>
      <c r="J18" s="3">
        <v>6</v>
      </c>
      <c r="K18" s="3">
        <v>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">
      <c r="A19" s="32" t="s">
        <v>600</v>
      </c>
      <c r="B19" s="3">
        <v>27</v>
      </c>
      <c r="C19" s="3">
        <v>13</v>
      </c>
      <c r="D19" s="3">
        <v>19</v>
      </c>
      <c r="E19" s="3">
        <v>18</v>
      </c>
      <c r="F19" s="3">
        <v>24</v>
      </c>
      <c r="G19" s="3">
        <v>16</v>
      </c>
      <c r="H19" s="3">
        <v>15</v>
      </c>
      <c r="I19" s="3">
        <v>26</v>
      </c>
      <c r="J19" s="3">
        <v>158</v>
      </c>
      <c r="K19" s="3">
        <v>158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">
      <c r="A20" s="32" t="s">
        <v>601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">
      <c r="A21" s="32" t="s">
        <v>602</v>
      </c>
      <c r="B21" s="3">
        <v>27</v>
      </c>
      <c r="C21" s="3">
        <v>13</v>
      </c>
      <c r="D21" s="3">
        <v>19</v>
      </c>
      <c r="E21" s="3">
        <v>18</v>
      </c>
      <c r="F21" s="3">
        <v>24</v>
      </c>
      <c r="G21" s="3">
        <v>16</v>
      </c>
      <c r="H21" s="3">
        <v>15</v>
      </c>
      <c r="I21" s="3">
        <v>26</v>
      </c>
      <c r="J21" s="3">
        <v>158</v>
      </c>
      <c r="K21" s="3">
        <v>158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">
      <c r="A22" s="32" t="s">
        <v>603</v>
      </c>
      <c r="B22" s="3">
        <v>27</v>
      </c>
      <c r="C22" s="3">
        <v>13</v>
      </c>
      <c r="D22" s="3">
        <v>19</v>
      </c>
      <c r="E22" s="3">
        <v>18</v>
      </c>
      <c r="F22" s="3">
        <v>24</v>
      </c>
      <c r="G22" s="3">
        <v>16</v>
      </c>
      <c r="H22" s="3">
        <v>15</v>
      </c>
      <c r="I22" s="3">
        <v>26</v>
      </c>
      <c r="J22" s="3">
        <v>158</v>
      </c>
      <c r="K22" s="3">
        <v>158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">
      <c r="A23" s="32" t="s">
        <v>604</v>
      </c>
      <c r="B23" s="3">
        <v>27</v>
      </c>
      <c r="C23" s="3">
        <v>13</v>
      </c>
      <c r="D23" s="3">
        <v>19</v>
      </c>
      <c r="E23" s="3">
        <v>17</v>
      </c>
      <c r="F23" s="3">
        <v>24</v>
      </c>
      <c r="G23" s="3">
        <v>16</v>
      </c>
      <c r="H23" s="3">
        <v>15</v>
      </c>
      <c r="I23" s="3">
        <v>26</v>
      </c>
      <c r="J23" s="3">
        <v>157</v>
      </c>
      <c r="K23" s="3">
        <v>157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">
      <c r="A24" s="32" t="s">
        <v>605</v>
      </c>
      <c r="B24" s="3">
        <v>27</v>
      </c>
      <c r="C24" s="3">
        <v>13</v>
      </c>
      <c r="D24" s="3">
        <v>19</v>
      </c>
      <c r="E24" s="3">
        <v>16</v>
      </c>
      <c r="F24" s="3">
        <v>24</v>
      </c>
      <c r="G24" s="3">
        <v>16</v>
      </c>
      <c r="H24" s="3">
        <v>15</v>
      </c>
      <c r="I24" s="3">
        <v>26</v>
      </c>
      <c r="J24" s="3">
        <v>156</v>
      </c>
      <c r="K24" s="3">
        <v>156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">
      <c r="A25" s="32" t="s">
        <v>606</v>
      </c>
      <c r="B25" s="3">
        <v>27</v>
      </c>
      <c r="C25" s="3">
        <v>13</v>
      </c>
      <c r="D25" s="3">
        <v>19</v>
      </c>
      <c r="E25" s="3">
        <v>16</v>
      </c>
      <c r="F25" s="3">
        <v>24</v>
      </c>
      <c r="G25" s="3">
        <v>16</v>
      </c>
      <c r="H25" s="3">
        <v>15</v>
      </c>
      <c r="I25" s="3">
        <v>26</v>
      </c>
      <c r="J25" s="3">
        <v>156</v>
      </c>
      <c r="K25" s="3">
        <v>156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">
      <c r="A26" s="32" t="s">
        <v>607</v>
      </c>
      <c r="B26" s="3">
        <v>25</v>
      </c>
      <c r="C26" s="3">
        <v>12</v>
      </c>
      <c r="D26" s="3">
        <v>18</v>
      </c>
      <c r="E26" s="3">
        <v>15</v>
      </c>
      <c r="F26" s="3">
        <v>24</v>
      </c>
      <c r="G26" s="3">
        <v>16</v>
      </c>
      <c r="H26" s="3">
        <v>15</v>
      </c>
      <c r="I26" s="3">
        <v>25</v>
      </c>
      <c r="J26" s="3">
        <v>150</v>
      </c>
      <c r="K26" s="3">
        <v>150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">
      <c r="A27" s="32" t="s">
        <v>608</v>
      </c>
      <c r="B27" s="3">
        <v>25</v>
      </c>
      <c r="C27" s="3">
        <v>12</v>
      </c>
      <c r="D27" s="3">
        <v>18</v>
      </c>
      <c r="E27" s="3">
        <v>15</v>
      </c>
      <c r="F27" s="3">
        <v>24</v>
      </c>
      <c r="G27" s="3">
        <v>16</v>
      </c>
      <c r="H27" s="3">
        <v>14</v>
      </c>
      <c r="I27" s="3">
        <v>25</v>
      </c>
      <c r="J27" s="3">
        <v>149</v>
      </c>
      <c r="K27" s="3">
        <v>149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">
      <c r="A28" s="32" t="s">
        <v>609</v>
      </c>
      <c r="B28" s="3">
        <v>25</v>
      </c>
      <c r="C28" s="3">
        <v>12</v>
      </c>
      <c r="D28" s="3">
        <v>18</v>
      </c>
      <c r="E28" s="3">
        <v>15</v>
      </c>
      <c r="F28" s="3">
        <v>24</v>
      </c>
      <c r="G28" s="3">
        <v>16</v>
      </c>
      <c r="H28" s="3">
        <v>14</v>
      </c>
      <c r="I28" s="3">
        <v>25</v>
      </c>
      <c r="J28" s="3">
        <v>149</v>
      </c>
      <c r="K28" s="3">
        <v>149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">
      <c r="A29" s="32" t="s">
        <v>610</v>
      </c>
      <c r="B29" s="3">
        <v>25</v>
      </c>
      <c r="C29" s="3">
        <v>12</v>
      </c>
      <c r="D29" s="3">
        <v>17</v>
      </c>
      <c r="E29" s="3">
        <v>15</v>
      </c>
      <c r="F29" s="3">
        <v>24</v>
      </c>
      <c r="G29" s="3">
        <v>16</v>
      </c>
      <c r="H29" s="3">
        <v>14</v>
      </c>
      <c r="I29" s="3">
        <v>24</v>
      </c>
      <c r="J29" s="3">
        <v>147</v>
      </c>
      <c r="K29" s="3">
        <v>147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">
      <c r="A30" s="32" t="s">
        <v>611</v>
      </c>
      <c r="B30" s="3">
        <v>25</v>
      </c>
      <c r="C30" s="3">
        <v>12</v>
      </c>
      <c r="D30" s="3">
        <v>18</v>
      </c>
      <c r="E30" s="3">
        <v>15</v>
      </c>
      <c r="F30" s="3">
        <v>24</v>
      </c>
      <c r="G30" s="3">
        <v>16</v>
      </c>
      <c r="H30" s="3">
        <v>14</v>
      </c>
      <c r="I30" s="3">
        <v>25</v>
      </c>
      <c r="J30" s="3">
        <v>149</v>
      </c>
      <c r="K30" s="3">
        <v>149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">
      <c r="A184" s="5"/>
      <c r="B184" s="5"/>
      <c r="C184" s="5"/>
    </row>
    <row r="185" spans="1:17" x14ac:dyDescent="0.2">
      <c r="A185" s="5"/>
      <c r="B185" s="5"/>
      <c r="C185" s="5"/>
    </row>
    <row r="186" spans="1:17" x14ac:dyDescent="0.2">
      <c r="A186" s="5"/>
      <c r="B186" s="5"/>
      <c r="C186" s="5"/>
    </row>
    <row r="187" spans="1:17" x14ac:dyDescent="0.2">
      <c r="A187" s="5"/>
      <c r="B187" s="5"/>
      <c r="C187" s="5"/>
    </row>
    <row r="188" spans="1:17" x14ac:dyDescent="0.2">
      <c r="A188" s="5"/>
      <c r="B188" s="5"/>
      <c r="C188" s="5"/>
    </row>
    <row r="189" spans="1:17" x14ac:dyDescent="0.2">
      <c r="A189" s="5"/>
      <c r="B189" s="5"/>
      <c r="C189" s="5"/>
    </row>
    <row r="190" spans="1:17" x14ac:dyDescent="0.2">
      <c r="A190" s="5"/>
      <c r="B190" s="5"/>
      <c r="C190" s="5"/>
    </row>
    <row r="191" spans="1:17" x14ac:dyDescent="0.2">
      <c r="A191" s="5"/>
      <c r="B191" s="5"/>
      <c r="C191" s="5"/>
    </row>
    <row r="192" spans="1:17" x14ac:dyDescent="0.2">
      <c r="A192" s="5"/>
      <c r="B192" s="5"/>
      <c r="C192" s="5"/>
    </row>
    <row r="193" spans="1:3" x14ac:dyDescent="0.2">
      <c r="A193" s="5"/>
      <c r="B193" s="5"/>
      <c r="C193" s="5"/>
    </row>
    <row r="194" spans="1:3" x14ac:dyDescent="0.2">
      <c r="A194" s="5"/>
      <c r="B194" s="5"/>
      <c r="C194" s="5"/>
    </row>
    <row r="195" spans="1:3" x14ac:dyDescent="0.2">
      <c r="A195" s="5"/>
      <c r="B195" s="5"/>
      <c r="C195" s="5"/>
    </row>
    <row r="196" spans="1:3" x14ac:dyDescent="0.2">
      <c r="A196" s="5"/>
      <c r="B196" s="5"/>
      <c r="C196" s="5"/>
    </row>
    <row r="197" spans="1:3" x14ac:dyDescent="0.2">
      <c r="A197" s="5"/>
      <c r="B197" s="5"/>
      <c r="C197" s="5"/>
    </row>
    <row r="198" spans="1:3" x14ac:dyDescent="0.2">
      <c r="A198" s="5"/>
      <c r="B198" s="5"/>
      <c r="C198" s="5"/>
    </row>
    <row r="199" spans="1:3" x14ac:dyDescent="0.2">
      <c r="A199" s="5"/>
      <c r="B199" s="5"/>
      <c r="C199" s="5"/>
    </row>
    <row r="200" spans="1:3" x14ac:dyDescent="0.2">
      <c r="A200" s="5"/>
      <c r="B200" s="5"/>
      <c r="C200" s="5"/>
    </row>
    <row r="201" spans="1:3" x14ac:dyDescent="0.2">
      <c r="A201" s="5"/>
      <c r="B201" s="5"/>
      <c r="C201" s="5"/>
    </row>
    <row r="202" spans="1:3" x14ac:dyDescent="0.2">
      <c r="A202" s="5"/>
      <c r="B202" s="5"/>
      <c r="C202" s="5"/>
    </row>
    <row r="203" spans="1:3" x14ac:dyDescent="0.2">
      <c r="A203" s="5"/>
      <c r="B203" s="5"/>
      <c r="C203" s="5"/>
    </row>
    <row r="204" spans="1:3" x14ac:dyDescent="0.2">
      <c r="A204" s="5"/>
      <c r="B204" s="5"/>
      <c r="C204" s="5"/>
    </row>
    <row r="205" spans="1:3" x14ac:dyDescent="0.2">
      <c r="A205" s="5"/>
      <c r="B205" s="5"/>
      <c r="C205" s="5"/>
    </row>
    <row r="206" spans="1:3" x14ac:dyDescent="0.2">
      <c r="A206" s="5"/>
      <c r="B206" s="5"/>
      <c r="C206" s="5"/>
    </row>
    <row r="207" spans="1:3" x14ac:dyDescent="0.2">
      <c r="A207" s="5"/>
      <c r="B207" s="5"/>
      <c r="C207" s="5"/>
    </row>
    <row r="208" spans="1:3" x14ac:dyDescent="0.2">
      <c r="A208" s="5"/>
      <c r="B208" s="5"/>
      <c r="C208" s="5"/>
    </row>
    <row r="209" spans="1:3" x14ac:dyDescent="0.2">
      <c r="A209" s="5"/>
      <c r="B209" s="5"/>
      <c r="C209" s="5"/>
    </row>
    <row r="210" spans="1:3" x14ac:dyDescent="0.2">
      <c r="A210" s="5"/>
      <c r="B210" s="5"/>
      <c r="C210" s="5"/>
    </row>
    <row r="211" spans="1:3" x14ac:dyDescent="0.2">
      <c r="A211" s="5"/>
      <c r="B211" s="5"/>
      <c r="C211" s="5"/>
    </row>
    <row r="212" spans="1:3" x14ac:dyDescent="0.2">
      <c r="A212" s="5"/>
      <c r="B212" s="5"/>
      <c r="C212" s="5"/>
    </row>
    <row r="213" spans="1:3" x14ac:dyDescent="0.2">
      <c r="A213" s="5"/>
      <c r="B213" s="5"/>
      <c r="C213" s="5"/>
    </row>
    <row r="214" spans="1:3" x14ac:dyDescent="0.2">
      <c r="A214" s="5"/>
      <c r="B214" s="5"/>
      <c r="C214" s="5"/>
    </row>
    <row r="215" spans="1:3" x14ac:dyDescent="0.2">
      <c r="A215" s="5"/>
      <c r="B215" s="5"/>
      <c r="C215" s="5"/>
    </row>
    <row r="216" spans="1:3" x14ac:dyDescent="0.2">
      <c r="A216" s="5"/>
      <c r="B216" s="5"/>
      <c r="C216" s="5"/>
    </row>
    <row r="217" spans="1:3" x14ac:dyDescent="0.2">
      <c r="A217" s="5"/>
      <c r="B217" s="5"/>
      <c r="C217" s="5"/>
    </row>
    <row r="218" spans="1:3" x14ac:dyDescent="0.2">
      <c r="A218" s="5"/>
      <c r="B218" s="5"/>
      <c r="C218" s="5"/>
    </row>
    <row r="219" spans="1:3" x14ac:dyDescent="0.2">
      <c r="A219" s="5"/>
      <c r="B219" s="5"/>
      <c r="C219" s="5"/>
    </row>
    <row r="220" spans="1:3" x14ac:dyDescent="0.2">
      <c r="A220" s="5"/>
      <c r="B220" s="5"/>
      <c r="C220" s="5"/>
    </row>
    <row r="221" spans="1:3" x14ac:dyDescent="0.2">
      <c r="A221" s="5"/>
      <c r="B221" s="5"/>
      <c r="C221" s="5"/>
    </row>
    <row r="222" spans="1:3" x14ac:dyDescent="0.2">
      <c r="A222" s="5"/>
      <c r="B222" s="5"/>
      <c r="C222" s="5"/>
    </row>
    <row r="223" spans="1:3" x14ac:dyDescent="0.2">
      <c r="A223" s="5"/>
      <c r="B223" s="5"/>
      <c r="C223" s="5"/>
    </row>
    <row r="224" spans="1:3" x14ac:dyDescent="0.2">
      <c r="A224" s="5"/>
      <c r="B224" s="5"/>
      <c r="C224" s="5"/>
    </row>
    <row r="225" spans="1:3" x14ac:dyDescent="0.2">
      <c r="A225" s="5"/>
      <c r="B225" s="5"/>
      <c r="C225" s="5"/>
    </row>
    <row r="226" spans="1:3" x14ac:dyDescent="0.2">
      <c r="A226" s="5"/>
      <c r="B226" s="5"/>
      <c r="C226" s="5"/>
    </row>
    <row r="227" spans="1:3" x14ac:dyDescent="0.2">
      <c r="A227" s="5"/>
      <c r="B227" s="5"/>
      <c r="C227" s="5"/>
    </row>
    <row r="228" spans="1:3" x14ac:dyDescent="0.2">
      <c r="A228" s="5"/>
      <c r="B228" s="5"/>
      <c r="C228" s="5"/>
    </row>
    <row r="229" spans="1:3" x14ac:dyDescent="0.2">
      <c r="A229" s="5"/>
      <c r="B229" s="5"/>
      <c r="C229" s="5"/>
    </row>
    <row r="230" spans="1:3" x14ac:dyDescent="0.2">
      <c r="A230" s="5"/>
      <c r="B230" s="5"/>
      <c r="C230" s="5"/>
    </row>
    <row r="231" spans="1:3" x14ac:dyDescent="0.2">
      <c r="A231" s="5"/>
      <c r="B231" s="5"/>
      <c r="C231" s="5"/>
    </row>
    <row r="232" spans="1:3" x14ac:dyDescent="0.2">
      <c r="A232" s="5"/>
      <c r="B232" s="5"/>
      <c r="C232" s="5"/>
    </row>
    <row r="233" spans="1:3" x14ac:dyDescent="0.2">
      <c r="A233" s="5"/>
      <c r="B233" s="5"/>
      <c r="C233" s="5"/>
    </row>
    <row r="234" spans="1:3" x14ac:dyDescent="0.2">
      <c r="A234" s="5"/>
      <c r="B234" s="5"/>
      <c r="C234" s="5"/>
    </row>
    <row r="235" spans="1:3" x14ac:dyDescent="0.2">
      <c r="A235" s="5"/>
      <c r="B235" s="5"/>
      <c r="C235" s="5"/>
    </row>
    <row r="236" spans="1:3" x14ac:dyDescent="0.2">
      <c r="A236" s="5"/>
      <c r="B236" s="5"/>
      <c r="C236" s="5"/>
    </row>
    <row r="237" spans="1:3" x14ac:dyDescent="0.2">
      <c r="A237" s="5"/>
      <c r="B237" s="5"/>
      <c r="C237" s="5"/>
    </row>
    <row r="238" spans="1:3" x14ac:dyDescent="0.2">
      <c r="A238" s="5"/>
      <c r="B238" s="5"/>
      <c r="C238" s="5"/>
    </row>
    <row r="239" spans="1:3" x14ac:dyDescent="0.2">
      <c r="A239" s="5"/>
      <c r="B239" s="5"/>
      <c r="C239" s="5"/>
    </row>
    <row r="240" spans="1:3" x14ac:dyDescent="0.2">
      <c r="A240" s="5"/>
      <c r="B240" s="5"/>
      <c r="C240" s="5"/>
    </row>
    <row r="241" spans="1:3" x14ac:dyDescent="0.2">
      <c r="A241" s="5"/>
      <c r="B241" s="5"/>
      <c r="C241" s="5"/>
    </row>
    <row r="242" spans="1:3" x14ac:dyDescent="0.2">
      <c r="A242" s="5"/>
      <c r="B242" s="5"/>
      <c r="C242" s="5"/>
    </row>
    <row r="243" spans="1:3" x14ac:dyDescent="0.2">
      <c r="A243" s="5"/>
      <c r="B243" s="5"/>
      <c r="C243" s="5"/>
    </row>
    <row r="244" spans="1:3" x14ac:dyDescent="0.2">
      <c r="A244" s="5"/>
      <c r="B244" s="5"/>
      <c r="C244" s="5"/>
    </row>
    <row r="245" spans="1:3" x14ac:dyDescent="0.2">
      <c r="A245" s="5"/>
      <c r="B245" s="5"/>
      <c r="C245" s="5"/>
    </row>
    <row r="246" spans="1:3" x14ac:dyDescent="0.2">
      <c r="A246" s="5"/>
      <c r="B246" s="5"/>
      <c r="C246" s="5"/>
    </row>
    <row r="247" spans="1:3" x14ac:dyDescent="0.2">
      <c r="A247" s="5"/>
      <c r="B247" s="5"/>
      <c r="C247" s="5"/>
    </row>
    <row r="248" spans="1:3" x14ac:dyDescent="0.2">
      <c r="A248" s="5"/>
      <c r="B248" s="5"/>
      <c r="C248" s="5"/>
    </row>
    <row r="249" spans="1:3" x14ac:dyDescent="0.2">
      <c r="A249" s="5"/>
      <c r="B249" s="5"/>
      <c r="C249" s="5"/>
    </row>
    <row r="250" spans="1:3" x14ac:dyDescent="0.2">
      <c r="A250" s="5"/>
      <c r="B250" s="5"/>
      <c r="C250" s="5"/>
    </row>
    <row r="251" spans="1:3" x14ac:dyDescent="0.2">
      <c r="A251" s="5"/>
      <c r="B251" s="5"/>
      <c r="C251" s="5"/>
    </row>
    <row r="252" spans="1:3" x14ac:dyDescent="0.2">
      <c r="A252" s="5"/>
      <c r="B252" s="5"/>
      <c r="C252" s="5"/>
    </row>
    <row r="253" spans="1:3" x14ac:dyDescent="0.2">
      <c r="A253" s="5"/>
      <c r="B253" s="5"/>
      <c r="C253" s="5"/>
    </row>
    <row r="254" spans="1:3" x14ac:dyDescent="0.2">
      <c r="A254" s="5"/>
      <c r="B254" s="5"/>
      <c r="C254" s="5"/>
    </row>
    <row r="255" spans="1:3" x14ac:dyDescent="0.2">
      <c r="A255" s="5"/>
      <c r="B255" s="5"/>
      <c r="C255" s="5"/>
    </row>
    <row r="256" spans="1:3" x14ac:dyDescent="0.2">
      <c r="A256" s="5"/>
      <c r="B256" s="5"/>
      <c r="C256" s="5"/>
    </row>
    <row r="257" spans="1:3" x14ac:dyDescent="0.2">
      <c r="A257" s="5"/>
      <c r="B257" s="5"/>
      <c r="C257" s="5"/>
    </row>
    <row r="258" spans="1:3" x14ac:dyDescent="0.2">
      <c r="A258" s="5"/>
      <c r="B258" s="5"/>
      <c r="C258" s="5"/>
    </row>
    <row r="259" spans="1:3" x14ac:dyDescent="0.2">
      <c r="A259" s="5"/>
      <c r="B259" s="5"/>
      <c r="C259" s="5"/>
    </row>
    <row r="260" spans="1:3" x14ac:dyDescent="0.2">
      <c r="A260" s="5"/>
      <c r="B260" s="5"/>
      <c r="C260" s="5"/>
    </row>
    <row r="261" spans="1:3" x14ac:dyDescent="0.2">
      <c r="A261" s="5"/>
      <c r="B261" s="5"/>
      <c r="C261" s="5"/>
    </row>
    <row r="262" spans="1:3" x14ac:dyDescent="0.2">
      <c r="A262" s="5"/>
      <c r="B262" s="5"/>
      <c r="C262" s="5"/>
    </row>
    <row r="263" spans="1:3" x14ac:dyDescent="0.2">
      <c r="A263" s="5"/>
      <c r="B263" s="5"/>
      <c r="C263" s="5"/>
    </row>
    <row r="264" spans="1:3" x14ac:dyDescent="0.2">
      <c r="A264" s="5"/>
      <c r="B264" s="5"/>
      <c r="C264" s="5"/>
    </row>
    <row r="265" spans="1:3" x14ac:dyDescent="0.2">
      <c r="A265" s="5"/>
      <c r="B265" s="5"/>
      <c r="C265" s="5"/>
    </row>
    <row r="266" spans="1:3" x14ac:dyDescent="0.2">
      <c r="A266" s="5"/>
      <c r="B266" s="5"/>
      <c r="C266" s="5"/>
    </row>
    <row r="267" spans="1:3" x14ac:dyDescent="0.2">
      <c r="A267" s="5"/>
      <c r="B267" s="5"/>
      <c r="C267" s="5"/>
    </row>
    <row r="268" spans="1:3" x14ac:dyDescent="0.2">
      <c r="A268" s="5"/>
      <c r="B268" s="5"/>
      <c r="C268" s="5"/>
    </row>
    <row r="269" spans="1:3" x14ac:dyDescent="0.2">
      <c r="A269" s="5"/>
      <c r="B269" s="5"/>
      <c r="C269" s="5"/>
    </row>
    <row r="270" spans="1:3" x14ac:dyDescent="0.2">
      <c r="A270" s="5"/>
      <c r="B270" s="5"/>
      <c r="C270" s="5"/>
    </row>
    <row r="271" spans="1:3" x14ac:dyDescent="0.2">
      <c r="A271" s="5"/>
      <c r="B271" s="5"/>
      <c r="C271" s="5"/>
    </row>
    <row r="272" spans="1:3" x14ac:dyDescent="0.2">
      <c r="A272" s="5"/>
      <c r="B272" s="5"/>
      <c r="C272" s="5"/>
    </row>
    <row r="273" spans="1:3" x14ac:dyDescent="0.2">
      <c r="A273" s="5"/>
      <c r="B273" s="5"/>
      <c r="C273" s="5"/>
    </row>
    <row r="274" spans="1:3" x14ac:dyDescent="0.2">
      <c r="A274" s="5"/>
      <c r="B274" s="5"/>
      <c r="C274" s="5"/>
    </row>
    <row r="275" spans="1:3" x14ac:dyDescent="0.2">
      <c r="A275" s="5"/>
      <c r="B275" s="5"/>
      <c r="C275" s="5"/>
    </row>
    <row r="276" spans="1:3" x14ac:dyDescent="0.2">
      <c r="A276" s="5"/>
      <c r="B276" s="5"/>
      <c r="C276" s="5"/>
    </row>
    <row r="277" spans="1:3" x14ac:dyDescent="0.2">
      <c r="A277" s="5"/>
      <c r="B277" s="5"/>
      <c r="C277" s="5"/>
    </row>
    <row r="278" spans="1:3" x14ac:dyDescent="0.2">
      <c r="A278" s="5"/>
      <c r="B278" s="5"/>
      <c r="C278" s="5"/>
    </row>
    <row r="279" spans="1:3" x14ac:dyDescent="0.2">
      <c r="A279" s="5"/>
      <c r="B279" s="5"/>
      <c r="C279" s="5"/>
    </row>
    <row r="280" spans="1:3" x14ac:dyDescent="0.2">
      <c r="A280" s="5"/>
      <c r="B280" s="5"/>
      <c r="C280" s="5"/>
    </row>
    <row r="281" spans="1:3" x14ac:dyDescent="0.2">
      <c r="A281" s="5"/>
      <c r="B281" s="5"/>
      <c r="C281" s="5"/>
    </row>
    <row r="282" spans="1:3" x14ac:dyDescent="0.2">
      <c r="A282" s="5"/>
      <c r="B282" s="5"/>
      <c r="C282" s="5"/>
    </row>
    <row r="283" spans="1:3" x14ac:dyDescent="0.2">
      <c r="A283" s="5"/>
      <c r="B283" s="5"/>
      <c r="C283" s="5"/>
    </row>
    <row r="284" spans="1:3" x14ac:dyDescent="0.2">
      <c r="A284" s="5"/>
      <c r="B284" s="5"/>
      <c r="C284" s="5"/>
    </row>
    <row r="285" spans="1:3" x14ac:dyDescent="0.2">
      <c r="A285" s="5"/>
      <c r="B285" s="5"/>
      <c r="C285" s="5"/>
    </row>
    <row r="286" spans="1:3" x14ac:dyDescent="0.2">
      <c r="A286" s="5"/>
      <c r="B286" s="5"/>
      <c r="C286" s="5"/>
    </row>
    <row r="287" spans="1:3" x14ac:dyDescent="0.2">
      <c r="A287" s="5"/>
      <c r="B287" s="5"/>
      <c r="C287" s="5"/>
    </row>
    <row r="288" spans="1:3" x14ac:dyDescent="0.2">
      <c r="A288" s="5"/>
      <c r="B288" s="5"/>
      <c r="C288" s="5"/>
    </row>
    <row r="289" spans="1:3" x14ac:dyDescent="0.2">
      <c r="A289" s="5"/>
      <c r="B289" s="5"/>
      <c r="C289" s="5"/>
    </row>
    <row r="290" spans="1:3" x14ac:dyDescent="0.2">
      <c r="A290" s="5"/>
      <c r="B290" s="5"/>
      <c r="C290" s="5"/>
    </row>
    <row r="291" spans="1:3" x14ac:dyDescent="0.2">
      <c r="A291" s="5"/>
      <c r="B291" s="5"/>
      <c r="C291" s="5"/>
    </row>
    <row r="292" spans="1:3" x14ac:dyDescent="0.2">
      <c r="A292" s="5"/>
      <c r="B292" s="5"/>
      <c r="C292" s="5"/>
    </row>
    <row r="293" spans="1:3" x14ac:dyDescent="0.2">
      <c r="A293" s="5"/>
      <c r="B293" s="5"/>
      <c r="C293" s="5"/>
    </row>
    <row r="294" spans="1:3" x14ac:dyDescent="0.2">
      <c r="A294" s="5"/>
      <c r="B294" s="5"/>
      <c r="C294" s="5"/>
    </row>
    <row r="295" spans="1:3" x14ac:dyDescent="0.2">
      <c r="A295" s="5"/>
      <c r="B295" s="5"/>
      <c r="C295" s="5"/>
    </row>
    <row r="296" spans="1:3" x14ac:dyDescent="0.2">
      <c r="A296" s="5"/>
      <c r="B296" s="5"/>
      <c r="C296" s="5"/>
    </row>
    <row r="297" spans="1:3" x14ac:dyDescent="0.2">
      <c r="A297" s="5"/>
      <c r="B297" s="5"/>
      <c r="C297" s="5"/>
    </row>
    <row r="298" spans="1:3" x14ac:dyDescent="0.2">
      <c r="A298" s="5"/>
      <c r="B298" s="5"/>
      <c r="C298" s="5"/>
    </row>
    <row r="299" spans="1:3" x14ac:dyDescent="0.2">
      <c r="A299" s="5"/>
      <c r="B299" s="5"/>
      <c r="C299" s="5"/>
    </row>
    <row r="300" spans="1:3" x14ac:dyDescent="0.2">
      <c r="A300" s="5"/>
      <c r="B300" s="5"/>
      <c r="C300" s="5"/>
    </row>
    <row r="301" spans="1:3" x14ac:dyDescent="0.2">
      <c r="A301" s="5"/>
      <c r="B301" s="5"/>
      <c r="C301" s="5"/>
    </row>
    <row r="302" spans="1:3" x14ac:dyDescent="0.2">
      <c r="A302" s="5"/>
      <c r="B302" s="5"/>
      <c r="C302" s="5"/>
    </row>
    <row r="303" spans="1:3" x14ac:dyDescent="0.2">
      <c r="A303" s="5"/>
      <c r="B303" s="5"/>
      <c r="C303" s="5"/>
    </row>
    <row r="304" spans="1:3" x14ac:dyDescent="0.2">
      <c r="A304" s="5"/>
      <c r="B304" s="5"/>
      <c r="C304" s="5"/>
    </row>
    <row r="305" spans="1:3" x14ac:dyDescent="0.2">
      <c r="A305" s="5"/>
      <c r="B305" s="5"/>
      <c r="C305" s="5"/>
    </row>
    <row r="306" spans="1:3" x14ac:dyDescent="0.2">
      <c r="A306" s="5"/>
      <c r="B306" s="5"/>
      <c r="C306" s="5"/>
    </row>
    <row r="307" spans="1:3" x14ac:dyDescent="0.2">
      <c r="A307" s="5"/>
      <c r="B307" s="5"/>
      <c r="C307" s="5"/>
    </row>
    <row r="308" spans="1:3" x14ac:dyDescent="0.2">
      <c r="A308" s="5"/>
      <c r="B308" s="5"/>
      <c r="C308" s="5"/>
    </row>
    <row r="309" spans="1:3" x14ac:dyDescent="0.2">
      <c r="A309" s="5"/>
      <c r="B309" s="5"/>
      <c r="C309" s="5"/>
    </row>
    <row r="310" spans="1:3" x14ac:dyDescent="0.2">
      <c r="A310" s="5"/>
      <c r="B310" s="5"/>
      <c r="C310" s="5"/>
    </row>
    <row r="311" spans="1:3" x14ac:dyDescent="0.2">
      <c r="A311" s="5"/>
      <c r="B311" s="5"/>
      <c r="C311" s="5"/>
    </row>
    <row r="312" spans="1:3" x14ac:dyDescent="0.2">
      <c r="A312" s="5"/>
      <c r="B312" s="5"/>
      <c r="C312" s="5"/>
    </row>
    <row r="313" spans="1:3" x14ac:dyDescent="0.2">
      <c r="A313" s="5"/>
      <c r="B313" s="5"/>
      <c r="C313" s="5"/>
    </row>
    <row r="314" spans="1:3" x14ac:dyDescent="0.2">
      <c r="A314" s="5"/>
      <c r="B314" s="5"/>
      <c r="C314" s="5"/>
    </row>
    <row r="315" spans="1:3" x14ac:dyDescent="0.2">
      <c r="A315" s="5"/>
      <c r="B315" s="5"/>
      <c r="C315" s="5"/>
    </row>
    <row r="316" spans="1:3" x14ac:dyDescent="0.2">
      <c r="A316" s="5"/>
      <c r="B316" s="5"/>
      <c r="C316" s="5"/>
    </row>
    <row r="317" spans="1:3" x14ac:dyDescent="0.2">
      <c r="A317" s="5"/>
      <c r="B317" s="5"/>
      <c r="C317" s="5"/>
    </row>
    <row r="318" spans="1:3" x14ac:dyDescent="0.2">
      <c r="A318" s="5"/>
      <c r="B318" s="5"/>
      <c r="C318" s="5"/>
    </row>
    <row r="319" spans="1:3" x14ac:dyDescent="0.2">
      <c r="A319" s="5"/>
      <c r="B319" s="5"/>
      <c r="C319" s="5"/>
    </row>
    <row r="320" spans="1:3" x14ac:dyDescent="0.2">
      <c r="A320" s="5"/>
      <c r="B320" s="5"/>
      <c r="C320" s="5"/>
    </row>
    <row r="321" spans="1:3" x14ac:dyDescent="0.2">
      <c r="A321" s="5"/>
      <c r="B321" s="5"/>
      <c r="C321" s="5"/>
    </row>
    <row r="322" spans="1:3" x14ac:dyDescent="0.2">
      <c r="A322" s="5"/>
      <c r="B322" s="5"/>
      <c r="C322" s="5"/>
    </row>
    <row r="323" spans="1:3" x14ac:dyDescent="0.2">
      <c r="A323" s="5"/>
      <c r="B323" s="5"/>
      <c r="C323" s="5"/>
    </row>
    <row r="324" spans="1:3" x14ac:dyDescent="0.2">
      <c r="A324" s="5"/>
      <c r="B324" s="5"/>
      <c r="C324" s="5"/>
    </row>
    <row r="325" spans="1:3" x14ac:dyDescent="0.2">
      <c r="A325" s="5"/>
      <c r="B325" s="5"/>
      <c r="C325" s="5"/>
    </row>
    <row r="326" spans="1:3" x14ac:dyDescent="0.2">
      <c r="A326" s="5"/>
      <c r="B326" s="5"/>
      <c r="C326" s="5"/>
    </row>
    <row r="327" spans="1:3" x14ac:dyDescent="0.2">
      <c r="A327" s="5"/>
      <c r="B327" s="5"/>
      <c r="C327" s="5"/>
    </row>
    <row r="328" spans="1:3" x14ac:dyDescent="0.2">
      <c r="A328" s="5"/>
      <c r="B328" s="5"/>
      <c r="C328" s="5"/>
    </row>
    <row r="329" spans="1:3" x14ac:dyDescent="0.2">
      <c r="A329" s="5"/>
      <c r="B329" s="5"/>
      <c r="C329" s="5"/>
    </row>
    <row r="330" spans="1:3" x14ac:dyDescent="0.2">
      <c r="A330" s="5"/>
      <c r="B330" s="5"/>
      <c r="C330" s="5"/>
    </row>
    <row r="331" spans="1:3" x14ac:dyDescent="0.2">
      <c r="A331" s="5"/>
      <c r="B331" s="5"/>
      <c r="C331" s="5"/>
    </row>
    <row r="332" spans="1:3" x14ac:dyDescent="0.2">
      <c r="A332" s="5"/>
      <c r="B332" s="5"/>
      <c r="C332" s="5"/>
    </row>
    <row r="333" spans="1:3" x14ac:dyDescent="0.2">
      <c r="A333" s="5"/>
      <c r="B333" s="5"/>
      <c r="C333" s="5"/>
    </row>
    <row r="334" spans="1:3" x14ac:dyDescent="0.2">
      <c r="A334" s="5"/>
      <c r="B334" s="5"/>
      <c r="C334" s="5"/>
    </row>
    <row r="335" spans="1:3" x14ac:dyDescent="0.2">
      <c r="A335" s="5"/>
      <c r="B335" s="5"/>
      <c r="C335" s="5"/>
    </row>
    <row r="336" spans="1:3" x14ac:dyDescent="0.2">
      <c r="A336" s="5"/>
      <c r="B336" s="5"/>
      <c r="C336" s="5"/>
    </row>
    <row r="337" spans="1:3" x14ac:dyDescent="0.2">
      <c r="A337" s="5"/>
      <c r="B337" s="5"/>
      <c r="C337" s="5"/>
    </row>
    <row r="338" spans="1:3" x14ac:dyDescent="0.2">
      <c r="A338" s="5"/>
      <c r="B338" s="5"/>
      <c r="C338" s="5"/>
    </row>
    <row r="339" spans="1:3" x14ac:dyDescent="0.2">
      <c r="A339" s="5"/>
      <c r="B339" s="5"/>
      <c r="C339" s="5"/>
    </row>
    <row r="340" spans="1:3" x14ac:dyDescent="0.2">
      <c r="A340" s="5"/>
      <c r="B340" s="5"/>
      <c r="C340" s="5"/>
    </row>
    <row r="341" spans="1:3" x14ac:dyDescent="0.2">
      <c r="A341" s="5"/>
      <c r="B341" s="5"/>
      <c r="C341" s="5"/>
    </row>
    <row r="342" spans="1:3" x14ac:dyDescent="0.2">
      <c r="A342" s="5"/>
      <c r="B342" s="5"/>
      <c r="C342" s="5"/>
    </row>
    <row r="343" spans="1:3" x14ac:dyDescent="0.2">
      <c r="A343" s="5"/>
      <c r="B343" s="5"/>
      <c r="C343" s="5"/>
    </row>
    <row r="344" spans="1:3" x14ac:dyDescent="0.2">
      <c r="A344" s="5"/>
      <c r="B344" s="5"/>
      <c r="C344" s="5"/>
    </row>
    <row r="345" spans="1:3" x14ac:dyDescent="0.2">
      <c r="A345" s="5"/>
      <c r="B345" s="5"/>
      <c r="C345" s="5"/>
    </row>
    <row r="346" spans="1:3" x14ac:dyDescent="0.2">
      <c r="A346" s="5"/>
      <c r="B346" s="5"/>
      <c r="C346" s="5"/>
    </row>
    <row r="347" spans="1:3" x14ac:dyDescent="0.2">
      <c r="A347" s="5"/>
      <c r="B347" s="5"/>
      <c r="C347" s="5"/>
    </row>
    <row r="348" spans="1:3" x14ac:dyDescent="0.2">
      <c r="A348" s="5"/>
      <c r="B348" s="5"/>
      <c r="C348" s="5"/>
    </row>
    <row r="349" spans="1:3" x14ac:dyDescent="0.2">
      <c r="A349" s="5"/>
      <c r="B349" s="5"/>
      <c r="C349" s="5"/>
    </row>
    <row r="350" spans="1:3" x14ac:dyDescent="0.2">
      <c r="A350" s="5"/>
      <c r="B350" s="5"/>
      <c r="C350" s="5"/>
    </row>
    <row r="351" spans="1:3" x14ac:dyDescent="0.2">
      <c r="A351" s="5"/>
      <c r="B351" s="5"/>
      <c r="C351" s="5"/>
    </row>
    <row r="352" spans="1:3" x14ac:dyDescent="0.2">
      <c r="A352" s="5"/>
      <c r="B352" s="5"/>
      <c r="C352" s="5"/>
    </row>
    <row r="353" spans="1:3" x14ac:dyDescent="0.2">
      <c r="A353" s="5"/>
      <c r="B353" s="5"/>
      <c r="C35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zoomScaleNormal="100" workbookViewId="0">
      <selection activeCell="J28" sqref="J28"/>
    </sheetView>
  </sheetViews>
  <sheetFormatPr defaultRowHeight="12.75" x14ac:dyDescent="0.2"/>
  <cols>
    <col min="1" max="1" width="4.28515625" customWidth="1"/>
    <col min="15" max="15" width="6.28515625" customWidth="1"/>
    <col min="16" max="16" width="4.28515625" customWidth="1"/>
  </cols>
  <sheetData/>
  <pageMargins left="0.7" right="0.7" top="0.75" bottom="0.75" header="0.3" footer="0.3"/>
  <pageSetup paperSize="9" scale="70"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9"/>
  <sheetViews>
    <sheetView zoomScale="90" zoomScaleNormal="90" workbookViewId="0">
      <selection activeCell="D5" sqref="D5:D22"/>
    </sheetView>
  </sheetViews>
  <sheetFormatPr defaultRowHeight="12.75" x14ac:dyDescent="0.2"/>
  <cols>
    <col min="1" max="1" width="2.140625" style="5" customWidth="1"/>
    <col min="2" max="3" width="10.7109375" style="5" customWidth="1"/>
    <col min="4" max="4" width="11.7109375" style="6" bestFit="1" customWidth="1"/>
    <col min="5" max="5" width="34.5703125" style="5" bestFit="1" customWidth="1"/>
    <col min="6" max="6" width="20.5703125" style="5" bestFit="1" customWidth="1"/>
    <col min="7" max="7" width="18" style="5" bestFit="1" customWidth="1"/>
    <col min="8" max="8" width="12.5703125" style="6" bestFit="1" customWidth="1"/>
    <col min="9" max="9" width="3.85546875" style="5" customWidth="1"/>
    <col min="10" max="256" width="8.7109375" style="5"/>
    <col min="257" max="257" width="4.5703125" style="5" customWidth="1"/>
    <col min="258" max="259" width="10.7109375" style="5" customWidth="1"/>
    <col min="260" max="260" width="17" style="5" customWidth="1"/>
    <col min="261" max="261" width="51.7109375" style="5" bestFit="1" customWidth="1"/>
    <col min="262" max="262" width="23.28515625" style="5" bestFit="1" customWidth="1"/>
    <col min="263" max="263" width="16.85546875" style="5" customWidth="1"/>
    <col min="264" max="264" width="37.85546875" style="5" bestFit="1" customWidth="1"/>
    <col min="265" max="512" width="8.7109375" style="5"/>
    <col min="513" max="513" width="4.5703125" style="5" customWidth="1"/>
    <col min="514" max="515" width="10.7109375" style="5" customWidth="1"/>
    <col min="516" max="516" width="17" style="5" customWidth="1"/>
    <col min="517" max="517" width="51.7109375" style="5" bestFit="1" customWidth="1"/>
    <col min="518" max="518" width="23.28515625" style="5" bestFit="1" customWidth="1"/>
    <col min="519" max="519" width="16.85546875" style="5" customWidth="1"/>
    <col min="520" max="520" width="37.85546875" style="5" bestFit="1" customWidth="1"/>
    <col min="521" max="768" width="8.7109375" style="5"/>
    <col min="769" max="769" width="4.5703125" style="5" customWidth="1"/>
    <col min="770" max="771" width="10.7109375" style="5" customWidth="1"/>
    <col min="772" max="772" width="17" style="5" customWidth="1"/>
    <col min="773" max="773" width="51.7109375" style="5" bestFit="1" customWidth="1"/>
    <col min="774" max="774" width="23.28515625" style="5" bestFit="1" customWidth="1"/>
    <col min="775" max="775" width="16.85546875" style="5" customWidth="1"/>
    <col min="776" max="776" width="37.85546875" style="5" bestFit="1" customWidth="1"/>
    <col min="777" max="1024" width="8.7109375" style="5"/>
    <col min="1025" max="1025" width="4.5703125" style="5" customWidth="1"/>
    <col min="1026" max="1027" width="10.7109375" style="5" customWidth="1"/>
    <col min="1028" max="1028" width="17" style="5" customWidth="1"/>
    <col min="1029" max="1029" width="51.7109375" style="5" bestFit="1" customWidth="1"/>
    <col min="1030" max="1030" width="23.28515625" style="5" bestFit="1" customWidth="1"/>
    <col min="1031" max="1031" width="16.85546875" style="5" customWidth="1"/>
    <col min="1032" max="1032" width="37.85546875" style="5" bestFit="1" customWidth="1"/>
    <col min="1033" max="1280" width="8.7109375" style="5"/>
    <col min="1281" max="1281" width="4.5703125" style="5" customWidth="1"/>
    <col min="1282" max="1283" width="10.7109375" style="5" customWidth="1"/>
    <col min="1284" max="1284" width="17" style="5" customWidth="1"/>
    <col min="1285" max="1285" width="51.7109375" style="5" bestFit="1" customWidth="1"/>
    <col min="1286" max="1286" width="23.28515625" style="5" bestFit="1" customWidth="1"/>
    <col min="1287" max="1287" width="16.85546875" style="5" customWidth="1"/>
    <col min="1288" max="1288" width="37.85546875" style="5" bestFit="1" customWidth="1"/>
    <col min="1289" max="1536" width="8.7109375" style="5"/>
    <col min="1537" max="1537" width="4.5703125" style="5" customWidth="1"/>
    <col min="1538" max="1539" width="10.7109375" style="5" customWidth="1"/>
    <col min="1540" max="1540" width="17" style="5" customWidth="1"/>
    <col min="1541" max="1541" width="51.7109375" style="5" bestFit="1" customWidth="1"/>
    <col min="1542" max="1542" width="23.28515625" style="5" bestFit="1" customWidth="1"/>
    <col min="1543" max="1543" width="16.85546875" style="5" customWidth="1"/>
    <col min="1544" max="1544" width="37.85546875" style="5" bestFit="1" customWidth="1"/>
    <col min="1545" max="1792" width="8.7109375" style="5"/>
    <col min="1793" max="1793" width="4.5703125" style="5" customWidth="1"/>
    <col min="1794" max="1795" width="10.7109375" style="5" customWidth="1"/>
    <col min="1796" max="1796" width="17" style="5" customWidth="1"/>
    <col min="1797" max="1797" width="51.7109375" style="5" bestFit="1" customWidth="1"/>
    <col min="1798" max="1798" width="23.28515625" style="5" bestFit="1" customWidth="1"/>
    <col min="1799" max="1799" width="16.85546875" style="5" customWidth="1"/>
    <col min="1800" max="1800" width="37.85546875" style="5" bestFit="1" customWidth="1"/>
    <col min="1801" max="2048" width="8.7109375" style="5"/>
    <col min="2049" max="2049" width="4.5703125" style="5" customWidth="1"/>
    <col min="2050" max="2051" width="10.7109375" style="5" customWidth="1"/>
    <col min="2052" max="2052" width="17" style="5" customWidth="1"/>
    <col min="2053" max="2053" width="51.7109375" style="5" bestFit="1" customWidth="1"/>
    <col min="2054" max="2054" width="23.28515625" style="5" bestFit="1" customWidth="1"/>
    <col min="2055" max="2055" width="16.85546875" style="5" customWidth="1"/>
    <col min="2056" max="2056" width="37.85546875" style="5" bestFit="1" customWidth="1"/>
    <col min="2057" max="2304" width="8.7109375" style="5"/>
    <col min="2305" max="2305" width="4.5703125" style="5" customWidth="1"/>
    <col min="2306" max="2307" width="10.7109375" style="5" customWidth="1"/>
    <col min="2308" max="2308" width="17" style="5" customWidth="1"/>
    <col min="2309" max="2309" width="51.7109375" style="5" bestFit="1" customWidth="1"/>
    <col min="2310" max="2310" width="23.28515625" style="5" bestFit="1" customWidth="1"/>
    <col min="2311" max="2311" width="16.85546875" style="5" customWidth="1"/>
    <col min="2312" max="2312" width="37.85546875" style="5" bestFit="1" customWidth="1"/>
    <col min="2313" max="2560" width="8.7109375" style="5"/>
    <col min="2561" max="2561" width="4.5703125" style="5" customWidth="1"/>
    <col min="2562" max="2563" width="10.7109375" style="5" customWidth="1"/>
    <col min="2564" max="2564" width="17" style="5" customWidth="1"/>
    <col min="2565" max="2565" width="51.7109375" style="5" bestFit="1" customWidth="1"/>
    <col min="2566" max="2566" width="23.28515625" style="5" bestFit="1" customWidth="1"/>
    <col min="2567" max="2567" width="16.85546875" style="5" customWidth="1"/>
    <col min="2568" max="2568" width="37.85546875" style="5" bestFit="1" customWidth="1"/>
    <col min="2569" max="2816" width="8.7109375" style="5"/>
    <col min="2817" max="2817" width="4.5703125" style="5" customWidth="1"/>
    <col min="2818" max="2819" width="10.7109375" style="5" customWidth="1"/>
    <col min="2820" max="2820" width="17" style="5" customWidth="1"/>
    <col min="2821" max="2821" width="51.7109375" style="5" bestFit="1" customWidth="1"/>
    <col min="2822" max="2822" width="23.28515625" style="5" bestFit="1" customWidth="1"/>
    <col min="2823" max="2823" width="16.85546875" style="5" customWidth="1"/>
    <col min="2824" max="2824" width="37.85546875" style="5" bestFit="1" customWidth="1"/>
    <col min="2825" max="3072" width="8.7109375" style="5"/>
    <col min="3073" max="3073" width="4.5703125" style="5" customWidth="1"/>
    <col min="3074" max="3075" width="10.7109375" style="5" customWidth="1"/>
    <col min="3076" max="3076" width="17" style="5" customWidth="1"/>
    <col min="3077" max="3077" width="51.7109375" style="5" bestFit="1" customWidth="1"/>
    <col min="3078" max="3078" width="23.28515625" style="5" bestFit="1" customWidth="1"/>
    <col min="3079" max="3079" width="16.85546875" style="5" customWidth="1"/>
    <col min="3080" max="3080" width="37.85546875" style="5" bestFit="1" customWidth="1"/>
    <col min="3081" max="3328" width="8.7109375" style="5"/>
    <col min="3329" max="3329" width="4.5703125" style="5" customWidth="1"/>
    <col min="3330" max="3331" width="10.7109375" style="5" customWidth="1"/>
    <col min="3332" max="3332" width="17" style="5" customWidth="1"/>
    <col min="3333" max="3333" width="51.7109375" style="5" bestFit="1" customWidth="1"/>
    <col min="3334" max="3334" width="23.28515625" style="5" bestFit="1" customWidth="1"/>
    <col min="3335" max="3335" width="16.85546875" style="5" customWidth="1"/>
    <col min="3336" max="3336" width="37.85546875" style="5" bestFit="1" customWidth="1"/>
    <col min="3337" max="3584" width="8.7109375" style="5"/>
    <col min="3585" max="3585" width="4.5703125" style="5" customWidth="1"/>
    <col min="3586" max="3587" width="10.7109375" style="5" customWidth="1"/>
    <col min="3588" max="3588" width="17" style="5" customWidth="1"/>
    <col min="3589" max="3589" width="51.7109375" style="5" bestFit="1" customWidth="1"/>
    <col min="3590" max="3590" width="23.28515625" style="5" bestFit="1" customWidth="1"/>
    <col min="3591" max="3591" width="16.85546875" style="5" customWidth="1"/>
    <col min="3592" max="3592" width="37.85546875" style="5" bestFit="1" customWidth="1"/>
    <col min="3593" max="3840" width="8.7109375" style="5"/>
    <col min="3841" max="3841" width="4.5703125" style="5" customWidth="1"/>
    <col min="3842" max="3843" width="10.7109375" style="5" customWidth="1"/>
    <col min="3844" max="3844" width="17" style="5" customWidth="1"/>
    <col min="3845" max="3845" width="51.7109375" style="5" bestFit="1" customWidth="1"/>
    <col min="3846" max="3846" width="23.28515625" style="5" bestFit="1" customWidth="1"/>
    <col min="3847" max="3847" width="16.85546875" style="5" customWidth="1"/>
    <col min="3848" max="3848" width="37.85546875" style="5" bestFit="1" customWidth="1"/>
    <col min="3849" max="4096" width="8.7109375" style="5"/>
    <col min="4097" max="4097" width="4.5703125" style="5" customWidth="1"/>
    <col min="4098" max="4099" width="10.7109375" style="5" customWidth="1"/>
    <col min="4100" max="4100" width="17" style="5" customWidth="1"/>
    <col min="4101" max="4101" width="51.7109375" style="5" bestFit="1" customWidth="1"/>
    <col min="4102" max="4102" width="23.28515625" style="5" bestFit="1" customWidth="1"/>
    <col min="4103" max="4103" width="16.85546875" style="5" customWidth="1"/>
    <col min="4104" max="4104" width="37.85546875" style="5" bestFit="1" customWidth="1"/>
    <col min="4105" max="4352" width="8.7109375" style="5"/>
    <col min="4353" max="4353" width="4.5703125" style="5" customWidth="1"/>
    <col min="4354" max="4355" width="10.7109375" style="5" customWidth="1"/>
    <col min="4356" max="4356" width="17" style="5" customWidth="1"/>
    <col min="4357" max="4357" width="51.7109375" style="5" bestFit="1" customWidth="1"/>
    <col min="4358" max="4358" width="23.28515625" style="5" bestFit="1" customWidth="1"/>
    <col min="4359" max="4359" width="16.85546875" style="5" customWidth="1"/>
    <col min="4360" max="4360" width="37.85546875" style="5" bestFit="1" customWidth="1"/>
    <col min="4361" max="4608" width="8.7109375" style="5"/>
    <col min="4609" max="4609" width="4.5703125" style="5" customWidth="1"/>
    <col min="4610" max="4611" width="10.7109375" style="5" customWidth="1"/>
    <col min="4612" max="4612" width="17" style="5" customWidth="1"/>
    <col min="4613" max="4613" width="51.7109375" style="5" bestFit="1" customWidth="1"/>
    <col min="4614" max="4614" width="23.28515625" style="5" bestFit="1" customWidth="1"/>
    <col min="4615" max="4615" width="16.85546875" style="5" customWidth="1"/>
    <col min="4616" max="4616" width="37.85546875" style="5" bestFit="1" customWidth="1"/>
    <col min="4617" max="4864" width="8.7109375" style="5"/>
    <col min="4865" max="4865" width="4.5703125" style="5" customWidth="1"/>
    <col min="4866" max="4867" width="10.7109375" style="5" customWidth="1"/>
    <col min="4868" max="4868" width="17" style="5" customWidth="1"/>
    <col min="4869" max="4869" width="51.7109375" style="5" bestFit="1" customWidth="1"/>
    <col min="4870" max="4870" width="23.28515625" style="5" bestFit="1" customWidth="1"/>
    <col min="4871" max="4871" width="16.85546875" style="5" customWidth="1"/>
    <col min="4872" max="4872" width="37.85546875" style="5" bestFit="1" customWidth="1"/>
    <col min="4873" max="5120" width="8.7109375" style="5"/>
    <col min="5121" max="5121" width="4.5703125" style="5" customWidth="1"/>
    <col min="5122" max="5123" width="10.7109375" style="5" customWidth="1"/>
    <col min="5124" max="5124" width="17" style="5" customWidth="1"/>
    <col min="5125" max="5125" width="51.7109375" style="5" bestFit="1" customWidth="1"/>
    <col min="5126" max="5126" width="23.28515625" style="5" bestFit="1" customWidth="1"/>
    <col min="5127" max="5127" width="16.85546875" style="5" customWidth="1"/>
    <col min="5128" max="5128" width="37.85546875" style="5" bestFit="1" customWidth="1"/>
    <col min="5129" max="5376" width="8.7109375" style="5"/>
    <col min="5377" max="5377" width="4.5703125" style="5" customWidth="1"/>
    <col min="5378" max="5379" width="10.7109375" style="5" customWidth="1"/>
    <col min="5380" max="5380" width="17" style="5" customWidth="1"/>
    <col min="5381" max="5381" width="51.7109375" style="5" bestFit="1" customWidth="1"/>
    <col min="5382" max="5382" width="23.28515625" style="5" bestFit="1" customWidth="1"/>
    <col min="5383" max="5383" width="16.85546875" style="5" customWidth="1"/>
    <col min="5384" max="5384" width="37.85546875" style="5" bestFit="1" customWidth="1"/>
    <col min="5385" max="5632" width="8.7109375" style="5"/>
    <col min="5633" max="5633" width="4.5703125" style="5" customWidth="1"/>
    <col min="5634" max="5635" width="10.7109375" style="5" customWidth="1"/>
    <col min="5636" max="5636" width="17" style="5" customWidth="1"/>
    <col min="5637" max="5637" width="51.7109375" style="5" bestFit="1" customWidth="1"/>
    <col min="5638" max="5638" width="23.28515625" style="5" bestFit="1" customWidth="1"/>
    <col min="5639" max="5639" width="16.85546875" style="5" customWidth="1"/>
    <col min="5640" max="5640" width="37.85546875" style="5" bestFit="1" customWidth="1"/>
    <col min="5641" max="5888" width="8.7109375" style="5"/>
    <col min="5889" max="5889" width="4.5703125" style="5" customWidth="1"/>
    <col min="5890" max="5891" width="10.7109375" style="5" customWidth="1"/>
    <col min="5892" max="5892" width="17" style="5" customWidth="1"/>
    <col min="5893" max="5893" width="51.7109375" style="5" bestFit="1" customWidth="1"/>
    <col min="5894" max="5894" width="23.28515625" style="5" bestFit="1" customWidth="1"/>
    <col min="5895" max="5895" width="16.85546875" style="5" customWidth="1"/>
    <col min="5896" max="5896" width="37.85546875" style="5" bestFit="1" customWidth="1"/>
    <col min="5897" max="6144" width="8.7109375" style="5"/>
    <col min="6145" max="6145" width="4.5703125" style="5" customWidth="1"/>
    <col min="6146" max="6147" width="10.7109375" style="5" customWidth="1"/>
    <col min="6148" max="6148" width="17" style="5" customWidth="1"/>
    <col min="6149" max="6149" width="51.7109375" style="5" bestFit="1" customWidth="1"/>
    <col min="6150" max="6150" width="23.28515625" style="5" bestFit="1" customWidth="1"/>
    <col min="6151" max="6151" width="16.85546875" style="5" customWidth="1"/>
    <col min="6152" max="6152" width="37.85546875" style="5" bestFit="1" customWidth="1"/>
    <col min="6153" max="6400" width="8.7109375" style="5"/>
    <col min="6401" max="6401" width="4.5703125" style="5" customWidth="1"/>
    <col min="6402" max="6403" width="10.7109375" style="5" customWidth="1"/>
    <col min="6404" max="6404" width="17" style="5" customWidth="1"/>
    <col min="6405" max="6405" width="51.7109375" style="5" bestFit="1" customWidth="1"/>
    <col min="6406" max="6406" width="23.28515625" style="5" bestFit="1" customWidth="1"/>
    <col min="6407" max="6407" width="16.85546875" style="5" customWidth="1"/>
    <col min="6408" max="6408" width="37.85546875" style="5" bestFit="1" customWidth="1"/>
    <col min="6409" max="6656" width="8.7109375" style="5"/>
    <col min="6657" max="6657" width="4.5703125" style="5" customWidth="1"/>
    <col min="6658" max="6659" width="10.7109375" style="5" customWidth="1"/>
    <col min="6660" max="6660" width="17" style="5" customWidth="1"/>
    <col min="6661" max="6661" width="51.7109375" style="5" bestFit="1" customWidth="1"/>
    <col min="6662" max="6662" width="23.28515625" style="5" bestFit="1" customWidth="1"/>
    <col min="6663" max="6663" width="16.85546875" style="5" customWidth="1"/>
    <col min="6664" max="6664" width="37.85546875" style="5" bestFit="1" customWidth="1"/>
    <col min="6665" max="6912" width="8.7109375" style="5"/>
    <col min="6913" max="6913" width="4.5703125" style="5" customWidth="1"/>
    <col min="6914" max="6915" width="10.7109375" style="5" customWidth="1"/>
    <col min="6916" max="6916" width="17" style="5" customWidth="1"/>
    <col min="6917" max="6917" width="51.7109375" style="5" bestFit="1" customWidth="1"/>
    <col min="6918" max="6918" width="23.28515625" style="5" bestFit="1" customWidth="1"/>
    <col min="6919" max="6919" width="16.85546875" style="5" customWidth="1"/>
    <col min="6920" max="6920" width="37.85546875" style="5" bestFit="1" customWidth="1"/>
    <col min="6921" max="7168" width="8.7109375" style="5"/>
    <col min="7169" max="7169" width="4.5703125" style="5" customWidth="1"/>
    <col min="7170" max="7171" width="10.7109375" style="5" customWidth="1"/>
    <col min="7172" max="7172" width="17" style="5" customWidth="1"/>
    <col min="7173" max="7173" width="51.7109375" style="5" bestFit="1" customWidth="1"/>
    <col min="7174" max="7174" width="23.28515625" style="5" bestFit="1" customWidth="1"/>
    <col min="7175" max="7175" width="16.85546875" style="5" customWidth="1"/>
    <col min="7176" max="7176" width="37.85546875" style="5" bestFit="1" customWidth="1"/>
    <col min="7177" max="7424" width="8.7109375" style="5"/>
    <col min="7425" max="7425" width="4.5703125" style="5" customWidth="1"/>
    <col min="7426" max="7427" width="10.7109375" style="5" customWidth="1"/>
    <col min="7428" max="7428" width="17" style="5" customWidth="1"/>
    <col min="7429" max="7429" width="51.7109375" style="5" bestFit="1" customWidth="1"/>
    <col min="7430" max="7430" width="23.28515625" style="5" bestFit="1" customWidth="1"/>
    <col min="7431" max="7431" width="16.85546875" style="5" customWidth="1"/>
    <col min="7432" max="7432" width="37.85546875" style="5" bestFit="1" customWidth="1"/>
    <col min="7433" max="7680" width="8.7109375" style="5"/>
    <col min="7681" max="7681" width="4.5703125" style="5" customWidth="1"/>
    <col min="7682" max="7683" width="10.7109375" style="5" customWidth="1"/>
    <col min="7684" max="7684" width="17" style="5" customWidth="1"/>
    <col min="7685" max="7685" width="51.7109375" style="5" bestFit="1" customWidth="1"/>
    <col min="7686" max="7686" width="23.28515625" style="5" bestFit="1" customWidth="1"/>
    <col min="7687" max="7687" width="16.85546875" style="5" customWidth="1"/>
    <col min="7688" max="7688" width="37.85546875" style="5" bestFit="1" customWidth="1"/>
    <col min="7689" max="7936" width="8.7109375" style="5"/>
    <col min="7937" max="7937" width="4.5703125" style="5" customWidth="1"/>
    <col min="7938" max="7939" width="10.7109375" style="5" customWidth="1"/>
    <col min="7940" max="7940" width="17" style="5" customWidth="1"/>
    <col min="7941" max="7941" width="51.7109375" style="5" bestFit="1" customWidth="1"/>
    <col min="7942" max="7942" width="23.28515625" style="5" bestFit="1" customWidth="1"/>
    <col min="7943" max="7943" width="16.85546875" style="5" customWidth="1"/>
    <col min="7944" max="7944" width="37.85546875" style="5" bestFit="1" customWidth="1"/>
    <col min="7945" max="8192" width="8.7109375" style="5"/>
    <col min="8193" max="8193" width="4.5703125" style="5" customWidth="1"/>
    <col min="8194" max="8195" width="10.7109375" style="5" customWidth="1"/>
    <col min="8196" max="8196" width="17" style="5" customWidth="1"/>
    <col min="8197" max="8197" width="51.7109375" style="5" bestFit="1" customWidth="1"/>
    <col min="8198" max="8198" width="23.28515625" style="5" bestFit="1" customWidth="1"/>
    <col min="8199" max="8199" width="16.85546875" style="5" customWidth="1"/>
    <col min="8200" max="8200" width="37.85546875" style="5" bestFit="1" customWidth="1"/>
    <col min="8201" max="8448" width="8.7109375" style="5"/>
    <col min="8449" max="8449" width="4.5703125" style="5" customWidth="1"/>
    <col min="8450" max="8451" width="10.7109375" style="5" customWidth="1"/>
    <col min="8452" max="8452" width="17" style="5" customWidth="1"/>
    <col min="8453" max="8453" width="51.7109375" style="5" bestFit="1" customWidth="1"/>
    <col min="8454" max="8454" width="23.28515625" style="5" bestFit="1" customWidth="1"/>
    <col min="8455" max="8455" width="16.85546875" style="5" customWidth="1"/>
    <col min="8456" max="8456" width="37.85546875" style="5" bestFit="1" customWidth="1"/>
    <col min="8457" max="8704" width="8.7109375" style="5"/>
    <col min="8705" max="8705" width="4.5703125" style="5" customWidth="1"/>
    <col min="8706" max="8707" width="10.7109375" style="5" customWidth="1"/>
    <col min="8708" max="8708" width="17" style="5" customWidth="1"/>
    <col min="8709" max="8709" width="51.7109375" style="5" bestFit="1" customWidth="1"/>
    <col min="8710" max="8710" width="23.28515625" style="5" bestFit="1" customWidth="1"/>
    <col min="8711" max="8711" width="16.85546875" style="5" customWidth="1"/>
    <col min="8712" max="8712" width="37.85546875" style="5" bestFit="1" customWidth="1"/>
    <col min="8713" max="8960" width="8.7109375" style="5"/>
    <col min="8961" max="8961" width="4.5703125" style="5" customWidth="1"/>
    <col min="8962" max="8963" width="10.7109375" style="5" customWidth="1"/>
    <col min="8964" max="8964" width="17" style="5" customWidth="1"/>
    <col min="8965" max="8965" width="51.7109375" style="5" bestFit="1" customWidth="1"/>
    <col min="8966" max="8966" width="23.28515625" style="5" bestFit="1" customWidth="1"/>
    <col min="8967" max="8967" width="16.85546875" style="5" customWidth="1"/>
    <col min="8968" max="8968" width="37.85546875" style="5" bestFit="1" customWidth="1"/>
    <col min="8969" max="9216" width="8.7109375" style="5"/>
    <col min="9217" max="9217" width="4.5703125" style="5" customWidth="1"/>
    <col min="9218" max="9219" width="10.7109375" style="5" customWidth="1"/>
    <col min="9220" max="9220" width="17" style="5" customWidth="1"/>
    <col min="9221" max="9221" width="51.7109375" style="5" bestFit="1" customWidth="1"/>
    <col min="9222" max="9222" width="23.28515625" style="5" bestFit="1" customWidth="1"/>
    <col min="9223" max="9223" width="16.85546875" style="5" customWidth="1"/>
    <col min="9224" max="9224" width="37.85546875" style="5" bestFit="1" customWidth="1"/>
    <col min="9225" max="9472" width="8.7109375" style="5"/>
    <col min="9473" max="9473" width="4.5703125" style="5" customWidth="1"/>
    <col min="9474" max="9475" width="10.7109375" style="5" customWidth="1"/>
    <col min="9476" max="9476" width="17" style="5" customWidth="1"/>
    <col min="9477" max="9477" width="51.7109375" style="5" bestFit="1" customWidth="1"/>
    <col min="9478" max="9478" width="23.28515625" style="5" bestFit="1" customWidth="1"/>
    <col min="9479" max="9479" width="16.85546875" style="5" customWidth="1"/>
    <col min="9480" max="9480" width="37.85546875" style="5" bestFit="1" customWidth="1"/>
    <col min="9481" max="9728" width="8.7109375" style="5"/>
    <col min="9729" max="9729" width="4.5703125" style="5" customWidth="1"/>
    <col min="9730" max="9731" width="10.7109375" style="5" customWidth="1"/>
    <col min="9732" max="9732" width="17" style="5" customWidth="1"/>
    <col min="9733" max="9733" width="51.7109375" style="5" bestFit="1" customWidth="1"/>
    <col min="9734" max="9734" width="23.28515625" style="5" bestFit="1" customWidth="1"/>
    <col min="9735" max="9735" width="16.85546875" style="5" customWidth="1"/>
    <col min="9736" max="9736" width="37.85546875" style="5" bestFit="1" customWidth="1"/>
    <col min="9737" max="9984" width="8.7109375" style="5"/>
    <col min="9985" max="9985" width="4.5703125" style="5" customWidth="1"/>
    <col min="9986" max="9987" width="10.7109375" style="5" customWidth="1"/>
    <col min="9988" max="9988" width="17" style="5" customWidth="1"/>
    <col min="9989" max="9989" width="51.7109375" style="5" bestFit="1" customWidth="1"/>
    <col min="9990" max="9990" width="23.28515625" style="5" bestFit="1" customWidth="1"/>
    <col min="9991" max="9991" width="16.85546875" style="5" customWidth="1"/>
    <col min="9992" max="9992" width="37.85546875" style="5" bestFit="1" customWidth="1"/>
    <col min="9993" max="10240" width="8.7109375" style="5"/>
    <col min="10241" max="10241" width="4.5703125" style="5" customWidth="1"/>
    <col min="10242" max="10243" width="10.7109375" style="5" customWidth="1"/>
    <col min="10244" max="10244" width="17" style="5" customWidth="1"/>
    <col min="10245" max="10245" width="51.7109375" style="5" bestFit="1" customWidth="1"/>
    <col min="10246" max="10246" width="23.28515625" style="5" bestFit="1" customWidth="1"/>
    <col min="10247" max="10247" width="16.85546875" style="5" customWidth="1"/>
    <col min="10248" max="10248" width="37.85546875" style="5" bestFit="1" customWidth="1"/>
    <col min="10249" max="10496" width="8.7109375" style="5"/>
    <col min="10497" max="10497" width="4.5703125" style="5" customWidth="1"/>
    <col min="10498" max="10499" width="10.7109375" style="5" customWidth="1"/>
    <col min="10500" max="10500" width="17" style="5" customWidth="1"/>
    <col min="10501" max="10501" width="51.7109375" style="5" bestFit="1" customWidth="1"/>
    <col min="10502" max="10502" width="23.28515625" style="5" bestFit="1" customWidth="1"/>
    <col min="10503" max="10503" width="16.85546875" style="5" customWidth="1"/>
    <col min="10504" max="10504" width="37.85546875" style="5" bestFit="1" customWidth="1"/>
    <col min="10505" max="10752" width="8.7109375" style="5"/>
    <col min="10753" max="10753" width="4.5703125" style="5" customWidth="1"/>
    <col min="10754" max="10755" width="10.7109375" style="5" customWidth="1"/>
    <col min="10756" max="10756" width="17" style="5" customWidth="1"/>
    <col min="10757" max="10757" width="51.7109375" style="5" bestFit="1" customWidth="1"/>
    <col min="10758" max="10758" width="23.28515625" style="5" bestFit="1" customWidth="1"/>
    <col min="10759" max="10759" width="16.85546875" style="5" customWidth="1"/>
    <col min="10760" max="10760" width="37.85546875" style="5" bestFit="1" customWidth="1"/>
    <col min="10761" max="11008" width="8.7109375" style="5"/>
    <col min="11009" max="11009" width="4.5703125" style="5" customWidth="1"/>
    <col min="11010" max="11011" width="10.7109375" style="5" customWidth="1"/>
    <col min="11012" max="11012" width="17" style="5" customWidth="1"/>
    <col min="11013" max="11013" width="51.7109375" style="5" bestFit="1" customWidth="1"/>
    <col min="11014" max="11014" width="23.28515625" style="5" bestFit="1" customWidth="1"/>
    <col min="11015" max="11015" width="16.85546875" style="5" customWidth="1"/>
    <col min="11016" max="11016" width="37.85546875" style="5" bestFit="1" customWidth="1"/>
    <col min="11017" max="11264" width="8.7109375" style="5"/>
    <col min="11265" max="11265" width="4.5703125" style="5" customWidth="1"/>
    <col min="11266" max="11267" width="10.7109375" style="5" customWidth="1"/>
    <col min="11268" max="11268" width="17" style="5" customWidth="1"/>
    <col min="11269" max="11269" width="51.7109375" style="5" bestFit="1" customWidth="1"/>
    <col min="11270" max="11270" width="23.28515625" style="5" bestFit="1" customWidth="1"/>
    <col min="11271" max="11271" width="16.85546875" style="5" customWidth="1"/>
    <col min="11272" max="11272" width="37.85546875" style="5" bestFit="1" customWidth="1"/>
    <col min="11273" max="11520" width="8.7109375" style="5"/>
    <col min="11521" max="11521" width="4.5703125" style="5" customWidth="1"/>
    <col min="11522" max="11523" width="10.7109375" style="5" customWidth="1"/>
    <col min="11524" max="11524" width="17" style="5" customWidth="1"/>
    <col min="11525" max="11525" width="51.7109375" style="5" bestFit="1" customWidth="1"/>
    <col min="11526" max="11526" width="23.28515625" style="5" bestFit="1" customWidth="1"/>
    <col min="11527" max="11527" width="16.85546875" style="5" customWidth="1"/>
    <col min="11528" max="11528" width="37.85546875" style="5" bestFit="1" customWidth="1"/>
    <col min="11529" max="11776" width="8.7109375" style="5"/>
    <col min="11777" max="11777" width="4.5703125" style="5" customWidth="1"/>
    <col min="11778" max="11779" width="10.7109375" style="5" customWidth="1"/>
    <col min="11780" max="11780" width="17" style="5" customWidth="1"/>
    <col min="11781" max="11781" width="51.7109375" style="5" bestFit="1" customWidth="1"/>
    <col min="11782" max="11782" width="23.28515625" style="5" bestFit="1" customWidth="1"/>
    <col min="11783" max="11783" width="16.85546875" style="5" customWidth="1"/>
    <col min="11784" max="11784" width="37.85546875" style="5" bestFit="1" customWidth="1"/>
    <col min="11785" max="12032" width="8.7109375" style="5"/>
    <col min="12033" max="12033" width="4.5703125" style="5" customWidth="1"/>
    <col min="12034" max="12035" width="10.7109375" style="5" customWidth="1"/>
    <col min="12036" max="12036" width="17" style="5" customWidth="1"/>
    <col min="12037" max="12037" width="51.7109375" style="5" bestFit="1" customWidth="1"/>
    <col min="12038" max="12038" width="23.28515625" style="5" bestFit="1" customWidth="1"/>
    <col min="12039" max="12039" width="16.85546875" style="5" customWidth="1"/>
    <col min="12040" max="12040" width="37.85546875" style="5" bestFit="1" customWidth="1"/>
    <col min="12041" max="12288" width="8.7109375" style="5"/>
    <col min="12289" max="12289" width="4.5703125" style="5" customWidth="1"/>
    <col min="12290" max="12291" width="10.7109375" style="5" customWidth="1"/>
    <col min="12292" max="12292" width="17" style="5" customWidth="1"/>
    <col min="12293" max="12293" width="51.7109375" style="5" bestFit="1" customWidth="1"/>
    <col min="12294" max="12294" width="23.28515625" style="5" bestFit="1" customWidth="1"/>
    <col min="12295" max="12295" width="16.85546875" style="5" customWidth="1"/>
    <col min="12296" max="12296" width="37.85546875" style="5" bestFit="1" customWidth="1"/>
    <col min="12297" max="12544" width="8.7109375" style="5"/>
    <col min="12545" max="12545" width="4.5703125" style="5" customWidth="1"/>
    <col min="12546" max="12547" width="10.7109375" style="5" customWidth="1"/>
    <col min="12548" max="12548" width="17" style="5" customWidth="1"/>
    <col min="12549" max="12549" width="51.7109375" style="5" bestFit="1" customWidth="1"/>
    <col min="12550" max="12550" width="23.28515625" style="5" bestFit="1" customWidth="1"/>
    <col min="12551" max="12551" width="16.85546875" style="5" customWidth="1"/>
    <col min="12552" max="12552" width="37.85546875" style="5" bestFit="1" customWidth="1"/>
    <col min="12553" max="12800" width="8.7109375" style="5"/>
    <col min="12801" max="12801" width="4.5703125" style="5" customWidth="1"/>
    <col min="12802" max="12803" width="10.7109375" style="5" customWidth="1"/>
    <col min="12804" max="12804" width="17" style="5" customWidth="1"/>
    <col min="12805" max="12805" width="51.7109375" style="5" bestFit="1" customWidth="1"/>
    <col min="12806" max="12806" width="23.28515625" style="5" bestFit="1" customWidth="1"/>
    <col min="12807" max="12807" width="16.85546875" style="5" customWidth="1"/>
    <col min="12808" max="12808" width="37.85546875" style="5" bestFit="1" customWidth="1"/>
    <col min="12809" max="13056" width="8.7109375" style="5"/>
    <col min="13057" max="13057" width="4.5703125" style="5" customWidth="1"/>
    <col min="13058" max="13059" width="10.7109375" style="5" customWidth="1"/>
    <col min="13060" max="13060" width="17" style="5" customWidth="1"/>
    <col min="13061" max="13061" width="51.7109375" style="5" bestFit="1" customWidth="1"/>
    <col min="13062" max="13062" width="23.28515625" style="5" bestFit="1" customWidth="1"/>
    <col min="13063" max="13063" width="16.85546875" style="5" customWidth="1"/>
    <col min="13064" max="13064" width="37.85546875" style="5" bestFit="1" customWidth="1"/>
    <col min="13065" max="13312" width="8.7109375" style="5"/>
    <col min="13313" max="13313" width="4.5703125" style="5" customWidth="1"/>
    <col min="13314" max="13315" width="10.7109375" style="5" customWidth="1"/>
    <col min="13316" max="13316" width="17" style="5" customWidth="1"/>
    <col min="13317" max="13317" width="51.7109375" style="5" bestFit="1" customWidth="1"/>
    <col min="13318" max="13318" width="23.28515625" style="5" bestFit="1" customWidth="1"/>
    <col min="13319" max="13319" width="16.85546875" style="5" customWidth="1"/>
    <col min="13320" max="13320" width="37.85546875" style="5" bestFit="1" customWidth="1"/>
    <col min="13321" max="13568" width="8.7109375" style="5"/>
    <col min="13569" max="13569" width="4.5703125" style="5" customWidth="1"/>
    <col min="13570" max="13571" width="10.7109375" style="5" customWidth="1"/>
    <col min="13572" max="13572" width="17" style="5" customWidth="1"/>
    <col min="13573" max="13573" width="51.7109375" style="5" bestFit="1" customWidth="1"/>
    <col min="13574" max="13574" width="23.28515625" style="5" bestFit="1" customWidth="1"/>
    <col min="13575" max="13575" width="16.85546875" style="5" customWidth="1"/>
    <col min="13576" max="13576" width="37.85546875" style="5" bestFit="1" customWidth="1"/>
    <col min="13577" max="13824" width="8.7109375" style="5"/>
    <col min="13825" max="13825" width="4.5703125" style="5" customWidth="1"/>
    <col min="13826" max="13827" width="10.7109375" style="5" customWidth="1"/>
    <col min="13828" max="13828" width="17" style="5" customWidth="1"/>
    <col min="13829" max="13829" width="51.7109375" style="5" bestFit="1" customWidth="1"/>
    <col min="13830" max="13830" width="23.28515625" style="5" bestFit="1" customWidth="1"/>
    <col min="13831" max="13831" width="16.85546875" style="5" customWidth="1"/>
    <col min="13832" max="13832" width="37.85546875" style="5" bestFit="1" customWidth="1"/>
    <col min="13833" max="14080" width="8.7109375" style="5"/>
    <col min="14081" max="14081" width="4.5703125" style="5" customWidth="1"/>
    <col min="14082" max="14083" width="10.7109375" style="5" customWidth="1"/>
    <col min="14084" max="14084" width="17" style="5" customWidth="1"/>
    <col min="14085" max="14085" width="51.7109375" style="5" bestFit="1" customWidth="1"/>
    <col min="14086" max="14086" width="23.28515625" style="5" bestFit="1" customWidth="1"/>
    <col min="14087" max="14087" width="16.85546875" style="5" customWidth="1"/>
    <col min="14088" max="14088" width="37.85546875" style="5" bestFit="1" customWidth="1"/>
    <col min="14089" max="14336" width="8.7109375" style="5"/>
    <col min="14337" max="14337" width="4.5703125" style="5" customWidth="1"/>
    <col min="14338" max="14339" width="10.7109375" style="5" customWidth="1"/>
    <col min="14340" max="14340" width="17" style="5" customWidth="1"/>
    <col min="14341" max="14341" width="51.7109375" style="5" bestFit="1" customWidth="1"/>
    <col min="14342" max="14342" width="23.28515625" style="5" bestFit="1" customWidth="1"/>
    <col min="14343" max="14343" width="16.85546875" style="5" customWidth="1"/>
    <col min="14344" max="14344" width="37.85546875" style="5" bestFit="1" customWidth="1"/>
    <col min="14345" max="14592" width="8.7109375" style="5"/>
    <col min="14593" max="14593" width="4.5703125" style="5" customWidth="1"/>
    <col min="14594" max="14595" width="10.7109375" style="5" customWidth="1"/>
    <col min="14596" max="14596" width="17" style="5" customWidth="1"/>
    <col min="14597" max="14597" width="51.7109375" style="5" bestFit="1" customWidth="1"/>
    <col min="14598" max="14598" width="23.28515625" style="5" bestFit="1" customWidth="1"/>
    <col min="14599" max="14599" width="16.85546875" style="5" customWidth="1"/>
    <col min="14600" max="14600" width="37.85546875" style="5" bestFit="1" customWidth="1"/>
    <col min="14601" max="14848" width="8.7109375" style="5"/>
    <col min="14849" max="14849" width="4.5703125" style="5" customWidth="1"/>
    <col min="14850" max="14851" width="10.7109375" style="5" customWidth="1"/>
    <col min="14852" max="14852" width="17" style="5" customWidth="1"/>
    <col min="14853" max="14853" width="51.7109375" style="5" bestFit="1" customWidth="1"/>
    <col min="14854" max="14854" width="23.28515625" style="5" bestFit="1" customWidth="1"/>
    <col min="14855" max="14855" width="16.85546875" style="5" customWidth="1"/>
    <col min="14856" max="14856" width="37.85546875" style="5" bestFit="1" customWidth="1"/>
    <col min="14857" max="15104" width="8.7109375" style="5"/>
    <col min="15105" max="15105" width="4.5703125" style="5" customWidth="1"/>
    <col min="15106" max="15107" width="10.7109375" style="5" customWidth="1"/>
    <col min="15108" max="15108" width="17" style="5" customWidth="1"/>
    <col min="15109" max="15109" width="51.7109375" style="5" bestFit="1" customWidth="1"/>
    <col min="15110" max="15110" width="23.28515625" style="5" bestFit="1" customWidth="1"/>
    <col min="15111" max="15111" width="16.85546875" style="5" customWidth="1"/>
    <col min="15112" max="15112" width="37.85546875" style="5" bestFit="1" customWidth="1"/>
    <col min="15113" max="15360" width="8.7109375" style="5"/>
    <col min="15361" max="15361" width="4.5703125" style="5" customWidth="1"/>
    <col min="15362" max="15363" width="10.7109375" style="5" customWidth="1"/>
    <col min="15364" max="15364" width="17" style="5" customWidth="1"/>
    <col min="15365" max="15365" width="51.7109375" style="5" bestFit="1" customWidth="1"/>
    <col min="15366" max="15366" width="23.28515625" style="5" bestFit="1" customWidth="1"/>
    <col min="15367" max="15367" width="16.85546875" style="5" customWidth="1"/>
    <col min="15368" max="15368" width="37.85546875" style="5" bestFit="1" customWidth="1"/>
    <col min="15369" max="15616" width="8.7109375" style="5"/>
    <col min="15617" max="15617" width="4.5703125" style="5" customWidth="1"/>
    <col min="15618" max="15619" width="10.7109375" style="5" customWidth="1"/>
    <col min="15620" max="15620" width="17" style="5" customWidth="1"/>
    <col min="15621" max="15621" width="51.7109375" style="5" bestFit="1" customWidth="1"/>
    <col min="15622" max="15622" width="23.28515625" style="5" bestFit="1" customWidth="1"/>
    <col min="15623" max="15623" width="16.85546875" style="5" customWidth="1"/>
    <col min="15624" max="15624" width="37.85546875" style="5" bestFit="1" customWidth="1"/>
    <col min="15625" max="15872" width="8.7109375" style="5"/>
    <col min="15873" max="15873" width="4.5703125" style="5" customWidth="1"/>
    <col min="15874" max="15875" width="10.7109375" style="5" customWidth="1"/>
    <col min="15876" max="15876" width="17" style="5" customWidth="1"/>
    <col min="15877" max="15877" width="51.7109375" style="5" bestFit="1" customWidth="1"/>
    <col min="15878" max="15878" width="23.28515625" style="5" bestFit="1" customWidth="1"/>
    <col min="15879" max="15879" width="16.85546875" style="5" customWidth="1"/>
    <col min="15880" max="15880" width="37.85546875" style="5" bestFit="1" customWidth="1"/>
    <col min="15881" max="16128" width="8.7109375" style="5"/>
    <col min="16129" max="16129" width="4.5703125" style="5" customWidth="1"/>
    <col min="16130" max="16131" width="10.7109375" style="5" customWidth="1"/>
    <col min="16132" max="16132" width="17" style="5" customWidth="1"/>
    <col min="16133" max="16133" width="51.7109375" style="5" bestFit="1" customWidth="1"/>
    <col min="16134" max="16134" width="23.28515625" style="5" bestFit="1" customWidth="1"/>
    <col min="16135" max="16135" width="16.85546875" style="5" customWidth="1"/>
    <col min="16136" max="16136" width="37.85546875" style="5" bestFit="1" customWidth="1"/>
    <col min="16137" max="16384" width="8.7109375" style="5"/>
  </cols>
  <sheetData>
    <row r="1" spans="2:8" ht="13.5" thickBot="1" x14ac:dyDescent="0.25"/>
    <row r="2" spans="2:8" ht="24" customHeight="1" thickBot="1" x14ac:dyDescent="0.25">
      <c r="B2" s="125" t="s">
        <v>612</v>
      </c>
      <c r="C2" s="126"/>
      <c r="D2" s="126"/>
      <c r="E2" s="126"/>
      <c r="F2" s="126"/>
      <c r="G2" s="126"/>
      <c r="H2" s="127"/>
    </row>
    <row r="3" spans="2:8" ht="24" customHeight="1" x14ac:dyDescent="0.2">
      <c r="B3" s="128" t="s">
        <v>621</v>
      </c>
      <c r="C3" s="129"/>
      <c r="D3" s="129"/>
      <c r="E3" s="129"/>
      <c r="F3" s="129"/>
      <c r="G3" s="129"/>
      <c r="H3" s="130"/>
    </row>
    <row r="4" spans="2:8" ht="13.5" thickBot="1" x14ac:dyDescent="0.25">
      <c r="B4" s="7" t="s">
        <v>614</v>
      </c>
      <c r="C4" s="8" t="s">
        <v>615</v>
      </c>
      <c r="D4" s="9" t="s">
        <v>616</v>
      </c>
      <c r="E4" s="8" t="s">
        <v>617</v>
      </c>
      <c r="F4" s="10" t="s">
        <v>622</v>
      </c>
      <c r="G4" s="10" t="s">
        <v>623</v>
      </c>
      <c r="H4" s="11" t="s">
        <v>618</v>
      </c>
    </row>
    <row r="5" spans="2:8" x14ac:dyDescent="0.2">
      <c r="B5" s="12">
        <v>46064</v>
      </c>
      <c r="C5" s="13">
        <v>1</v>
      </c>
      <c r="D5" s="13" t="s">
        <v>781</v>
      </c>
      <c r="E5" s="13" t="s">
        <v>624</v>
      </c>
      <c r="F5" s="13">
        <v>1200</v>
      </c>
      <c r="G5" s="13">
        <v>300</v>
      </c>
      <c r="H5" s="13"/>
    </row>
    <row r="6" spans="2:8" x14ac:dyDescent="0.2">
      <c r="B6" s="45">
        <v>46072</v>
      </c>
      <c r="C6" s="14">
        <v>1</v>
      </c>
      <c r="D6" s="14" t="s">
        <v>782</v>
      </c>
      <c r="E6" s="14" t="s">
        <v>1346</v>
      </c>
      <c r="F6" s="14">
        <v>1450</v>
      </c>
      <c r="G6" s="14">
        <v>100</v>
      </c>
      <c r="H6" s="14"/>
    </row>
    <row r="7" spans="2:8" x14ac:dyDescent="0.2">
      <c r="B7" s="45">
        <v>46073</v>
      </c>
      <c r="C7" s="14">
        <v>1</v>
      </c>
      <c r="D7" s="14" t="s">
        <v>783</v>
      </c>
      <c r="E7" s="14" t="s">
        <v>1347</v>
      </c>
      <c r="F7" s="14">
        <v>5510</v>
      </c>
      <c r="G7" s="14">
        <v>130</v>
      </c>
      <c r="H7" s="14"/>
    </row>
    <row r="8" spans="2:8" x14ac:dyDescent="0.2">
      <c r="B8" s="45">
        <v>46074</v>
      </c>
      <c r="C8" s="14">
        <v>1</v>
      </c>
      <c r="D8" s="14" t="s">
        <v>784</v>
      </c>
      <c r="E8" s="14" t="s">
        <v>1348</v>
      </c>
      <c r="F8" s="14">
        <v>2320</v>
      </c>
      <c r="G8" s="14">
        <v>200</v>
      </c>
      <c r="H8" s="14"/>
    </row>
    <row r="9" spans="2:8" x14ac:dyDescent="0.2">
      <c r="B9" s="45">
        <v>46181</v>
      </c>
      <c r="C9" s="14">
        <v>1</v>
      </c>
      <c r="D9" s="14" t="s">
        <v>1323</v>
      </c>
      <c r="E9" s="14" t="s">
        <v>1324</v>
      </c>
      <c r="F9" s="14">
        <v>4600</v>
      </c>
      <c r="G9" s="14">
        <v>200</v>
      </c>
      <c r="H9" s="14"/>
    </row>
    <row r="10" spans="2:8" x14ac:dyDescent="0.2">
      <c r="B10" s="45">
        <v>46181</v>
      </c>
      <c r="C10" s="14">
        <v>3</v>
      </c>
      <c r="D10" s="14" t="s">
        <v>1321</v>
      </c>
      <c r="E10" s="14" t="s">
        <v>1322</v>
      </c>
      <c r="F10" s="14">
        <v>2500</v>
      </c>
      <c r="G10" s="14">
        <v>200</v>
      </c>
      <c r="H10" s="14"/>
    </row>
    <row r="11" spans="2:8" x14ac:dyDescent="0.2">
      <c r="B11" s="45">
        <v>46182</v>
      </c>
      <c r="C11" s="14">
        <v>1</v>
      </c>
      <c r="D11" s="14" t="s">
        <v>1327</v>
      </c>
      <c r="E11" s="14" t="s">
        <v>1326</v>
      </c>
      <c r="F11" s="14" t="s">
        <v>1328</v>
      </c>
      <c r="G11" s="14" t="s">
        <v>1329</v>
      </c>
      <c r="H11" s="14"/>
    </row>
    <row r="12" spans="2:8" x14ac:dyDescent="0.2">
      <c r="B12" s="45">
        <v>46183</v>
      </c>
      <c r="C12" s="14">
        <v>1</v>
      </c>
      <c r="D12" s="14" t="s">
        <v>1331</v>
      </c>
      <c r="E12" s="14" t="s">
        <v>1348</v>
      </c>
      <c r="F12" s="14">
        <v>8190</v>
      </c>
      <c r="G12" s="14">
        <v>200</v>
      </c>
      <c r="H12" s="14"/>
    </row>
    <row r="13" spans="2:8" x14ac:dyDescent="0.2">
      <c r="B13" s="45">
        <v>46183</v>
      </c>
      <c r="C13" s="14">
        <v>1</v>
      </c>
      <c r="D13" s="14" t="s">
        <v>1332</v>
      </c>
      <c r="E13" s="14" t="s">
        <v>1348</v>
      </c>
      <c r="F13" s="14">
        <v>2024</v>
      </c>
      <c r="G13" s="14">
        <v>200</v>
      </c>
      <c r="H13" s="14"/>
    </row>
    <row r="14" spans="2:8" x14ac:dyDescent="0.2">
      <c r="B14" s="45">
        <v>46183</v>
      </c>
      <c r="C14" s="14">
        <v>1</v>
      </c>
      <c r="D14" s="14" t="s">
        <v>1333</v>
      </c>
      <c r="E14" s="14" t="s">
        <v>1348</v>
      </c>
      <c r="F14" s="14">
        <v>9770</v>
      </c>
      <c r="G14" s="14">
        <v>200</v>
      </c>
      <c r="H14" s="14"/>
    </row>
    <row r="15" spans="2:8" x14ac:dyDescent="0.2">
      <c r="B15" s="45">
        <v>46183</v>
      </c>
      <c r="C15" s="14">
        <v>1</v>
      </c>
      <c r="D15" s="14" t="s">
        <v>1334</v>
      </c>
      <c r="E15" s="14" t="s">
        <v>1337</v>
      </c>
      <c r="F15" s="14">
        <v>3190</v>
      </c>
      <c r="G15" s="14">
        <v>150</v>
      </c>
      <c r="H15" s="14"/>
    </row>
    <row r="16" spans="2:8" x14ac:dyDescent="0.2">
      <c r="B16" s="45">
        <v>46183</v>
      </c>
      <c r="C16" s="14">
        <v>1</v>
      </c>
      <c r="D16" s="14" t="s">
        <v>1335</v>
      </c>
      <c r="E16" s="14" t="s">
        <v>1337</v>
      </c>
      <c r="F16" s="14">
        <v>9100</v>
      </c>
      <c r="G16" s="14">
        <v>150</v>
      </c>
      <c r="H16" s="14"/>
    </row>
    <row r="17" spans="2:8" x14ac:dyDescent="0.2">
      <c r="B17" s="45">
        <v>46183</v>
      </c>
      <c r="C17" s="14">
        <v>1</v>
      </c>
      <c r="D17" s="14" t="s">
        <v>1339</v>
      </c>
      <c r="E17" s="14" t="s">
        <v>1348</v>
      </c>
      <c r="F17" s="14">
        <v>2830</v>
      </c>
      <c r="G17" s="14">
        <v>200</v>
      </c>
      <c r="H17" s="14"/>
    </row>
    <row r="18" spans="2:8" x14ac:dyDescent="0.2">
      <c r="B18" s="45">
        <v>46183</v>
      </c>
      <c r="C18" s="14">
        <v>3</v>
      </c>
      <c r="D18" s="14" t="s">
        <v>1343</v>
      </c>
      <c r="E18" s="14" t="s">
        <v>1348</v>
      </c>
      <c r="F18" s="14">
        <v>7340</v>
      </c>
      <c r="G18" s="14">
        <v>180</v>
      </c>
      <c r="H18" s="14"/>
    </row>
    <row r="19" spans="2:8" x14ac:dyDescent="0.2">
      <c r="B19" s="45">
        <v>46183</v>
      </c>
      <c r="C19" s="14">
        <v>3</v>
      </c>
      <c r="D19" s="14" t="s">
        <v>1344</v>
      </c>
      <c r="E19" s="14" t="s">
        <v>1348</v>
      </c>
      <c r="F19" s="14">
        <v>3930</v>
      </c>
      <c r="G19" s="14">
        <v>170</v>
      </c>
      <c r="H19" s="14"/>
    </row>
    <row r="20" spans="2:8" x14ac:dyDescent="0.2">
      <c r="B20" s="45">
        <v>46184</v>
      </c>
      <c r="C20" s="14">
        <v>3</v>
      </c>
      <c r="D20" s="14" t="s">
        <v>1345</v>
      </c>
      <c r="E20" s="14" t="s">
        <v>1348</v>
      </c>
      <c r="F20" s="14">
        <v>11900</v>
      </c>
      <c r="G20" s="14">
        <v>200</v>
      </c>
      <c r="H20" s="14"/>
    </row>
    <row r="21" spans="2:8" x14ac:dyDescent="0.2">
      <c r="B21" s="45">
        <v>46185</v>
      </c>
      <c r="C21" s="14">
        <v>1</v>
      </c>
      <c r="D21" s="14" t="s">
        <v>1349</v>
      </c>
      <c r="E21" s="14" t="s">
        <v>1348</v>
      </c>
      <c r="F21" s="14">
        <v>6720</v>
      </c>
      <c r="G21" s="14">
        <v>250</v>
      </c>
      <c r="H21" s="14"/>
    </row>
    <row r="22" spans="2:8" x14ac:dyDescent="0.2">
      <c r="B22" s="45">
        <v>46185</v>
      </c>
      <c r="C22" s="14">
        <v>3</v>
      </c>
      <c r="D22" s="14" t="s">
        <v>1353</v>
      </c>
      <c r="E22" s="14" t="s">
        <v>1348</v>
      </c>
      <c r="F22" s="14">
        <v>5900</v>
      </c>
      <c r="G22" s="14">
        <v>100</v>
      </c>
      <c r="H22" s="14"/>
    </row>
    <row r="23" spans="2:8" x14ac:dyDescent="0.2">
      <c r="B23" s="14"/>
      <c r="C23" s="14"/>
      <c r="D23" s="14"/>
      <c r="E23" s="14"/>
      <c r="F23" s="14"/>
      <c r="G23" s="14"/>
      <c r="H23" s="14"/>
    </row>
    <row r="24" spans="2:8" x14ac:dyDescent="0.2">
      <c r="B24" s="14"/>
      <c r="C24" s="14"/>
      <c r="D24" s="14"/>
      <c r="E24" s="14"/>
      <c r="F24" s="14"/>
      <c r="G24" s="14"/>
      <c r="H24" s="14"/>
    </row>
    <row r="25" spans="2:8" x14ac:dyDescent="0.2">
      <c r="B25" s="14"/>
      <c r="C25" s="14"/>
      <c r="D25" s="14"/>
      <c r="E25" s="14"/>
      <c r="F25" s="14"/>
      <c r="G25" s="14"/>
      <c r="H25" s="14"/>
    </row>
    <row r="26" spans="2:8" x14ac:dyDescent="0.2">
      <c r="B26" s="14"/>
      <c r="C26" s="14"/>
      <c r="D26" s="14"/>
      <c r="E26" s="14"/>
      <c r="F26" s="14"/>
      <c r="G26" s="14"/>
      <c r="H26" s="14"/>
    </row>
    <row r="27" spans="2:8" x14ac:dyDescent="0.2">
      <c r="B27" s="14"/>
      <c r="C27" s="14"/>
      <c r="D27" s="14"/>
      <c r="E27" s="14"/>
      <c r="F27" s="14"/>
      <c r="G27" s="14"/>
      <c r="H27" s="14"/>
    </row>
    <row r="28" spans="2:8" x14ac:dyDescent="0.2">
      <c r="B28" s="14"/>
      <c r="C28" s="14"/>
      <c r="D28" s="14"/>
      <c r="E28" s="14"/>
      <c r="F28" s="14"/>
      <c r="G28" s="14"/>
      <c r="H28" s="14"/>
    </row>
    <row r="29" spans="2:8" x14ac:dyDescent="0.2">
      <c r="B29" s="15"/>
      <c r="C29" s="15"/>
      <c r="D29" s="15"/>
      <c r="E29" s="15"/>
      <c r="F29" s="15"/>
      <c r="G29" s="15"/>
      <c r="H29" s="15"/>
    </row>
  </sheetData>
  <mergeCells count="2">
    <mergeCell ref="B2:H2"/>
    <mergeCell ref="B3:H3"/>
  </mergeCells>
  <conditionalFormatting sqref="B2:B3">
    <cfRule type="duplicateValues" dxfId="83" priority="13" stopIfTrue="1"/>
  </conditionalFormatting>
  <conditionalFormatting sqref="D1:D4">
    <cfRule type="expression" dxfId="82" priority="14" stopIfTrue="1">
      <formula>AND(COUNTIF(#REF!, D1)+COUNTIF($D$1:$D$4, D1)+COUNTIF(#REF!, D1)+COUNTIF(#REF!, D1)+COUNTIF(#REF!, D1)+COUNTIF(#REF!, D1)&gt;1,NOT(ISBLANK(D1)))</formula>
    </cfRule>
    <cfRule type="expression" dxfId="81" priority="19" stopIfTrue="1">
      <formula>AND(COUNTIF(#REF!, D1)+COUNTIF($D$1:$D$4, D1)+COUNTIF(#REF!, D1)+COUNTIF(#REF!, D1)+COUNTIF(#REF!, D1)&gt;1,NOT(ISBLANK(D1)))</formula>
    </cfRule>
    <cfRule type="expression" dxfId="80" priority="22" stopIfTrue="1">
      <formula>AND(COUNTIF($D$1:$D$4, D1)+COUNTIF(#REF!, D1)+COUNTIF(#REF!, D1)&gt;1,NOT(ISBLANK(D1)))</formula>
    </cfRule>
    <cfRule type="expression" dxfId="79" priority="25" stopIfTrue="1">
      <formula>AND(COUNTIF($D$1:$D$4, D1)+COUNTIF(#REF!, D1)&gt;1,NOT(ISBLANK(D1)))</formula>
    </cfRule>
    <cfRule type="expression" dxfId="78" priority="27" stopIfTrue="1">
      <formula>AND(COUNTIF(#REF!, D1)+COUNTIF($D$1:$D$4, D1)+COUNTIF(#REF!, D1)+COUNTIF(#REF!, D1)+COUNTIF(#REF!, D1)&gt;1,NOT(ISBLANK(D1)))</formula>
    </cfRule>
    <cfRule type="expression" dxfId="77" priority="29" stopIfTrue="1">
      <formula>AND(COUNTIF($D$1:$D$4, D1)+COUNTIF(#REF!, D1)+COUNTIF(#REF!, D1)+COUNTIF(#REF!, D1)&gt;1,NOT(ISBLANK(D1)))</formula>
    </cfRule>
    <cfRule type="expression" dxfId="76" priority="32" stopIfTrue="1">
      <formula>AND(COUNTIF(#REF!, D1)+COUNTIF(#REF!, D1)+COUNTIF($D$1:$D$4, D1)&gt;1,NOT(ISBLANK(D1)))</formula>
    </cfRule>
    <cfRule type="expression" dxfId="75" priority="36" stopIfTrue="1">
      <formula>AND(COUNTIF(#REF!, D1)+COUNTIF($D$1:$D$4, D1)+COUNTIF(#REF!, D1)&gt;1,NOT(ISBLANK(D1)))</formula>
    </cfRule>
    <cfRule type="expression" dxfId="74" priority="39" stopIfTrue="1">
      <formula>AND(COUNTIF(#REF!, D1)+COUNTIF($D$1:$D$4, D1)+COUNTIF(#REF!, D1)+COUNTIF(#REF!, D1)&gt;1,NOT(ISBLANK(D1)))</formula>
    </cfRule>
    <cfRule type="expression" dxfId="73" priority="40" stopIfTrue="1">
      <formula>AND(COUNTIF($D$1:$D$4, D1)+COUNTIF(#REF!, D1)+COUNTIF(#REF!, D1)&gt;1,NOT(ISBLANK(D1)))</formula>
    </cfRule>
    <cfRule type="duplicateValues" dxfId="72" priority="41" stopIfTrue="1"/>
    <cfRule type="duplicateValues" dxfId="71" priority="42" stopIfTrue="1"/>
    <cfRule type="duplicateValues" dxfId="70" priority="43" stopIfTrue="1"/>
    <cfRule type="expression" dxfId="69" priority="44" stopIfTrue="1">
      <formula>AND(COUNTIF($D$1:$D$4, D1)+COUNTIF(#REF!, D1)&gt;1,NOT(ISBLANK(D1)))</formula>
    </cfRule>
    <cfRule type="expression" dxfId="68" priority="48" stopIfTrue="1">
      <formula>AND(COUNTIF(#REF!, D1)+COUNTIF($D$1:$D$4, D1)&gt;1,NOT(ISBLANK(D1)))</formula>
    </cfRule>
    <cfRule type="expression" dxfId="67" priority="51" stopIfTrue="1">
      <formula>AND(COUNTIF($D$1:$D$4, D1)+COUNTIF(#REF!, D1)+COUNTIF(#REF!, D1)&gt;1,NOT(ISBLANK(D1)))</formula>
    </cfRule>
    <cfRule type="expression" dxfId="66" priority="52" stopIfTrue="1">
      <formula>AND(COUNTIF(#REF!, D1)+COUNTIF(#REF!, D1)+COUNTIF($D$1:$D$4, D1)+COUNTIF(#REF!, D1)&gt;1,NOT(ISBLANK(D1)))</formula>
    </cfRule>
    <cfRule type="expression" dxfId="65" priority="53" stopIfTrue="1">
      <formula>AND(COUNTIF(#REF!, D1)+COUNTIF(#REF!, D1)+COUNTIF($D$1:$D$4, D1)&gt;1,NOT(ISBLANK(D1)))</formula>
    </cfRule>
    <cfRule type="expression" dxfId="64" priority="54" stopIfTrue="1">
      <formula>AND(COUNTIF(#REF!, D1)+COUNTIF($D$1:$D$4, D1)&gt;1,NOT(ISBLANK(D1)))</formula>
    </cfRule>
    <cfRule type="duplicateValues" dxfId="63" priority="55" stopIfTrue="1"/>
    <cfRule type="duplicateValues" dxfId="62" priority="56" stopIfTrue="1"/>
    <cfRule type="duplicateValues" dxfId="61" priority="57" stopIfTrue="1"/>
    <cfRule type="duplicateValues" dxfId="60" priority="58" stopIfTrue="1"/>
  </conditionalFormatting>
  <conditionalFormatting sqref="D1:D9 D11:D65535">
    <cfRule type="duplicateValues" dxfId="59" priority="104" stopIfTrue="1"/>
    <cfRule type="duplicateValues" dxfId="58" priority="105" stopIfTrue="1"/>
    <cfRule type="duplicateValues" dxfId="57" priority="106" stopIfTrue="1"/>
    <cfRule type="duplicateValues" dxfId="56" priority="107" stopIfTrue="1"/>
    <cfRule type="duplicateValues" dxfId="55" priority="108" stopIfTrue="1"/>
    <cfRule type="duplicateValues" dxfId="54" priority="109" stopIfTrue="1"/>
  </conditionalFormatting>
  <conditionalFormatting sqref="D10">
    <cfRule type="duplicateValues" dxfId="53" priority="1" stopIfTrue="1"/>
    <cfRule type="duplicateValues" dxfId="52" priority="2" stopIfTrue="1"/>
    <cfRule type="duplicateValues" dxfId="51" priority="3" stopIfTrue="1"/>
    <cfRule type="duplicateValues" dxfId="50" priority="4" stopIfTrue="1"/>
    <cfRule type="duplicateValues" dxfId="49" priority="5" stopIfTrue="1"/>
    <cfRule type="duplicateValues" dxfId="48" priority="6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31"/>
  <sheetViews>
    <sheetView tabSelected="1" zoomScale="90" zoomScaleNormal="90" workbookViewId="0">
      <selection activeCell="F24" sqref="F24"/>
    </sheetView>
  </sheetViews>
  <sheetFormatPr defaultColWidth="9.140625" defaultRowHeight="12.75" x14ac:dyDescent="0.2"/>
  <cols>
    <col min="1" max="1" width="10.140625" style="6" bestFit="1" customWidth="1"/>
    <col min="2" max="2" width="11" style="6" bestFit="1" customWidth="1"/>
    <col min="3" max="3" width="10" style="6" customWidth="1"/>
    <col min="4" max="4" width="13" style="6" customWidth="1"/>
    <col min="5" max="6" width="25" style="6" bestFit="1" customWidth="1"/>
    <col min="7" max="7" width="6.28515625" style="6" customWidth="1"/>
    <col min="8" max="8" width="9.140625" style="6"/>
    <col min="9" max="9" width="11" style="6" bestFit="1" customWidth="1"/>
    <col min="10" max="256" width="9.140625" style="6"/>
    <col min="257" max="257" width="10.140625" style="6" bestFit="1" customWidth="1"/>
    <col min="258" max="258" width="11" style="6" bestFit="1" customWidth="1"/>
    <col min="259" max="259" width="10" style="6" customWidth="1"/>
    <col min="260" max="260" width="13" style="6" customWidth="1"/>
    <col min="261" max="261" width="43.5703125" style="6" bestFit="1" customWidth="1"/>
    <col min="262" max="262" width="31.42578125" style="6" bestFit="1" customWidth="1"/>
    <col min="263" max="264" width="9.140625" style="6"/>
    <col min="265" max="265" width="11" style="6" bestFit="1" customWidth="1"/>
    <col min="266" max="512" width="9.140625" style="6"/>
    <col min="513" max="513" width="10.140625" style="6" bestFit="1" customWidth="1"/>
    <col min="514" max="514" width="11" style="6" bestFit="1" customWidth="1"/>
    <col min="515" max="515" width="10" style="6" customWidth="1"/>
    <col min="516" max="516" width="13" style="6" customWidth="1"/>
    <col min="517" max="517" width="43.5703125" style="6" bestFit="1" customWidth="1"/>
    <col min="518" max="518" width="31.42578125" style="6" bestFit="1" customWidth="1"/>
    <col min="519" max="520" width="9.140625" style="6"/>
    <col min="521" max="521" width="11" style="6" bestFit="1" customWidth="1"/>
    <col min="522" max="768" width="9.140625" style="6"/>
    <col min="769" max="769" width="10.140625" style="6" bestFit="1" customWidth="1"/>
    <col min="770" max="770" width="11" style="6" bestFit="1" customWidth="1"/>
    <col min="771" max="771" width="10" style="6" customWidth="1"/>
    <col min="772" max="772" width="13" style="6" customWidth="1"/>
    <col min="773" max="773" width="43.5703125" style="6" bestFit="1" customWidth="1"/>
    <col min="774" max="774" width="31.42578125" style="6" bestFit="1" customWidth="1"/>
    <col min="775" max="776" width="9.140625" style="6"/>
    <col min="777" max="777" width="11" style="6" bestFit="1" customWidth="1"/>
    <col min="778" max="1024" width="9.140625" style="6"/>
    <col min="1025" max="1025" width="10.140625" style="6" bestFit="1" customWidth="1"/>
    <col min="1026" max="1026" width="11" style="6" bestFit="1" customWidth="1"/>
    <col min="1027" max="1027" width="10" style="6" customWidth="1"/>
    <col min="1028" max="1028" width="13" style="6" customWidth="1"/>
    <col min="1029" max="1029" width="43.5703125" style="6" bestFit="1" customWidth="1"/>
    <col min="1030" max="1030" width="31.42578125" style="6" bestFit="1" customWidth="1"/>
    <col min="1031" max="1032" width="9.140625" style="6"/>
    <col min="1033" max="1033" width="11" style="6" bestFit="1" customWidth="1"/>
    <col min="1034" max="1280" width="9.140625" style="6"/>
    <col min="1281" max="1281" width="10.140625" style="6" bestFit="1" customWidth="1"/>
    <col min="1282" max="1282" width="11" style="6" bestFit="1" customWidth="1"/>
    <col min="1283" max="1283" width="10" style="6" customWidth="1"/>
    <col min="1284" max="1284" width="13" style="6" customWidth="1"/>
    <col min="1285" max="1285" width="43.5703125" style="6" bestFit="1" customWidth="1"/>
    <col min="1286" max="1286" width="31.42578125" style="6" bestFit="1" customWidth="1"/>
    <col min="1287" max="1288" width="9.140625" style="6"/>
    <col min="1289" max="1289" width="11" style="6" bestFit="1" customWidth="1"/>
    <col min="1290" max="1536" width="9.140625" style="6"/>
    <col min="1537" max="1537" width="10.140625" style="6" bestFit="1" customWidth="1"/>
    <col min="1538" max="1538" width="11" style="6" bestFit="1" customWidth="1"/>
    <col min="1539" max="1539" width="10" style="6" customWidth="1"/>
    <col min="1540" max="1540" width="13" style="6" customWidth="1"/>
    <col min="1541" max="1541" width="43.5703125" style="6" bestFit="1" customWidth="1"/>
    <col min="1542" max="1542" width="31.42578125" style="6" bestFit="1" customWidth="1"/>
    <col min="1543" max="1544" width="9.140625" style="6"/>
    <col min="1545" max="1545" width="11" style="6" bestFit="1" customWidth="1"/>
    <col min="1546" max="1792" width="9.140625" style="6"/>
    <col min="1793" max="1793" width="10.140625" style="6" bestFit="1" customWidth="1"/>
    <col min="1794" max="1794" width="11" style="6" bestFit="1" customWidth="1"/>
    <col min="1795" max="1795" width="10" style="6" customWidth="1"/>
    <col min="1796" max="1796" width="13" style="6" customWidth="1"/>
    <col min="1797" max="1797" width="43.5703125" style="6" bestFit="1" customWidth="1"/>
    <col min="1798" max="1798" width="31.42578125" style="6" bestFit="1" customWidth="1"/>
    <col min="1799" max="1800" width="9.140625" style="6"/>
    <col min="1801" max="1801" width="11" style="6" bestFit="1" customWidth="1"/>
    <col min="1802" max="2048" width="9.140625" style="6"/>
    <col min="2049" max="2049" width="10.140625" style="6" bestFit="1" customWidth="1"/>
    <col min="2050" max="2050" width="11" style="6" bestFit="1" customWidth="1"/>
    <col min="2051" max="2051" width="10" style="6" customWidth="1"/>
    <col min="2052" max="2052" width="13" style="6" customWidth="1"/>
    <col min="2053" max="2053" width="43.5703125" style="6" bestFit="1" customWidth="1"/>
    <col min="2054" max="2054" width="31.42578125" style="6" bestFit="1" customWidth="1"/>
    <col min="2055" max="2056" width="9.140625" style="6"/>
    <col min="2057" max="2057" width="11" style="6" bestFit="1" customWidth="1"/>
    <col min="2058" max="2304" width="9.140625" style="6"/>
    <col min="2305" max="2305" width="10.140625" style="6" bestFit="1" customWidth="1"/>
    <col min="2306" max="2306" width="11" style="6" bestFit="1" customWidth="1"/>
    <col min="2307" max="2307" width="10" style="6" customWidth="1"/>
    <col min="2308" max="2308" width="13" style="6" customWidth="1"/>
    <col min="2309" max="2309" width="43.5703125" style="6" bestFit="1" customWidth="1"/>
    <col min="2310" max="2310" width="31.42578125" style="6" bestFit="1" customWidth="1"/>
    <col min="2311" max="2312" width="9.140625" style="6"/>
    <col min="2313" max="2313" width="11" style="6" bestFit="1" customWidth="1"/>
    <col min="2314" max="2560" width="9.140625" style="6"/>
    <col min="2561" max="2561" width="10.140625" style="6" bestFit="1" customWidth="1"/>
    <col min="2562" max="2562" width="11" style="6" bestFit="1" customWidth="1"/>
    <col min="2563" max="2563" width="10" style="6" customWidth="1"/>
    <col min="2564" max="2564" width="13" style="6" customWidth="1"/>
    <col min="2565" max="2565" width="43.5703125" style="6" bestFit="1" customWidth="1"/>
    <col min="2566" max="2566" width="31.42578125" style="6" bestFit="1" customWidth="1"/>
    <col min="2567" max="2568" width="9.140625" style="6"/>
    <col min="2569" max="2569" width="11" style="6" bestFit="1" customWidth="1"/>
    <col min="2570" max="2816" width="9.140625" style="6"/>
    <col min="2817" max="2817" width="10.140625" style="6" bestFit="1" customWidth="1"/>
    <col min="2818" max="2818" width="11" style="6" bestFit="1" customWidth="1"/>
    <col min="2819" max="2819" width="10" style="6" customWidth="1"/>
    <col min="2820" max="2820" width="13" style="6" customWidth="1"/>
    <col min="2821" max="2821" width="43.5703125" style="6" bestFit="1" customWidth="1"/>
    <col min="2822" max="2822" width="31.42578125" style="6" bestFit="1" customWidth="1"/>
    <col min="2823" max="2824" width="9.140625" style="6"/>
    <col min="2825" max="2825" width="11" style="6" bestFit="1" customWidth="1"/>
    <col min="2826" max="3072" width="9.140625" style="6"/>
    <col min="3073" max="3073" width="10.140625" style="6" bestFit="1" customWidth="1"/>
    <col min="3074" max="3074" width="11" style="6" bestFit="1" customWidth="1"/>
    <col min="3075" max="3075" width="10" style="6" customWidth="1"/>
    <col min="3076" max="3076" width="13" style="6" customWidth="1"/>
    <col min="3077" max="3077" width="43.5703125" style="6" bestFit="1" customWidth="1"/>
    <col min="3078" max="3078" width="31.42578125" style="6" bestFit="1" customWidth="1"/>
    <col min="3079" max="3080" width="9.140625" style="6"/>
    <col min="3081" max="3081" width="11" style="6" bestFit="1" customWidth="1"/>
    <col min="3082" max="3328" width="9.140625" style="6"/>
    <col min="3329" max="3329" width="10.140625" style="6" bestFit="1" customWidth="1"/>
    <col min="3330" max="3330" width="11" style="6" bestFit="1" customWidth="1"/>
    <col min="3331" max="3331" width="10" style="6" customWidth="1"/>
    <col min="3332" max="3332" width="13" style="6" customWidth="1"/>
    <col min="3333" max="3333" width="43.5703125" style="6" bestFit="1" customWidth="1"/>
    <col min="3334" max="3334" width="31.42578125" style="6" bestFit="1" customWidth="1"/>
    <col min="3335" max="3336" width="9.140625" style="6"/>
    <col min="3337" max="3337" width="11" style="6" bestFit="1" customWidth="1"/>
    <col min="3338" max="3584" width="9.140625" style="6"/>
    <col min="3585" max="3585" width="10.140625" style="6" bestFit="1" customWidth="1"/>
    <col min="3586" max="3586" width="11" style="6" bestFit="1" customWidth="1"/>
    <col min="3587" max="3587" width="10" style="6" customWidth="1"/>
    <col min="3588" max="3588" width="13" style="6" customWidth="1"/>
    <col min="3589" max="3589" width="43.5703125" style="6" bestFit="1" customWidth="1"/>
    <col min="3590" max="3590" width="31.42578125" style="6" bestFit="1" customWidth="1"/>
    <col min="3591" max="3592" width="9.140625" style="6"/>
    <col min="3593" max="3593" width="11" style="6" bestFit="1" customWidth="1"/>
    <col min="3594" max="3840" width="9.140625" style="6"/>
    <col min="3841" max="3841" width="10.140625" style="6" bestFit="1" customWidth="1"/>
    <col min="3842" max="3842" width="11" style="6" bestFit="1" customWidth="1"/>
    <col min="3843" max="3843" width="10" style="6" customWidth="1"/>
    <col min="3844" max="3844" width="13" style="6" customWidth="1"/>
    <col min="3845" max="3845" width="43.5703125" style="6" bestFit="1" customWidth="1"/>
    <col min="3846" max="3846" width="31.42578125" style="6" bestFit="1" customWidth="1"/>
    <col min="3847" max="3848" width="9.140625" style="6"/>
    <col min="3849" max="3849" width="11" style="6" bestFit="1" customWidth="1"/>
    <col min="3850" max="4096" width="9.140625" style="6"/>
    <col min="4097" max="4097" width="10.140625" style="6" bestFit="1" customWidth="1"/>
    <col min="4098" max="4098" width="11" style="6" bestFit="1" customWidth="1"/>
    <col min="4099" max="4099" width="10" style="6" customWidth="1"/>
    <col min="4100" max="4100" width="13" style="6" customWidth="1"/>
    <col min="4101" max="4101" width="43.5703125" style="6" bestFit="1" customWidth="1"/>
    <col min="4102" max="4102" width="31.42578125" style="6" bestFit="1" customWidth="1"/>
    <col min="4103" max="4104" width="9.140625" style="6"/>
    <col min="4105" max="4105" width="11" style="6" bestFit="1" customWidth="1"/>
    <col min="4106" max="4352" width="9.140625" style="6"/>
    <col min="4353" max="4353" width="10.140625" style="6" bestFit="1" customWidth="1"/>
    <col min="4354" max="4354" width="11" style="6" bestFit="1" customWidth="1"/>
    <col min="4355" max="4355" width="10" style="6" customWidth="1"/>
    <col min="4356" max="4356" width="13" style="6" customWidth="1"/>
    <col min="4357" max="4357" width="43.5703125" style="6" bestFit="1" customWidth="1"/>
    <col min="4358" max="4358" width="31.42578125" style="6" bestFit="1" customWidth="1"/>
    <col min="4359" max="4360" width="9.140625" style="6"/>
    <col min="4361" max="4361" width="11" style="6" bestFit="1" customWidth="1"/>
    <col min="4362" max="4608" width="9.140625" style="6"/>
    <col min="4609" max="4609" width="10.140625" style="6" bestFit="1" customWidth="1"/>
    <col min="4610" max="4610" width="11" style="6" bestFit="1" customWidth="1"/>
    <col min="4611" max="4611" width="10" style="6" customWidth="1"/>
    <col min="4612" max="4612" width="13" style="6" customWidth="1"/>
    <col min="4613" max="4613" width="43.5703125" style="6" bestFit="1" customWidth="1"/>
    <col min="4614" max="4614" width="31.42578125" style="6" bestFit="1" customWidth="1"/>
    <col min="4615" max="4616" width="9.140625" style="6"/>
    <col min="4617" max="4617" width="11" style="6" bestFit="1" customWidth="1"/>
    <col min="4618" max="4864" width="9.140625" style="6"/>
    <col min="4865" max="4865" width="10.140625" style="6" bestFit="1" customWidth="1"/>
    <col min="4866" max="4866" width="11" style="6" bestFit="1" customWidth="1"/>
    <col min="4867" max="4867" width="10" style="6" customWidth="1"/>
    <col min="4868" max="4868" width="13" style="6" customWidth="1"/>
    <col min="4869" max="4869" width="43.5703125" style="6" bestFit="1" customWidth="1"/>
    <col min="4870" max="4870" width="31.42578125" style="6" bestFit="1" customWidth="1"/>
    <col min="4871" max="4872" width="9.140625" style="6"/>
    <col min="4873" max="4873" width="11" style="6" bestFit="1" customWidth="1"/>
    <col min="4874" max="5120" width="9.140625" style="6"/>
    <col min="5121" max="5121" width="10.140625" style="6" bestFit="1" customWidth="1"/>
    <col min="5122" max="5122" width="11" style="6" bestFit="1" customWidth="1"/>
    <col min="5123" max="5123" width="10" style="6" customWidth="1"/>
    <col min="5124" max="5124" width="13" style="6" customWidth="1"/>
    <col min="5125" max="5125" width="43.5703125" style="6" bestFit="1" customWidth="1"/>
    <col min="5126" max="5126" width="31.42578125" style="6" bestFit="1" customWidth="1"/>
    <col min="5127" max="5128" width="9.140625" style="6"/>
    <col min="5129" max="5129" width="11" style="6" bestFit="1" customWidth="1"/>
    <col min="5130" max="5376" width="9.140625" style="6"/>
    <col min="5377" max="5377" width="10.140625" style="6" bestFit="1" customWidth="1"/>
    <col min="5378" max="5378" width="11" style="6" bestFit="1" customWidth="1"/>
    <col min="5379" max="5379" width="10" style="6" customWidth="1"/>
    <col min="5380" max="5380" width="13" style="6" customWidth="1"/>
    <col min="5381" max="5381" width="43.5703125" style="6" bestFit="1" customWidth="1"/>
    <col min="5382" max="5382" width="31.42578125" style="6" bestFit="1" customWidth="1"/>
    <col min="5383" max="5384" width="9.140625" style="6"/>
    <col min="5385" max="5385" width="11" style="6" bestFit="1" customWidth="1"/>
    <col min="5386" max="5632" width="9.140625" style="6"/>
    <col min="5633" max="5633" width="10.140625" style="6" bestFit="1" customWidth="1"/>
    <col min="5634" max="5634" width="11" style="6" bestFit="1" customWidth="1"/>
    <col min="5635" max="5635" width="10" style="6" customWidth="1"/>
    <col min="5636" max="5636" width="13" style="6" customWidth="1"/>
    <col min="5637" max="5637" width="43.5703125" style="6" bestFit="1" customWidth="1"/>
    <col min="5638" max="5638" width="31.42578125" style="6" bestFit="1" customWidth="1"/>
    <col min="5639" max="5640" width="9.140625" style="6"/>
    <col min="5641" max="5641" width="11" style="6" bestFit="1" customWidth="1"/>
    <col min="5642" max="5888" width="9.140625" style="6"/>
    <col min="5889" max="5889" width="10.140625" style="6" bestFit="1" customWidth="1"/>
    <col min="5890" max="5890" width="11" style="6" bestFit="1" customWidth="1"/>
    <col min="5891" max="5891" width="10" style="6" customWidth="1"/>
    <col min="5892" max="5892" width="13" style="6" customWidth="1"/>
    <col min="5893" max="5893" width="43.5703125" style="6" bestFit="1" customWidth="1"/>
    <col min="5894" max="5894" width="31.42578125" style="6" bestFit="1" customWidth="1"/>
    <col min="5895" max="5896" width="9.140625" style="6"/>
    <col min="5897" max="5897" width="11" style="6" bestFit="1" customWidth="1"/>
    <col min="5898" max="6144" width="9.140625" style="6"/>
    <col min="6145" max="6145" width="10.140625" style="6" bestFit="1" customWidth="1"/>
    <col min="6146" max="6146" width="11" style="6" bestFit="1" customWidth="1"/>
    <col min="6147" max="6147" width="10" style="6" customWidth="1"/>
    <col min="6148" max="6148" width="13" style="6" customWidth="1"/>
    <col min="6149" max="6149" width="43.5703125" style="6" bestFit="1" customWidth="1"/>
    <col min="6150" max="6150" width="31.42578125" style="6" bestFit="1" customWidth="1"/>
    <col min="6151" max="6152" width="9.140625" style="6"/>
    <col min="6153" max="6153" width="11" style="6" bestFit="1" customWidth="1"/>
    <col min="6154" max="6400" width="9.140625" style="6"/>
    <col min="6401" max="6401" width="10.140625" style="6" bestFit="1" customWidth="1"/>
    <col min="6402" max="6402" width="11" style="6" bestFit="1" customWidth="1"/>
    <col min="6403" max="6403" width="10" style="6" customWidth="1"/>
    <col min="6404" max="6404" width="13" style="6" customWidth="1"/>
    <col min="6405" max="6405" width="43.5703125" style="6" bestFit="1" customWidth="1"/>
    <col min="6406" max="6406" width="31.42578125" style="6" bestFit="1" customWidth="1"/>
    <col min="6407" max="6408" width="9.140625" style="6"/>
    <col min="6409" max="6409" width="11" style="6" bestFit="1" customWidth="1"/>
    <col min="6410" max="6656" width="9.140625" style="6"/>
    <col min="6657" max="6657" width="10.140625" style="6" bestFit="1" customWidth="1"/>
    <col min="6658" max="6658" width="11" style="6" bestFit="1" customWidth="1"/>
    <col min="6659" max="6659" width="10" style="6" customWidth="1"/>
    <col min="6660" max="6660" width="13" style="6" customWidth="1"/>
    <col min="6661" max="6661" width="43.5703125" style="6" bestFit="1" customWidth="1"/>
    <col min="6662" max="6662" width="31.42578125" style="6" bestFit="1" customWidth="1"/>
    <col min="6663" max="6664" width="9.140625" style="6"/>
    <col min="6665" max="6665" width="11" style="6" bestFit="1" customWidth="1"/>
    <col min="6666" max="6912" width="9.140625" style="6"/>
    <col min="6913" max="6913" width="10.140625" style="6" bestFit="1" customWidth="1"/>
    <col min="6914" max="6914" width="11" style="6" bestFit="1" customWidth="1"/>
    <col min="6915" max="6915" width="10" style="6" customWidth="1"/>
    <col min="6916" max="6916" width="13" style="6" customWidth="1"/>
    <col min="6917" max="6917" width="43.5703125" style="6" bestFit="1" customWidth="1"/>
    <col min="6918" max="6918" width="31.42578125" style="6" bestFit="1" customWidth="1"/>
    <col min="6919" max="6920" width="9.140625" style="6"/>
    <col min="6921" max="6921" width="11" style="6" bestFit="1" customWidth="1"/>
    <col min="6922" max="7168" width="9.140625" style="6"/>
    <col min="7169" max="7169" width="10.140625" style="6" bestFit="1" customWidth="1"/>
    <col min="7170" max="7170" width="11" style="6" bestFit="1" customWidth="1"/>
    <col min="7171" max="7171" width="10" style="6" customWidth="1"/>
    <col min="7172" max="7172" width="13" style="6" customWidth="1"/>
    <col min="7173" max="7173" width="43.5703125" style="6" bestFit="1" customWidth="1"/>
    <col min="7174" max="7174" width="31.42578125" style="6" bestFit="1" customWidth="1"/>
    <col min="7175" max="7176" width="9.140625" style="6"/>
    <col min="7177" max="7177" width="11" style="6" bestFit="1" customWidth="1"/>
    <col min="7178" max="7424" width="9.140625" style="6"/>
    <col min="7425" max="7425" width="10.140625" style="6" bestFit="1" customWidth="1"/>
    <col min="7426" max="7426" width="11" style="6" bestFit="1" customWidth="1"/>
    <col min="7427" max="7427" width="10" style="6" customWidth="1"/>
    <col min="7428" max="7428" width="13" style="6" customWidth="1"/>
    <col min="7429" max="7429" width="43.5703125" style="6" bestFit="1" customWidth="1"/>
    <col min="7430" max="7430" width="31.42578125" style="6" bestFit="1" customWidth="1"/>
    <col min="7431" max="7432" width="9.140625" style="6"/>
    <col min="7433" max="7433" width="11" style="6" bestFit="1" customWidth="1"/>
    <col min="7434" max="7680" width="9.140625" style="6"/>
    <col min="7681" max="7681" width="10.140625" style="6" bestFit="1" customWidth="1"/>
    <col min="7682" max="7682" width="11" style="6" bestFit="1" customWidth="1"/>
    <col min="7683" max="7683" width="10" style="6" customWidth="1"/>
    <col min="7684" max="7684" width="13" style="6" customWidth="1"/>
    <col min="7685" max="7685" width="43.5703125" style="6" bestFit="1" customWidth="1"/>
    <col min="7686" max="7686" width="31.42578125" style="6" bestFit="1" customWidth="1"/>
    <col min="7687" max="7688" width="9.140625" style="6"/>
    <col min="7689" max="7689" width="11" style="6" bestFit="1" customWidth="1"/>
    <col min="7690" max="7936" width="9.140625" style="6"/>
    <col min="7937" max="7937" width="10.140625" style="6" bestFit="1" customWidth="1"/>
    <col min="7938" max="7938" width="11" style="6" bestFit="1" customWidth="1"/>
    <col min="7939" max="7939" width="10" style="6" customWidth="1"/>
    <col min="7940" max="7940" width="13" style="6" customWidth="1"/>
    <col min="7941" max="7941" width="43.5703125" style="6" bestFit="1" customWidth="1"/>
    <col min="7942" max="7942" width="31.42578125" style="6" bestFit="1" customWidth="1"/>
    <col min="7943" max="7944" width="9.140625" style="6"/>
    <col min="7945" max="7945" width="11" style="6" bestFit="1" customWidth="1"/>
    <col min="7946" max="8192" width="9.140625" style="6"/>
    <col min="8193" max="8193" width="10.140625" style="6" bestFit="1" customWidth="1"/>
    <col min="8194" max="8194" width="11" style="6" bestFit="1" customWidth="1"/>
    <col min="8195" max="8195" width="10" style="6" customWidth="1"/>
    <col min="8196" max="8196" width="13" style="6" customWidth="1"/>
    <col min="8197" max="8197" width="43.5703125" style="6" bestFit="1" customWidth="1"/>
    <col min="8198" max="8198" width="31.42578125" style="6" bestFit="1" customWidth="1"/>
    <col min="8199" max="8200" width="9.140625" style="6"/>
    <col min="8201" max="8201" width="11" style="6" bestFit="1" customWidth="1"/>
    <col min="8202" max="8448" width="9.140625" style="6"/>
    <col min="8449" max="8449" width="10.140625" style="6" bestFit="1" customWidth="1"/>
    <col min="8450" max="8450" width="11" style="6" bestFit="1" customWidth="1"/>
    <col min="8451" max="8451" width="10" style="6" customWidth="1"/>
    <col min="8452" max="8452" width="13" style="6" customWidth="1"/>
    <col min="8453" max="8453" width="43.5703125" style="6" bestFit="1" customWidth="1"/>
    <col min="8454" max="8454" width="31.42578125" style="6" bestFit="1" customWidth="1"/>
    <col min="8455" max="8456" width="9.140625" style="6"/>
    <col min="8457" max="8457" width="11" style="6" bestFit="1" customWidth="1"/>
    <col min="8458" max="8704" width="9.140625" style="6"/>
    <col min="8705" max="8705" width="10.140625" style="6" bestFit="1" customWidth="1"/>
    <col min="8706" max="8706" width="11" style="6" bestFit="1" customWidth="1"/>
    <col min="8707" max="8707" width="10" style="6" customWidth="1"/>
    <col min="8708" max="8708" width="13" style="6" customWidth="1"/>
    <col min="8709" max="8709" width="43.5703125" style="6" bestFit="1" customWidth="1"/>
    <col min="8710" max="8710" width="31.42578125" style="6" bestFit="1" customWidth="1"/>
    <col min="8711" max="8712" width="9.140625" style="6"/>
    <col min="8713" max="8713" width="11" style="6" bestFit="1" customWidth="1"/>
    <col min="8714" max="8960" width="9.140625" style="6"/>
    <col min="8961" max="8961" width="10.140625" style="6" bestFit="1" customWidth="1"/>
    <col min="8962" max="8962" width="11" style="6" bestFit="1" customWidth="1"/>
    <col min="8963" max="8963" width="10" style="6" customWidth="1"/>
    <col min="8964" max="8964" width="13" style="6" customWidth="1"/>
    <col min="8965" max="8965" width="43.5703125" style="6" bestFit="1" customWidth="1"/>
    <col min="8966" max="8966" width="31.42578125" style="6" bestFit="1" customWidth="1"/>
    <col min="8967" max="8968" width="9.140625" style="6"/>
    <col min="8969" max="8969" width="11" style="6" bestFit="1" customWidth="1"/>
    <col min="8970" max="9216" width="9.140625" style="6"/>
    <col min="9217" max="9217" width="10.140625" style="6" bestFit="1" customWidth="1"/>
    <col min="9218" max="9218" width="11" style="6" bestFit="1" customWidth="1"/>
    <col min="9219" max="9219" width="10" style="6" customWidth="1"/>
    <col min="9220" max="9220" width="13" style="6" customWidth="1"/>
    <col min="9221" max="9221" width="43.5703125" style="6" bestFit="1" customWidth="1"/>
    <col min="9222" max="9222" width="31.42578125" style="6" bestFit="1" customWidth="1"/>
    <col min="9223" max="9224" width="9.140625" style="6"/>
    <col min="9225" max="9225" width="11" style="6" bestFit="1" customWidth="1"/>
    <col min="9226" max="9472" width="9.140625" style="6"/>
    <col min="9473" max="9473" width="10.140625" style="6" bestFit="1" customWidth="1"/>
    <col min="9474" max="9474" width="11" style="6" bestFit="1" customWidth="1"/>
    <col min="9475" max="9475" width="10" style="6" customWidth="1"/>
    <col min="9476" max="9476" width="13" style="6" customWidth="1"/>
    <col min="9477" max="9477" width="43.5703125" style="6" bestFit="1" customWidth="1"/>
    <col min="9478" max="9478" width="31.42578125" style="6" bestFit="1" customWidth="1"/>
    <col min="9479" max="9480" width="9.140625" style="6"/>
    <col min="9481" max="9481" width="11" style="6" bestFit="1" customWidth="1"/>
    <col min="9482" max="9728" width="9.140625" style="6"/>
    <col min="9729" max="9729" width="10.140625" style="6" bestFit="1" customWidth="1"/>
    <col min="9730" max="9730" width="11" style="6" bestFit="1" customWidth="1"/>
    <col min="9731" max="9731" width="10" style="6" customWidth="1"/>
    <col min="9732" max="9732" width="13" style="6" customWidth="1"/>
    <col min="9733" max="9733" width="43.5703125" style="6" bestFit="1" customWidth="1"/>
    <col min="9734" max="9734" width="31.42578125" style="6" bestFit="1" customWidth="1"/>
    <col min="9735" max="9736" width="9.140625" style="6"/>
    <col min="9737" max="9737" width="11" style="6" bestFit="1" customWidth="1"/>
    <col min="9738" max="9984" width="9.140625" style="6"/>
    <col min="9985" max="9985" width="10.140625" style="6" bestFit="1" customWidth="1"/>
    <col min="9986" max="9986" width="11" style="6" bestFit="1" customWidth="1"/>
    <col min="9987" max="9987" width="10" style="6" customWidth="1"/>
    <col min="9988" max="9988" width="13" style="6" customWidth="1"/>
    <col min="9989" max="9989" width="43.5703125" style="6" bestFit="1" customWidth="1"/>
    <col min="9990" max="9990" width="31.42578125" style="6" bestFit="1" customWidth="1"/>
    <col min="9991" max="9992" width="9.140625" style="6"/>
    <col min="9993" max="9993" width="11" style="6" bestFit="1" customWidth="1"/>
    <col min="9994" max="10240" width="9.140625" style="6"/>
    <col min="10241" max="10241" width="10.140625" style="6" bestFit="1" customWidth="1"/>
    <col min="10242" max="10242" width="11" style="6" bestFit="1" customWidth="1"/>
    <col min="10243" max="10243" width="10" style="6" customWidth="1"/>
    <col min="10244" max="10244" width="13" style="6" customWidth="1"/>
    <col min="10245" max="10245" width="43.5703125" style="6" bestFit="1" customWidth="1"/>
    <col min="10246" max="10246" width="31.42578125" style="6" bestFit="1" customWidth="1"/>
    <col min="10247" max="10248" width="9.140625" style="6"/>
    <col min="10249" max="10249" width="11" style="6" bestFit="1" customWidth="1"/>
    <col min="10250" max="10496" width="9.140625" style="6"/>
    <col min="10497" max="10497" width="10.140625" style="6" bestFit="1" customWidth="1"/>
    <col min="10498" max="10498" width="11" style="6" bestFit="1" customWidth="1"/>
    <col min="10499" max="10499" width="10" style="6" customWidth="1"/>
    <col min="10500" max="10500" width="13" style="6" customWidth="1"/>
    <col min="10501" max="10501" width="43.5703125" style="6" bestFit="1" customWidth="1"/>
    <col min="10502" max="10502" width="31.42578125" style="6" bestFit="1" customWidth="1"/>
    <col min="10503" max="10504" width="9.140625" style="6"/>
    <col min="10505" max="10505" width="11" style="6" bestFit="1" customWidth="1"/>
    <col min="10506" max="10752" width="9.140625" style="6"/>
    <col min="10753" max="10753" width="10.140625" style="6" bestFit="1" customWidth="1"/>
    <col min="10754" max="10754" width="11" style="6" bestFit="1" customWidth="1"/>
    <col min="10755" max="10755" width="10" style="6" customWidth="1"/>
    <col min="10756" max="10756" width="13" style="6" customWidth="1"/>
    <col min="10757" max="10757" width="43.5703125" style="6" bestFit="1" customWidth="1"/>
    <col min="10758" max="10758" width="31.42578125" style="6" bestFit="1" customWidth="1"/>
    <col min="10759" max="10760" width="9.140625" style="6"/>
    <col min="10761" max="10761" width="11" style="6" bestFit="1" customWidth="1"/>
    <col min="10762" max="11008" width="9.140625" style="6"/>
    <col min="11009" max="11009" width="10.140625" style="6" bestFit="1" customWidth="1"/>
    <col min="11010" max="11010" width="11" style="6" bestFit="1" customWidth="1"/>
    <col min="11011" max="11011" width="10" style="6" customWidth="1"/>
    <col min="11012" max="11012" width="13" style="6" customWidth="1"/>
    <col min="11013" max="11013" width="43.5703125" style="6" bestFit="1" customWidth="1"/>
    <col min="11014" max="11014" width="31.42578125" style="6" bestFit="1" customWidth="1"/>
    <col min="11015" max="11016" width="9.140625" style="6"/>
    <col min="11017" max="11017" width="11" style="6" bestFit="1" customWidth="1"/>
    <col min="11018" max="11264" width="9.140625" style="6"/>
    <col min="11265" max="11265" width="10.140625" style="6" bestFit="1" customWidth="1"/>
    <col min="11266" max="11266" width="11" style="6" bestFit="1" customWidth="1"/>
    <col min="11267" max="11267" width="10" style="6" customWidth="1"/>
    <col min="11268" max="11268" width="13" style="6" customWidth="1"/>
    <col min="11269" max="11269" width="43.5703125" style="6" bestFit="1" customWidth="1"/>
    <col min="11270" max="11270" width="31.42578125" style="6" bestFit="1" customWidth="1"/>
    <col min="11271" max="11272" width="9.140625" style="6"/>
    <col min="11273" max="11273" width="11" style="6" bestFit="1" customWidth="1"/>
    <col min="11274" max="11520" width="9.140625" style="6"/>
    <col min="11521" max="11521" width="10.140625" style="6" bestFit="1" customWidth="1"/>
    <col min="11522" max="11522" width="11" style="6" bestFit="1" customWidth="1"/>
    <col min="11523" max="11523" width="10" style="6" customWidth="1"/>
    <col min="11524" max="11524" width="13" style="6" customWidth="1"/>
    <col min="11525" max="11525" width="43.5703125" style="6" bestFit="1" customWidth="1"/>
    <col min="11526" max="11526" width="31.42578125" style="6" bestFit="1" customWidth="1"/>
    <col min="11527" max="11528" width="9.140625" style="6"/>
    <col min="11529" max="11529" width="11" style="6" bestFit="1" customWidth="1"/>
    <col min="11530" max="11776" width="9.140625" style="6"/>
    <col min="11777" max="11777" width="10.140625" style="6" bestFit="1" customWidth="1"/>
    <col min="11778" max="11778" width="11" style="6" bestFit="1" customWidth="1"/>
    <col min="11779" max="11779" width="10" style="6" customWidth="1"/>
    <col min="11780" max="11780" width="13" style="6" customWidth="1"/>
    <col min="11781" max="11781" width="43.5703125" style="6" bestFit="1" customWidth="1"/>
    <col min="11782" max="11782" width="31.42578125" style="6" bestFit="1" customWidth="1"/>
    <col min="11783" max="11784" width="9.140625" style="6"/>
    <col min="11785" max="11785" width="11" style="6" bestFit="1" customWidth="1"/>
    <col min="11786" max="12032" width="9.140625" style="6"/>
    <col min="12033" max="12033" width="10.140625" style="6" bestFit="1" customWidth="1"/>
    <col min="12034" max="12034" width="11" style="6" bestFit="1" customWidth="1"/>
    <col min="12035" max="12035" width="10" style="6" customWidth="1"/>
    <col min="12036" max="12036" width="13" style="6" customWidth="1"/>
    <col min="12037" max="12037" width="43.5703125" style="6" bestFit="1" customWidth="1"/>
    <col min="12038" max="12038" width="31.42578125" style="6" bestFit="1" customWidth="1"/>
    <col min="12039" max="12040" width="9.140625" style="6"/>
    <col min="12041" max="12041" width="11" style="6" bestFit="1" customWidth="1"/>
    <col min="12042" max="12288" width="9.140625" style="6"/>
    <col min="12289" max="12289" width="10.140625" style="6" bestFit="1" customWidth="1"/>
    <col min="12290" max="12290" width="11" style="6" bestFit="1" customWidth="1"/>
    <col min="12291" max="12291" width="10" style="6" customWidth="1"/>
    <col min="12292" max="12292" width="13" style="6" customWidth="1"/>
    <col min="12293" max="12293" width="43.5703125" style="6" bestFit="1" customWidth="1"/>
    <col min="12294" max="12294" width="31.42578125" style="6" bestFit="1" customWidth="1"/>
    <col min="12295" max="12296" width="9.140625" style="6"/>
    <col min="12297" max="12297" width="11" style="6" bestFit="1" customWidth="1"/>
    <col min="12298" max="12544" width="9.140625" style="6"/>
    <col min="12545" max="12545" width="10.140625" style="6" bestFit="1" customWidth="1"/>
    <col min="12546" max="12546" width="11" style="6" bestFit="1" customWidth="1"/>
    <col min="12547" max="12547" width="10" style="6" customWidth="1"/>
    <col min="12548" max="12548" width="13" style="6" customWidth="1"/>
    <col min="12549" max="12549" width="43.5703125" style="6" bestFit="1" customWidth="1"/>
    <col min="12550" max="12550" width="31.42578125" style="6" bestFit="1" customWidth="1"/>
    <col min="12551" max="12552" width="9.140625" style="6"/>
    <col min="12553" max="12553" width="11" style="6" bestFit="1" customWidth="1"/>
    <col min="12554" max="12800" width="9.140625" style="6"/>
    <col min="12801" max="12801" width="10.140625" style="6" bestFit="1" customWidth="1"/>
    <col min="12802" max="12802" width="11" style="6" bestFit="1" customWidth="1"/>
    <col min="12803" max="12803" width="10" style="6" customWidth="1"/>
    <col min="12804" max="12804" width="13" style="6" customWidth="1"/>
    <col min="12805" max="12805" width="43.5703125" style="6" bestFit="1" customWidth="1"/>
    <col min="12806" max="12806" width="31.42578125" style="6" bestFit="1" customWidth="1"/>
    <col min="12807" max="12808" width="9.140625" style="6"/>
    <col min="12809" max="12809" width="11" style="6" bestFit="1" customWidth="1"/>
    <col min="12810" max="13056" width="9.140625" style="6"/>
    <col min="13057" max="13057" width="10.140625" style="6" bestFit="1" customWidth="1"/>
    <col min="13058" max="13058" width="11" style="6" bestFit="1" customWidth="1"/>
    <col min="13059" max="13059" width="10" style="6" customWidth="1"/>
    <col min="13060" max="13060" width="13" style="6" customWidth="1"/>
    <col min="13061" max="13061" width="43.5703125" style="6" bestFit="1" customWidth="1"/>
    <col min="13062" max="13062" width="31.42578125" style="6" bestFit="1" customWidth="1"/>
    <col min="13063" max="13064" width="9.140625" style="6"/>
    <col min="13065" max="13065" width="11" style="6" bestFit="1" customWidth="1"/>
    <col min="13066" max="13312" width="9.140625" style="6"/>
    <col min="13313" max="13313" width="10.140625" style="6" bestFit="1" customWidth="1"/>
    <col min="13314" max="13314" width="11" style="6" bestFit="1" customWidth="1"/>
    <col min="13315" max="13315" width="10" style="6" customWidth="1"/>
    <col min="13316" max="13316" width="13" style="6" customWidth="1"/>
    <col min="13317" max="13317" width="43.5703125" style="6" bestFit="1" customWidth="1"/>
    <col min="13318" max="13318" width="31.42578125" style="6" bestFit="1" customWidth="1"/>
    <col min="13319" max="13320" width="9.140625" style="6"/>
    <col min="13321" max="13321" width="11" style="6" bestFit="1" customWidth="1"/>
    <col min="13322" max="13568" width="9.140625" style="6"/>
    <col min="13569" max="13569" width="10.140625" style="6" bestFit="1" customWidth="1"/>
    <col min="13570" max="13570" width="11" style="6" bestFit="1" customWidth="1"/>
    <col min="13571" max="13571" width="10" style="6" customWidth="1"/>
    <col min="13572" max="13572" width="13" style="6" customWidth="1"/>
    <col min="13573" max="13573" width="43.5703125" style="6" bestFit="1" customWidth="1"/>
    <col min="13574" max="13574" width="31.42578125" style="6" bestFit="1" customWidth="1"/>
    <col min="13575" max="13576" width="9.140625" style="6"/>
    <col min="13577" max="13577" width="11" style="6" bestFit="1" customWidth="1"/>
    <col min="13578" max="13824" width="9.140625" style="6"/>
    <col min="13825" max="13825" width="10.140625" style="6" bestFit="1" customWidth="1"/>
    <col min="13826" max="13826" width="11" style="6" bestFit="1" customWidth="1"/>
    <col min="13827" max="13827" width="10" style="6" customWidth="1"/>
    <col min="13828" max="13828" width="13" style="6" customWidth="1"/>
    <col min="13829" max="13829" width="43.5703125" style="6" bestFit="1" customWidth="1"/>
    <col min="13830" max="13830" width="31.42578125" style="6" bestFit="1" customWidth="1"/>
    <col min="13831" max="13832" width="9.140625" style="6"/>
    <col min="13833" max="13833" width="11" style="6" bestFit="1" customWidth="1"/>
    <col min="13834" max="14080" width="9.140625" style="6"/>
    <col min="14081" max="14081" width="10.140625" style="6" bestFit="1" customWidth="1"/>
    <col min="14082" max="14082" width="11" style="6" bestFit="1" customWidth="1"/>
    <col min="14083" max="14083" width="10" style="6" customWidth="1"/>
    <col min="14084" max="14084" width="13" style="6" customWidth="1"/>
    <col min="14085" max="14085" width="43.5703125" style="6" bestFit="1" customWidth="1"/>
    <col min="14086" max="14086" width="31.42578125" style="6" bestFit="1" customWidth="1"/>
    <col min="14087" max="14088" width="9.140625" style="6"/>
    <col min="14089" max="14089" width="11" style="6" bestFit="1" customWidth="1"/>
    <col min="14090" max="14336" width="9.140625" style="6"/>
    <col min="14337" max="14337" width="10.140625" style="6" bestFit="1" customWidth="1"/>
    <col min="14338" max="14338" width="11" style="6" bestFit="1" customWidth="1"/>
    <col min="14339" max="14339" width="10" style="6" customWidth="1"/>
    <col min="14340" max="14340" width="13" style="6" customWidth="1"/>
    <col min="14341" max="14341" width="43.5703125" style="6" bestFit="1" customWidth="1"/>
    <col min="14342" max="14342" width="31.42578125" style="6" bestFit="1" customWidth="1"/>
    <col min="14343" max="14344" width="9.140625" style="6"/>
    <col min="14345" max="14345" width="11" style="6" bestFit="1" customWidth="1"/>
    <col min="14346" max="14592" width="9.140625" style="6"/>
    <col min="14593" max="14593" width="10.140625" style="6" bestFit="1" customWidth="1"/>
    <col min="14594" max="14594" width="11" style="6" bestFit="1" customWidth="1"/>
    <col min="14595" max="14595" width="10" style="6" customWidth="1"/>
    <col min="14596" max="14596" width="13" style="6" customWidth="1"/>
    <col min="14597" max="14597" width="43.5703125" style="6" bestFit="1" customWidth="1"/>
    <col min="14598" max="14598" width="31.42578125" style="6" bestFit="1" customWidth="1"/>
    <col min="14599" max="14600" width="9.140625" style="6"/>
    <col min="14601" max="14601" width="11" style="6" bestFit="1" customWidth="1"/>
    <col min="14602" max="14848" width="9.140625" style="6"/>
    <col min="14849" max="14849" width="10.140625" style="6" bestFit="1" customWidth="1"/>
    <col min="14850" max="14850" width="11" style="6" bestFit="1" customWidth="1"/>
    <col min="14851" max="14851" width="10" style="6" customWidth="1"/>
    <col min="14852" max="14852" width="13" style="6" customWidth="1"/>
    <col min="14853" max="14853" width="43.5703125" style="6" bestFit="1" customWidth="1"/>
    <col min="14854" max="14854" width="31.42578125" style="6" bestFit="1" customWidth="1"/>
    <col min="14855" max="14856" width="9.140625" style="6"/>
    <col min="14857" max="14857" width="11" style="6" bestFit="1" customWidth="1"/>
    <col min="14858" max="15104" width="9.140625" style="6"/>
    <col min="15105" max="15105" width="10.140625" style="6" bestFit="1" customWidth="1"/>
    <col min="15106" max="15106" width="11" style="6" bestFit="1" customWidth="1"/>
    <col min="15107" max="15107" width="10" style="6" customWidth="1"/>
    <col min="15108" max="15108" width="13" style="6" customWidth="1"/>
    <col min="15109" max="15109" width="43.5703125" style="6" bestFit="1" customWidth="1"/>
    <col min="15110" max="15110" width="31.42578125" style="6" bestFit="1" customWidth="1"/>
    <col min="15111" max="15112" width="9.140625" style="6"/>
    <col min="15113" max="15113" width="11" style="6" bestFit="1" customWidth="1"/>
    <col min="15114" max="15360" width="9.140625" style="6"/>
    <col min="15361" max="15361" width="10.140625" style="6" bestFit="1" customWidth="1"/>
    <col min="15362" max="15362" width="11" style="6" bestFit="1" customWidth="1"/>
    <col min="15363" max="15363" width="10" style="6" customWidth="1"/>
    <col min="15364" max="15364" width="13" style="6" customWidth="1"/>
    <col min="15365" max="15365" width="43.5703125" style="6" bestFit="1" customWidth="1"/>
    <col min="15366" max="15366" width="31.42578125" style="6" bestFit="1" customWidth="1"/>
    <col min="15367" max="15368" width="9.140625" style="6"/>
    <col min="15369" max="15369" width="11" style="6" bestFit="1" customWidth="1"/>
    <col min="15370" max="15616" width="9.140625" style="6"/>
    <col min="15617" max="15617" width="10.140625" style="6" bestFit="1" customWidth="1"/>
    <col min="15618" max="15618" width="11" style="6" bestFit="1" customWidth="1"/>
    <col min="15619" max="15619" width="10" style="6" customWidth="1"/>
    <col min="15620" max="15620" width="13" style="6" customWidth="1"/>
    <col min="15621" max="15621" width="43.5703125" style="6" bestFit="1" customWidth="1"/>
    <col min="15622" max="15622" width="31.42578125" style="6" bestFit="1" customWidth="1"/>
    <col min="15623" max="15624" width="9.140625" style="6"/>
    <col min="15625" max="15625" width="11" style="6" bestFit="1" customWidth="1"/>
    <col min="15626" max="15872" width="9.140625" style="6"/>
    <col min="15873" max="15873" width="10.140625" style="6" bestFit="1" customWidth="1"/>
    <col min="15874" max="15874" width="11" style="6" bestFit="1" customWidth="1"/>
    <col min="15875" max="15875" width="10" style="6" customWidth="1"/>
    <col min="15876" max="15876" width="13" style="6" customWidth="1"/>
    <col min="15877" max="15877" width="43.5703125" style="6" bestFit="1" customWidth="1"/>
    <col min="15878" max="15878" width="31.42578125" style="6" bestFit="1" customWidth="1"/>
    <col min="15879" max="15880" width="9.140625" style="6"/>
    <col min="15881" max="15881" width="11" style="6" bestFit="1" customWidth="1"/>
    <col min="15882" max="16128" width="9.140625" style="6"/>
    <col min="16129" max="16129" width="10.140625" style="6" bestFit="1" customWidth="1"/>
    <col min="16130" max="16130" width="11" style="6" bestFit="1" customWidth="1"/>
    <col min="16131" max="16131" width="10" style="6" customWidth="1"/>
    <col min="16132" max="16132" width="13" style="6" customWidth="1"/>
    <col min="16133" max="16133" width="43.5703125" style="6" bestFit="1" customWidth="1"/>
    <col min="16134" max="16134" width="31.42578125" style="6" bestFit="1" customWidth="1"/>
    <col min="16135" max="16136" width="9.140625" style="6"/>
    <col min="16137" max="16137" width="11" style="6" bestFit="1" customWidth="1"/>
    <col min="16138" max="16384" width="9.140625" style="6"/>
  </cols>
  <sheetData>
    <row r="1" spans="2:6" ht="24" customHeight="1" thickBot="1" x14ac:dyDescent="0.25">
      <c r="B1" s="182" t="s">
        <v>612</v>
      </c>
      <c r="C1" s="183"/>
      <c r="D1" s="183"/>
      <c r="E1" s="183"/>
      <c r="F1" s="184"/>
    </row>
    <row r="2" spans="2:6" ht="24" customHeight="1" thickBot="1" x14ac:dyDescent="0.25">
      <c r="B2" s="185" t="s">
        <v>613</v>
      </c>
      <c r="C2" s="186"/>
      <c r="D2" s="186"/>
      <c r="E2" s="186"/>
      <c r="F2" s="187"/>
    </row>
    <row r="3" spans="2:6" ht="13.5" thickBot="1" x14ac:dyDescent="0.25">
      <c r="B3" s="16" t="s">
        <v>614</v>
      </c>
      <c r="C3" s="17" t="s">
        <v>615</v>
      </c>
      <c r="D3" s="7" t="s">
        <v>616</v>
      </c>
      <c r="E3" s="8" t="s">
        <v>617</v>
      </c>
      <c r="F3" s="16" t="s">
        <v>618</v>
      </c>
    </row>
    <row r="4" spans="2:6" x14ac:dyDescent="0.2">
      <c r="B4" s="107">
        <v>46064</v>
      </c>
      <c r="C4" s="108">
        <v>1</v>
      </c>
      <c r="D4" s="108" t="s">
        <v>769</v>
      </c>
      <c r="E4" s="108" t="s">
        <v>619</v>
      </c>
      <c r="F4" s="108" t="s">
        <v>620</v>
      </c>
    </row>
    <row r="5" spans="2:6" x14ac:dyDescent="0.2">
      <c r="B5" s="109">
        <v>46076</v>
      </c>
      <c r="C5" s="110">
        <v>1</v>
      </c>
      <c r="D5" s="110" t="s">
        <v>798</v>
      </c>
      <c r="E5" s="110" t="s">
        <v>727</v>
      </c>
      <c r="F5" s="110" t="s">
        <v>729</v>
      </c>
    </row>
    <row r="6" spans="2:6" x14ac:dyDescent="0.2">
      <c r="B6" s="109">
        <v>46076</v>
      </c>
      <c r="C6" s="110">
        <v>1</v>
      </c>
      <c r="D6" s="110" t="s">
        <v>799</v>
      </c>
      <c r="E6" s="110" t="s">
        <v>728</v>
      </c>
      <c r="F6" s="110" t="s">
        <v>730</v>
      </c>
    </row>
    <row r="7" spans="2:6" x14ac:dyDescent="0.2">
      <c r="B7" s="109">
        <v>46091</v>
      </c>
      <c r="C7" s="110">
        <v>1</v>
      </c>
      <c r="D7" s="110" t="s">
        <v>759</v>
      </c>
      <c r="E7" s="110" t="s">
        <v>771</v>
      </c>
      <c r="F7" s="110" t="s">
        <v>770</v>
      </c>
    </row>
    <row r="8" spans="2:6" x14ac:dyDescent="0.2">
      <c r="B8" s="109">
        <v>46091</v>
      </c>
      <c r="C8" s="110">
        <v>1</v>
      </c>
      <c r="D8" s="110" t="s">
        <v>760</v>
      </c>
      <c r="E8" s="110" t="s">
        <v>771</v>
      </c>
      <c r="F8" s="110" t="s">
        <v>770</v>
      </c>
    </row>
    <row r="9" spans="2:6" x14ac:dyDescent="0.2">
      <c r="B9" s="109">
        <v>46091</v>
      </c>
      <c r="C9" s="110">
        <v>1</v>
      </c>
      <c r="D9" s="110" t="s">
        <v>761</v>
      </c>
      <c r="E9" s="110" t="s">
        <v>771</v>
      </c>
      <c r="F9" s="110" t="s">
        <v>770</v>
      </c>
    </row>
    <row r="10" spans="2:6" x14ac:dyDescent="0.2">
      <c r="B10" s="109">
        <v>46091</v>
      </c>
      <c r="C10" s="110">
        <v>1</v>
      </c>
      <c r="D10" s="110" t="s">
        <v>762</v>
      </c>
      <c r="E10" s="110" t="s">
        <v>771</v>
      </c>
      <c r="F10" s="110" t="s">
        <v>770</v>
      </c>
    </row>
    <row r="11" spans="2:6" x14ac:dyDescent="0.2">
      <c r="B11" s="109">
        <v>46091</v>
      </c>
      <c r="C11" s="110">
        <v>1</v>
      </c>
      <c r="D11" s="110" t="s">
        <v>763</v>
      </c>
      <c r="E11" s="110" t="s">
        <v>771</v>
      </c>
      <c r="F11" s="110" t="s">
        <v>770</v>
      </c>
    </row>
    <row r="12" spans="2:6" x14ac:dyDescent="0.2">
      <c r="B12" s="109">
        <v>46091</v>
      </c>
      <c r="C12" s="110">
        <v>1</v>
      </c>
      <c r="D12" s="110" t="s">
        <v>764</v>
      </c>
      <c r="E12" s="110" t="s">
        <v>771</v>
      </c>
      <c r="F12" s="110" t="s">
        <v>770</v>
      </c>
    </row>
    <row r="13" spans="2:6" x14ac:dyDescent="0.2">
      <c r="B13" s="109">
        <v>46091</v>
      </c>
      <c r="C13" s="110">
        <v>1</v>
      </c>
      <c r="D13" s="110" t="s">
        <v>765</v>
      </c>
      <c r="E13" s="110" t="s">
        <v>771</v>
      </c>
      <c r="F13" s="110" t="s">
        <v>770</v>
      </c>
    </row>
    <row r="14" spans="2:6" x14ac:dyDescent="0.2">
      <c r="B14" s="109">
        <v>46091</v>
      </c>
      <c r="C14" s="110">
        <v>1</v>
      </c>
      <c r="D14" s="110" t="s">
        <v>766</v>
      </c>
      <c r="E14" s="110" t="s">
        <v>771</v>
      </c>
      <c r="F14" s="110" t="s">
        <v>770</v>
      </c>
    </row>
    <row r="15" spans="2:6" x14ac:dyDescent="0.2">
      <c r="B15" s="109">
        <v>46091</v>
      </c>
      <c r="C15" s="110">
        <v>1</v>
      </c>
      <c r="D15" s="110" t="s">
        <v>767</v>
      </c>
      <c r="E15" s="110" t="s">
        <v>771</v>
      </c>
      <c r="F15" s="110" t="s">
        <v>770</v>
      </c>
    </row>
    <row r="16" spans="2:6" x14ac:dyDescent="0.2">
      <c r="B16" s="109">
        <v>46091</v>
      </c>
      <c r="C16" s="110">
        <v>1</v>
      </c>
      <c r="D16" s="110" t="s">
        <v>768</v>
      </c>
      <c r="E16" s="110" t="s">
        <v>771</v>
      </c>
      <c r="F16" s="110" t="s">
        <v>770</v>
      </c>
    </row>
    <row r="17" spans="2:6" x14ac:dyDescent="0.2">
      <c r="B17" s="109">
        <v>46134</v>
      </c>
      <c r="C17" s="110">
        <v>1</v>
      </c>
      <c r="D17" s="110" t="s">
        <v>788</v>
      </c>
      <c r="E17" s="110" t="s">
        <v>790</v>
      </c>
      <c r="F17" s="110" t="s">
        <v>807</v>
      </c>
    </row>
    <row r="18" spans="2:6" x14ac:dyDescent="0.2">
      <c r="B18" s="109">
        <v>46161</v>
      </c>
      <c r="C18" s="110">
        <v>1</v>
      </c>
      <c r="D18" s="110" t="s">
        <v>792</v>
      </c>
      <c r="E18" s="110" t="s">
        <v>793</v>
      </c>
      <c r="F18" s="110" t="s">
        <v>794</v>
      </c>
    </row>
    <row r="19" spans="2:6" x14ac:dyDescent="0.2">
      <c r="B19" s="45">
        <v>46175</v>
      </c>
      <c r="C19" s="14">
        <v>2</v>
      </c>
      <c r="D19" s="14" t="s">
        <v>801</v>
      </c>
      <c r="E19" s="14" t="s">
        <v>1342</v>
      </c>
      <c r="F19" s="14" t="s">
        <v>1341</v>
      </c>
    </row>
    <row r="20" spans="2:6" x14ac:dyDescent="0.2">
      <c r="B20" s="45">
        <v>46182</v>
      </c>
      <c r="C20" s="14">
        <v>1</v>
      </c>
      <c r="D20" s="14" t="s">
        <v>1325</v>
      </c>
      <c r="E20" s="14" t="s">
        <v>1326</v>
      </c>
      <c r="F20" s="14" t="s">
        <v>807</v>
      </c>
    </row>
    <row r="21" spans="2:6" x14ac:dyDescent="0.2">
      <c r="B21" s="45">
        <v>46182</v>
      </c>
      <c r="C21" s="14">
        <v>3</v>
      </c>
      <c r="D21" s="14" t="s">
        <v>1330</v>
      </c>
      <c r="E21" s="14" t="s">
        <v>1326</v>
      </c>
      <c r="F21" s="14" t="s">
        <v>807</v>
      </c>
    </row>
    <row r="22" spans="2:6" x14ac:dyDescent="0.2">
      <c r="B22" s="45">
        <v>46183</v>
      </c>
      <c r="C22" s="14">
        <v>1</v>
      </c>
      <c r="D22" s="14" t="s">
        <v>1336</v>
      </c>
      <c r="E22" s="14" t="s">
        <v>1338</v>
      </c>
      <c r="F22" s="14" t="s">
        <v>807</v>
      </c>
    </row>
    <row r="23" spans="2:6" x14ac:dyDescent="0.2">
      <c r="B23" s="45">
        <v>46184</v>
      </c>
      <c r="C23" s="14">
        <v>2</v>
      </c>
      <c r="D23" s="14" t="s">
        <v>1340</v>
      </c>
      <c r="E23" s="14" t="s">
        <v>1342</v>
      </c>
      <c r="F23" s="14" t="s">
        <v>1341</v>
      </c>
    </row>
    <row r="24" spans="2:6" x14ac:dyDescent="0.2">
      <c r="B24" s="45">
        <v>46185</v>
      </c>
      <c r="C24" s="14">
        <v>1</v>
      </c>
      <c r="D24" s="14" t="s">
        <v>1350</v>
      </c>
      <c r="E24" s="14" t="s">
        <v>1351</v>
      </c>
      <c r="F24" s="14"/>
    </row>
    <row r="25" spans="2:6" x14ac:dyDescent="0.2">
      <c r="B25" s="45">
        <v>46186</v>
      </c>
      <c r="C25" s="14">
        <v>3</v>
      </c>
      <c r="D25" s="14" t="s">
        <v>1352</v>
      </c>
      <c r="E25" s="14" t="s">
        <v>1338</v>
      </c>
      <c r="F25" s="14"/>
    </row>
    <row r="26" spans="2:6" x14ac:dyDescent="0.2">
      <c r="B26" s="45"/>
      <c r="C26" s="14"/>
      <c r="D26" s="14"/>
      <c r="E26" s="14"/>
      <c r="F26" s="14"/>
    </row>
    <row r="27" spans="2:6" x14ac:dyDescent="0.2">
      <c r="B27" s="45"/>
      <c r="C27" s="14"/>
      <c r="D27" s="14"/>
      <c r="E27" s="14"/>
      <c r="F27" s="14"/>
    </row>
    <row r="28" spans="2:6" x14ac:dyDescent="0.2">
      <c r="B28" s="45"/>
      <c r="C28" s="14"/>
      <c r="D28" s="14"/>
      <c r="E28" s="14"/>
      <c r="F28" s="14"/>
    </row>
    <row r="29" spans="2:6" x14ac:dyDescent="0.2">
      <c r="B29" s="45"/>
      <c r="C29" s="14"/>
      <c r="D29" s="14"/>
      <c r="E29" s="14"/>
      <c r="F29" s="14"/>
    </row>
    <row r="30" spans="2:6" x14ac:dyDescent="0.2">
      <c r="B30" s="14"/>
      <c r="C30" s="14"/>
      <c r="D30" s="14"/>
      <c r="E30" s="14"/>
      <c r="F30" s="14"/>
    </row>
    <row r="31" spans="2:6" x14ac:dyDescent="0.2">
      <c r="B31" s="15"/>
      <c r="C31" s="15"/>
      <c r="D31" s="15"/>
      <c r="E31" s="15"/>
      <c r="F31" s="15"/>
    </row>
  </sheetData>
  <mergeCells count="2">
    <mergeCell ref="B1:F1"/>
    <mergeCell ref="B2:F2"/>
  </mergeCells>
  <conditionalFormatting sqref="B1:C2">
    <cfRule type="duplicateValues" dxfId="47" priority="7" stopIfTrue="1"/>
  </conditionalFormatting>
  <conditionalFormatting sqref="D1:D3">
    <cfRule type="duplicateValues" dxfId="46" priority="54" stopIfTrue="1"/>
    <cfRule type="expression" dxfId="45" priority="55" stopIfTrue="1">
      <formula>AND(COUNTIF(#REF!, D1)+COUNTIF($D$1:$D$3, D1)+COUNTIF(#REF!, D1)&gt;1,NOT(ISBLANK(D1)))</formula>
    </cfRule>
    <cfRule type="expression" dxfId="44" priority="57" stopIfTrue="1">
      <formula>AND(COUNTIF(#REF!, D1)+COUNTIF($D$1:$D$3, D1)&gt;1,NOT(ISBLANK(D1)))</formula>
    </cfRule>
    <cfRule type="expression" dxfId="43" priority="58" stopIfTrue="1">
      <formula>AND(COUNTIF(#REF!, D1)+COUNTIF($D$1:$D$3, D1)+COUNTIF(#REF!, D1)+COUNTIF(#REF!, D1)&gt;1,NOT(ISBLANK(D1)))</formula>
    </cfRule>
    <cfRule type="expression" dxfId="42" priority="59" stopIfTrue="1">
      <formula>AND(COUNTIF($D$1:$D$3, D1)+COUNTIF(#REF!, D1)&gt;1,NOT(ISBLANK(D1)))</formula>
    </cfRule>
    <cfRule type="expression" dxfId="41" priority="60" stopIfTrue="1">
      <formula>AND(COUNTIF(#REF!, D1)+COUNTIF(#REF!, D1)+COUNTIF($D$1:$D$3, D1)+COUNTIF(#REF!, D1)&gt;1,NOT(ISBLANK(D1)))</formula>
    </cfRule>
    <cfRule type="expression" dxfId="40" priority="65" stopIfTrue="1">
      <formula>AND(COUNTIF(#REF!, D1)+COUNTIF($D$1:$D$3, D1)&gt;1,NOT(ISBLANK(D1)))</formula>
    </cfRule>
    <cfRule type="expression" dxfId="39" priority="70" stopIfTrue="1">
      <formula>AND(COUNTIF($D$1:$D$3, D1)+COUNTIF(#REF!, D1)&gt;1,NOT(ISBLANK(D1)))</formula>
    </cfRule>
    <cfRule type="expression" dxfId="38" priority="73" stopIfTrue="1">
      <formula>AND(COUNTIF(#REF!, D1)+COUNTIF(#REF!, D1)+COUNTIF(#REF!, D1)+COUNTIF($D$1:$D$3, D1)&gt;1,NOT(ISBLANK(D1)))</formula>
    </cfRule>
    <cfRule type="expression" dxfId="37" priority="76" stopIfTrue="1">
      <formula>AND(COUNTIF(#REF!, D1)+COUNTIF(#REF!, D1)+COUNTIF($D$1:$D$3, D1)&gt;1,NOT(ISBLANK(D1)))</formula>
    </cfRule>
    <cfRule type="expression" dxfId="36" priority="90" stopIfTrue="1">
      <formula>AND(COUNTIF($D$1:$D$3, D1)+COUNTIF(#REF!, D1)&gt;1,NOT(ISBLANK(D1)))</formula>
    </cfRule>
    <cfRule type="expression" dxfId="35" priority="92" stopIfTrue="1">
      <formula>AND(COUNTIF($D$1:$D$3, D1)+COUNTIF(#REF!, D1)+COUNTIF(#REF!, D1)+COUNTIF(#REF!, D1)&gt;1,NOT(ISBLANK(D1)))</formula>
    </cfRule>
    <cfRule type="expression" dxfId="34" priority="95" stopIfTrue="1">
      <formula>AND(COUNTIF(#REF!, D1)+COUNTIF($D$1:$D$3, D1)+COUNTIF(#REF!, D1)+COUNTIF(#REF!, D1)+COUNTIF(#REF!, D1)+COUNTIF(#REF!, D1)+COUNTIF(#REF!, D1)&gt;1,NOT(ISBLANK(D1)))</formula>
    </cfRule>
    <cfRule type="duplicateValues" dxfId="33" priority="97" stopIfTrue="1"/>
    <cfRule type="duplicateValues" dxfId="32" priority="98" stopIfTrue="1"/>
  </conditionalFormatting>
  <conditionalFormatting sqref="D1:D65535">
    <cfRule type="duplicateValues" dxfId="31" priority="81" stopIfTrue="1"/>
    <cfRule type="duplicateValues" dxfId="30" priority="82" stopIfTrue="1"/>
    <cfRule type="duplicateValues" dxfId="29" priority="83" stopIfTrue="1"/>
    <cfRule type="duplicateValues" dxfId="28" priority="84" stopIfTrue="1"/>
    <cfRule type="duplicateValues" dxfId="27" priority="85" stopIfTrue="1"/>
  </conditionalFormatting>
  <conditionalFormatting sqref="D1:D1048576">
    <cfRule type="duplicateValues" dxfId="26" priority="1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Dashboard</vt:lpstr>
      <vt:lpstr>MPQT - WPQT</vt:lpstr>
      <vt:lpstr>24 X 1.268 OFF</vt:lpstr>
      <vt:lpstr>PO5021701</vt:lpstr>
      <vt:lpstr>Pivot</vt:lpstr>
      <vt:lpstr>Chart</vt:lpstr>
      <vt:lpstr>Repair</vt:lpstr>
      <vt:lpstr>Rejection</vt:lpstr>
      <vt:lpstr>Chart!Area_de_impressao</vt:lpstr>
      <vt:lpstr>Dashboard!Area_de_impressao</vt:lpstr>
    </vt:vector>
  </TitlesOfParts>
  <Company>IQS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Henrique Antunes Eugenio</cp:lastModifiedBy>
  <cp:revision>1</cp:revision>
  <dcterms:created xsi:type="dcterms:W3CDTF">2026-02-19T11:06:10Z</dcterms:created>
  <dcterms:modified xsi:type="dcterms:W3CDTF">2026-06-15T14:42:25Z</dcterms:modified>
</cp:coreProperties>
</file>