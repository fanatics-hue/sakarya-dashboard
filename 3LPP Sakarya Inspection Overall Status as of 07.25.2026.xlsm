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e251b8e80cb6b298/Desktop/Claude Workspace/Sakarya - Hosting Dashboard GitHub/"/>
    </mc:Choice>
  </mc:AlternateContent>
  <xr:revisionPtr revIDLastSave="3" documentId="11_A7B49D3D388AFA5C104D5C7BFE5157F02FDC4B0C" xr6:coauthVersionLast="47" xr6:coauthVersionMax="47" xr10:uidLastSave="{8552042B-4731-46C6-9456-9D48F2F7D648}"/>
  <bookViews>
    <workbookView xWindow="-110" yWindow="-110" windowWidth="19420" windowHeight="11500" firstSheet="2" activeTab="8" xr2:uid="{00000000-000D-0000-FFFF-FFFF00000000}"/>
  </bookViews>
  <sheets>
    <sheet name="CLEAN Table" sheetId="1" state="hidden" r:id="rId1"/>
    <sheet name="DRAFT TABLE PPT" sheetId="2" state="hidden" r:id="rId2"/>
    <sheet name="Lab Tests PPT" sheetId="3" r:id="rId3"/>
    <sheet name="Lab Tests Prod" sheetId="4" r:id="rId4"/>
    <sheet name="REPAIR" sheetId="5" state="hidden" r:id="rId5"/>
    <sheet name="REJECTION" sheetId="6" state="hidden" r:id="rId6"/>
    <sheet name="Planilha1" sheetId="7" state="hidden" r:id="rId7"/>
    <sheet name="Production" sheetId="8" r:id="rId8"/>
    <sheet name="On hold" sheetId="9" r:id="rId9"/>
    <sheet name="Raw Material" sheetId="10" r:id="rId10"/>
    <sheet name="Stripping- heating &amp; Steel Dam." sheetId="11" r:id="rId11"/>
    <sheet name="Stripping- From Production" sheetId="12" r:id="rId12"/>
    <sheet name="Tenaris FROSIOCoating Inspector" sheetId="13" r:id="rId13"/>
  </sheets>
  <definedNames>
    <definedName name="_xlnm.Print_Area" localSheetId="0">'CLEAN Table'!$A$1:$CF$41</definedName>
    <definedName name="_xlnm.Print_Area" localSheetId="1">'DRAFT TABLE PPT'!$A$1:$BA$34</definedName>
    <definedName name="_xlnm.Print_Area" localSheetId="2">'Lab Tests PPT'!$A$1:$BT$619</definedName>
    <definedName name="_xlnm.Print_Area" localSheetId="3">'Lab Tests Prod'!$A$1:$BV$633</definedName>
    <definedName name="_xlnm.Print_Area" localSheetId="5">REJECTION!$A$1:$K$626</definedName>
    <definedName name="_xlnm.Print_Area" localSheetId="4">REPAIR!$A$1:$J$626</definedName>
    <definedName name="_xlnm.Print_Area" localSheetId="11">'Stripping- From Production'!$A$1:$I$160</definedName>
    <definedName name="ZERO" localSheetId="0">'CLEAN Table'!$A$41</definedName>
    <definedName name="ZERO" localSheetId="1">'DRAFT TABLE PPT'!$A$34</definedName>
    <definedName name="ZERO" localSheetId="2">'Lab Tests PPT'!$A$619</definedName>
    <definedName name="ZERO" localSheetId="3">'Lab Tests Prod'!$A$633</definedName>
    <definedName name="ZERO" localSheetId="5">REJECTION!$A$626</definedName>
    <definedName name="ZERO" localSheetId="4">REPAIR!$A$626</definedName>
    <definedName name="ZERO_Sort" localSheetId="0">'CLEAN Table'!$CG$16</definedName>
    <definedName name="ZERO_Sort" localSheetId="1">'DRAFT TABLE PPT'!$BB$16</definedName>
    <definedName name="ZERO_Sort" localSheetId="2">'Lab Tests PPT'!$BU$12</definedName>
    <definedName name="ZERO_Sort" localSheetId="5">REJECTION!#REF!</definedName>
    <definedName name="ZERO_Sort" localSheetId="4">REPAIR!#REF!</definedName>
    <definedName name="ZERO_Sort">'Lab Tests Prod'!$BW$12</definedName>
    <definedName name="ZERO_TXT" localSheetId="0">'CLEAN Table'!$A$10</definedName>
    <definedName name="ZERO_TXT" localSheetId="1">'DRAFT TABLE PPT'!$A$10</definedName>
    <definedName name="ZERO_TXT" localSheetId="2">'Lab Tests PPT'!$A$8</definedName>
    <definedName name="ZERO_TXT" localSheetId="5">REJECTION!$A$10</definedName>
    <definedName name="ZERO_TXT" localSheetId="4">REPAIR!$A$10</definedName>
    <definedName name="ZERO_TXT">'Lab Tests Prod'!$A$8</definedName>
    <definedName name="zip" localSheetId="0">#REF!</definedName>
    <definedName name="zip" localSheetId="1">#REF!</definedName>
    <definedName name="z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0" i="12" l="1"/>
  <c r="G300" i="12"/>
  <c r="A300" i="12"/>
  <c r="H299" i="12"/>
  <c r="G299" i="12"/>
  <c r="A299" i="12"/>
  <c r="H298" i="12"/>
  <c r="G298" i="12"/>
  <c r="A298" i="12"/>
  <c r="H297" i="12"/>
  <c r="G297" i="12"/>
  <c r="A297" i="12"/>
  <c r="H296" i="12"/>
  <c r="G296" i="12"/>
  <c r="A296" i="12"/>
  <c r="H295" i="12"/>
  <c r="G295" i="12"/>
  <c r="A295" i="12"/>
  <c r="H294" i="12"/>
  <c r="G294" i="12"/>
  <c r="A294" i="12"/>
  <c r="H293" i="12"/>
  <c r="G293" i="12"/>
  <c r="A293" i="12"/>
  <c r="H292" i="12"/>
  <c r="G292" i="12"/>
  <c r="A292" i="12"/>
  <c r="H291" i="12"/>
  <c r="G291" i="12"/>
  <c r="A291" i="12"/>
  <c r="H290" i="12"/>
  <c r="G290" i="12"/>
  <c r="A290" i="12"/>
  <c r="H289" i="12"/>
  <c r="G289" i="12"/>
  <c r="A289" i="12"/>
  <c r="H288" i="12"/>
  <c r="G288" i="12"/>
  <c r="A288" i="12"/>
  <c r="H287" i="12"/>
  <c r="G287" i="12"/>
  <c r="A287" i="12"/>
  <c r="H286" i="12"/>
  <c r="G286" i="12"/>
  <c r="A286" i="12"/>
  <c r="H285" i="12"/>
  <c r="G285" i="12"/>
  <c r="A285" i="12"/>
  <c r="H284" i="12"/>
  <c r="G284" i="12"/>
  <c r="A284" i="12"/>
  <c r="H283" i="12"/>
  <c r="G283" i="12"/>
  <c r="A283" i="12"/>
  <c r="H282" i="12"/>
  <c r="G282" i="12"/>
  <c r="A282" i="12"/>
  <c r="H281" i="12"/>
  <c r="G281" i="12"/>
  <c r="A281" i="12"/>
  <c r="H280" i="12"/>
  <c r="G280" i="12"/>
  <c r="A280" i="12"/>
  <c r="H279" i="12"/>
  <c r="G279" i="12"/>
  <c r="A279" i="12"/>
  <c r="H278" i="12"/>
  <c r="G278" i="12"/>
  <c r="A278" i="12"/>
  <c r="H277" i="12"/>
  <c r="G277" i="12"/>
  <c r="A277" i="12"/>
  <c r="H276" i="12"/>
  <c r="G276" i="12"/>
  <c r="A276" i="12"/>
  <c r="H275" i="12"/>
  <c r="G275" i="12"/>
  <c r="A275" i="12"/>
  <c r="H274" i="12"/>
  <c r="G274" i="12"/>
  <c r="A274" i="12"/>
  <c r="H273" i="12"/>
  <c r="G273" i="12"/>
  <c r="A273" i="12"/>
  <c r="H272" i="12"/>
  <c r="G272" i="12"/>
  <c r="A272" i="12"/>
  <c r="H271" i="12"/>
  <c r="G271" i="12"/>
  <c r="A271" i="12"/>
  <c r="H270" i="12"/>
  <c r="G270" i="12"/>
  <c r="A270" i="12"/>
  <c r="H269" i="12"/>
  <c r="G269" i="12"/>
  <c r="A269" i="12"/>
  <c r="H268" i="12"/>
  <c r="G268" i="12"/>
  <c r="A268" i="12"/>
  <c r="H267" i="12"/>
  <c r="G267" i="12"/>
  <c r="A267" i="12"/>
  <c r="H266" i="12"/>
  <c r="G266" i="12"/>
  <c r="A266" i="12"/>
  <c r="H265" i="12"/>
  <c r="G265" i="12"/>
  <c r="A265" i="12"/>
  <c r="H264" i="12"/>
  <c r="G264" i="12"/>
  <c r="A264" i="12"/>
  <c r="H263" i="12"/>
  <c r="G263" i="12"/>
  <c r="A263" i="12"/>
  <c r="H262" i="12"/>
  <c r="G262" i="12"/>
  <c r="A262" i="12"/>
  <c r="H261" i="12"/>
  <c r="G261" i="12"/>
  <c r="A261" i="12"/>
  <c r="H260" i="12"/>
  <c r="G260" i="12"/>
  <c r="A260" i="12"/>
  <c r="H259" i="12"/>
  <c r="G259" i="12"/>
  <c r="A259" i="12"/>
  <c r="H258" i="12"/>
  <c r="G258" i="12"/>
  <c r="A258" i="12"/>
  <c r="H257" i="12"/>
  <c r="G257" i="12"/>
  <c r="A257" i="12"/>
  <c r="H256" i="12"/>
  <c r="G256" i="12"/>
  <c r="A256" i="12"/>
  <c r="H255" i="12"/>
  <c r="G255" i="12"/>
  <c r="A255" i="12"/>
  <c r="H254" i="12"/>
  <c r="G254" i="12"/>
  <c r="A254" i="12"/>
  <c r="H253" i="12"/>
  <c r="G253" i="12"/>
  <c r="A253" i="12"/>
  <c r="H252" i="12"/>
  <c r="G252" i="12"/>
  <c r="A252" i="12"/>
  <c r="H251" i="12"/>
  <c r="G251" i="12"/>
  <c r="A251" i="12"/>
  <c r="H250" i="12"/>
  <c r="G250" i="12"/>
  <c r="A250" i="12"/>
  <c r="H249" i="12"/>
  <c r="G249" i="12"/>
  <c r="A249" i="12"/>
  <c r="H248" i="12"/>
  <c r="G248" i="12"/>
  <c r="A248" i="12"/>
  <c r="H247" i="12"/>
  <c r="G247" i="12"/>
  <c r="A247" i="12"/>
  <c r="H246" i="12"/>
  <c r="G246" i="12"/>
  <c r="A246" i="12"/>
  <c r="H245" i="12"/>
  <c r="G245" i="12"/>
  <c r="A245" i="12"/>
  <c r="H244" i="12"/>
  <c r="G244" i="12"/>
  <c r="A244" i="12"/>
  <c r="H243" i="12"/>
  <c r="G243" i="12"/>
  <c r="A243" i="12"/>
  <c r="H242" i="12"/>
  <c r="G242" i="12"/>
  <c r="A242" i="12"/>
  <c r="H241" i="12"/>
  <c r="G241" i="12"/>
  <c r="A241" i="12"/>
  <c r="H240" i="12"/>
  <c r="G240" i="12"/>
  <c r="A240" i="12"/>
  <c r="H239" i="12"/>
  <c r="G239" i="12"/>
  <c r="A239" i="12"/>
  <c r="H238" i="12"/>
  <c r="G238" i="12"/>
  <c r="A238" i="12"/>
  <c r="H237" i="12"/>
  <c r="G237" i="12"/>
  <c r="A237" i="12"/>
  <c r="H236" i="12"/>
  <c r="G236" i="12"/>
  <c r="A236" i="12"/>
  <c r="H235" i="12"/>
  <c r="G235" i="12"/>
  <c r="A235" i="12"/>
  <c r="H234" i="12"/>
  <c r="G234" i="12"/>
  <c r="A234" i="12"/>
  <c r="H233" i="12"/>
  <c r="G233" i="12"/>
  <c r="A233" i="12"/>
  <c r="H232" i="12"/>
  <c r="G232" i="12"/>
  <c r="A232" i="12"/>
  <c r="H231" i="12"/>
  <c r="G231" i="12"/>
  <c r="A231" i="12"/>
  <c r="H230" i="12"/>
  <c r="G230" i="12"/>
  <c r="A230" i="12"/>
  <c r="H229" i="12"/>
  <c r="G229" i="12"/>
  <c r="A229" i="12"/>
  <c r="H228" i="12"/>
  <c r="G228" i="12"/>
  <c r="A228" i="12"/>
  <c r="H227" i="12"/>
  <c r="G227" i="12"/>
  <c r="A227" i="12"/>
  <c r="H226" i="12"/>
  <c r="G226" i="12"/>
  <c r="A226" i="12"/>
  <c r="H225" i="12"/>
  <c r="G225" i="12"/>
  <c r="A225" i="12"/>
  <c r="H224" i="12"/>
  <c r="G224" i="12"/>
  <c r="A224" i="12"/>
  <c r="H223" i="12"/>
  <c r="G223" i="12"/>
  <c r="A223" i="12"/>
  <c r="H222" i="12"/>
  <c r="G222" i="12"/>
  <c r="A222" i="12"/>
  <c r="H221" i="12"/>
  <c r="G221" i="12"/>
  <c r="A221" i="12"/>
  <c r="H220" i="12"/>
  <c r="G220" i="12"/>
  <c r="A220" i="12"/>
  <c r="H219" i="12"/>
  <c r="G219" i="12"/>
  <c r="A219" i="12"/>
  <c r="H218" i="12"/>
  <c r="G218" i="12"/>
  <c r="A218" i="12"/>
  <c r="H217" i="12"/>
  <c r="G217" i="12"/>
  <c r="A217" i="12"/>
  <c r="H216" i="12"/>
  <c r="G216" i="12"/>
  <c r="A216" i="12"/>
  <c r="H215" i="12"/>
  <c r="G215" i="12"/>
  <c r="A215" i="12"/>
  <c r="H214" i="12"/>
  <c r="G214" i="12"/>
  <c r="A214" i="12"/>
  <c r="H213" i="12"/>
  <c r="G213" i="12"/>
  <c r="A213" i="12"/>
  <c r="H212" i="12"/>
  <c r="G212" i="12"/>
  <c r="A212" i="12"/>
  <c r="H211" i="12"/>
  <c r="G211" i="12"/>
  <c r="A211" i="12"/>
  <c r="H210" i="12"/>
  <c r="G210" i="12"/>
  <c r="A210" i="12"/>
  <c r="H209" i="12"/>
  <c r="G209" i="12"/>
  <c r="A209" i="12"/>
  <c r="H208" i="12"/>
  <c r="G208" i="12"/>
  <c r="A208" i="12"/>
  <c r="H207" i="12"/>
  <c r="G207" i="12"/>
  <c r="A207" i="12"/>
  <c r="H206" i="12"/>
  <c r="G206" i="12"/>
  <c r="A206" i="12"/>
  <c r="H205" i="12"/>
  <c r="G205" i="12"/>
  <c r="A205" i="12"/>
  <c r="H204" i="12"/>
  <c r="G204" i="12"/>
  <c r="A204" i="12"/>
  <c r="H203" i="12"/>
  <c r="G203" i="12"/>
  <c r="A203" i="12"/>
  <c r="H202" i="12"/>
  <c r="G202" i="12"/>
  <c r="A202" i="12"/>
  <c r="H201" i="12"/>
  <c r="G201" i="12"/>
  <c r="A201" i="12"/>
  <c r="H200" i="12"/>
  <c r="G200" i="12"/>
  <c r="A200" i="12"/>
  <c r="H199" i="12"/>
  <c r="G199" i="12"/>
  <c r="A199" i="12"/>
  <c r="H198" i="12"/>
  <c r="G198" i="12"/>
  <c r="A198" i="12"/>
  <c r="H197" i="12"/>
  <c r="G197" i="12"/>
  <c r="A197" i="12"/>
  <c r="H196" i="12"/>
  <c r="G196" i="12"/>
  <c r="A196" i="12"/>
  <c r="H195" i="12"/>
  <c r="G195" i="12"/>
  <c r="A195" i="12"/>
  <c r="H194" i="12"/>
  <c r="G194" i="12"/>
  <c r="A194" i="12"/>
  <c r="H193" i="12"/>
  <c r="G193" i="12"/>
  <c r="A193" i="12"/>
  <c r="H192" i="12"/>
  <c r="G192" i="12"/>
  <c r="A192" i="12"/>
  <c r="H191" i="12"/>
  <c r="G191" i="12"/>
  <c r="A191" i="12"/>
  <c r="H190" i="12"/>
  <c r="G190" i="12"/>
  <c r="A190" i="12"/>
  <c r="H189" i="12"/>
  <c r="G189" i="12"/>
  <c r="A189" i="12"/>
  <c r="H188" i="12"/>
  <c r="G188" i="12"/>
  <c r="A188" i="12"/>
  <c r="H187" i="12"/>
  <c r="G187" i="12"/>
  <c r="A187" i="12"/>
  <c r="H186" i="12"/>
  <c r="G186" i="12"/>
  <c r="A186" i="12"/>
  <c r="H185" i="12"/>
  <c r="G185" i="12"/>
  <c r="A185" i="12"/>
  <c r="H184" i="12"/>
  <c r="G184" i="12"/>
  <c r="A184" i="12"/>
  <c r="H183" i="12"/>
  <c r="G183" i="12"/>
  <c r="A183" i="12"/>
  <c r="H182" i="12"/>
  <c r="G182" i="12"/>
  <c r="A182" i="12"/>
  <c r="H181" i="12"/>
  <c r="G181" i="12"/>
  <c r="A181" i="12"/>
  <c r="H180" i="12"/>
  <c r="G180" i="12"/>
  <c r="A180" i="12"/>
  <c r="H179" i="12"/>
  <c r="G179" i="12"/>
  <c r="A179" i="12"/>
  <c r="H178" i="12"/>
  <c r="G178" i="12"/>
  <c r="A178" i="12"/>
  <c r="H177" i="12"/>
  <c r="G177" i="12"/>
  <c r="A177" i="12"/>
  <c r="H176" i="12"/>
  <c r="G176" i="12"/>
  <c r="A176" i="12"/>
  <c r="H175" i="12"/>
  <c r="G175" i="12"/>
  <c r="A175" i="12"/>
  <c r="H174" i="12"/>
  <c r="G174" i="12"/>
  <c r="A174" i="12"/>
  <c r="H173" i="12"/>
  <c r="G173" i="12"/>
  <c r="A173" i="12"/>
  <c r="H172" i="12"/>
  <c r="G172" i="12"/>
  <c r="A172" i="12"/>
  <c r="H171" i="12"/>
  <c r="G171" i="12"/>
  <c r="A171" i="12"/>
  <c r="H170" i="12"/>
  <c r="G170" i="12"/>
  <c r="A170" i="12"/>
  <c r="H169" i="12"/>
  <c r="G169" i="12"/>
  <c r="A169" i="12"/>
  <c r="H168" i="12"/>
  <c r="G168" i="12"/>
  <c r="A168" i="12"/>
  <c r="H167" i="12"/>
  <c r="G167" i="12"/>
  <c r="A167" i="12"/>
  <c r="H166" i="12"/>
  <c r="G166" i="12"/>
  <c r="A166" i="12"/>
  <c r="H165" i="12"/>
  <c r="G165" i="12"/>
  <c r="A165" i="12"/>
  <c r="H164" i="12"/>
  <c r="G164" i="12"/>
  <c r="A164" i="12"/>
  <c r="H163" i="12"/>
  <c r="G163" i="12"/>
  <c r="A163" i="12"/>
  <c r="H162" i="12"/>
  <c r="G162" i="12"/>
  <c r="A162" i="12"/>
  <c r="H161" i="12"/>
  <c r="G161" i="12"/>
  <c r="A161" i="12"/>
  <c r="H160" i="12"/>
  <c r="G160" i="12"/>
  <c r="A160" i="12"/>
  <c r="H159" i="12"/>
  <c r="G159" i="12"/>
  <c r="A159" i="12"/>
  <c r="H158" i="12"/>
  <c r="G158" i="12"/>
  <c r="A158" i="12"/>
  <c r="H157" i="12"/>
  <c r="G157" i="12"/>
  <c r="A157" i="12"/>
  <c r="H156" i="12"/>
  <c r="G156" i="12"/>
  <c r="A156" i="12"/>
  <c r="H155" i="12"/>
  <c r="G155" i="12"/>
  <c r="A155" i="12"/>
  <c r="H154" i="12"/>
  <c r="G154" i="12"/>
  <c r="A154" i="12"/>
  <c r="H153" i="12"/>
  <c r="G153" i="12"/>
  <c r="A153" i="12"/>
  <c r="H152" i="12"/>
  <c r="G152" i="12"/>
  <c r="A152" i="12"/>
  <c r="H151" i="12"/>
  <c r="G151" i="12"/>
  <c r="A151" i="12"/>
  <c r="H150" i="12"/>
  <c r="G150" i="12"/>
  <c r="A150" i="12"/>
  <c r="H149" i="12"/>
  <c r="G149" i="12"/>
  <c r="A149" i="12"/>
  <c r="H148" i="12"/>
  <c r="G148" i="12"/>
  <c r="A148" i="12"/>
  <c r="H147" i="12"/>
  <c r="G147" i="12"/>
  <c r="A147" i="12"/>
  <c r="H146" i="12"/>
  <c r="G146" i="12"/>
  <c r="A146" i="12"/>
  <c r="H145" i="12"/>
  <c r="G145" i="12"/>
  <c r="A145" i="12"/>
  <c r="H144" i="12"/>
  <c r="G144" i="12"/>
  <c r="A144" i="12"/>
  <c r="H143" i="12"/>
  <c r="G143" i="12"/>
  <c r="A143" i="12"/>
  <c r="H142" i="12"/>
  <c r="G142" i="12"/>
  <c r="A142" i="12"/>
  <c r="H141" i="12"/>
  <c r="G141" i="12"/>
  <c r="A141" i="12"/>
  <c r="H140" i="12"/>
  <c r="G140" i="12"/>
  <c r="A140" i="12"/>
  <c r="H139" i="12"/>
  <c r="G139" i="12"/>
  <c r="A139" i="12"/>
  <c r="H138" i="12"/>
  <c r="G138" i="12"/>
  <c r="A138" i="12"/>
  <c r="H137" i="12"/>
  <c r="G137" i="12"/>
  <c r="A137" i="12"/>
  <c r="H136" i="12"/>
  <c r="G136" i="12"/>
  <c r="A136" i="12"/>
  <c r="H135" i="12"/>
  <c r="G135" i="12"/>
  <c r="A135" i="12"/>
  <c r="H134" i="12"/>
  <c r="G134" i="12"/>
  <c r="A134" i="12"/>
  <c r="H133" i="12"/>
  <c r="G133" i="12"/>
  <c r="A133" i="12"/>
  <c r="H132" i="12"/>
  <c r="G132" i="12"/>
  <c r="A132" i="12"/>
  <c r="H131" i="12"/>
  <c r="G131" i="12"/>
  <c r="A131" i="12"/>
  <c r="H130" i="12"/>
  <c r="G130" i="12"/>
  <c r="A130" i="12"/>
  <c r="H129" i="12"/>
  <c r="G129" i="12"/>
  <c r="A129" i="12"/>
  <c r="H128" i="12"/>
  <c r="G128" i="12"/>
  <c r="A128" i="12"/>
  <c r="H127" i="12"/>
  <c r="G127" i="12"/>
  <c r="A127" i="12"/>
  <c r="H126" i="12"/>
  <c r="G126" i="12"/>
  <c r="A126" i="12"/>
  <c r="H125" i="12"/>
  <c r="G125" i="12"/>
  <c r="A125" i="12"/>
  <c r="H124" i="12"/>
  <c r="G124" i="12"/>
  <c r="A124" i="12"/>
  <c r="H123" i="12"/>
  <c r="G123" i="12"/>
  <c r="A123" i="12"/>
  <c r="H122" i="12"/>
  <c r="G122" i="12"/>
  <c r="A122" i="12"/>
  <c r="H121" i="12"/>
  <c r="G121" i="12"/>
  <c r="A121" i="12"/>
  <c r="H120" i="12"/>
  <c r="G120" i="12"/>
  <c r="A120" i="12"/>
  <c r="H119" i="12"/>
  <c r="G119" i="12"/>
  <c r="A119" i="12"/>
  <c r="H118" i="12"/>
  <c r="G118" i="12"/>
  <c r="A118" i="12"/>
  <c r="H117" i="12"/>
  <c r="G117" i="12"/>
  <c r="A117" i="12"/>
  <c r="H116" i="12"/>
  <c r="G116" i="12"/>
  <c r="A116" i="12"/>
  <c r="H115" i="12"/>
  <c r="G115" i="12"/>
  <c r="A115" i="12"/>
  <c r="H114" i="12"/>
  <c r="G114" i="12"/>
  <c r="A114" i="12"/>
  <c r="H113" i="12"/>
  <c r="G113" i="12"/>
  <c r="A113" i="12"/>
  <c r="H112" i="12"/>
  <c r="G112" i="12"/>
  <c r="A112" i="12"/>
  <c r="H111" i="12"/>
  <c r="G111" i="12"/>
  <c r="A111" i="12"/>
  <c r="H110" i="12"/>
  <c r="G110" i="12"/>
  <c r="A110" i="12"/>
  <c r="H109" i="12"/>
  <c r="G109" i="12"/>
  <c r="A109" i="12"/>
  <c r="H108" i="12"/>
  <c r="G108" i="12"/>
  <c r="A108" i="12"/>
  <c r="H107" i="12"/>
  <c r="G107" i="12"/>
  <c r="A107" i="12"/>
  <c r="H106" i="12"/>
  <c r="G106" i="12"/>
  <c r="A106" i="12"/>
  <c r="H105" i="12"/>
  <c r="G105" i="12"/>
  <c r="A105" i="12"/>
  <c r="H104" i="12"/>
  <c r="G104" i="12"/>
  <c r="A104" i="12"/>
  <c r="H103" i="12"/>
  <c r="G103" i="12"/>
  <c r="A103" i="12"/>
  <c r="H102" i="12"/>
  <c r="G102" i="12"/>
  <c r="A102" i="12"/>
  <c r="H101" i="12"/>
  <c r="G101" i="12"/>
  <c r="A101" i="12"/>
  <c r="H100" i="12"/>
  <c r="G100" i="12"/>
  <c r="A100" i="12"/>
  <c r="H99" i="12"/>
  <c r="G99" i="12"/>
  <c r="A99" i="12"/>
  <c r="H98" i="12"/>
  <c r="G98" i="12"/>
  <c r="A98" i="12"/>
  <c r="H97" i="12"/>
  <c r="G97" i="12"/>
  <c r="A97" i="12"/>
  <c r="H96" i="12"/>
  <c r="G96" i="12"/>
  <c r="A96" i="12"/>
  <c r="H95" i="12"/>
  <c r="G95" i="12"/>
  <c r="A95" i="12"/>
  <c r="H94" i="12"/>
  <c r="G94" i="12"/>
  <c r="A94" i="12"/>
  <c r="H93" i="12"/>
  <c r="G93" i="12"/>
  <c r="A93" i="12"/>
  <c r="H92" i="12"/>
  <c r="G92" i="12"/>
  <c r="A92" i="12"/>
  <c r="H91" i="12"/>
  <c r="G91" i="12"/>
  <c r="A91" i="12"/>
  <c r="H90" i="12"/>
  <c r="G90" i="12"/>
  <c r="A90" i="12"/>
  <c r="H89" i="12"/>
  <c r="G89" i="12"/>
  <c r="A89" i="12"/>
  <c r="H88" i="12"/>
  <c r="G88" i="12"/>
  <c r="A88" i="12"/>
  <c r="H87" i="12"/>
  <c r="G87" i="12"/>
  <c r="A87" i="12"/>
  <c r="H86" i="12"/>
  <c r="G86" i="12"/>
  <c r="A86" i="12"/>
  <c r="H85" i="12"/>
  <c r="G85" i="12"/>
  <c r="A85" i="12"/>
  <c r="H84" i="12"/>
  <c r="G84" i="12"/>
  <c r="A84" i="12"/>
  <c r="H83" i="12"/>
  <c r="G83" i="12"/>
  <c r="A83" i="12"/>
  <c r="H82" i="12"/>
  <c r="G82" i="12"/>
  <c r="A82" i="12"/>
  <c r="H81" i="12"/>
  <c r="G81" i="12"/>
  <c r="A81" i="12"/>
  <c r="H80" i="12"/>
  <c r="G80" i="12"/>
  <c r="A80" i="12"/>
  <c r="H79" i="12"/>
  <c r="G79" i="12"/>
  <c r="A79" i="12"/>
  <c r="H78" i="12"/>
  <c r="G78" i="12"/>
  <c r="A78" i="12"/>
  <c r="H77" i="12"/>
  <c r="G77" i="12"/>
  <c r="A77" i="12"/>
  <c r="H76" i="12"/>
  <c r="G76" i="12"/>
  <c r="A76" i="12"/>
  <c r="H75" i="12"/>
  <c r="G75" i="12"/>
  <c r="A75" i="12"/>
  <c r="H74" i="12"/>
  <c r="G74" i="12"/>
  <c r="A74" i="12"/>
  <c r="H73" i="12"/>
  <c r="G73" i="12"/>
  <c r="A73" i="12"/>
  <c r="H72" i="12"/>
  <c r="G72" i="12"/>
  <c r="A72" i="12"/>
  <c r="H71" i="12"/>
  <c r="G71" i="12"/>
  <c r="A71" i="12"/>
  <c r="H70" i="12"/>
  <c r="G70" i="12"/>
  <c r="A70" i="12"/>
  <c r="H69" i="12"/>
  <c r="G69" i="12"/>
  <c r="A69" i="12"/>
  <c r="H68" i="12"/>
  <c r="G68" i="12"/>
  <c r="A68" i="12"/>
  <c r="H67" i="12"/>
  <c r="G67" i="12"/>
  <c r="A67" i="12"/>
  <c r="H66" i="12"/>
  <c r="G66" i="12"/>
  <c r="A66" i="12"/>
  <c r="H65" i="12"/>
  <c r="G65" i="12"/>
  <c r="A65" i="12"/>
  <c r="H64" i="12"/>
  <c r="G64" i="12"/>
  <c r="A64" i="12"/>
  <c r="H63" i="12"/>
  <c r="G63" i="12"/>
  <c r="A63" i="12"/>
  <c r="H62" i="12"/>
  <c r="G62" i="12"/>
  <c r="A62" i="12"/>
  <c r="H61" i="12"/>
  <c r="G61" i="12"/>
  <c r="A61" i="12"/>
  <c r="H60" i="12"/>
  <c r="G60" i="12"/>
  <c r="A60" i="12"/>
  <c r="H59" i="12"/>
  <c r="G59" i="12"/>
  <c r="A59" i="12"/>
  <c r="H58" i="12"/>
  <c r="G58" i="12"/>
  <c r="A58" i="12"/>
  <c r="H57" i="12"/>
  <c r="G57" i="12"/>
  <c r="A57" i="12"/>
  <c r="H56" i="12"/>
  <c r="G56" i="12"/>
  <c r="A56" i="12"/>
  <c r="H55" i="12"/>
  <c r="G55" i="12"/>
  <c r="A55" i="12"/>
  <c r="H54" i="12"/>
  <c r="G54" i="12"/>
  <c r="A54" i="12"/>
  <c r="H53" i="12"/>
  <c r="G53" i="12"/>
  <c r="A53" i="12"/>
  <c r="H52" i="12"/>
  <c r="G52" i="12"/>
  <c r="A52" i="12"/>
  <c r="H51" i="12"/>
  <c r="G51" i="12"/>
  <c r="A51" i="12"/>
  <c r="H50" i="12"/>
  <c r="G50" i="12"/>
  <c r="A50" i="12"/>
  <c r="H49" i="12"/>
  <c r="G49" i="12"/>
  <c r="A49" i="12"/>
  <c r="H48" i="12"/>
  <c r="G48" i="12"/>
  <c r="A48" i="12"/>
  <c r="H47" i="12"/>
  <c r="G47" i="12"/>
  <c r="A47" i="12"/>
  <c r="H46" i="12"/>
  <c r="G46" i="12"/>
  <c r="A46" i="12"/>
  <c r="H45" i="12"/>
  <c r="G45" i="12"/>
  <c r="A45" i="12"/>
  <c r="H44" i="12"/>
  <c r="G44" i="12"/>
  <c r="A44" i="12"/>
  <c r="H43" i="12"/>
  <c r="G43" i="12"/>
  <c r="A43" i="12"/>
  <c r="H42" i="12"/>
  <c r="G42" i="12"/>
  <c r="A42" i="12"/>
  <c r="H41" i="12"/>
  <c r="G41" i="12"/>
  <c r="A41" i="12"/>
  <c r="H40" i="12"/>
  <c r="G40" i="12"/>
  <c r="A40" i="12"/>
  <c r="H39" i="12"/>
  <c r="G39" i="12"/>
  <c r="A39" i="12"/>
  <c r="H38" i="12"/>
  <c r="G38" i="12"/>
  <c r="A38" i="12"/>
  <c r="H37" i="12"/>
  <c r="G37" i="12"/>
  <c r="A37" i="12"/>
  <c r="H36" i="12"/>
  <c r="G36" i="12"/>
  <c r="A36" i="12"/>
  <c r="H35" i="12"/>
  <c r="G35" i="12"/>
  <c r="A35" i="12"/>
  <c r="H34" i="12"/>
  <c r="G34" i="12"/>
  <c r="A34" i="12"/>
  <c r="H33" i="12"/>
  <c r="G33" i="12"/>
  <c r="A33" i="12"/>
  <c r="H32" i="12"/>
  <c r="G32" i="12"/>
  <c r="A32" i="12"/>
  <c r="H31" i="12"/>
  <c r="G31" i="12"/>
  <c r="A31" i="12"/>
  <c r="H30" i="12"/>
  <c r="G30" i="12"/>
  <c r="A30" i="12"/>
  <c r="H29" i="12"/>
  <c r="G29" i="12"/>
  <c r="A29" i="12"/>
  <c r="H28" i="12"/>
  <c r="G28" i="12"/>
  <c r="A28" i="12"/>
  <c r="H27" i="12"/>
  <c r="G27" i="12"/>
  <c r="A27" i="12"/>
  <c r="H26" i="12"/>
  <c r="G26" i="12"/>
  <c r="A26" i="12"/>
  <c r="H25" i="12"/>
  <c r="G25" i="12"/>
  <c r="A25" i="12"/>
  <c r="H24" i="12"/>
  <c r="G24" i="12"/>
  <c r="A24" i="12"/>
  <c r="H23" i="12"/>
  <c r="G23" i="12"/>
  <c r="A23" i="12"/>
  <c r="H22" i="12"/>
  <c r="G22" i="12"/>
  <c r="A22" i="12"/>
  <c r="H21" i="12"/>
  <c r="G21" i="12"/>
  <c r="A21" i="12"/>
  <c r="H20" i="12"/>
  <c r="G20" i="12"/>
  <c r="A20" i="12"/>
  <c r="H19" i="12"/>
  <c r="G19" i="12"/>
  <c r="A19" i="12"/>
  <c r="H18" i="12"/>
  <c r="G18" i="12"/>
  <c r="A18" i="12"/>
  <c r="H17" i="12"/>
  <c r="G17" i="12"/>
  <c r="A17" i="12"/>
  <c r="H16" i="12"/>
  <c r="G16" i="12"/>
  <c r="A16" i="12"/>
  <c r="H15" i="12"/>
  <c r="G15" i="12"/>
  <c r="A15" i="12"/>
  <c r="H14" i="12"/>
  <c r="G14" i="12"/>
  <c r="A14" i="12"/>
  <c r="H13" i="12"/>
  <c r="G13" i="12"/>
  <c r="A13" i="12"/>
  <c r="H12" i="12"/>
  <c r="G12" i="12"/>
  <c r="A12" i="12"/>
  <c r="H11" i="12"/>
  <c r="G11" i="12"/>
  <c r="A11" i="12"/>
  <c r="H10" i="12"/>
  <c r="G10" i="12"/>
  <c r="A10" i="12"/>
  <c r="H9" i="12"/>
  <c r="G9" i="12"/>
  <c r="A9" i="12"/>
  <c r="H8" i="12"/>
  <c r="G8" i="12"/>
  <c r="A8" i="12"/>
  <c r="H7" i="12"/>
  <c r="G7" i="12"/>
  <c r="A7" i="12"/>
  <c r="H6" i="12"/>
  <c r="G6" i="12"/>
  <c r="A6" i="12"/>
  <c r="H5" i="12"/>
  <c r="G5" i="12"/>
  <c r="A5" i="12"/>
  <c r="H4" i="12"/>
  <c r="G4" i="12"/>
  <c r="A4" i="12"/>
  <c r="I162" i="11"/>
  <c r="H162" i="11"/>
  <c r="G162" i="11"/>
  <c r="I161" i="11"/>
  <c r="H161" i="11"/>
  <c r="G161" i="11"/>
  <c r="I160" i="11"/>
  <c r="H160" i="11"/>
  <c r="G160" i="11"/>
  <c r="I159" i="11"/>
  <c r="H159" i="11"/>
  <c r="G159" i="11"/>
  <c r="I158" i="11"/>
  <c r="H158" i="11"/>
  <c r="G158" i="11"/>
  <c r="I157" i="11"/>
  <c r="H157" i="11"/>
  <c r="G157" i="11"/>
  <c r="I156" i="11"/>
  <c r="H156" i="11"/>
  <c r="G156" i="11"/>
  <c r="I155" i="11"/>
  <c r="H155" i="11"/>
  <c r="G155" i="11"/>
  <c r="I154" i="11"/>
  <c r="H154" i="11"/>
  <c r="G154" i="11"/>
  <c r="I153" i="11"/>
  <c r="H153" i="11"/>
  <c r="G153" i="11"/>
  <c r="I152" i="11"/>
  <c r="H152" i="11"/>
  <c r="G152" i="11"/>
  <c r="I151" i="11"/>
  <c r="H151" i="11"/>
  <c r="G151" i="11"/>
  <c r="I150" i="11"/>
  <c r="H150" i="11"/>
  <c r="G150" i="11"/>
  <c r="I149" i="11"/>
  <c r="H149" i="11"/>
  <c r="G149" i="11"/>
  <c r="I148" i="11"/>
  <c r="H148" i="11"/>
  <c r="G148" i="11"/>
  <c r="I147" i="11"/>
  <c r="H147" i="11"/>
  <c r="G147" i="11"/>
  <c r="I146" i="11"/>
  <c r="H146" i="11"/>
  <c r="G146" i="11"/>
  <c r="I145" i="11"/>
  <c r="H145" i="11"/>
  <c r="G145" i="11"/>
  <c r="I144" i="11"/>
  <c r="H144" i="11"/>
  <c r="G144" i="11"/>
  <c r="I143" i="11"/>
  <c r="H143" i="11"/>
  <c r="G143" i="11"/>
  <c r="I142" i="11"/>
  <c r="H142" i="11"/>
  <c r="G142" i="11"/>
  <c r="I141" i="11"/>
  <c r="H141" i="11"/>
  <c r="G141" i="11"/>
  <c r="I140" i="11"/>
  <c r="H140" i="11"/>
  <c r="G140" i="11"/>
  <c r="G139" i="11"/>
  <c r="I138" i="11"/>
  <c r="H138" i="11"/>
  <c r="G138" i="11"/>
  <c r="I137" i="11"/>
  <c r="H137" i="11"/>
  <c r="G137" i="11"/>
  <c r="I136" i="11"/>
  <c r="H136" i="11"/>
  <c r="G136" i="11"/>
  <c r="I135" i="11"/>
  <c r="H135" i="11"/>
  <c r="G135" i="11"/>
  <c r="I134" i="11"/>
  <c r="H134" i="11"/>
  <c r="G134" i="11"/>
  <c r="I133" i="11"/>
  <c r="H133" i="11"/>
  <c r="G133" i="11"/>
  <c r="I132" i="11"/>
  <c r="H132" i="11"/>
  <c r="G132" i="11"/>
  <c r="I131" i="11"/>
  <c r="H131" i="11"/>
  <c r="G131" i="11"/>
  <c r="I130" i="11"/>
  <c r="H130" i="11"/>
  <c r="G130" i="11"/>
  <c r="I129" i="11"/>
  <c r="H129" i="11"/>
  <c r="G129" i="11"/>
  <c r="I128" i="11"/>
  <c r="H128" i="11"/>
  <c r="G128" i="11"/>
  <c r="I127" i="11"/>
  <c r="H127" i="11"/>
  <c r="G127" i="11"/>
  <c r="I126" i="11"/>
  <c r="H126" i="11"/>
  <c r="G126" i="11"/>
  <c r="I125" i="11"/>
  <c r="H125" i="11"/>
  <c r="G125" i="11"/>
  <c r="I124" i="11"/>
  <c r="H124" i="11"/>
  <c r="G124" i="11"/>
  <c r="I123" i="11"/>
  <c r="H123" i="11"/>
  <c r="G123" i="11"/>
  <c r="I122" i="11"/>
  <c r="H122" i="11"/>
  <c r="G122" i="11"/>
  <c r="I121" i="11"/>
  <c r="H121" i="11"/>
  <c r="G121" i="11"/>
  <c r="I120" i="11"/>
  <c r="H120" i="11"/>
  <c r="G120" i="11"/>
  <c r="I119" i="11"/>
  <c r="H119" i="11"/>
  <c r="G119" i="11"/>
  <c r="I118" i="11"/>
  <c r="H118" i="11"/>
  <c r="G118" i="11"/>
  <c r="I117" i="11"/>
  <c r="H117" i="11"/>
  <c r="G117" i="11"/>
  <c r="I116" i="11"/>
  <c r="H116" i="11"/>
  <c r="G116" i="11"/>
  <c r="I115" i="11"/>
  <c r="H115" i="11"/>
  <c r="G115" i="11"/>
  <c r="I114" i="11"/>
  <c r="H114" i="11"/>
  <c r="G114" i="11"/>
  <c r="I113" i="11"/>
  <c r="H113" i="11"/>
  <c r="G113" i="11"/>
  <c r="I112" i="11"/>
  <c r="H112" i="11"/>
  <c r="G112" i="11"/>
  <c r="I111" i="11"/>
  <c r="H111" i="11"/>
  <c r="G111" i="11"/>
  <c r="I110" i="11"/>
  <c r="H110" i="11"/>
  <c r="G110" i="11"/>
  <c r="I109" i="11"/>
  <c r="H109" i="11"/>
  <c r="G109" i="11"/>
  <c r="I108" i="11"/>
  <c r="H108" i="11"/>
  <c r="G108" i="11"/>
  <c r="I107" i="11"/>
  <c r="H107" i="11"/>
  <c r="G107" i="11"/>
  <c r="I106" i="11"/>
  <c r="H106" i="11"/>
  <c r="G106" i="11"/>
  <c r="I105" i="11"/>
  <c r="H105" i="11"/>
  <c r="G105" i="11"/>
  <c r="I104" i="11"/>
  <c r="H104" i="11"/>
  <c r="G104" i="11"/>
  <c r="I103" i="11"/>
  <c r="H103" i="11"/>
  <c r="G103" i="11"/>
  <c r="I102" i="11"/>
  <c r="H102" i="11"/>
  <c r="G102" i="11"/>
  <c r="I101" i="11"/>
  <c r="H101" i="11"/>
  <c r="G101" i="11"/>
  <c r="I100" i="11"/>
  <c r="H100" i="11"/>
  <c r="G100" i="11"/>
  <c r="I99" i="11"/>
  <c r="H99" i="11"/>
  <c r="G99" i="11"/>
  <c r="I98" i="11"/>
  <c r="H98" i="11"/>
  <c r="G98" i="11"/>
  <c r="I97" i="11"/>
  <c r="H97" i="11"/>
  <c r="G97" i="11"/>
  <c r="I96" i="11"/>
  <c r="H96" i="11"/>
  <c r="G96" i="11"/>
  <c r="I95" i="11"/>
  <c r="H95" i="11"/>
  <c r="G95" i="11"/>
  <c r="I94" i="11"/>
  <c r="H94" i="11"/>
  <c r="G94" i="11"/>
  <c r="I93" i="11"/>
  <c r="H93" i="11"/>
  <c r="G93" i="11"/>
  <c r="I92" i="11"/>
  <c r="H92" i="11"/>
  <c r="G92" i="11"/>
  <c r="I91" i="11"/>
  <c r="H91" i="11"/>
  <c r="G91" i="11"/>
  <c r="I90" i="11"/>
  <c r="H90" i="11"/>
  <c r="G90" i="11"/>
  <c r="I89" i="11"/>
  <c r="H89" i="11"/>
  <c r="G89" i="11"/>
  <c r="I88" i="11"/>
  <c r="H88" i="11"/>
  <c r="G88" i="11"/>
  <c r="I87" i="11"/>
  <c r="H87" i="11"/>
  <c r="G87" i="11"/>
  <c r="I86" i="11"/>
  <c r="H86" i="11"/>
  <c r="G86" i="11"/>
  <c r="I85" i="11"/>
  <c r="H85" i="11"/>
  <c r="G85" i="11"/>
  <c r="I84" i="11"/>
  <c r="H84" i="11"/>
  <c r="G84" i="11"/>
  <c r="I83" i="11"/>
  <c r="H83" i="11"/>
  <c r="G83" i="11"/>
  <c r="I82" i="11"/>
  <c r="H82" i="11"/>
  <c r="G82" i="11"/>
  <c r="I81" i="11"/>
  <c r="H81" i="11"/>
  <c r="G81" i="11"/>
  <c r="I80" i="11"/>
  <c r="H80" i="11"/>
  <c r="G80" i="11"/>
  <c r="I79" i="11"/>
  <c r="H79" i="11"/>
  <c r="G79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8" i="11"/>
  <c r="I57" i="11"/>
  <c r="H57" i="11"/>
  <c r="G57" i="11"/>
  <c r="I56" i="11"/>
  <c r="H56" i="11"/>
  <c r="G56" i="11"/>
  <c r="I55" i="11"/>
  <c r="H55" i="11"/>
  <c r="G55" i="11"/>
  <c r="I54" i="11"/>
  <c r="H54" i="11"/>
  <c r="G54" i="11"/>
  <c r="I53" i="11"/>
  <c r="H53" i="11"/>
  <c r="G53" i="11"/>
  <c r="I52" i="11"/>
  <c r="H52" i="11"/>
  <c r="G52" i="11"/>
  <c r="I51" i="11"/>
  <c r="H51" i="11"/>
  <c r="G51" i="11"/>
  <c r="I50" i="11"/>
  <c r="H50" i="11"/>
  <c r="G50" i="11"/>
  <c r="I49" i="11"/>
  <c r="H49" i="11"/>
  <c r="G49" i="11"/>
  <c r="I48" i="11"/>
  <c r="H48" i="11"/>
  <c r="G48" i="11"/>
  <c r="I47" i="11"/>
  <c r="H47" i="11"/>
  <c r="G47" i="11"/>
  <c r="I46" i="11"/>
  <c r="H46" i="11"/>
  <c r="G46" i="11"/>
  <c r="I45" i="11"/>
  <c r="H45" i="11"/>
  <c r="G45" i="11"/>
  <c r="I44" i="11"/>
  <c r="H44" i="11"/>
  <c r="G44" i="11"/>
  <c r="I43" i="11"/>
  <c r="H43" i="11"/>
  <c r="G43" i="11"/>
  <c r="I42" i="11"/>
  <c r="H42" i="11"/>
  <c r="G42" i="11"/>
  <c r="I41" i="11"/>
  <c r="H41" i="11"/>
  <c r="G41" i="11"/>
  <c r="I40" i="11"/>
  <c r="H40" i="11"/>
  <c r="G40" i="11"/>
  <c r="I39" i="11"/>
  <c r="H39" i="11"/>
  <c r="G39" i="11"/>
  <c r="I38" i="11"/>
  <c r="H38" i="11"/>
  <c r="G38" i="11"/>
  <c r="I37" i="11"/>
  <c r="H37" i="11"/>
  <c r="G37" i="11"/>
  <c r="I36" i="11"/>
  <c r="H36" i="11"/>
  <c r="G36" i="11"/>
  <c r="I35" i="11"/>
  <c r="H35" i="11"/>
  <c r="G35" i="11"/>
  <c r="I34" i="11"/>
  <c r="H34" i="11"/>
  <c r="G34" i="11"/>
  <c r="I33" i="11"/>
  <c r="H33" i="11"/>
  <c r="G33" i="11"/>
  <c r="I32" i="11"/>
  <c r="H32" i="11"/>
  <c r="G32" i="11"/>
  <c r="I31" i="11"/>
  <c r="H31" i="11"/>
  <c r="G31" i="11"/>
  <c r="I30" i="11"/>
  <c r="H30" i="11"/>
  <c r="G30" i="11"/>
  <c r="I29" i="11"/>
  <c r="H29" i="11"/>
  <c r="G29" i="11"/>
  <c r="I28" i="11"/>
  <c r="H28" i="11"/>
  <c r="G28" i="11"/>
  <c r="I27" i="11"/>
  <c r="H27" i="11"/>
  <c r="G27" i="11"/>
  <c r="I26" i="11"/>
  <c r="H26" i="11"/>
  <c r="G26" i="11"/>
  <c r="I25" i="11"/>
  <c r="H25" i="11"/>
  <c r="G25" i="11"/>
  <c r="I24" i="11"/>
  <c r="H24" i="11"/>
  <c r="G24" i="11"/>
  <c r="I23" i="11"/>
  <c r="H23" i="11"/>
  <c r="G23" i="11"/>
  <c r="I22" i="11"/>
  <c r="H22" i="11"/>
  <c r="G22" i="11"/>
  <c r="I21" i="11"/>
  <c r="H21" i="11"/>
  <c r="G21" i="11"/>
  <c r="I20" i="11"/>
  <c r="H20" i="11"/>
  <c r="G20" i="11"/>
  <c r="I19" i="11"/>
  <c r="H19" i="11"/>
  <c r="G19" i="11"/>
  <c r="I18" i="11"/>
  <c r="H18" i="11"/>
  <c r="G18" i="11"/>
  <c r="I17" i="11"/>
  <c r="H17" i="11"/>
  <c r="G17" i="11"/>
  <c r="I16" i="11"/>
  <c r="H16" i="11"/>
  <c r="G16" i="11"/>
  <c r="I15" i="11"/>
  <c r="H15" i="11"/>
  <c r="G15" i="11"/>
  <c r="I14" i="11"/>
  <c r="H14" i="11"/>
  <c r="G14" i="11"/>
  <c r="I13" i="11"/>
  <c r="H13" i="11"/>
  <c r="G13" i="11"/>
  <c r="I12" i="11"/>
  <c r="H12" i="11"/>
  <c r="G12" i="11"/>
  <c r="I11" i="11"/>
  <c r="H11" i="11"/>
  <c r="G11" i="11"/>
  <c r="I10" i="11"/>
  <c r="H10" i="11"/>
  <c r="G10" i="11"/>
  <c r="I9" i="11"/>
  <c r="H9" i="11"/>
  <c r="G9" i="11"/>
  <c r="I8" i="11"/>
  <c r="H8" i="11"/>
  <c r="G8" i="11"/>
  <c r="I7" i="11"/>
  <c r="H7" i="11"/>
  <c r="G7" i="11"/>
  <c r="I6" i="11"/>
  <c r="H6" i="11"/>
  <c r="G6" i="11"/>
  <c r="I5" i="11"/>
  <c r="H5" i="11"/>
  <c r="G5" i="11"/>
  <c r="H2" i="9"/>
  <c r="F2" i="9"/>
  <c r="D2" i="9"/>
  <c r="B2" i="9"/>
  <c r="S67" i="8"/>
  <c r="S66" i="8"/>
  <c r="G66" i="8"/>
  <c r="S65" i="8"/>
  <c r="G65" i="8"/>
  <c r="S64" i="8"/>
  <c r="G64" i="8"/>
  <c r="S63" i="8"/>
  <c r="G63" i="8"/>
  <c r="S62" i="8"/>
  <c r="G62" i="8"/>
  <c r="S61" i="8"/>
  <c r="G61" i="8"/>
  <c r="S60" i="8"/>
  <c r="G60" i="8"/>
  <c r="S59" i="8"/>
  <c r="G59" i="8"/>
  <c r="S58" i="8"/>
  <c r="G58" i="8"/>
  <c r="S57" i="8"/>
  <c r="G57" i="8"/>
  <c r="S56" i="8"/>
  <c r="G56" i="8"/>
  <c r="S55" i="8"/>
  <c r="G55" i="8"/>
  <c r="S54" i="8"/>
  <c r="G54" i="8"/>
  <c r="S53" i="8"/>
  <c r="G53" i="8"/>
  <c r="S52" i="8"/>
  <c r="G52" i="8"/>
  <c r="S51" i="8"/>
  <c r="G51" i="8"/>
  <c r="S50" i="8"/>
  <c r="G50" i="8"/>
  <c r="S49" i="8"/>
  <c r="G49" i="8"/>
  <c r="S48" i="8"/>
  <c r="G48" i="8"/>
  <c r="S47" i="8"/>
  <c r="S2" i="8" s="1"/>
  <c r="G47" i="8"/>
  <c r="S46" i="8"/>
  <c r="G46" i="8"/>
  <c r="S45" i="8"/>
  <c r="G45" i="8"/>
  <c r="S44" i="8"/>
  <c r="G44" i="8"/>
  <c r="S43" i="8"/>
  <c r="G43" i="8"/>
  <c r="S42" i="8"/>
  <c r="G42" i="8"/>
  <c r="S41" i="8"/>
  <c r="G41" i="8"/>
  <c r="S40" i="8"/>
  <c r="G40" i="8"/>
  <c r="S39" i="8"/>
  <c r="G39" i="8"/>
  <c r="S38" i="8"/>
  <c r="G38" i="8"/>
  <c r="S37" i="8"/>
  <c r="G37" i="8"/>
  <c r="S36" i="8"/>
  <c r="G36" i="8"/>
  <c r="S35" i="8"/>
  <c r="G35" i="8"/>
  <c r="S34" i="8"/>
  <c r="G34" i="8"/>
  <c r="S33" i="8"/>
  <c r="G33" i="8"/>
  <c r="S32" i="8"/>
  <c r="G32" i="8"/>
  <c r="S31" i="8"/>
  <c r="G31" i="8"/>
  <c r="S30" i="8"/>
  <c r="G30" i="8"/>
  <c r="S29" i="8"/>
  <c r="G29" i="8"/>
  <c r="S28" i="8"/>
  <c r="G28" i="8"/>
  <c r="S27" i="8"/>
  <c r="G27" i="8"/>
  <c r="S26" i="8"/>
  <c r="G26" i="8"/>
  <c r="S25" i="8"/>
  <c r="G25" i="8"/>
  <c r="S24" i="8"/>
  <c r="G24" i="8"/>
  <c r="S23" i="8"/>
  <c r="G23" i="8"/>
  <c r="S22" i="8"/>
  <c r="G22" i="8"/>
  <c r="S21" i="8"/>
  <c r="G21" i="8"/>
  <c r="S20" i="8"/>
  <c r="G20" i="8"/>
  <c r="S19" i="8"/>
  <c r="G19" i="8"/>
  <c r="S18" i="8"/>
  <c r="G18" i="8"/>
  <c r="S17" i="8"/>
  <c r="G17" i="8"/>
  <c r="S16" i="8"/>
  <c r="G16" i="8"/>
  <c r="S15" i="8"/>
  <c r="G15" i="8"/>
  <c r="S14" i="8"/>
  <c r="G14" i="8"/>
  <c r="S13" i="8"/>
  <c r="G13" i="8"/>
  <c r="S12" i="8"/>
  <c r="G12" i="8"/>
  <c r="S11" i="8"/>
  <c r="G11" i="8"/>
  <c r="S10" i="8"/>
  <c r="G10" i="8"/>
  <c r="S9" i="8"/>
  <c r="G9" i="8"/>
  <c r="S8" i="8"/>
  <c r="G8" i="8"/>
  <c r="S7" i="8"/>
  <c r="G7" i="8"/>
  <c r="S6" i="8"/>
  <c r="G6" i="8"/>
  <c r="S5" i="8"/>
  <c r="G5" i="8"/>
  <c r="S4" i="8"/>
  <c r="G4" i="8"/>
  <c r="G2" i="8" s="1"/>
  <c r="R2" i="8"/>
  <c r="Q2" i="8"/>
  <c r="P2" i="8"/>
  <c r="F2" i="8"/>
  <c r="E2" i="8"/>
  <c r="D2" i="8"/>
  <c r="J9" i="7"/>
  <c r="H9" i="7"/>
  <c r="F9" i="7"/>
  <c r="J8" i="7"/>
  <c r="H8" i="7"/>
  <c r="F8" i="7"/>
  <c r="J7" i="7"/>
  <c r="H7" i="7"/>
  <c r="F7" i="7"/>
  <c r="J6" i="7"/>
  <c r="H6" i="7"/>
  <c r="F6" i="7"/>
  <c r="F625" i="6"/>
  <c r="F624" i="6"/>
  <c r="F623" i="6"/>
  <c r="F622" i="6"/>
  <c r="F625" i="5"/>
  <c r="F624" i="5"/>
  <c r="F623" i="5"/>
  <c r="F622" i="5"/>
  <c r="AP618" i="3"/>
  <c r="AO618" i="3"/>
  <c r="G618" i="3"/>
  <c r="AP617" i="3"/>
  <c r="AO617" i="3"/>
  <c r="G617" i="3"/>
  <c r="AP616" i="3"/>
  <c r="AO616" i="3"/>
  <c r="G616" i="3"/>
  <c r="AP615" i="3"/>
  <c r="AO615" i="3"/>
  <c r="G615" i="3"/>
  <c r="AP614" i="3"/>
  <c r="AO614" i="3"/>
  <c r="AP613" i="3"/>
  <c r="AO613" i="3"/>
  <c r="AP612" i="3"/>
  <c r="AO612" i="3"/>
  <c r="Z13" i="3"/>
  <c r="Y13" i="3"/>
  <c r="AW12" i="3"/>
  <c r="AD12" i="3"/>
  <c r="Z12" i="3"/>
  <c r="Y12" i="3"/>
  <c r="AM33" i="2"/>
  <c r="AL33" i="2"/>
  <c r="T33" i="2"/>
  <c r="G33" i="2"/>
  <c r="T16" i="2"/>
  <c r="BJ40" i="1"/>
  <c r="BI40" i="1"/>
  <c r="X40" i="1"/>
  <c r="T40" i="1"/>
  <c r="G40" i="1"/>
  <c r="BJ39" i="1"/>
  <c r="BI39" i="1"/>
  <c r="X39" i="1"/>
  <c r="T39" i="1"/>
  <c r="G39" i="1"/>
  <c r="BJ38" i="1"/>
  <c r="BI38" i="1"/>
  <c r="X38" i="1"/>
  <c r="T38" i="1"/>
  <c r="G38" i="1"/>
  <c r="BJ37" i="1"/>
  <c r="BI37" i="1"/>
  <c r="X37" i="1"/>
  <c r="T37" i="1"/>
  <c r="G37" i="1"/>
  <c r="BJ36" i="1"/>
  <c r="BI36" i="1"/>
  <c r="X36" i="1"/>
  <c r="T36" i="1"/>
  <c r="G36" i="1"/>
  <c r="BJ35" i="1"/>
  <c r="BI35" i="1"/>
  <c r="X35" i="1"/>
  <c r="T35" i="1"/>
  <c r="G35" i="1"/>
  <c r="BJ34" i="1"/>
  <c r="BI34" i="1"/>
  <c r="X34" i="1"/>
  <c r="T34" i="1"/>
  <c r="G34" i="1"/>
  <c r="BJ33" i="1"/>
  <c r="BI33" i="1"/>
  <c r="X33" i="1"/>
  <c r="T33" i="1"/>
  <c r="G33" i="1"/>
  <c r="BJ32" i="1"/>
  <c r="BI32" i="1"/>
  <c r="X32" i="1"/>
  <c r="T32" i="1"/>
  <c r="G32" i="1"/>
  <c r="BJ31" i="1"/>
  <c r="BI31" i="1"/>
  <c r="X31" i="1"/>
  <c r="T31" i="1"/>
  <c r="G31" i="1"/>
  <c r="BJ30" i="1"/>
  <c r="BI30" i="1"/>
  <c r="X30" i="1"/>
  <c r="T30" i="1"/>
  <c r="G30" i="1"/>
  <c r="BJ29" i="1"/>
  <c r="BI29" i="1"/>
  <c r="X29" i="1"/>
  <c r="T29" i="1"/>
  <c r="G29" i="1"/>
  <c r="BJ28" i="1"/>
  <c r="BI28" i="1"/>
  <c r="X28" i="1"/>
  <c r="T28" i="1"/>
  <c r="G28" i="1"/>
  <c r="BJ27" i="1"/>
  <c r="BI27" i="1"/>
  <c r="X27" i="1"/>
  <c r="T27" i="1"/>
  <c r="G27" i="1"/>
  <c r="BJ26" i="1"/>
  <c r="BI26" i="1"/>
  <c r="X26" i="1"/>
  <c r="T26" i="1"/>
  <c r="G26" i="1"/>
  <c r="BJ25" i="1"/>
  <c r="BI25" i="1"/>
  <c r="X25" i="1"/>
  <c r="T25" i="1"/>
  <c r="G25" i="1"/>
  <c r="BJ24" i="1"/>
  <c r="BI24" i="1"/>
  <c r="X24" i="1"/>
  <c r="T24" i="1"/>
  <c r="G24" i="1"/>
  <c r="BJ23" i="1"/>
  <c r="BI23" i="1"/>
  <c r="X23" i="1"/>
  <c r="T23" i="1"/>
  <c r="G23" i="1"/>
  <c r="BJ22" i="1"/>
  <c r="BI22" i="1"/>
  <c r="X22" i="1"/>
  <c r="T22" i="1"/>
  <c r="G22" i="1"/>
  <c r="BJ21" i="1"/>
  <c r="BI21" i="1"/>
  <c r="X21" i="1"/>
  <c r="T21" i="1"/>
  <c r="G21" i="1"/>
  <c r="BJ20" i="1"/>
  <c r="BI20" i="1"/>
  <c r="X20" i="1"/>
  <c r="T20" i="1"/>
  <c r="G20" i="1"/>
  <c r="BJ19" i="1"/>
  <c r="BI19" i="1"/>
  <c r="X19" i="1"/>
  <c r="T19" i="1"/>
  <c r="G19" i="1"/>
  <c r="BJ18" i="1"/>
  <c r="BI18" i="1"/>
  <c r="X18" i="1"/>
  <c r="T18" i="1"/>
  <c r="G18" i="1"/>
  <c r="BJ17" i="1"/>
  <c r="BI17" i="1"/>
  <c r="X17" i="1"/>
  <c r="T17" i="1"/>
  <c r="G17" i="1"/>
  <c r="BJ16" i="1"/>
  <c r="BI16" i="1"/>
  <c r="X16" i="1"/>
  <c r="T16" i="1"/>
  <c r="G16" i="1"/>
  <c r="AR632" i="4"/>
  <c r="AQ632" i="4"/>
  <c r="G632" i="4"/>
  <c r="AR631" i="4"/>
  <c r="AQ631" i="4"/>
  <c r="G631" i="4"/>
  <c r="AR630" i="4"/>
  <c r="AQ630" i="4"/>
  <c r="G630" i="4"/>
  <c r="AR629" i="4"/>
  <c r="AQ629" i="4"/>
  <c r="G629" i="4"/>
  <c r="AR628" i="4"/>
  <c r="AQ628" i="4"/>
  <c r="AR627" i="4"/>
  <c r="AQ627" i="4"/>
  <c r="AR626" i="4"/>
  <c r="AQ626" i="4"/>
  <c r="AF129" i="4"/>
  <c r="AF120" i="4"/>
  <c r="AF110" i="4"/>
  <c r="AF100" i="4"/>
  <c r="AF99" i="4"/>
  <c r="AF92" i="4"/>
  <c r="AF85" i="4"/>
  <c r="AF77" i="4"/>
  <c r="AF69" i="4"/>
  <c r="AF60" i="4"/>
  <c r="AF51" i="4"/>
  <c r="AF46" i="4"/>
  <c r="AF39" i="4"/>
  <c r="AF26" i="4"/>
  <c r="AF22" i="4"/>
  <c r="AF14" i="4"/>
  <c r="K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10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Y13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AT13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K1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  <author>Luiz Fernando Mello</author>
  </authors>
  <commentList>
    <comment ref="A8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M11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  <comment ref="C62" authorId="1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 xml:space="preserve">Luiz Fernando Mello:
After checked the Adhesive below spec. 1 fully coated 3LPP was rejected and other 1 partially coated pipe
</t>
        </r>
      </text>
    </comment>
    <comment ref="C114" authorId="1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>Luiz Fernando Mello:
official pipe dedicated for FBE/ADHESIVE measurements</t>
        </r>
      </text>
    </comment>
    <comment ref="C121" authorId="1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>Luiz Fernando Mello:
official pipe dedicated for FBE/ADHESIVE measurements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E13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E13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</commentList>
</comments>
</file>

<file path=xl/sharedStrings.xml><?xml version="1.0" encoding="utf-8"?>
<sst xmlns="http://schemas.openxmlformats.org/spreadsheetml/2006/main" count="14756" uniqueCount="719">
  <si>
    <t>Lab Tests Control Table ( TENARIS CONFAB -  Coating Plant # 6)</t>
  </si>
  <si>
    <t>TYPE: Project NAME (SAKARYA GAS FIELD DEVELOPMENT PHASE 3 - 24" x 1,268")</t>
  </si>
  <si>
    <t>Test FAILED</t>
  </si>
  <si>
    <t>Test in PROGRESS</t>
  </si>
  <si>
    <t>Remove Highlight from selected cell</t>
  </si>
  <si>
    <t>Proj. REQUIREMENTS</t>
  </si>
  <si>
    <t xml:space="preserve"> - </t>
  </si>
  <si>
    <t>Phase</t>
  </si>
  <si>
    <t>Pipe N°</t>
  </si>
  <si>
    <t>Test  failed</t>
  </si>
  <si>
    <t>Pipe coating sequence
(within the shift)</t>
  </si>
  <si>
    <t>Coated on</t>
  </si>
  <si>
    <t>Dry Adhesion</t>
  </si>
  <si>
    <t>Thickness</t>
  </si>
  <si>
    <t xml:space="preserve">DSC Tests                                                          </t>
  </si>
  <si>
    <t>Porosity for FBE</t>
  </si>
  <si>
    <t>Indentation Tests</t>
  </si>
  <si>
    <t>Elongation at Break Tests
( % )
(Pipe)</t>
  </si>
  <si>
    <t>Elongation at Break Tests
( % )
(Extruder)</t>
  </si>
  <si>
    <t>Cathodic Disbondment Tests</t>
  </si>
  <si>
    <t xml:space="preserve"> PE Variation Extrusion Tests
</t>
  </si>
  <si>
    <t>Hot Water Immersion Tests
80±3 °C  (48 hours)</t>
  </si>
  <si>
    <t>Impact Tests</t>
  </si>
  <si>
    <t>Hardness</t>
  </si>
  <si>
    <t>Peel Strength Tests
(N/mm)</t>
  </si>
  <si>
    <t>RAW MATERIALS Batches</t>
  </si>
  <si>
    <t>Remarks</t>
  </si>
  <si>
    <t>FBE ( µm )</t>
  </si>
  <si>
    <t>Adhesive ( µm )</t>
  </si>
  <si>
    <t>3LPP ( mm )</t>
  </si>
  <si>
    <t xml:space="preserve">ΔTg
( °C )                                                                </t>
  </si>
  <si>
    <t>Pipe
End</t>
  </si>
  <si>
    <t>Interface</t>
  </si>
  <si>
    <t>Cross- section</t>
  </si>
  <si>
    <t>23±3 °C</t>
  </si>
  <si>
    <t>80±3 °C</t>
  </si>
  <si>
    <t>65±2 °C / 3.5 V (24 hours)</t>
  </si>
  <si>
    <t>Sample 1</t>
  </si>
  <si>
    <t>Sample 2</t>
  </si>
  <si>
    <t>Sample 3</t>
  </si>
  <si>
    <t>Thickness range (mm)</t>
  </si>
  <si>
    <t>Energy
( J )</t>
  </si>
  <si>
    <t>energy
(J/mm)</t>
  </si>
  <si>
    <t>HD Check @25kV</t>
  </si>
  <si>
    <t>Average of 5 measures
 ≥60 Shore D</t>
  </si>
  <si>
    <t>Pipe end "A"</t>
  </si>
  <si>
    <t>Pipe end "B"</t>
  </si>
  <si>
    <t>FBE</t>
  </si>
  <si>
    <t xml:space="preserve"> Adhesive</t>
  </si>
  <si>
    <t>Powder Adhesive</t>
  </si>
  <si>
    <t>PE Top Coat</t>
  </si>
  <si>
    <t>Synter Powder (Rough Coat)</t>
  </si>
  <si>
    <t>Average 4mm</t>
  </si>
  <si>
    <t>Average</t>
  </si>
  <si>
    <t>Minimum</t>
  </si>
  <si>
    <t>Maximum</t>
  </si>
  <si>
    <t>Date</t>
  </si>
  <si>
    <t>Shift</t>
  </si>
  <si>
    <t>week</t>
  </si>
  <si>
    <t>Max. Rat 2</t>
  </si>
  <si>
    <t>min
250</t>
  </si>
  <si>
    <t>max
500</t>
  </si>
  <si>
    <t>Av.</t>
  </si>
  <si>
    <t>min
200</t>
  </si>
  <si>
    <t>max
400</t>
  </si>
  <si>
    <t>min</t>
  </si>
  <si>
    <t>max</t>
  </si>
  <si>
    <t>≤ 5°C</t>
  </si>
  <si>
    <t>Fig.  A12</t>
  </si>
  <si>
    <t>Fig.  A11</t>
  </si>
  <si>
    <t>Sample
1</t>
  </si>
  <si>
    <t>Sample
2</t>
  </si>
  <si>
    <t>Sample
3</t>
  </si>
  <si>
    <t>≥ 400 %</t>
  </si>
  <si>
    <t>Ave.</t>
  </si>
  <si>
    <t>ΔMFR ≤ 35%</t>
  </si>
  <si>
    <t>Max</t>
  </si>
  <si>
    <t>from</t>
  </si>
  <si>
    <t>to</t>
  </si>
  <si>
    <t>23°C +/-3 °C
≥ 25 N/mm</t>
  </si>
  <si>
    <t>90 ± 3°C
≥ 6 N/mm</t>
  </si>
  <si>
    <t>23°C +/-3 °C
20 N/mm</t>
  </si>
  <si>
    <t>90 ± 3°C 4,2N/mm</t>
  </si>
  <si>
    <t>Product Name</t>
  </si>
  <si>
    <t>Batch No.</t>
  </si>
  <si>
    <t>Prod</t>
  </si>
  <si>
    <t>26.4.8668</t>
  </si>
  <si>
    <t>27</t>
  </si>
  <si>
    <t>x</t>
  </si>
  <si>
    <t>PIPECLAD 2000</t>
  </si>
  <si>
    <t>XB25100255</t>
  </si>
  <si>
    <t>Borcoat BB127E</t>
  </si>
  <si>
    <t>BB127E-PW</t>
  </si>
  <si>
    <t>S225720015</t>
  </si>
  <si>
    <t>BB108E-1199</t>
  </si>
  <si>
    <t>BB108E-1199PW</t>
  </si>
  <si>
    <t>S240550026</t>
  </si>
  <si>
    <t>26.4.8563</t>
  </si>
  <si>
    <t>26.4.8137</t>
  </si>
  <si>
    <t>OK</t>
  </si>
  <si>
    <t>26.4.8135</t>
  </si>
  <si>
    <t>Approved</t>
  </si>
  <si>
    <t>26.4.8323</t>
  </si>
  <si>
    <t xml:space="preserve">Pipe for PST 26.4.8158 Changed to 26.4.8323 due to cutback was performed </t>
  </si>
  <si>
    <t>26.4.8156</t>
  </si>
  <si>
    <t>26.4.8535</t>
  </si>
  <si>
    <t>26.4.2061</t>
  </si>
  <si>
    <t>26.4.8806</t>
  </si>
  <si>
    <t>26.4.7944</t>
  </si>
  <si>
    <t>26.4.7934</t>
  </si>
  <si>
    <t>26.4.2144</t>
  </si>
  <si>
    <t>26.4.8491</t>
  </si>
  <si>
    <t>S240648001</t>
  </si>
  <si>
    <t>26.4.8178</t>
  </si>
  <si>
    <t>26.4.8391</t>
  </si>
  <si>
    <t>26.4.8666</t>
  </si>
  <si>
    <t>26.4.7874</t>
  </si>
  <si>
    <t>26.4.8725</t>
  </si>
  <si>
    <t>26.4.8680</t>
  </si>
  <si>
    <t>26.4.9255</t>
  </si>
  <si>
    <t>26.4.8424</t>
  </si>
  <si>
    <t>26.4.8854</t>
  </si>
  <si>
    <t>XB26030138</t>
  </si>
  <si>
    <t>Additional Peel strength test after FBE batch change 12:05pm</t>
  </si>
  <si>
    <t>26.4.8672</t>
  </si>
  <si>
    <t>26.4.8107</t>
  </si>
  <si>
    <t>26.4.8098</t>
  </si>
  <si>
    <t>26.4.9090</t>
  </si>
  <si>
    <t>26.4.2100</t>
  </si>
  <si>
    <t>26.4.8979</t>
  </si>
  <si>
    <t>26.4.9268</t>
  </si>
  <si>
    <t>26.4.8618</t>
  </si>
  <si>
    <t>26.4.8603</t>
  </si>
  <si>
    <t>26.4.8675</t>
  </si>
  <si>
    <t>26.4.9107</t>
  </si>
  <si>
    <t>26.4.2243</t>
  </si>
  <si>
    <t>26.4.9084</t>
  </si>
  <si>
    <t>1,87</t>
  </si>
  <si>
    <t>26.4.8408</t>
  </si>
  <si>
    <t>26.4.8834</t>
  </si>
  <si>
    <t>26.4.9597</t>
  </si>
  <si>
    <t>26.4.7738</t>
  </si>
  <si>
    <t>26.4.9096</t>
  </si>
  <si>
    <t>26.4.8733</t>
  </si>
  <si>
    <t>26.4.9159</t>
  </si>
  <si>
    <t>26.4.9728</t>
  </si>
  <si>
    <t>26.4.8053</t>
  </si>
  <si>
    <t xml:space="preserve"> </t>
  </si>
  <si>
    <t>26.4.9738</t>
  </si>
  <si>
    <t>26.4.7759</t>
  </si>
  <si>
    <t>26.4.2099</t>
  </si>
  <si>
    <t>26.4.7867</t>
  </si>
  <si>
    <t>26.4.7851</t>
  </si>
  <si>
    <t>26.4.7790</t>
  </si>
  <si>
    <t>26.4.7747</t>
  </si>
  <si>
    <t>26.4.7900</t>
  </si>
  <si>
    <t>26.4.9938</t>
  </si>
  <si>
    <t>26.4.8984</t>
  </si>
  <si>
    <t>26.4.9563</t>
  </si>
  <si>
    <t>26.4.2101</t>
  </si>
  <si>
    <t>26.4.9339</t>
  </si>
  <si>
    <t>26.4.9374</t>
  </si>
  <si>
    <t>26.4.9362</t>
  </si>
  <si>
    <t>26.4.8798</t>
  </si>
  <si>
    <t>26.4.9076</t>
  </si>
  <si>
    <t>26.4.9475</t>
  </si>
  <si>
    <t>26.4.9201</t>
  </si>
  <si>
    <t>26.4.2185</t>
  </si>
  <si>
    <t>26.4.9169</t>
  </si>
  <si>
    <t>26.4.8933</t>
  </si>
  <si>
    <t>26.4.9087</t>
  </si>
  <si>
    <t>Not Approved</t>
  </si>
  <si>
    <t>26.4.9186</t>
  </si>
  <si>
    <t>26.4.9741</t>
  </si>
  <si>
    <t>26.4.9866</t>
  </si>
  <si>
    <t>26.4.9844</t>
  </si>
  <si>
    <t>26.4.2149</t>
  </si>
  <si>
    <t>26.4.7826</t>
  </si>
  <si>
    <t>26.4.9794</t>
  </si>
  <si>
    <t>26.4.9613</t>
  </si>
  <si>
    <t>26.4.8528</t>
  </si>
  <si>
    <t>26.4.10165</t>
  </si>
  <si>
    <t>26.4.9740</t>
  </si>
  <si>
    <t>26.4.2238</t>
  </si>
  <si>
    <t>26.4.10216</t>
  </si>
  <si>
    <t>26.4.10028</t>
  </si>
  <si>
    <t>26.4.9035</t>
  </si>
  <si>
    <t>26.4.10629</t>
  </si>
  <si>
    <t>26.4.9980</t>
  </si>
  <si>
    <t>XB26030139</t>
  </si>
  <si>
    <t>FBE change 09:47pm</t>
  </si>
  <si>
    <t>26.4.8544</t>
  </si>
  <si>
    <t>26.4.2170</t>
  </si>
  <si>
    <t>26.4.2107</t>
  </si>
  <si>
    <t>26.4.9988</t>
  </si>
  <si>
    <t>26.4.9927</t>
  </si>
  <si>
    <t>26.4.9894</t>
  </si>
  <si>
    <t>26.4.9903</t>
  </si>
  <si>
    <t>26.4.10074</t>
  </si>
  <si>
    <t>26.4.8799</t>
  </si>
  <si>
    <t>26.4.10072</t>
  </si>
  <si>
    <t>26.4.9182</t>
  </si>
  <si>
    <t>S225720016</t>
  </si>
  <si>
    <t>Powder adhesive change 3rd shift</t>
  </si>
  <si>
    <t>26.4.9610</t>
  </si>
  <si>
    <t>26.4.2113</t>
  </si>
  <si>
    <t>26.4.10172</t>
  </si>
  <si>
    <t>26.4.10277</t>
  </si>
  <si>
    <t>26.4.10029</t>
  </si>
  <si>
    <t>26.4.10170</t>
  </si>
  <si>
    <t>26.4.10417</t>
  </si>
  <si>
    <t>26.4.10149</t>
  </si>
  <si>
    <t>26.4.10442</t>
  </si>
  <si>
    <t>26.4.10500</t>
  </si>
  <si>
    <t>26.4.2086</t>
  </si>
  <si>
    <t>26.4.9003</t>
  </si>
  <si>
    <t>26.4.10516</t>
  </si>
  <si>
    <t>26.4.9641</t>
  </si>
  <si>
    <t>26.4.9890</t>
  </si>
  <si>
    <t>26.4.10648</t>
  </si>
  <si>
    <t>26.4.10605</t>
  </si>
  <si>
    <t>26.4.10591</t>
  </si>
  <si>
    <t>26.4.10645</t>
  </si>
  <si>
    <t>26.4.10522</t>
  </si>
  <si>
    <t>26.4.10494</t>
  </si>
  <si>
    <t>26.4.10046</t>
  </si>
  <si>
    <t>26.4.10052</t>
  </si>
  <si>
    <t>26.4.10515</t>
  </si>
  <si>
    <t>S225841014</t>
  </si>
  <si>
    <t>OG</t>
  </si>
  <si>
    <t>26.4.10661</t>
  </si>
  <si>
    <t>26.4.10651</t>
  </si>
  <si>
    <t>26.4.10967</t>
  </si>
  <si>
    <t>26.4.10472</t>
  </si>
  <si>
    <t>26.4.9803</t>
  </si>
  <si>
    <t>26.4.9788</t>
  </si>
  <si>
    <t>26.4.10726</t>
  </si>
  <si>
    <t>26.4.10694</t>
  </si>
  <si>
    <t>26.4.2145</t>
  </si>
  <si>
    <t>26.4.9802</t>
  </si>
  <si>
    <t>Change of PP 1st shift</t>
  </si>
  <si>
    <t>Do not write on this line. Press button below  !</t>
  </si>
  <si>
    <t>Press this button to ADD a new line</t>
  </si>
  <si>
    <t>Shift:</t>
  </si>
  <si>
    <t xml:space="preserve">from </t>
  </si>
  <si>
    <t>Pipe Ends :</t>
  </si>
  <si>
    <t>A</t>
  </si>
  <si>
    <t>FRONT</t>
  </si>
  <si>
    <t>B</t>
  </si>
  <si>
    <t>TAIL</t>
  </si>
  <si>
    <t>Tests Control Table ( TYPE Coater &amp; Coating Plant NAME)</t>
  </si>
  <si>
    <t>n.a.</t>
  </si>
  <si>
    <t>Pass</t>
  </si>
  <si>
    <t>Elongation at Break Tests
( % )</t>
  </si>
  <si>
    <t xml:space="preserve">Flexibility Tests </t>
  </si>
  <si>
    <t xml:space="preserve"> PE Variation Extrusion Tests
ΔMFR
( % )</t>
  </si>
  <si>
    <t>Overall ( mm )</t>
  </si>
  <si>
    <t>Test
 Report</t>
  </si>
  <si>
    <t>23±2 °C / 1.5 V (28 days)</t>
  </si>
  <si>
    <t>80±2 °C / 1.5 V (28 days)</t>
  </si>
  <si>
    <t>65±2 °C / 1.5 V (48 hours)</t>
  </si>
  <si>
    <t>2° bend
at 0 °C</t>
  </si>
  <si>
    <t>Thks range (mm)</t>
  </si>
  <si>
    <t>Adhesive</t>
  </si>
  <si>
    <t>Maximum reading</t>
  </si>
  <si>
    <t>Absolute minimum reading</t>
  </si>
  <si>
    <t>MAX</t>
  </si>
  <si>
    <t>23°C</t>
  </si>
  <si>
    <t>80°C</t>
  </si>
  <si>
    <t>from 00:00 to 08:00</t>
  </si>
  <si>
    <t>from 08:00 to 16:00</t>
  </si>
  <si>
    <t>from 16:00 to 24:00</t>
  </si>
  <si>
    <t>SORT all data (by day, shift and pipe sequence)</t>
  </si>
  <si>
    <t>PPT</t>
  </si>
  <si>
    <t>18 4 12944</t>
  </si>
  <si>
    <t>21</t>
  </si>
  <si>
    <t>X</t>
  </si>
  <si>
    <t>3M - Scotchkote 226N 11G</t>
  </si>
  <si>
    <t>7K23C</t>
  </si>
  <si>
    <t>MPB - Coesive L.8.92.8 (u)</t>
  </si>
  <si>
    <t>A1-001911</t>
  </si>
  <si>
    <t xml:space="preserve">MPB - LUXENE HDPE-2050  </t>
  </si>
  <si>
    <t>L1-001372</t>
  </si>
  <si>
    <t>MPB - LUXENE HDPE-2050 (Powder)</t>
  </si>
  <si>
    <t>A3-005308</t>
  </si>
  <si>
    <t xml:space="preserve"> - -</t>
  </si>
  <si>
    <t>Flexibility at 0ºC</t>
  </si>
  <si>
    <t>20±3 °C</t>
  </si>
  <si>
    <t>60±3 °C</t>
  </si>
  <si>
    <t>Hight (M)</t>
  </si>
  <si>
    <t>2.0º</t>
  </si>
  <si>
    <t>from 4,5mm</t>
  </si>
  <si>
    <t>to  7,0mm</t>
  </si>
  <si>
    <t>H</t>
  </si>
  <si>
    <t>TºC</t>
  </si>
  <si>
    <t>23°C 
+/-3 °C</t>
  </si>
  <si>
    <t xml:space="preserve">90 ± 3°C
</t>
  </si>
  <si>
    <t>PPT1</t>
  </si>
  <si>
    <t>26.4.7864</t>
  </si>
  <si>
    <t>approved</t>
  </si>
  <si>
    <t>26.4.7839</t>
  </si>
  <si>
    <t>2</t>
  </si>
  <si>
    <t>-0,42</t>
  </si>
  <si>
    <t>26.4.8628</t>
  </si>
  <si>
    <t>26.4.8505</t>
  </si>
  <si>
    <t>26.4.8489</t>
  </si>
  <si>
    <t>Coating with damage exposing the FBE - Not approved</t>
  </si>
  <si>
    <t>TYPE OF REPAIR</t>
  </si>
  <si>
    <t>QUANTITY</t>
  </si>
  <si>
    <t>AREA</t>
  </si>
  <si>
    <t>REMARS</t>
  </si>
  <si>
    <t>HEATING CYCLE</t>
  </si>
  <si>
    <t>STRIPPING</t>
  </si>
  <si>
    <t>QUANTITY REJECTED (HEATING CYCLE)</t>
  </si>
  <si>
    <t>QUANTITY REJECTED (STRIPPING)</t>
  </si>
  <si>
    <t>Peel Strength (N/mm)</t>
  </si>
  <si>
    <t>Pipe number</t>
  </si>
  <si>
    <t>Type of failure</t>
  </si>
  <si>
    <t>Position</t>
  </si>
  <si>
    <t>Temp (°C)</t>
  </si>
  <si>
    <t>Kgf</t>
  </si>
  <si>
    <t>N/mm</t>
  </si>
  <si>
    <t>Cohesive</t>
  </si>
  <si>
    <t>Elongation PP</t>
  </si>
  <si>
    <t>Min.</t>
  </si>
  <si>
    <t>Max.</t>
  </si>
  <si>
    <t>END A</t>
  </si>
  <si>
    <t>END B</t>
  </si>
  <si>
    <t>Final Inspection Bench</t>
  </si>
  <si>
    <t>Final Coating Mill Inspection</t>
  </si>
  <si>
    <t>Total</t>
  </si>
  <si>
    <t>Weekly</t>
  </si>
  <si>
    <t>Shiftt</t>
  </si>
  <si>
    <t>Coated</t>
  </si>
  <si>
    <t>Not approved / Onhold</t>
  </si>
  <si>
    <t>Repair</t>
  </si>
  <si>
    <t>Sample</t>
  </si>
  <si>
    <t>Type</t>
  </si>
  <si>
    <t>Obs</t>
  </si>
  <si>
    <t xml:space="preserve">Approved </t>
  </si>
  <si>
    <t>-</t>
  </si>
  <si>
    <t>3LPP</t>
  </si>
  <si>
    <t>SAKARYA GAS FIELD DEVELOPMENT PROJECT</t>
  </si>
  <si>
    <t>Pending</t>
  </si>
  <si>
    <t>Coating Thichkess</t>
  </si>
  <si>
    <t>On Hold</t>
  </si>
  <si>
    <t xml:space="preserve"> Not Approved</t>
  </si>
  <si>
    <t>On hold</t>
  </si>
  <si>
    <t>Final Inspection</t>
  </si>
  <si>
    <t>Pipes Not Approved or quarantined  - Anti Corrosive plant</t>
  </si>
  <si>
    <t>Stripping</t>
  </si>
  <si>
    <t>Pipe</t>
  </si>
  <si>
    <t>Defect</t>
  </si>
  <si>
    <t>Status</t>
  </si>
  <si>
    <t>Work station</t>
  </si>
  <si>
    <t>After Action</t>
  </si>
  <si>
    <t>After Action Date</t>
  </si>
  <si>
    <t>Yard</t>
  </si>
  <si>
    <t>26.4.7875</t>
  </si>
  <si>
    <t>Bubble cutback</t>
  </si>
  <si>
    <t>Dimensional</t>
  </si>
  <si>
    <t>26.4.8317</t>
  </si>
  <si>
    <t>Rough coat failure</t>
  </si>
  <si>
    <t>26.4.8538</t>
  </si>
  <si>
    <t>PE contamination</t>
  </si>
  <si>
    <t>26.4.8164</t>
  </si>
  <si>
    <t>26.4.8287</t>
  </si>
  <si>
    <t>26.4.8481</t>
  </si>
  <si>
    <t>26.4.8324</t>
  </si>
  <si>
    <t>Coating damage</t>
  </si>
  <si>
    <t>26.4.8148</t>
  </si>
  <si>
    <t>Coating line speed out of tolerance</t>
  </si>
  <si>
    <t>26.4.8331</t>
  </si>
  <si>
    <t>26.4.8801</t>
  </si>
  <si>
    <t>26.4.8396</t>
  </si>
  <si>
    <t>Extruder PP drop</t>
  </si>
  <si>
    <t>MTE Pipe dropped in the holiday line</t>
  </si>
  <si>
    <t xml:space="preserve">Reported By "VECO"  3LPP thickness below spec. </t>
  </si>
  <si>
    <t>26.4.8420</t>
  </si>
  <si>
    <t>FBE tail damaged</t>
  </si>
  <si>
    <t>CB will be reworked</t>
  </si>
  <si>
    <t>26.4.8718</t>
  </si>
  <si>
    <t>Problem in the System</t>
  </si>
  <si>
    <t>26.4.8235</t>
  </si>
  <si>
    <t>Mark in the steel (inside)</t>
  </si>
  <si>
    <t>26.4.8393</t>
  </si>
  <si>
    <t>26.4.8318</t>
  </si>
  <si>
    <t>26.4.8165</t>
  </si>
  <si>
    <t>Application failure</t>
  </si>
  <si>
    <t>26.4.8177</t>
  </si>
  <si>
    <t>Rework internal identification</t>
  </si>
  <si>
    <t>26.4.8310</t>
  </si>
  <si>
    <t>26.4.9256</t>
  </si>
  <si>
    <t>Black spiral mark, due to tire blocked</t>
  </si>
  <si>
    <t>26.4.8710</t>
  </si>
  <si>
    <t>26.4.8358</t>
  </si>
  <si>
    <t>26.4.8103</t>
  </si>
  <si>
    <t>Coating damaged</t>
  </si>
  <si>
    <t>26.4.8097</t>
  </si>
  <si>
    <t>26.4.8623</t>
  </si>
  <si>
    <t>Deep grind steel close to the FBE tail (MTE)</t>
  </si>
  <si>
    <t>Min. Thickness 31,4mm</t>
  </si>
  <si>
    <t>26.4.9105</t>
  </si>
  <si>
    <t>Min. Thickness 32,1mm</t>
  </si>
  <si>
    <t>26.4.9276</t>
  </si>
  <si>
    <t>Min. Thickness 31,6mm</t>
  </si>
  <si>
    <t>26.4.8637</t>
  </si>
  <si>
    <t>3LPP with repair</t>
  </si>
  <si>
    <t>26.4.8670</t>
  </si>
  <si>
    <t>26.4.9130</t>
  </si>
  <si>
    <t>3LPP with repair and Redo PP angle</t>
  </si>
  <si>
    <t>Repair done, but waiting Redo PP angle</t>
  </si>
  <si>
    <t>26.4.9261</t>
  </si>
  <si>
    <t>26.4.8639</t>
  </si>
  <si>
    <t>26.4.9270</t>
  </si>
  <si>
    <t>26.4.9262</t>
  </si>
  <si>
    <t>26.4.8656</t>
  </si>
  <si>
    <t>Redo PP angle</t>
  </si>
  <si>
    <t>26.4.8953</t>
  </si>
  <si>
    <t>wrinkles</t>
  </si>
  <si>
    <t>26.4.8290</t>
  </si>
  <si>
    <t>26.4.8555</t>
  </si>
  <si>
    <t>increase cutback end b</t>
  </si>
  <si>
    <t>26.4.8917</t>
  </si>
  <si>
    <t>26.4.8523</t>
  </si>
  <si>
    <t>FBE contamination</t>
  </si>
  <si>
    <t>26.4.9036</t>
  </si>
  <si>
    <t>26.4.9025</t>
  </si>
  <si>
    <t>26.4.7786</t>
  </si>
  <si>
    <t>26.4.7906</t>
  </si>
  <si>
    <t>26.4.9079</t>
  </si>
  <si>
    <t>26.4.9143</t>
  </si>
  <si>
    <t>Aplication failure</t>
  </si>
  <si>
    <t>26.4.8362</t>
  </si>
  <si>
    <t>Cut end A - Remove wrinkle</t>
  </si>
  <si>
    <t>26.4.9552</t>
  </si>
  <si>
    <t>Redo cutback</t>
  </si>
  <si>
    <t>26.4.7908</t>
  </si>
  <si>
    <t>26.4.7858</t>
  </si>
  <si>
    <t>Adhesive below sppecified</t>
  </si>
  <si>
    <t>26.4.8579</t>
  </si>
  <si>
    <t>Pressure marks and Adhesive below specified</t>
  </si>
  <si>
    <t>26.4.7849</t>
  </si>
  <si>
    <t>Bubble cutback - increase CB</t>
  </si>
  <si>
    <t>26.4.7782</t>
  </si>
  <si>
    <t xml:space="preserve">Steel damage Cutback- 5mm from end </t>
  </si>
  <si>
    <t>26.4.9652</t>
  </si>
  <si>
    <t xml:space="preserve">Delamination </t>
  </si>
  <si>
    <t>26.4.9685</t>
  </si>
  <si>
    <t>Coating Damage</t>
  </si>
  <si>
    <t>26.4.9149</t>
  </si>
  <si>
    <t>26.4.8613</t>
  </si>
  <si>
    <t>3LPP below specified</t>
  </si>
  <si>
    <t>26.4.9200</t>
  </si>
  <si>
    <t>26.4.9048</t>
  </si>
  <si>
    <t>26.4.9184</t>
  </si>
  <si>
    <t>Steel damage Cutback</t>
  </si>
  <si>
    <t>26.4.2182</t>
  </si>
  <si>
    <t>Adhesive below specified</t>
  </si>
  <si>
    <t>26.4.9416</t>
  </si>
  <si>
    <t>26.4.9437</t>
  </si>
  <si>
    <t>26.4.8832</t>
  </si>
  <si>
    <t>26.4.9490</t>
  </si>
  <si>
    <t>Superficial marks</t>
  </si>
  <si>
    <t>26.4.9816</t>
  </si>
  <si>
    <t>Minimum wall thickness 31,4mm (but stripped 2 times)</t>
  </si>
  <si>
    <t>Consultar reprova</t>
  </si>
  <si>
    <t>26.4.9687</t>
  </si>
  <si>
    <t>26.4.8789</t>
  </si>
  <si>
    <t>26.4.9877</t>
  </si>
  <si>
    <t xml:space="preserve">Bubble cutback </t>
  </si>
  <si>
    <t>26.4.9326</t>
  </si>
  <si>
    <t xml:space="preserve">Repair </t>
  </si>
  <si>
    <t>Wrinkle End B</t>
  </si>
  <si>
    <t>26.4.9954</t>
  </si>
  <si>
    <t>FBE below specified</t>
  </si>
  <si>
    <t>26.4.9905</t>
  </si>
  <si>
    <t>26.4.9667</t>
  </si>
  <si>
    <t>26.4.9963</t>
  </si>
  <si>
    <t>26.4.8213</t>
  </si>
  <si>
    <t>26.4.10382</t>
  </si>
  <si>
    <t>26.4.10359</t>
  </si>
  <si>
    <t>26.4.10302</t>
  </si>
  <si>
    <t>26.4.10318</t>
  </si>
  <si>
    <t>26.4.9088</t>
  </si>
  <si>
    <t>Not registered application heating in the sistem</t>
  </si>
  <si>
    <t>used for FBE/adhesive</t>
  </si>
  <si>
    <t>26.4.10169</t>
  </si>
  <si>
    <t>26.4.9992</t>
  </si>
  <si>
    <t>Bubble 3LPP End 1</t>
  </si>
  <si>
    <t>26.4.10232</t>
  </si>
  <si>
    <t>Bubble 3LPP</t>
  </si>
  <si>
    <t>26.4.10244</t>
  </si>
  <si>
    <t>identified 5 defects</t>
  </si>
  <si>
    <t>26.4.9596</t>
  </si>
  <si>
    <t>26.4.10247</t>
  </si>
  <si>
    <t>26.4.10210</t>
  </si>
  <si>
    <t>26.4.10268</t>
  </si>
  <si>
    <t>26.4.10030</t>
  </si>
  <si>
    <t>26.4.10019</t>
  </si>
  <si>
    <t>26.4.9535</t>
  </si>
  <si>
    <t>26.4.9538</t>
  </si>
  <si>
    <t>26.4.9847</t>
  </si>
  <si>
    <t>26.4.9885</t>
  </si>
  <si>
    <t>26.4.9928</t>
  </si>
  <si>
    <t>26.4.9843</t>
  </si>
  <si>
    <t>Not registered application heating in the system</t>
  </si>
  <si>
    <t>26.4.9895</t>
  </si>
  <si>
    <t>26.4.10034</t>
  </si>
  <si>
    <t>1 Bubble 3LPP</t>
  </si>
  <si>
    <t>26.4.9644</t>
  </si>
  <si>
    <t>Adhesive above specified</t>
  </si>
  <si>
    <t>26.4.10226</t>
  </si>
  <si>
    <t>26.4.9245</t>
  </si>
  <si>
    <t>26.4.10233</t>
  </si>
  <si>
    <t>26.4.10157</t>
  </si>
  <si>
    <t>26.4.10228</t>
  </si>
  <si>
    <t>TENARIS will perfomed Peel strenght test</t>
  </si>
  <si>
    <t>I</t>
  </si>
  <si>
    <t>26.4.10171</t>
  </si>
  <si>
    <t>26.4.10201</t>
  </si>
  <si>
    <t>26.4.9993</t>
  </si>
  <si>
    <t>Bubble cutback - increase CB end 1</t>
  </si>
  <si>
    <t>26.4.10185</t>
  </si>
  <si>
    <t>Residual magnetismo above specified</t>
  </si>
  <si>
    <t>Also Bubble in the butback end 190mm</t>
  </si>
  <si>
    <t>26.4.10130</t>
  </si>
  <si>
    <t>26.4.10108</t>
  </si>
  <si>
    <t>26.4.10143</t>
  </si>
  <si>
    <t>Bubble cutback -  end 1</t>
  </si>
  <si>
    <t>Cutback 190mm</t>
  </si>
  <si>
    <t>26.4.9618</t>
  </si>
  <si>
    <t>26.4.10224</t>
  </si>
  <si>
    <t>Steel damage end 1</t>
  </si>
  <si>
    <t>Pipe coated</t>
  </si>
  <si>
    <t>26.4.10942</t>
  </si>
  <si>
    <t>26.4.10082</t>
  </si>
  <si>
    <t>26.4.10677</t>
  </si>
  <si>
    <t>26.4.10099</t>
  </si>
  <si>
    <t>26.4.9439</t>
  </si>
  <si>
    <t>26.4.10721</t>
  </si>
  <si>
    <t>Tenaris system - N2</t>
  </si>
  <si>
    <t xml:space="preserve">Manufacturer </t>
  </si>
  <si>
    <t xml:space="preserve">Trade Name  </t>
  </si>
  <si>
    <t xml:space="preserve">Batch  </t>
  </si>
  <si>
    <t xml:space="preserve">Manufacturer   </t>
  </si>
  <si>
    <t xml:space="preserve">Trade Name   </t>
  </si>
  <si>
    <t xml:space="preserve">Batch    </t>
  </si>
  <si>
    <t xml:space="preserve">Manufacturer      </t>
  </si>
  <si>
    <t xml:space="preserve">Trade Name     </t>
  </si>
  <si>
    <t xml:space="preserve">Batch       </t>
  </si>
  <si>
    <t xml:space="preserve"> Manufacturer</t>
  </si>
  <si>
    <t xml:space="preserve">Trade Name    </t>
  </si>
  <si>
    <t xml:space="preserve"> Batch</t>
  </si>
  <si>
    <t xml:space="preserve"> Manufacturer    </t>
  </si>
  <si>
    <t xml:space="preserve">Trade Name        </t>
  </si>
  <si>
    <t xml:space="preserve"> Batch  </t>
  </si>
  <si>
    <t xml:space="preserve">Sherwin-Williams </t>
  </si>
  <si>
    <t>Pipeclad 2000</t>
  </si>
  <si>
    <t>Borealis</t>
  </si>
  <si>
    <t>Borcoat BB127 E - PW</t>
  </si>
  <si>
    <t>Borcoat BB108E-1199</t>
  </si>
  <si>
    <t>Borcoat BB127E-PW</t>
  </si>
  <si>
    <t>Rough Coat change batch</t>
  </si>
  <si>
    <t>FBE change 12:05pm</t>
  </si>
  <si>
    <t xml:space="preserve">change of PP batch </t>
  </si>
  <si>
    <t>Stripping Control  - Anti Corrosive plant</t>
  </si>
  <si>
    <t>Stripping Qty.</t>
  </si>
  <si>
    <t>Prod. Status</t>
  </si>
  <si>
    <t>Prod. Qty.</t>
  </si>
  <si>
    <t>Partially coated</t>
  </si>
  <si>
    <t>Reworked</t>
  </si>
  <si>
    <t>26.4.8689</t>
  </si>
  <si>
    <t xml:space="preserve">FBE/Adhesive thickness </t>
  </si>
  <si>
    <t>Reported By "VECO"  3LPP thickness below spec. 08/07/2026</t>
  </si>
  <si>
    <t>Cavity / gouge - Steel damaged</t>
  </si>
  <si>
    <t>Damage localize in 6m (external)</t>
  </si>
  <si>
    <t>26.4.9115</t>
  </si>
  <si>
    <t>26.4.8665</t>
  </si>
  <si>
    <t>26.4.8522</t>
  </si>
  <si>
    <t>26.4.8081</t>
  </si>
  <si>
    <t>26.4.9388</t>
  </si>
  <si>
    <t>26.4.9137</t>
  </si>
  <si>
    <t>26.4.9080</t>
  </si>
  <si>
    <t>26.4.8851</t>
  </si>
  <si>
    <t>26.4.7896</t>
  </si>
  <si>
    <t>26.4.9141</t>
  </si>
  <si>
    <t>26.4.9165</t>
  </si>
  <si>
    <t>26.4.8335</t>
  </si>
  <si>
    <t>1st heating cycle not - not coated</t>
  </si>
  <si>
    <t>26.4.9721</t>
  </si>
  <si>
    <t>Coated twice - Segregated</t>
  </si>
  <si>
    <t>26.4.8577</t>
  </si>
  <si>
    <t>26.4.9646</t>
  </si>
  <si>
    <t>26.4.9394</t>
  </si>
  <si>
    <t>26.4.8835</t>
  </si>
  <si>
    <t>26.4.9198</t>
  </si>
  <si>
    <t>Not coated, but 2nd heating cycle</t>
  </si>
  <si>
    <t>FBE/Adhesive thickness / "V" cut</t>
  </si>
  <si>
    <t>26.4.7865</t>
  </si>
  <si>
    <t>26.4.9223</t>
  </si>
  <si>
    <t>26.4.9859</t>
  </si>
  <si>
    <t>26.4.9438</t>
  </si>
  <si>
    <t>not coated</t>
  </si>
  <si>
    <t>26.4.9620</t>
  </si>
  <si>
    <t>Scratch in the steel</t>
  </si>
  <si>
    <t>26.4.9353</t>
  </si>
  <si>
    <t>26.4.10021</t>
  </si>
  <si>
    <t>26.4.9128</t>
  </si>
  <si>
    <t>26.4.9532</t>
  </si>
  <si>
    <t>26.4.8188</t>
  </si>
  <si>
    <t>26.4.9797</t>
  </si>
  <si>
    <t>26.4.9973</t>
  </si>
  <si>
    <t>26.4.8260</t>
  </si>
  <si>
    <t>26.4.10499</t>
  </si>
  <si>
    <t>26.4.10436</t>
  </si>
  <si>
    <t>26.4.10351</t>
  </si>
  <si>
    <t>26.4.10313</t>
  </si>
  <si>
    <t>26.4.10156</t>
  </si>
  <si>
    <t>26.4.10665</t>
  </si>
  <si>
    <t>26.4.10957</t>
  </si>
  <si>
    <t>26.4.10675</t>
  </si>
  <si>
    <t>26.4.10681</t>
  </si>
  <si>
    <t>26.4.10778</t>
  </si>
  <si>
    <t>SAKARYA GAS FIELD DEVELOPMENT PROJECT
STRIPPING PIPES / PRODUCTION CONTROL</t>
  </si>
  <si>
    <t>TPI x Prod</t>
  </si>
  <si>
    <t>26.4.8275</t>
  </si>
  <si>
    <t>Full</t>
  </si>
  <si>
    <t>Stripped</t>
  </si>
  <si>
    <t>26.4.8270</t>
  </si>
  <si>
    <t>26.4.8245</t>
  </si>
  <si>
    <t>26.4.8208</t>
  </si>
  <si>
    <t>26.4.8294</t>
  </si>
  <si>
    <t>26.4.8185</t>
  </si>
  <si>
    <t>26.4.2115</t>
  </si>
  <si>
    <t>26.4.8266</t>
  </si>
  <si>
    <t>26.4.8190</t>
  </si>
  <si>
    <t>26.4.8576</t>
  </si>
  <si>
    <t>26.4.7860</t>
  </si>
  <si>
    <t>26.4.8201</t>
  </si>
  <si>
    <t>26.4.8210</t>
  </si>
  <si>
    <t>26.4.8263</t>
  </si>
  <si>
    <t>26.4.8183</t>
  </si>
  <si>
    <t>26.4.8455</t>
  </si>
  <si>
    <t>CP</t>
  </si>
  <si>
    <t>26.4.8466</t>
  </si>
  <si>
    <t>26.4.8521</t>
  </si>
  <si>
    <t>26.4.8698</t>
  </si>
  <si>
    <t>26.4.8259</t>
  </si>
  <si>
    <t>26.4.8250</t>
  </si>
  <si>
    <t>26.4.2091</t>
  </si>
  <si>
    <t>26.4.8184</t>
  </si>
  <si>
    <t>26.4.8503</t>
  </si>
  <si>
    <t>26.4.8247</t>
  </si>
  <si>
    <t>26.4.8715</t>
  </si>
  <si>
    <t>26.4.9259</t>
  </si>
  <si>
    <t>26.4.8729</t>
  </si>
  <si>
    <t>26.4.8272</t>
  </si>
  <si>
    <t>26.4.9074</t>
  </si>
  <si>
    <t>26.4.8697</t>
  </si>
  <si>
    <t>26.4.8447</t>
  </si>
  <si>
    <t>26.4.8573</t>
  </si>
  <si>
    <t>26.4.9983</t>
  </si>
  <si>
    <t>26.4.9598</t>
  </si>
  <si>
    <t>26.4.9571</t>
  </si>
  <si>
    <t>26.4.9253</t>
  </si>
  <si>
    <t>26.4.7735</t>
  </si>
  <si>
    <t>26.4.8152</t>
  </si>
  <si>
    <t>26.4.8253</t>
  </si>
  <si>
    <t>26.4.8866</t>
  </si>
  <si>
    <t>26.4.9147</t>
  </si>
  <si>
    <t>26.4.9139</t>
  </si>
  <si>
    <t>26.4.9570</t>
  </si>
  <si>
    <t>26.4.8616</t>
  </si>
  <si>
    <t>26.4.8200</t>
  </si>
  <si>
    <t>26.4.8194</t>
  </si>
  <si>
    <t>26.4.9047</t>
  </si>
  <si>
    <t>26.4.8202</t>
  </si>
  <si>
    <t>26.4.9069</t>
  </si>
  <si>
    <t>26.4.8182</t>
  </si>
  <si>
    <t>26.4.9045</t>
  </si>
  <si>
    <t>26.4.9827</t>
  </si>
  <si>
    <t>26.4.9776</t>
  </si>
  <si>
    <t>26.4.9703</t>
  </si>
  <si>
    <t>26.4.8265</t>
  </si>
  <si>
    <t>26.4.8181</t>
  </si>
  <si>
    <t>26.4.10213</t>
  </si>
  <si>
    <t>26.4.10352</t>
  </si>
  <si>
    <t>26.4.10519</t>
  </si>
  <si>
    <t>26.4.10517</t>
  </si>
  <si>
    <t>26.4.10510</t>
  </si>
  <si>
    <t>26.4.10965</t>
  </si>
  <si>
    <t>26.4.10964</t>
  </si>
  <si>
    <t>26.4.10899</t>
  </si>
  <si>
    <t>26.4.7859</t>
  </si>
  <si>
    <t>26.4.10793</t>
  </si>
  <si>
    <t>26.4.10785</t>
  </si>
  <si>
    <t>26.4.10772</t>
  </si>
  <si>
    <t>FROSIO Qualification Job Title</t>
  </si>
  <si>
    <t>NAME</t>
  </si>
  <si>
    <t>Work Station</t>
  </si>
  <si>
    <t>Cert. Nº</t>
  </si>
  <si>
    <t>Title</t>
  </si>
  <si>
    <t>RODRIGO M. BARRETO</t>
  </si>
  <si>
    <t>Surface preparation after second Blasting</t>
  </si>
  <si>
    <t>Surface Treatment Level 2</t>
  </si>
  <si>
    <t>JOSÉ RICARDO DA SILVA</t>
  </si>
  <si>
    <t>Coated pipes inspection</t>
  </si>
  <si>
    <t>16438</t>
  </si>
  <si>
    <t>Surface Treatment Level 3</t>
  </si>
  <si>
    <t>JÚLIO CÉSAR LOURENÇO EDEGAR</t>
  </si>
  <si>
    <t>Final inspection</t>
  </si>
  <si>
    <t>16436</t>
  </si>
  <si>
    <t>MATHEUS JOSÉ BIAGIONI BALBO</t>
  </si>
  <si>
    <t>BRUNO ANSELMO SILVA</t>
  </si>
  <si>
    <t>DIOGO WILSON LEITE</t>
  </si>
  <si>
    <t>BRUNO COELHO CUSTÓDIO</t>
  </si>
  <si>
    <t>ADILIO PEREIRA</t>
  </si>
  <si>
    <t>URIEL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</si>
</sst>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\ mmm\ yy"/>
    <numFmt numFmtId="165" formatCode="0.0"/>
    <numFmt numFmtId="166" formatCode="[$-409]dd\-mmm\-yy;@"/>
    <numFmt numFmtId="167" formatCode="0.000"/>
    <numFmt numFmtId="168" formatCode="mm/dd/yy;@"/>
    <numFmt numFmtId="169" formatCode="0.0000"/>
  </numFmts>
  <fonts count="93">
    <font>
      <sz val="11"/>
      <color theme="1"/>
      <name val="Calibri"/>
      <family val="2"/>
      <scheme val="minor"/>
    </font>
    <font>
      <sz val="20"/>
      <color rgb="FF002060"/>
      <name val="Arial Black"/>
      <family val="2"/>
    </font>
    <font>
      <sz val="20"/>
      <color theme="1"/>
      <name val="Arial"/>
      <family val="2"/>
    </font>
    <font>
      <sz val="20"/>
      <color theme="1"/>
      <name val="Arial Black"/>
      <family val="2"/>
    </font>
    <font>
      <sz val="8"/>
      <color theme="1"/>
      <name val="Arial Black"/>
      <family val="2"/>
    </font>
    <font>
      <b/>
      <sz val="18"/>
      <color rgb="FF0070C0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Arial Narrow"/>
      <family val="2"/>
    </font>
    <font>
      <sz val="16"/>
      <name val="Arial"/>
      <family val="2"/>
    </font>
    <font>
      <sz val="11"/>
      <color theme="7" tint="0.59999389629810485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6"/>
      <color theme="1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1"/>
      <color rgb="FFFFC00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sz val="11"/>
      <color theme="4" tint="0.59999389629810485"/>
      <name val="Arial Narrow"/>
      <family val="2"/>
    </font>
    <font>
      <sz val="11"/>
      <color rgb="FFFFC000"/>
      <name val="Arial Narrow"/>
      <family val="2"/>
    </font>
    <font>
      <sz val="11"/>
      <color rgb="FFFFFF00"/>
      <name val="Arial Narrow"/>
      <family val="2"/>
    </font>
    <font>
      <sz val="8"/>
      <color theme="7" tint="0.59999389629810485"/>
      <name val="Arial"/>
      <family val="2"/>
    </font>
    <font>
      <b/>
      <sz val="12"/>
      <color theme="4" tint="0.39997558519241921"/>
      <name val="Arial"/>
      <family val="2"/>
    </font>
    <font>
      <b/>
      <sz val="12"/>
      <color theme="7" tint="0.59999389629810485"/>
      <name val="Arial"/>
      <family val="2"/>
    </font>
    <font>
      <b/>
      <sz val="12"/>
      <color theme="9" tint="0.39997558519241921"/>
      <name val="Arial"/>
      <family val="2"/>
    </font>
    <font>
      <b/>
      <sz val="12"/>
      <color rgb="FFFF33CC"/>
      <name val="Arial"/>
      <family val="2"/>
    </font>
    <font>
      <b/>
      <sz val="11"/>
      <color rgb="FFFFC000"/>
      <name val="Arial Narrow"/>
      <family val="2"/>
    </font>
    <font>
      <b/>
      <sz val="11"/>
      <color theme="7" tint="0.39997558519241921"/>
      <name val="Arial Narrow"/>
      <family val="2"/>
    </font>
    <font>
      <sz val="11"/>
      <color theme="0"/>
      <name val="Arial Narrow"/>
      <family val="2"/>
    </font>
    <font>
      <sz val="11"/>
      <color rgb="FFFF0000"/>
      <name val="Wingdings"/>
      <charset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Wingdings"/>
      <charset val="2"/>
    </font>
    <font>
      <sz val="11"/>
      <color theme="1"/>
      <name val="Arial Narrow"/>
      <family val="2"/>
    </font>
    <font>
      <b/>
      <sz val="11"/>
      <color rgb="FFFF0000"/>
      <name val="Arial"/>
      <family val="2"/>
    </font>
    <font>
      <b/>
      <sz val="11"/>
      <color theme="7" tint="0.39997558519241921"/>
      <name val="Arial"/>
      <family val="2"/>
    </font>
    <font>
      <b/>
      <sz val="11"/>
      <color theme="1"/>
      <name val="Arial"/>
      <family val="2"/>
    </font>
    <font>
      <sz val="10"/>
      <color theme="4" tint="0.39997558519241921"/>
      <name val="Arial"/>
      <family val="2"/>
    </font>
    <font>
      <sz val="20"/>
      <color rgb="FFFF5050"/>
      <name val="Arial Black"/>
      <family val="2"/>
    </font>
    <font>
      <sz val="11"/>
      <color theme="9" tint="0.39997558519241921"/>
      <name val="Arial"/>
      <family val="2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Wingdings"/>
      <charset val="2"/>
    </font>
    <font>
      <i/>
      <sz val="10"/>
      <color theme="1"/>
      <name val="Calibri"/>
      <family val="2"/>
      <scheme val="minor"/>
    </font>
    <font>
      <i/>
      <sz val="8"/>
      <color rgb="FF003C50"/>
      <name val="Calibri"/>
      <family val="2"/>
      <scheme val="minor"/>
    </font>
    <font>
      <sz val="11"/>
      <color rgb="FF003C5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i/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8"/>
      <color theme="5"/>
      <name val="Calibri"/>
      <family val="2"/>
    </font>
    <font>
      <b/>
      <i/>
      <sz val="8"/>
      <color rgb="FFFF0000"/>
      <name val="Calibri"/>
      <family val="2"/>
    </font>
    <font>
      <sz val="10"/>
      <name val="Calibri"/>
      <family val="2"/>
    </font>
    <font>
      <sz val="8"/>
      <name val="Calibri"/>
      <family val="2"/>
    </font>
    <font>
      <sz val="16"/>
      <color rgb="FF002060"/>
      <name val="Arial Black"/>
      <family val="2"/>
    </font>
    <font>
      <b/>
      <sz val="16"/>
      <color rgb="FF0070C0"/>
      <name val="Arial"/>
      <family val="2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 "/>
    </font>
    <font>
      <sz val="9"/>
      <color theme="7" tint="0.59999389629810485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8"/>
      <color rgb="FFFF0000"/>
      <name val="Calibri "/>
    </font>
    <font>
      <sz val="11"/>
      <color rgb="FFFF0000"/>
      <name val="Arial"/>
      <family val="2"/>
    </font>
    <font>
      <sz val="8"/>
      <color rgb="FFCC3300"/>
      <name val="Calibri"/>
      <family val="2"/>
      <scheme val="minor"/>
    </font>
    <font>
      <sz val="8"/>
      <color rgb="FFCC3300"/>
      <name val="Calibri "/>
    </font>
    <font>
      <u/>
      <sz val="8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fgColor rgb="FFFF0000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mediumGray">
        <fgColor rgb="FF7030A0"/>
        <bgColor theme="8" tint="-0.249977111117893"/>
      </patternFill>
    </fill>
    <fill>
      <patternFill patternType="mediumGray">
        <fgColor rgb="FF7030A0"/>
        <bgColor rgb="FF002060"/>
      </patternFill>
    </fill>
    <fill>
      <patternFill patternType="solid">
        <fgColor rgb="FF66FF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theme="0" tint="-4.9989318521683403E-2"/>
        <bgColor rgb="FF003C50"/>
      </patternFill>
    </fill>
    <fill>
      <patternFill patternType="solid">
        <fgColor rgb="FFB4C6E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3C50"/>
      </patternFill>
    </fill>
  </fills>
  <borders count="1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theme="8" tint="0.39994506668294322"/>
      </left>
      <right/>
      <top/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/>
      <top/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/>
      <bottom style="hair">
        <color theme="8" tint="0.399945066682943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/>
      <top/>
      <bottom style="hair">
        <color theme="8" tint="0.399945066682943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 style="hair">
        <color theme="7" tint="0.79998168889431442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hair">
        <color theme="8" tint="0.39994506668294322"/>
      </right>
      <top style="hair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/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1454817346722"/>
      </top>
      <bottom style="hair">
        <color theme="8" tint="0.39991454817346722"/>
      </bottom>
      <diagonal/>
    </border>
    <border>
      <left/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/>
      <right/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hair">
        <color theme="8" tint="0.39991454817346722"/>
      </top>
      <bottom/>
      <diagonal/>
    </border>
    <border>
      <left/>
      <right style="hair">
        <color theme="8" tint="0.39991454817346722"/>
      </right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thin">
        <color indexed="64"/>
      </top>
      <bottom style="hair">
        <color theme="8" tint="0.39994506668294322"/>
      </bottom>
      <diagonal/>
    </border>
    <border>
      <left/>
      <right/>
      <top style="thin">
        <color indexed="64"/>
      </top>
      <bottom style="hair">
        <color theme="8" tint="0.39994506668294322"/>
      </bottom>
      <diagonal/>
    </border>
    <border>
      <left/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theme="8" tint="0.39991454817346722"/>
      </bottom>
      <diagonal/>
    </border>
    <border>
      <left/>
      <right/>
      <top style="thin">
        <color indexed="64"/>
      </top>
      <bottom style="hair">
        <color theme="8" tint="0.39991454817346722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/>
      <top/>
      <bottom/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78484450819421"/>
      </left>
      <right style="thin">
        <color theme="0" tint="-0.14978484450819421"/>
      </right>
      <top style="thin">
        <color theme="0" tint="-0.14978484450819421"/>
      </top>
      <bottom style="thin">
        <color theme="0" tint="-0.14978484450819421"/>
      </bottom>
      <diagonal/>
    </border>
    <border>
      <left style="thin">
        <color theme="0" tint="-0.14987640003662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8" tint="0.39991454817346722"/>
      </right>
      <top/>
      <bottom style="hair">
        <color theme="8" tint="0.39994506668294322"/>
      </bottom>
      <diagonal/>
    </border>
    <border>
      <left/>
      <right/>
      <top style="hair">
        <color theme="8" tint="0.39994506668294322"/>
      </top>
      <bottom style="thin">
        <color theme="0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 style="thin">
        <color theme="0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theme="0"/>
      </top>
      <bottom/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/>
      <top style="thin">
        <color theme="0" tint="-0.149876400036622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 style="hair">
        <color theme="7" tint="0.7999816888943144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4506668294322"/>
      </left>
      <right style="thin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8" tint="0.39994506668294322"/>
      </right>
      <top style="thin">
        <color indexed="64"/>
      </top>
      <bottom/>
      <diagonal/>
    </border>
    <border>
      <left style="hair">
        <color theme="8" tint="0.39991454817346722"/>
      </left>
      <right style="thin">
        <color theme="8" tint="0.39994506668294322"/>
      </right>
      <top/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indexed="64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749">
    <xf numFmtId="0" fontId="0" fillId="0" borderId="0" xfId="0"/>
    <xf numFmtId="0" fontId="2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/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6" fillId="5" borderId="3" xfId="0" applyFont="1" applyFill="1" applyBorder="1"/>
    <xf numFmtId="0" fontId="6" fillId="8" borderId="1" xfId="0" applyFont="1" applyFill="1" applyBorder="1"/>
    <xf numFmtId="0" fontId="6" fillId="9" borderId="1" xfId="0" applyFont="1" applyFill="1" applyBorder="1"/>
    <xf numFmtId="0" fontId="11" fillId="9" borderId="6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4" fillId="10" borderId="5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24" fillId="12" borderId="20" xfId="0" applyFont="1" applyFill="1" applyBorder="1" applyAlignment="1">
      <alignment horizontal="center" vertical="center" wrapText="1"/>
    </xf>
    <xf numFmtId="0" fontId="21" fillId="12" borderId="32" xfId="0" applyFont="1" applyFill="1" applyBorder="1" applyAlignment="1">
      <alignment horizontal="center" vertical="center" wrapText="1"/>
    </xf>
    <xf numFmtId="0" fontId="21" fillId="12" borderId="33" xfId="0" applyFont="1" applyFill="1" applyBorder="1" applyAlignment="1">
      <alignment horizontal="center" vertical="center" wrapText="1"/>
    </xf>
    <xf numFmtId="0" fontId="35" fillId="13" borderId="32" xfId="0" applyFont="1" applyFill="1" applyBorder="1" applyAlignment="1">
      <alignment horizontal="center" vertical="center" wrapText="1"/>
    </xf>
    <xf numFmtId="49" fontId="27" fillId="12" borderId="32" xfId="0" applyNumberFormat="1" applyFont="1" applyFill="1" applyBorder="1" applyAlignment="1">
      <alignment horizontal="center" vertical="center" wrapText="1"/>
    </xf>
    <xf numFmtId="49" fontId="28" fillId="12" borderId="34" xfId="0" applyNumberFormat="1" applyFont="1" applyFill="1" applyBorder="1" applyAlignment="1">
      <alignment horizontal="center" vertical="center" wrapText="1"/>
    </xf>
    <xf numFmtId="49" fontId="29" fillId="12" borderId="34" xfId="0" applyNumberFormat="1" applyFont="1" applyFill="1" applyBorder="1" applyAlignment="1">
      <alignment horizontal="center" vertical="center" wrapText="1"/>
    </xf>
    <xf numFmtId="49" fontId="36" fillId="13" borderId="34" xfId="0" applyNumberFormat="1" applyFont="1" applyFill="1" applyBorder="1" applyAlignment="1">
      <alignment horizontal="center" vertical="center" wrapText="1"/>
    </xf>
    <xf numFmtId="49" fontId="27" fillId="12" borderId="34" xfId="0" applyNumberFormat="1" applyFont="1" applyFill="1" applyBorder="1" applyAlignment="1">
      <alignment horizontal="center" vertical="center" wrapText="1"/>
    </xf>
    <xf numFmtId="49" fontId="29" fillId="12" borderId="33" xfId="0" applyNumberFormat="1" applyFont="1" applyFill="1" applyBorder="1" applyAlignment="1">
      <alignment horizontal="center" vertical="center" wrapText="1"/>
    </xf>
    <xf numFmtId="49" fontId="27" fillId="12" borderId="35" xfId="0" applyNumberFormat="1" applyFont="1" applyFill="1" applyBorder="1" applyAlignment="1">
      <alignment horizontal="center" vertical="center" wrapText="1"/>
    </xf>
    <xf numFmtId="49" fontId="28" fillId="12" borderId="36" xfId="0" applyNumberFormat="1" applyFont="1" applyFill="1" applyBorder="1" applyAlignment="1">
      <alignment horizontal="center" vertical="center" wrapText="1"/>
    </xf>
    <xf numFmtId="49" fontId="29" fillId="12" borderId="36" xfId="0" applyNumberFormat="1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center" vertical="center" wrapText="1"/>
    </xf>
    <xf numFmtId="0" fontId="37" fillId="12" borderId="33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horizontal="center" vertical="center" wrapText="1"/>
    </xf>
    <xf numFmtId="0" fontId="30" fillId="13" borderId="34" xfId="0" applyFont="1" applyFill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 wrapText="1"/>
    </xf>
    <xf numFmtId="0" fontId="38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65" fontId="6" fillId="0" borderId="41" xfId="0" applyNumberFormat="1" applyFont="1" applyBorder="1" applyAlignment="1">
      <alignment horizontal="center" vertical="center" wrapText="1"/>
    </xf>
    <xf numFmtId="165" fontId="6" fillId="0" borderId="43" xfId="0" applyNumberFormat="1" applyFont="1" applyBorder="1" applyAlignment="1">
      <alignment horizontal="center" vertical="center" wrapText="1"/>
    </xf>
    <xf numFmtId="165" fontId="6" fillId="0" borderId="44" xfId="0" applyNumberFormat="1" applyFont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2" fontId="6" fillId="0" borderId="41" xfId="0" applyNumberFormat="1" applyFont="1" applyBorder="1" applyAlignment="1">
      <alignment horizontal="center" vertical="center" wrapText="1"/>
    </xf>
    <xf numFmtId="2" fontId="6" fillId="0" borderId="44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165" fontId="6" fillId="0" borderId="42" xfId="0" applyNumberFormat="1" applyFont="1" applyBorder="1" applyAlignment="1">
      <alignment horizontal="center" vertical="center" wrapText="1"/>
    </xf>
    <xf numFmtId="165" fontId="6" fillId="0" borderId="39" xfId="0" applyNumberFormat="1" applyFont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left" vertical="center" wrapText="1"/>
    </xf>
    <xf numFmtId="0" fontId="38" fillId="0" borderId="39" xfId="0" applyFont="1" applyBorder="1" applyAlignment="1">
      <alignment horizontal="center" vertical="center"/>
    </xf>
    <xf numFmtId="0" fontId="42" fillId="0" borderId="39" xfId="0" applyFont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40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/>
    <xf numFmtId="0" fontId="8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vertical="center" wrapText="1"/>
    </xf>
    <xf numFmtId="0" fontId="6" fillId="16" borderId="0" xfId="0" applyFont="1" applyFill="1"/>
    <xf numFmtId="0" fontId="6" fillId="16" borderId="0" xfId="0" applyFont="1" applyFill="1" applyAlignment="1">
      <alignment horizontal="center" vertical="center"/>
    </xf>
    <xf numFmtId="0" fontId="25" fillId="12" borderId="34" xfId="0" applyFont="1" applyFill="1" applyBorder="1" applyAlignment="1">
      <alignment horizontal="center" vertical="center" wrapText="1"/>
    </xf>
    <xf numFmtId="0" fontId="25" fillId="12" borderId="33" xfId="0" applyFont="1" applyFill="1" applyBorder="1" applyAlignment="1">
      <alignment horizontal="center" vertical="center" wrapText="1"/>
    </xf>
    <xf numFmtId="0" fontId="25" fillId="12" borderId="32" xfId="0" applyFont="1" applyFill="1" applyBorder="1" applyAlignment="1">
      <alignment horizontal="center" vertical="center" wrapText="1"/>
    </xf>
    <xf numFmtId="49" fontId="27" fillId="18" borderId="35" xfId="0" applyNumberFormat="1" applyFont="1" applyFill="1" applyBorder="1" applyAlignment="1">
      <alignment horizontal="center" vertical="center" wrapText="1"/>
    </xf>
    <xf numFmtId="49" fontId="28" fillId="18" borderId="36" xfId="0" applyNumberFormat="1" applyFont="1" applyFill="1" applyBorder="1" applyAlignment="1">
      <alignment horizontal="center" vertical="center" wrapText="1"/>
    </xf>
    <xf numFmtId="49" fontId="29" fillId="18" borderId="36" xfId="0" applyNumberFormat="1" applyFont="1" applyFill="1" applyBorder="1" applyAlignment="1">
      <alignment horizontal="center" vertical="center" wrapText="1"/>
    </xf>
    <xf numFmtId="0" fontId="25" fillId="18" borderId="32" xfId="0" applyFont="1" applyFill="1" applyBorder="1" applyAlignment="1">
      <alignment horizontal="center" vertical="center" wrapText="1"/>
    </xf>
    <xf numFmtId="0" fontId="25" fillId="18" borderId="34" xfId="0" applyFont="1" applyFill="1" applyBorder="1" applyAlignment="1">
      <alignment horizontal="center" vertical="center" wrapText="1"/>
    </xf>
    <xf numFmtId="0" fontId="25" fillId="17" borderId="34" xfId="0" applyFont="1" applyFill="1" applyBorder="1" applyAlignment="1">
      <alignment horizontal="center" vertical="center" wrapText="1"/>
    </xf>
    <xf numFmtId="0" fontId="25" fillId="17" borderId="33" xfId="0" applyFont="1" applyFill="1" applyBorder="1" applyAlignment="1">
      <alignment horizontal="center" vertical="center" wrapText="1"/>
    </xf>
    <xf numFmtId="0" fontId="18" fillId="19" borderId="23" xfId="0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 wrapText="1"/>
    </xf>
    <xf numFmtId="164" fontId="6" fillId="0" borderId="72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center" vertical="center" wrapText="1"/>
    </xf>
    <xf numFmtId="165" fontId="6" fillId="0" borderId="72" xfId="0" applyNumberFormat="1" applyFont="1" applyBorder="1" applyAlignment="1">
      <alignment horizontal="center" vertical="center" wrapText="1"/>
    </xf>
    <xf numFmtId="165" fontId="6" fillId="0" borderId="74" xfId="0" applyNumberFormat="1" applyFont="1" applyBorder="1" applyAlignment="1">
      <alignment horizontal="center" vertical="center" wrapText="1"/>
    </xf>
    <xf numFmtId="165" fontId="6" fillId="0" borderId="75" xfId="0" applyNumberFormat="1" applyFont="1" applyBorder="1" applyAlignment="1">
      <alignment horizontal="center" vertical="center" wrapText="1"/>
    </xf>
    <xf numFmtId="0" fontId="6" fillId="0" borderId="73" xfId="0" applyFont="1" applyBorder="1" applyAlignment="1">
      <alignment horizontal="center" vertical="center" wrapText="1"/>
    </xf>
    <xf numFmtId="2" fontId="6" fillId="0" borderId="72" xfId="0" applyNumberFormat="1" applyFont="1" applyBorder="1" applyAlignment="1">
      <alignment horizontal="center" vertical="center" wrapText="1"/>
    </xf>
    <xf numFmtId="2" fontId="6" fillId="0" borderId="75" xfId="0" applyNumberFormat="1" applyFont="1" applyBorder="1" applyAlignment="1">
      <alignment horizontal="center" vertical="center" wrapText="1"/>
    </xf>
    <xf numFmtId="2" fontId="6" fillId="0" borderId="74" xfId="0" applyNumberFormat="1" applyFont="1" applyBorder="1" applyAlignment="1">
      <alignment horizontal="center" vertical="center" wrapText="1"/>
    </xf>
    <xf numFmtId="165" fontId="6" fillId="0" borderId="73" xfId="0" applyNumberFormat="1" applyFont="1" applyBorder="1" applyAlignment="1">
      <alignment horizontal="center" vertical="center" wrapText="1"/>
    </xf>
    <xf numFmtId="165" fontId="6" fillId="0" borderId="40" xfId="0" applyNumberFormat="1" applyFont="1" applyBorder="1" applyAlignment="1">
      <alignment horizontal="center" vertical="center" wrapText="1"/>
    </xf>
    <xf numFmtId="0" fontId="41" fillId="0" borderId="72" xfId="0" applyFont="1" applyBorder="1" applyAlignment="1">
      <alignment horizontal="center" vertical="center" wrapText="1"/>
    </xf>
    <xf numFmtId="0" fontId="6" fillId="0" borderId="74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37" fillId="12" borderId="32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2" fillId="20" borderId="0" xfId="0" applyFont="1" applyFill="1"/>
    <xf numFmtId="0" fontId="3" fillId="20" borderId="0" xfId="0" applyFont="1" applyFill="1" applyAlignment="1">
      <alignment vertical="center"/>
    </xf>
    <xf numFmtId="0" fontId="4" fillId="20" borderId="0" xfId="0" applyFont="1" applyFill="1" applyAlignment="1">
      <alignment vertical="center"/>
    </xf>
    <xf numFmtId="0" fontId="1" fillId="20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4" fillId="10" borderId="7" xfId="0" applyFont="1" applyFill="1" applyBorder="1" applyAlignment="1" applyProtection="1">
      <alignment horizontal="center" vertical="center" wrapText="1"/>
      <protection locked="0"/>
    </xf>
    <xf numFmtId="0" fontId="14" fillId="10" borderId="8" xfId="0" applyFont="1" applyFill="1" applyBorder="1" applyAlignment="1" applyProtection="1">
      <alignment horizontal="center" vertical="center" wrapText="1"/>
      <protection locked="0"/>
    </xf>
    <xf numFmtId="165" fontId="14" fillId="10" borderId="7" xfId="0" applyNumberFormat="1" applyFont="1" applyFill="1" applyBorder="1" applyAlignment="1" applyProtection="1">
      <alignment horizontal="center" vertical="center" wrapText="1"/>
      <protection locked="0"/>
    </xf>
    <xf numFmtId="165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165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15" fillId="10" borderId="7" xfId="0" applyFont="1" applyFill="1" applyBorder="1" applyAlignment="1" applyProtection="1">
      <alignment horizontal="center" vertical="center" wrapText="1"/>
      <protection locked="0"/>
    </xf>
    <xf numFmtId="0" fontId="15" fillId="10" borderId="10" xfId="0" applyFont="1" applyFill="1" applyBorder="1" applyAlignment="1" applyProtection="1">
      <alignment horizontal="center" vertical="center" wrapText="1"/>
      <protection locked="0"/>
    </xf>
    <xf numFmtId="0" fontId="15" fillId="10" borderId="8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 wrapText="1"/>
      <protection locked="0"/>
    </xf>
    <xf numFmtId="0" fontId="14" fillId="10" borderId="10" xfId="0" applyFont="1" applyFill="1" applyBorder="1" applyAlignment="1" applyProtection="1">
      <alignment horizontal="center" vertical="center" wrapText="1"/>
      <protection locked="0"/>
    </xf>
    <xf numFmtId="0" fontId="17" fillId="10" borderId="9" xfId="0" applyFont="1" applyFill="1" applyBorder="1" applyAlignment="1" applyProtection="1">
      <alignment horizontal="center" vertical="center" wrapText="1"/>
      <protection locked="0"/>
    </xf>
    <xf numFmtId="0" fontId="16" fillId="10" borderId="8" xfId="0" applyFont="1" applyFill="1" applyBorder="1" applyAlignment="1" applyProtection="1">
      <alignment horizontal="center" vertical="center" wrapText="1"/>
      <protection locked="0"/>
    </xf>
    <xf numFmtId="0" fontId="14" fillId="10" borderId="5" xfId="0" applyFont="1" applyFill="1" applyBorder="1" applyAlignment="1" applyProtection="1">
      <alignment horizontal="center" vertical="center" wrapText="1"/>
      <protection locked="0"/>
    </xf>
    <xf numFmtId="0" fontId="14" fillId="10" borderId="9" xfId="0" applyFont="1" applyFill="1" applyBorder="1" applyAlignment="1" applyProtection="1">
      <alignment horizontal="center" vertical="center" wrapText="1"/>
      <protection locked="0"/>
    </xf>
    <xf numFmtId="2" fontId="39" fillId="0" borderId="42" xfId="0" applyNumberFormat="1" applyFont="1" applyBorder="1" applyAlignment="1" applyProtection="1">
      <alignment horizontal="center" vertical="center" wrapText="1"/>
      <protection hidden="1"/>
    </xf>
    <xf numFmtId="165" fontId="40" fillId="0" borderId="76" xfId="0" applyNumberFormat="1" applyFont="1" applyBorder="1" applyAlignment="1" applyProtection="1">
      <alignment horizontal="center" vertical="center" wrapText="1"/>
      <protection hidden="1"/>
    </xf>
    <xf numFmtId="165" fontId="40" fillId="0" borderId="44" xfId="0" applyNumberFormat="1" applyFont="1" applyBorder="1" applyAlignment="1" applyProtection="1">
      <alignment horizontal="center" vertical="center" wrapText="1"/>
      <protection hidden="1"/>
    </xf>
    <xf numFmtId="0" fontId="14" fillId="4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48" fillId="20" borderId="0" xfId="0" applyFont="1" applyFill="1" applyAlignment="1">
      <alignment vertical="center"/>
    </xf>
    <xf numFmtId="0" fontId="49" fillId="4" borderId="1" xfId="0" applyFont="1" applyFill="1" applyBorder="1" applyAlignment="1">
      <alignment horizontal="center" vertical="center"/>
    </xf>
    <xf numFmtId="0" fontId="46" fillId="21" borderId="40" xfId="0" applyFont="1" applyFill="1" applyBorder="1" applyAlignment="1">
      <alignment horizontal="center" vertical="center"/>
    </xf>
    <xf numFmtId="166" fontId="6" fillId="0" borderId="72" xfId="0" applyNumberFormat="1" applyFont="1" applyBorder="1" applyAlignment="1">
      <alignment horizontal="center" vertical="center" wrapText="1"/>
    </xf>
    <xf numFmtId="166" fontId="6" fillId="0" borderId="41" xfId="0" applyNumberFormat="1" applyFont="1" applyBorder="1" applyAlignment="1">
      <alignment horizontal="center" vertical="center" wrapText="1"/>
    </xf>
    <xf numFmtId="49" fontId="6" fillId="0" borderId="72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2" fontId="28" fillId="12" borderId="36" xfId="0" applyNumberFormat="1" applyFont="1" applyFill="1" applyBorder="1" applyAlignment="1">
      <alignment horizontal="center" vertical="center" wrapText="1"/>
    </xf>
    <xf numFmtId="2" fontId="6" fillId="0" borderId="73" xfId="0" applyNumberFormat="1" applyFont="1" applyBorder="1" applyAlignment="1">
      <alignment horizontal="center" vertical="center" wrapText="1"/>
    </xf>
    <xf numFmtId="2" fontId="6" fillId="0" borderId="42" xfId="0" applyNumberFormat="1" applyFont="1" applyBorder="1" applyAlignment="1">
      <alignment horizontal="center" vertical="center" wrapText="1"/>
    </xf>
    <xf numFmtId="2" fontId="6" fillId="0" borderId="39" xfId="0" applyNumberFormat="1" applyFont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center" vertical="center"/>
    </xf>
    <xf numFmtId="0" fontId="6" fillId="22" borderId="42" xfId="0" applyFont="1" applyFill="1" applyBorder="1" applyAlignment="1">
      <alignment horizontal="center" vertical="center" wrapText="1"/>
    </xf>
    <xf numFmtId="0" fontId="6" fillId="22" borderId="73" xfId="0" applyFont="1" applyFill="1" applyBorder="1" applyAlignment="1">
      <alignment horizontal="center" vertical="center" wrapText="1"/>
    </xf>
    <xf numFmtId="165" fontId="6" fillId="22" borderId="41" xfId="0" applyNumberFormat="1" applyFont="1" applyFill="1" applyBorder="1" applyAlignment="1">
      <alignment horizontal="center" vertical="center" wrapText="1"/>
    </xf>
    <xf numFmtId="165" fontId="6" fillId="22" borderId="44" xfId="0" applyNumberFormat="1" applyFont="1" applyFill="1" applyBorder="1" applyAlignment="1">
      <alignment horizontal="center" vertical="center" wrapText="1"/>
    </xf>
    <xf numFmtId="165" fontId="6" fillId="22" borderId="42" xfId="0" applyNumberFormat="1" applyFont="1" applyFill="1" applyBorder="1" applyAlignment="1">
      <alignment horizontal="center" vertical="center" wrapText="1"/>
    </xf>
    <xf numFmtId="49" fontId="6" fillId="22" borderId="41" xfId="0" applyNumberFormat="1" applyFont="1" applyFill="1" applyBorder="1" applyAlignment="1">
      <alignment horizontal="center" vertical="center" wrapText="1"/>
    </xf>
    <xf numFmtId="2" fontId="6" fillId="22" borderId="41" xfId="0" applyNumberFormat="1" applyFont="1" applyFill="1" applyBorder="1" applyAlignment="1">
      <alignment horizontal="center" vertical="center" wrapText="1"/>
    </xf>
    <xf numFmtId="2" fontId="6" fillId="22" borderId="44" xfId="0" applyNumberFormat="1" applyFont="1" applyFill="1" applyBorder="1" applyAlignment="1">
      <alignment horizontal="center" vertical="center" wrapText="1"/>
    </xf>
    <xf numFmtId="2" fontId="6" fillId="22" borderId="43" xfId="0" applyNumberFormat="1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166" fontId="6" fillId="22" borderId="41" xfId="0" applyNumberFormat="1" applyFont="1" applyFill="1" applyBorder="1" applyAlignment="1">
      <alignment horizontal="center" vertical="center" wrapText="1"/>
    </xf>
    <xf numFmtId="1" fontId="6" fillId="22" borderId="41" xfId="0" applyNumberFormat="1" applyFont="1" applyFill="1" applyBorder="1" applyAlignment="1">
      <alignment horizontal="center" vertical="center" wrapText="1"/>
    </xf>
    <xf numFmtId="49" fontId="6" fillId="22" borderId="72" xfId="0" applyNumberFormat="1" applyFont="1" applyFill="1" applyBorder="1" applyAlignment="1">
      <alignment horizontal="center" vertical="center" wrapText="1"/>
    </xf>
    <xf numFmtId="1" fontId="6" fillId="22" borderId="42" xfId="0" applyNumberFormat="1" applyFont="1" applyFill="1" applyBorder="1" applyAlignment="1">
      <alignment horizontal="center" vertical="center" wrapText="1"/>
    </xf>
    <xf numFmtId="165" fontId="6" fillId="22" borderId="43" xfId="0" applyNumberFormat="1" applyFont="1" applyFill="1" applyBorder="1" applyAlignment="1">
      <alignment horizontal="center" vertical="center" wrapText="1"/>
    </xf>
    <xf numFmtId="165" fontId="6" fillId="22" borderId="75" xfId="0" applyNumberFormat="1" applyFont="1" applyFill="1" applyBorder="1" applyAlignment="1">
      <alignment horizontal="center" vertical="center" wrapText="1"/>
    </xf>
    <xf numFmtId="165" fontId="6" fillId="22" borderId="39" xfId="0" applyNumberFormat="1" applyFont="1" applyFill="1" applyBorder="1" applyAlignment="1">
      <alignment horizontal="center" vertical="center" wrapText="1"/>
    </xf>
    <xf numFmtId="165" fontId="6" fillId="22" borderId="72" xfId="0" applyNumberFormat="1" applyFont="1" applyFill="1" applyBorder="1" applyAlignment="1">
      <alignment horizontal="center" vertical="center" wrapText="1"/>
    </xf>
    <xf numFmtId="165" fontId="6" fillId="22" borderId="73" xfId="0" applyNumberFormat="1" applyFont="1" applyFill="1" applyBorder="1" applyAlignment="1">
      <alignment horizontal="center" vertical="center" wrapText="1"/>
    </xf>
    <xf numFmtId="165" fontId="40" fillId="22" borderId="44" xfId="0" applyNumberFormat="1" applyFont="1" applyFill="1" applyBorder="1" applyAlignment="1" applyProtection="1">
      <alignment horizontal="center" vertical="center" wrapText="1"/>
      <protection hidden="1"/>
    </xf>
    <xf numFmtId="0" fontId="41" fillId="22" borderId="72" xfId="0" applyFont="1" applyFill="1" applyBorder="1" applyAlignment="1">
      <alignment horizontal="center" vertical="center" wrapText="1"/>
    </xf>
    <xf numFmtId="0" fontId="6" fillId="22" borderId="43" xfId="0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left" vertical="center" wrapText="1"/>
    </xf>
    <xf numFmtId="166" fontId="6" fillId="22" borderId="72" xfId="0" applyNumberFormat="1" applyFont="1" applyFill="1" applyBorder="1" applyAlignment="1">
      <alignment horizontal="center" vertical="center" wrapText="1"/>
    </xf>
    <xf numFmtId="165" fontId="46" fillId="22" borderId="44" xfId="0" applyNumberFormat="1" applyFont="1" applyFill="1" applyBorder="1" applyAlignment="1">
      <alignment horizontal="center" vertical="center" wrapText="1"/>
    </xf>
    <xf numFmtId="165" fontId="6" fillId="22" borderId="40" xfId="0" applyNumberFormat="1" applyFont="1" applyFill="1" applyBorder="1" applyAlignment="1">
      <alignment horizontal="center" vertical="center" wrapText="1"/>
    </xf>
    <xf numFmtId="0" fontId="6" fillId="22" borderId="74" xfId="0" applyFont="1" applyFill="1" applyBorder="1" applyAlignment="1">
      <alignment horizontal="center" vertical="center" wrapText="1"/>
    </xf>
    <xf numFmtId="165" fontId="22" fillId="22" borderId="41" xfId="0" applyNumberFormat="1" applyFont="1" applyFill="1" applyBorder="1" applyAlignment="1">
      <alignment horizontal="center" vertical="center" wrapText="1"/>
    </xf>
    <xf numFmtId="49" fontId="6" fillId="22" borderId="39" xfId="0" applyNumberFormat="1" applyFont="1" applyFill="1" applyBorder="1" applyAlignment="1">
      <alignment horizontal="center" vertical="center" wrapText="1"/>
    </xf>
    <xf numFmtId="0" fontId="42" fillId="22" borderId="39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165" fontId="22" fillId="22" borderId="39" xfId="0" applyNumberFormat="1" applyFont="1" applyFill="1" applyBorder="1" applyAlignment="1">
      <alignment horizontal="center" vertical="center" wrapText="1"/>
    </xf>
    <xf numFmtId="165" fontId="53" fillId="22" borderId="41" xfId="0" applyNumberFormat="1" applyFont="1" applyFill="1" applyBorder="1" applyAlignment="1">
      <alignment horizontal="center" vertical="center" wrapText="1"/>
    </xf>
    <xf numFmtId="165" fontId="6" fillId="22" borderId="80" xfId="0" applyNumberFormat="1" applyFont="1" applyFill="1" applyBorder="1" applyAlignment="1">
      <alignment horizontal="center" vertical="center" wrapText="1"/>
    </xf>
    <xf numFmtId="165" fontId="14" fillId="22" borderId="39" xfId="0" applyNumberFormat="1" applyFont="1" applyFill="1" applyBorder="1" applyAlignment="1">
      <alignment horizontal="center" vertical="center" wrapText="1"/>
    </xf>
    <xf numFmtId="0" fontId="18" fillId="19" borderId="11" xfId="0" applyFont="1" applyFill="1" applyBorder="1" applyAlignment="1">
      <alignment horizontal="center" vertical="center"/>
    </xf>
    <xf numFmtId="0" fontId="21" fillId="12" borderId="1" xfId="0" applyFont="1" applyFill="1" applyBorder="1" applyAlignment="1">
      <alignment horizontal="center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2" fillId="20" borderId="6" xfId="0" applyFont="1" applyFill="1" applyBorder="1"/>
    <xf numFmtId="0" fontId="3" fillId="20" borderId="6" xfId="0" applyFont="1" applyFill="1" applyBorder="1" applyAlignment="1">
      <alignment vertical="center"/>
    </xf>
    <xf numFmtId="0" fontId="3" fillId="20" borderId="81" xfId="0" applyFont="1" applyFill="1" applyBorder="1" applyAlignment="1">
      <alignment vertical="center"/>
    </xf>
    <xf numFmtId="0" fontId="5" fillId="2" borderId="53" xfId="0" applyFont="1" applyFill="1" applyBorder="1" applyAlignment="1" applyProtection="1">
      <alignment vertical="center"/>
      <protection locked="0"/>
    </xf>
    <xf numFmtId="0" fontId="5" fillId="2" borderId="82" xfId="0" applyFont="1" applyFill="1" applyBorder="1" applyAlignment="1" applyProtection="1">
      <alignment vertical="center"/>
      <protection locked="0"/>
    </xf>
    <xf numFmtId="0" fontId="8" fillId="0" borderId="53" xfId="0" applyFont="1" applyBorder="1" applyAlignment="1">
      <alignment horizontal="center" vertical="center"/>
    </xf>
    <xf numFmtId="0" fontId="8" fillId="0" borderId="82" xfId="0" applyFont="1" applyBorder="1" applyAlignment="1">
      <alignment horizontal="center" vertical="center"/>
    </xf>
    <xf numFmtId="0" fontId="6" fillId="0" borderId="83" xfId="0" applyFont="1" applyBorder="1"/>
    <xf numFmtId="0" fontId="6" fillId="0" borderId="84" xfId="0" applyFont="1" applyBorder="1" applyAlignment="1">
      <alignment vertical="center"/>
    </xf>
    <xf numFmtId="0" fontId="10" fillId="0" borderId="84" xfId="0" applyFont="1" applyBorder="1" applyAlignment="1">
      <alignment horizontal="center" vertical="center" wrapText="1"/>
    </xf>
    <xf numFmtId="0" fontId="6" fillId="0" borderId="84" xfId="0" applyFont="1" applyBorder="1"/>
    <xf numFmtId="0" fontId="6" fillId="0" borderId="85" xfId="0" applyFont="1" applyBorder="1"/>
    <xf numFmtId="0" fontId="25" fillId="12" borderId="30" xfId="0" applyFont="1" applyFill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22" borderId="87" xfId="0" applyNumberFormat="1" applyFont="1" applyFill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0" fontId="23" fillId="12" borderId="89" xfId="0" applyFont="1" applyFill="1" applyBorder="1" applyAlignment="1">
      <alignment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22" borderId="23" xfId="0" applyNumberFormat="1" applyFont="1" applyFill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22" borderId="90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22" borderId="39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center" vertical="center" wrapText="1"/>
    </xf>
    <xf numFmtId="167" fontId="53" fillId="0" borderId="73" xfId="0" applyNumberFormat="1" applyFont="1" applyBorder="1" applyAlignment="1" applyProtection="1">
      <alignment horizontal="center" vertical="center" wrapText="1"/>
      <protection hidden="1"/>
    </xf>
    <xf numFmtId="0" fontId="14" fillId="10" borderId="2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22" borderId="23" xfId="0" applyFont="1" applyFill="1" applyBorder="1" applyAlignment="1">
      <alignment horizontal="center" vertical="center" wrapText="1"/>
    </xf>
    <xf numFmtId="0" fontId="20" fillId="12" borderId="38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57" fillId="22" borderId="0" xfId="0" applyFont="1" applyFill="1" applyAlignment="1" applyProtection="1">
      <alignment horizontal="center" vertical="center"/>
      <protection locked="0"/>
    </xf>
    <xf numFmtId="0" fontId="58" fillId="0" borderId="105" xfId="0" applyFont="1" applyBorder="1" applyAlignment="1" applyProtection="1">
      <alignment horizontal="center" vertical="center"/>
      <protection locked="0"/>
    </xf>
    <xf numFmtId="1" fontId="58" fillId="0" borderId="105" xfId="0" applyNumberFormat="1" applyFont="1" applyBorder="1" applyAlignment="1" applyProtection="1">
      <alignment horizontal="center" vertical="center"/>
      <protection locked="0"/>
    </xf>
    <xf numFmtId="0" fontId="58" fillId="0" borderId="105" xfId="0" applyFont="1" applyBorder="1" applyAlignment="1" applyProtection="1">
      <alignment horizontal="center" vertical="center"/>
      <protection hidden="1"/>
    </xf>
    <xf numFmtId="0" fontId="58" fillId="0" borderId="106" xfId="0" applyFont="1" applyBorder="1" applyAlignment="1" applyProtection="1">
      <alignment horizontal="center" vertical="center"/>
      <protection locked="0"/>
    </xf>
    <xf numFmtId="0" fontId="58" fillId="22" borderId="0" xfId="0" applyFont="1" applyFill="1" applyAlignment="1" applyProtection="1">
      <alignment horizontal="center" vertical="center"/>
      <protection locked="0"/>
    </xf>
    <xf numFmtId="0" fontId="58" fillId="0" borderId="107" xfId="0" applyFont="1" applyBorder="1" applyAlignment="1">
      <alignment horizontal="center" vertical="center"/>
    </xf>
    <xf numFmtId="0" fontId="58" fillId="0" borderId="0" xfId="0" applyFont="1" applyAlignment="1" applyProtection="1">
      <alignment horizontal="center" vertical="center"/>
      <protection locked="0"/>
    </xf>
    <xf numFmtId="0" fontId="58" fillId="0" borderId="107" xfId="0" applyFont="1" applyBorder="1" applyAlignment="1" applyProtection="1">
      <alignment horizontal="center" vertical="center"/>
      <protection locked="0"/>
    </xf>
    <xf numFmtId="0" fontId="58" fillId="22" borderId="107" xfId="0" applyFont="1" applyFill="1" applyBorder="1" applyAlignment="1" applyProtection="1">
      <alignment horizontal="center" vertical="center"/>
      <protection locked="0"/>
    </xf>
    <xf numFmtId="0" fontId="23" fillId="12" borderId="53" xfId="0" applyFont="1" applyFill="1" applyBorder="1" applyAlignment="1">
      <alignment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0" fontId="58" fillId="0" borderId="108" xfId="0" applyFont="1" applyBorder="1" applyAlignment="1" applyProtection="1">
      <alignment horizontal="center" vertical="center"/>
      <protection locked="0"/>
    </xf>
    <xf numFmtId="1" fontId="58" fillId="0" borderId="114" xfId="0" applyNumberFormat="1" applyFont="1" applyBorder="1" applyAlignment="1" applyProtection="1">
      <alignment horizontal="center" vertical="center"/>
      <protection locked="0"/>
    </xf>
    <xf numFmtId="0" fontId="58" fillId="0" borderId="115" xfId="0" applyFont="1" applyBorder="1" applyAlignment="1" applyProtection="1">
      <alignment horizontal="center" vertical="center"/>
      <protection locked="0"/>
    </xf>
    <xf numFmtId="1" fontId="58" fillId="0" borderId="115" xfId="0" applyNumberFormat="1" applyFont="1" applyBorder="1" applyAlignment="1" applyProtection="1">
      <alignment horizontal="center" vertical="center"/>
      <protection locked="0"/>
    </xf>
    <xf numFmtId="0" fontId="58" fillId="0" borderId="109" xfId="0" applyFont="1" applyBorder="1" applyAlignment="1" applyProtection="1">
      <alignment horizontal="center" vertical="center"/>
      <protection locked="0"/>
    </xf>
    <xf numFmtId="0" fontId="61" fillId="23" borderId="0" xfId="0" applyFont="1" applyFill="1" applyAlignment="1">
      <alignment horizontal="center" vertical="center" wrapText="1"/>
    </xf>
    <xf numFmtId="0" fontId="61" fillId="23" borderId="104" xfId="0" applyFont="1" applyFill="1" applyBorder="1" applyAlignment="1">
      <alignment horizontal="center" vertical="center" wrapText="1"/>
    </xf>
    <xf numFmtId="0" fontId="62" fillId="23" borderId="104" xfId="0" applyFont="1" applyFill="1" applyBorder="1" applyAlignment="1">
      <alignment horizontal="center" vertical="center" wrapText="1"/>
    </xf>
    <xf numFmtId="0" fontId="63" fillId="22" borderId="95" xfId="0" applyFont="1" applyFill="1" applyBorder="1" applyAlignment="1">
      <alignment horizontal="centerContinuous" vertical="center" wrapText="1"/>
    </xf>
    <xf numFmtId="0" fontId="55" fillId="0" borderId="116" xfId="0" applyFont="1" applyBorder="1" applyAlignment="1">
      <alignment horizontal="centerContinuous" vertical="center"/>
    </xf>
    <xf numFmtId="0" fontId="55" fillId="0" borderId="96" xfId="0" applyFont="1" applyBorder="1" applyAlignment="1">
      <alignment horizontal="centerContinuous" vertical="center"/>
    </xf>
    <xf numFmtId="0" fontId="64" fillId="0" borderId="0" xfId="0" applyFont="1"/>
    <xf numFmtId="1" fontId="65" fillId="24" borderId="0" xfId="0" applyNumberFormat="1" applyFont="1" applyFill="1" applyAlignment="1" applyProtection="1">
      <alignment horizontal="left" vertical="center"/>
      <protection hidden="1"/>
    </xf>
    <xf numFmtId="1" fontId="66" fillId="24" borderId="0" xfId="0" applyNumberFormat="1" applyFont="1" applyFill="1" applyAlignment="1" applyProtection="1">
      <alignment horizontal="left" vertical="center"/>
      <protection hidden="1"/>
    </xf>
    <xf numFmtId="0" fontId="64" fillId="22" borderId="0" xfId="0" applyFont="1" applyFill="1"/>
    <xf numFmtId="0" fontId="0" fillId="22" borderId="0" xfId="0" applyFill="1"/>
    <xf numFmtId="0" fontId="56" fillId="22" borderId="100" xfId="0" applyFont="1" applyFill="1" applyBorder="1" applyAlignment="1">
      <alignment horizontal="centerContinuous" vertical="center" wrapText="1"/>
    </xf>
    <xf numFmtId="49" fontId="58" fillId="0" borderId="118" xfId="0" applyNumberFormat="1" applyFont="1" applyBorder="1" applyAlignment="1">
      <alignment horizontal="center" vertical="center"/>
    </xf>
    <xf numFmtId="0" fontId="58" fillId="0" borderId="110" xfId="0" applyFont="1" applyBorder="1" applyAlignment="1">
      <alignment horizontal="center" vertical="center"/>
    </xf>
    <xf numFmtId="0" fontId="58" fillId="0" borderId="118" xfId="0" applyFont="1" applyBorder="1" applyAlignment="1">
      <alignment horizontal="center" vertical="center"/>
    </xf>
    <xf numFmtId="14" fontId="58" fillId="0" borderId="105" xfId="0" applyNumberFormat="1" applyFont="1" applyBorder="1" applyAlignment="1">
      <alignment horizontal="center" vertical="center"/>
    </xf>
    <xf numFmtId="49" fontId="58" fillId="0" borderId="119" xfId="0" applyNumberFormat="1" applyFont="1" applyBorder="1" applyAlignment="1">
      <alignment horizontal="center" vertical="center"/>
    </xf>
    <xf numFmtId="0" fontId="58" fillId="0" borderId="120" xfId="0" applyFont="1" applyBorder="1" applyAlignment="1" applyProtection="1">
      <alignment horizontal="center" vertical="center"/>
      <protection locked="0"/>
    </xf>
    <xf numFmtId="1" fontId="58" fillId="0" borderId="120" xfId="0" applyNumberFormat="1" applyFont="1" applyBorder="1" applyAlignment="1" applyProtection="1">
      <alignment horizontal="center" vertical="center"/>
      <protection locked="0"/>
    </xf>
    <xf numFmtId="0" fontId="58" fillId="0" borderId="118" xfId="0" applyFont="1" applyBorder="1" applyAlignment="1" applyProtection="1">
      <alignment horizontal="center" vertical="center"/>
      <protection locked="0"/>
    </xf>
    <xf numFmtId="0" fontId="58" fillId="0" borderId="121" xfId="0" applyFont="1" applyBorder="1" applyAlignment="1">
      <alignment horizontal="center" vertical="center"/>
    </xf>
    <xf numFmtId="0" fontId="58" fillId="0" borderId="119" xfId="0" applyFont="1" applyBorder="1" applyAlignment="1">
      <alignment horizontal="center" vertical="center"/>
    </xf>
    <xf numFmtId="14" fontId="58" fillId="0" borderId="106" xfId="0" applyNumberFormat="1" applyFont="1" applyBorder="1" applyAlignment="1">
      <alignment horizontal="center" vertical="center"/>
    </xf>
    <xf numFmtId="0" fontId="58" fillId="0" borderId="110" xfId="0" applyFont="1" applyBorder="1" applyAlignment="1" applyProtection="1">
      <alignment horizontal="center" vertical="center"/>
      <protection locked="0"/>
    </xf>
    <xf numFmtId="1" fontId="58" fillId="0" borderId="118" xfId="0" applyNumberFormat="1" applyFont="1" applyBorder="1" applyAlignment="1">
      <alignment horizontal="center" vertical="center"/>
    </xf>
    <xf numFmtId="0" fontId="58" fillId="0" borderId="122" xfId="0" applyFont="1" applyBorder="1" applyAlignment="1" applyProtection="1">
      <alignment horizontal="center" vertical="center"/>
      <protection locked="0"/>
    </xf>
    <xf numFmtId="14" fontId="58" fillId="22" borderId="122" xfId="0" applyNumberFormat="1" applyFont="1" applyFill="1" applyBorder="1" applyAlignment="1" applyProtection="1">
      <alignment horizontal="center" vertical="center"/>
      <protection locked="0"/>
    </xf>
    <xf numFmtId="0" fontId="58" fillId="0" borderId="123" xfId="0" applyFont="1" applyBorder="1" applyAlignment="1" applyProtection="1">
      <alignment horizontal="center" vertical="center"/>
      <protection locked="0"/>
    </xf>
    <xf numFmtId="14" fontId="58" fillId="22" borderId="123" xfId="0" applyNumberFormat="1" applyFont="1" applyFill="1" applyBorder="1" applyAlignment="1" applyProtection="1">
      <alignment horizontal="center" vertical="center"/>
      <protection locked="0"/>
    </xf>
    <xf numFmtId="0" fontId="58" fillId="0" borderId="124" xfId="0" applyFont="1" applyBorder="1" applyAlignment="1" applyProtection="1">
      <alignment horizontal="center" vertical="center"/>
      <protection locked="0"/>
    </xf>
    <xf numFmtId="14" fontId="58" fillId="22" borderId="124" xfId="0" applyNumberFormat="1" applyFont="1" applyFill="1" applyBorder="1" applyAlignment="1" applyProtection="1">
      <alignment horizontal="center" vertical="center"/>
      <protection locked="0"/>
    </xf>
    <xf numFmtId="14" fontId="58" fillId="22" borderId="118" xfId="0" applyNumberFormat="1" applyFont="1" applyFill="1" applyBorder="1" applyAlignment="1" applyProtection="1">
      <alignment horizontal="center" vertical="center"/>
      <protection locked="0"/>
    </xf>
    <xf numFmtId="1" fontId="58" fillId="0" borderId="105" xfId="0" applyNumberFormat="1" applyFont="1" applyBorder="1" applyAlignment="1">
      <alignment horizontal="center" vertical="center"/>
    </xf>
    <xf numFmtId="0" fontId="58" fillId="0" borderId="111" xfId="0" applyFont="1" applyBorder="1" applyAlignment="1" applyProtection="1">
      <alignment horizontal="center" vertical="center"/>
      <protection locked="0"/>
    </xf>
    <xf numFmtId="0" fontId="62" fillId="22" borderId="100" xfId="0" applyFont="1" applyFill="1" applyBorder="1" applyAlignment="1">
      <alignment horizontal="centerContinuous" vertical="center" wrapText="1"/>
    </xf>
    <xf numFmtId="0" fontId="61" fillId="2" borderId="99" xfId="0" applyFont="1" applyFill="1" applyBorder="1" applyAlignment="1">
      <alignment horizontal="center" vertical="center" wrapText="1"/>
    </xf>
    <xf numFmtId="0" fontId="62" fillId="2" borderId="9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25" borderId="104" xfId="0" applyFont="1" applyFill="1" applyBorder="1" applyAlignment="1">
      <alignment horizontal="center" vertical="center" wrapText="1"/>
    </xf>
    <xf numFmtId="0" fontId="60" fillId="23" borderId="100" xfId="0" applyFont="1" applyFill="1" applyBorder="1" applyAlignment="1" applyProtection="1">
      <alignment horizontal="center" vertical="center" wrapText="1"/>
      <protection locked="0"/>
    </xf>
    <xf numFmtId="0" fontId="60" fillId="23" borderId="101" xfId="0" applyFont="1" applyFill="1" applyBorder="1" applyAlignment="1" applyProtection="1">
      <alignment horizontal="center" vertical="center" wrapText="1"/>
      <protection locked="0"/>
    </xf>
    <xf numFmtId="0" fontId="59" fillId="23" borderId="100" xfId="0" applyFont="1" applyFill="1" applyBorder="1" applyAlignment="1" applyProtection="1">
      <alignment horizontal="center" vertical="center" wrapText="1"/>
      <protection locked="0"/>
    </xf>
    <xf numFmtId="0" fontId="60" fillId="23" borderId="100" xfId="0" applyFont="1" applyFill="1" applyBorder="1" applyAlignment="1" applyProtection="1">
      <alignment horizontal="center" vertical="center" wrapText="1"/>
      <protection hidden="1"/>
    </xf>
    <xf numFmtId="0" fontId="59" fillId="23" borderId="99" xfId="0" applyFont="1" applyFill="1" applyBorder="1" applyAlignment="1" applyProtection="1">
      <alignment horizontal="center" vertical="center" wrapText="1"/>
      <protection locked="0"/>
    </xf>
    <xf numFmtId="0" fontId="59" fillId="23" borderId="102" xfId="0" applyFont="1" applyFill="1" applyBorder="1" applyAlignment="1" applyProtection="1">
      <alignment horizontal="center" vertical="center" wrapText="1"/>
      <protection locked="0"/>
    </xf>
    <xf numFmtId="0" fontId="59" fillId="23" borderId="103" xfId="0" applyFont="1" applyFill="1" applyBorder="1" applyAlignment="1" applyProtection="1">
      <alignment horizontal="center" vertical="center" wrapText="1"/>
      <protection locked="0"/>
    </xf>
    <xf numFmtId="0" fontId="67" fillId="26" borderId="125" xfId="0" applyFont="1" applyFill="1" applyBorder="1" applyAlignment="1">
      <alignment horizontal="center" vertical="center" wrapText="1"/>
    </xf>
    <xf numFmtId="0" fontId="68" fillId="26" borderId="126" xfId="0" applyFont="1" applyFill="1" applyBorder="1" applyAlignment="1">
      <alignment horizontal="center" vertical="center" wrapText="1"/>
    </xf>
    <xf numFmtId="14" fontId="68" fillId="26" borderId="126" xfId="0" applyNumberFormat="1" applyFont="1" applyFill="1" applyBorder="1" applyAlignment="1">
      <alignment horizontal="center" vertical="center" wrapText="1"/>
    </xf>
    <xf numFmtId="168" fontId="61" fillId="0" borderId="108" xfId="0" applyNumberFormat="1" applyFont="1" applyBorder="1" applyAlignment="1">
      <alignment horizontal="center" vertical="center"/>
    </xf>
    <xf numFmtId="1" fontId="61" fillId="0" borderId="108" xfId="0" applyNumberFormat="1" applyFont="1" applyBorder="1" applyAlignment="1">
      <alignment horizontal="center" vertical="center"/>
    </xf>
    <xf numFmtId="0" fontId="61" fillId="0" borderId="108" xfId="0" applyFont="1" applyBorder="1" applyAlignment="1">
      <alignment horizontal="center" vertical="center"/>
    </xf>
    <xf numFmtId="168" fontId="61" fillId="22" borderId="108" xfId="0" applyNumberFormat="1" applyFont="1" applyFill="1" applyBorder="1" applyAlignment="1">
      <alignment horizontal="center" vertical="center"/>
    </xf>
    <xf numFmtId="168" fontId="61" fillId="0" borderId="108" xfId="0" applyNumberFormat="1" applyFont="1" applyBorder="1" applyAlignment="1" applyProtection="1">
      <alignment horizontal="center" vertical="center"/>
      <protection locked="0"/>
    </xf>
    <xf numFmtId="0" fontId="69" fillId="20" borderId="0" xfId="0" applyFont="1" applyFill="1" applyAlignment="1" applyProtection="1">
      <alignment vertical="center"/>
      <protection locked="0"/>
    </xf>
    <xf numFmtId="0" fontId="70" fillId="2" borderId="0" xfId="0" applyFont="1" applyFill="1" applyAlignment="1" applyProtection="1">
      <alignment vertical="center"/>
      <protection locked="0"/>
    </xf>
    <xf numFmtId="0" fontId="59" fillId="22" borderId="0" xfId="0" applyFont="1" applyFill="1" applyAlignment="1">
      <alignment horizontal="right" vertical="center" wrapText="1"/>
    </xf>
    <xf numFmtId="165" fontId="6" fillId="22" borderId="87" xfId="0" applyNumberFormat="1" applyFont="1" applyFill="1" applyBorder="1" applyAlignment="1">
      <alignment horizontal="center" vertical="center" wrapText="1"/>
    </xf>
    <xf numFmtId="165" fontId="53" fillId="22" borderId="87" xfId="0" applyNumberFormat="1" applyFont="1" applyFill="1" applyBorder="1" applyAlignment="1">
      <alignment horizontal="center" vertical="center" wrapText="1"/>
    </xf>
    <xf numFmtId="165" fontId="6" fillId="0" borderId="87" xfId="0" applyNumberFormat="1" applyFont="1" applyBorder="1" applyAlignment="1">
      <alignment horizontal="center" vertical="center" wrapText="1"/>
    </xf>
    <xf numFmtId="0" fontId="25" fillId="12" borderId="132" xfId="0" applyFont="1" applyFill="1" applyBorder="1" applyAlignment="1">
      <alignment horizontal="center" vertical="center" wrapText="1"/>
    </xf>
    <xf numFmtId="0" fontId="25" fillId="12" borderId="133" xfId="0" applyFont="1" applyFill="1" applyBorder="1" applyAlignment="1">
      <alignment horizontal="center" vertical="center" wrapText="1"/>
    </xf>
    <xf numFmtId="0" fontId="25" fillId="12" borderId="134" xfId="0" applyFont="1" applyFill="1" applyBorder="1" applyAlignment="1">
      <alignment horizontal="center" vertical="center" wrapText="1"/>
    </xf>
    <xf numFmtId="0" fontId="25" fillId="12" borderId="135" xfId="0" applyFont="1" applyFill="1" applyBorder="1" applyAlignment="1">
      <alignment horizontal="center" vertical="center" wrapText="1"/>
    </xf>
    <xf numFmtId="165" fontId="6" fillId="22" borderId="86" xfId="0" applyNumberFormat="1" applyFont="1" applyFill="1" applyBorder="1" applyAlignment="1">
      <alignment horizontal="center" vertical="center" wrapText="1"/>
    </xf>
    <xf numFmtId="169" fontId="6" fillId="0" borderId="1" xfId="0" applyNumberFormat="1" applyFont="1" applyBorder="1" applyAlignment="1">
      <alignment horizontal="center" vertical="center" wrapText="1"/>
    </xf>
    <xf numFmtId="165" fontId="6" fillId="22" borderId="1" xfId="0" applyNumberFormat="1" applyFont="1" applyFill="1" applyBorder="1" applyAlignment="1">
      <alignment horizontal="center" vertical="center" wrapText="1"/>
    </xf>
    <xf numFmtId="2" fontId="6" fillId="22" borderId="1" xfId="0" applyNumberFormat="1" applyFont="1" applyFill="1" applyBorder="1" applyAlignment="1">
      <alignment horizontal="center" vertical="center" wrapText="1"/>
    </xf>
    <xf numFmtId="2" fontId="6" fillId="22" borderId="72" xfId="0" applyNumberFormat="1" applyFont="1" applyFill="1" applyBorder="1" applyAlignment="1">
      <alignment horizontal="center" vertical="center" wrapText="1"/>
    </xf>
    <xf numFmtId="0" fontId="72" fillId="22" borderId="0" xfId="0" applyFont="1" applyFill="1" applyAlignment="1" applyProtection="1">
      <alignment horizontal="center" vertical="center"/>
      <protection locked="0"/>
    </xf>
    <xf numFmtId="0" fontId="25" fillId="12" borderId="45" xfId="0" applyFont="1" applyFill="1" applyBorder="1" applyAlignment="1">
      <alignment horizontal="center" vertical="center" wrapText="1"/>
    </xf>
    <xf numFmtId="0" fontId="25" fillId="12" borderId="50" xfId="0" applyFont="1" applyFill="1" applyBorder="1" applyAlignment="1">
      <alignment horizontal="center" vertical="center" wrapText="1"/>
    </xf>
    <xf numFmtId="0" fontId="25" fillId="12" borderId="48" xfId="0" applyFont="1" applyFill="1" applyBorder="1" applyAlignment="1">
      <alignment horizontal="center" vertical="center" wrapText="1"/>
    </xf>
    <xf numFmtId="0" fontId="25" fillId="12" borderId="49" xfId="0" applyFont="1" applyFill="1" applyBorder="1" applyAlignment="1">
      <alignment horizontal="center" vertical="center" wrapText="1"/>
    </xf>
    <xf numFmtId="0" fontId="25" fillId="12" borderId="46" xfId="0" applyFont="1" applyFill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left" vertical="center" wrapText="1"/>
    </xf>
    <xf numFmtId="2" fontId="46" fillId="22" borderId="1" xfId="0" applyNumberFormat="1" applyFont="1" applyFill="1" applyBorder="1" applyAlignment="1">
      <alignment horizontal="center" vertical="center" wrapText="1"/>
    </xf>
    <xf numFmtId="165" fontId="46" fillId="22" borderId="1" xfId="0" applyNumberFormat="1" applyFont="1" applyFill="1" applyBorder="1" applyAlignment="1">
      <alignment horizontal="center" vertical="center" wrapText="1"/>
    </xf>
    <xf numFmtId="0" fontId="72" fillId="0" borderId="0" xfId="0" applyFont="1"/>
    <xf numFmtId="0" fontId="72" fillId="22" borderId="0" xfId="0" applyFont="1" applyFill="1"/>
    <xf numFmtId="0" fontId="72" fillId="0" borderId="0" xfId="0" applyFon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center" vertical="center"/>
      <protection hidden="1"/>
    </xf>
    <xf numFmtId="0" fontId="60" fillId="0" borderId="0" xfId="0" applyFont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hidden="1"/>
    </xf>
    <xf numFmtId="0" fontId="6" fillId="22" borderId="86" xfId="0" applyFont="1" applyFill="1" applyBorder="1" applyAlignment="1">
      <alignment horizontal="center" vertical="center" wrapText="1"/>
    </xf>
    <xf numFmtId="0" fontId="6" fillId="0" borderId="87" xfId="0" applyFont="1" applyBorder="1" applyAlignment="1">
      <alignment horizontal="center" vertical="center" wrapText="1"/>
    </xf>
    <xf numFmtId="0" fontId="21" fillId="12" borderId="46" xfId="0" applyFont="1" applyFill="1" applyBorder="1" applyAlignment="1">
      <alignment horizontal="center" vertical="center" wrapText="1"/>
    </xf>
    <xf numFmtId="0" fontId="21" fillId="12" borderId="49" xfId="0" applyFont="1" applyFill="1" applyBorder="1" applyAlignment="1">
      <alignment horizontal="center" vertical="center" wrapText="1"/>
    </xf>
    <xf numFmtId="0" fontId="35" fillId="13" borderId="46" xfId="0" applyFont="1" applyFill="1" applyBorder="1" applyAlignment="1">
      <alignment horizontal="center" vertical="center" wrapText="1"/>
    </xf>
    <xf numFmtId="49" fontId="27" fillId="12" borderId="46" xfId="0" applyNumberFormat="1" applyFont="1" applyFill="1" applyBorder="1" applyAlignment="1">
      <alignment horizontal="center" vertical="center" wrapText="1"/>
    </xf>
    <xf numFmtId="49" fontId="28" fillId="12" borderId="48" xfId="0" applyNumberFormat="1" applyFont="1" applyFill="1" applyBorder="1" applyAlignment="1">
      <alignment horizontal="center" vertical="center" wrapText="1"/>
    </xf>
    <xf numFmtId="49" fontId="29" fillId="12" borderId="48" xfId="0" applyNumberFormat="1" applyFont="1" applyFill="1" applyBorder="1" applyAlignment="1">
      <alignment horizontal="center" vertical="center" wrapText="1"/>
    </xf>
    <xf numFmtId="49" fontId="27" fillId="12" borderId="48" xfId="0" applyNumberFormat="1" applyFont="1" applyFill="1" applyBorder="1" applyAlignment="1">
      <alignment horizontal="center" vertical="center" wrapText="1"/>
    </xf>
    <xf numFmtId="49" fontId="29" fillId="12" borderId="49" xfId="0" applyNumberFormat="1" applyFont="1" applyFill="1" applyBorder="1" applyAlignment="1">
      <alignment horizontal="center" vertical="center" wrapText="1"/>
    </xf>
    <xf numFmtId="49" fontId="27" fillId="12" borderId="136" xfId="0" applyNumberFormat="1" applyFont="1" applyFill="1" applyBorder="1" applyAlignment="1">
      <alignment horizontal="center" vertical="center" wrapText="1"/>
    </xf>
    <xf numFmtId="2" fontId="28" fillId="12" borderId="137" xfId="0" applyNumberFormat="1" applyFont="1" applyFill="1" applyBorder="1" applyAlignment="1">
      <alignment horizontal="center" vertical="center" wrapText="1"/>
    </xf>
    <xf numFmtId="49" fontId="29" fillId="12" borderId="137" xfId="0" applyNumberFormat="1" applyFont="1" applyFill="1" applyBorder="1" applyAlignment="1">
      <alignment horizontal="center" vertical="center" wrapText="1"/>
    </xf>
    <xf numFmtId="0" fontId="20" fillId="12" borderId="51" xfId="0" applyFont="1" applyFill="1" applyBorder="1" applyAlignment="1">
      <alignment horizontal="center" vertical="center" wrapText="1"/>
    </xf>
    <xf numFmtId="0" fontId="37" fillId="12" borderId="46" xfId="0" applyFont="1" applyFill="1" applyBorder="1" applyAlignment="1">
      <alignment horizontal="center" vertical="center" wrapText="1"/>
    </xf>
    <xf numFmtId="0" fontId="37" fillId="12" borderId="48" xfId="0" applyFont="1" applyFill="1" applyBorder="1" applyAlignment="1">
      <alignment horizontal="center" vertical="center" wrapText="1"/>
    </xf>
    <xf numFmtId="0" fontId="37" fillId="12" borderId="49" xfId="0" applyFont="1" applyFill="1" applyBorder="1" applyAlignment="1">
      <alignment horizontal="center" vertical="center" wrapText="1"/>
    </xf>
    <xf numFmtId="0" fontId="30" fillId="13" borderId="46" xfId="0" applyFont="1" applyFill="1" applyBorder="1" applyAlignment="1">
      <alignment horizontal="center" vertical="center" wrapText="1"/>
    </xf>
    <xf numFmtId="0" fontId="30" fillId="13" borderId="48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/>
    </xf>
    <xf numFmtId="0" fontId="42" fillId="22" borderId="40" xfId="0" applyFont="1" applyFill="1" applyBorder="1" applyAlignment="1">
      <alignment horizontal="center" vertical="center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73" xfId="0" applyNumberFormat="1" applyFont="1" applyFill="1" applyBorder="1" applyAlignment="1">
      <alignment horizontal="center" vertical="center" wrapText="1"/>
    </xf>
    <xf numFmtId="165" fontId="6" fillId="22" borderId="74" xfId="0" applyNumberFormat="1" applyFont="1" applyFill="1" applyBorder="1" applyAlignment="1">
      <alignment horizontal="center" vertical="center" wrapText="1"/>
    </xf>
    <xf numFmtId="165" fontId="46" fillId="22" borderId="75" xfId="0" applyNumberFormat="1" applyFont="1" applyFill="1" applyBorder="1" applyAlignment="1">
      <alignment horizontal="center" vertical="center" wrapText="1"/>
    </xf>
    <xf numFmtId="2" fontId="6" fillId="22" borderId="75" xfId="0" applyNumberFormat="1" applyFont="1" applyFill="1" applyBorder="1" applyAlignment="1">
      <alignment horizontal="center" vertical="center" wrapText="1"/>
    </xf>
    <xf numFmtId="2" fontId="6" fillId="22" borderId="74" xfId="0" applyNumberFormat="1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 wrapText="1"/>
    </xf>
    <xf numFmtId="0" fontId="6" fillId="22" borderId="11" xfId="0" applyFont="1" applyFill="1" applyBorder="1" applyAlignment="1">
      <alignment horizontal="center" vertical="center" wrapText="1"/>
    </xf>
    <xf numFmtId="165" fontId="40" fillId="22" borderId="75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38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166" fontId="6" fillId="22" borderId="1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49" fontId="6" fillId="22" borderId="1" xfId="0" applyNumberFormat="1" applyFont="1" applyFill="1" applyBorder="1" applyAlignment="1">
      <alignment horizontal="center" vertical="center" wrapText="1"/>
    </xf>
    <xf numFmtId="1" fontId="46" fillId="22" borderId="1" xfId="0" applyNumberFormat="1" applyFont="1" applyFill="1" applyBorder="1" applyAlignment="1">
      <alignment horizontal="center" vertical="center" wrapText="1"/>
    </xf>
    <xf numFmtId="0" fontId="46" fillId="2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66" fontId="6" fillId="0" borderId="1" xfId="0" applyNumberFormat="1" applyFont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165" fontId="40" fillId="22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22" borderId="1" xfId="0" applyFont="1" applyFill="1" applyBorder="1" applyAlignment="1">
      <alignment horizontal="left" vertical="center" wrapText="1"/>
    </xf>
    <xf numFmtId="0" fontId="54" fillId="22" borderId="1" xfId="0" applyFont="1" applyFill="1" applyBorder="1" applyAlignment="1">
      <alignment horizontal="center" vertical="center"/>
    </xf>
    <xf numFmtId="165" fontId="22" fillId="22" borderId="1" xfId="0" applyNumberFormat="1" applyFont="1" applyFill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 wrapText="1"/>
    </xf>
    <xf numFmtId="2" fontId="46" fillId="4" borderId="1" xfId="0" applyNumberFormat="1" applyFont="1" applyFill="1" applyBorder="1" applyAlignment="1">
      <alignment horizontal="center" vertical="center" wrapText="1"/>
    </xf>
    <xf numFmtId="165" fontId="46" fillId="4" borderId="1" xfId="0" applyNumberFormat="1" applyFont="1" applyFill="1" applyBorder="1" applyAlignment="1">
      <alignment horizontal="center" vertical="center" wrapText="1"/>
    </xf>
    <xf numFmtId="0" fontId="73" fillId="0" borderId="0" xfId="0" applyFont="1"/>
    <xf numFmtId="0" fontId="75" fillId="0" borderId="0" xfId="0" applyFont="1"/>
    <xf numFmtId="0" fontId="76" fillId="22" borderId="0" xfId="0" applyFont="1" applyFill="1" applyAlignment="1">
      <alignment horizontal="center" vertical="center" wrapText="1"/>
    </xf>
    <xf numFmtId="0" fontId="58" fillId="22" borderId="105" xfId="0" applyFont="1" applyFill="1" applyBorder="1" applyAlignment="1" applyProtection="1">
      <alignment horizontal="center" vertical="center"/>
      <protection locked="0"/>
    </xf>
    <xf numFmtId="0" fontId="58" fillId="22" borderId="106" xfId="0" applyFont="1" applyFill="1" applyBorder="1" applyAlignment="1" applyProtection="1">
      <alignment horizontal="center" vertical="center"/>
      <protection locked="0"/>
    </xf>
    <xf numFmtId="0" fontId="58" fillId="23" borderId="105" xfId="0" applyFont="1" applyFill="1" applyBorder="1" applyAlignment="1" applyProtection="1">
      <alignment horizontal="center" vertical="center"/>
      <protection locked="0"/>
    </xf>
    <xf numFmtId="49" fontId="46" fillId="22" borderId="1" xfId="0" applyNumberFormat="1" applyFont="1" applyFill="1" applyBorder="1" applyAlignment="1">
      <alignment horizontal="center" vertical="center" wrapText="1"/>
    </xf>
    <xf numFmtId="0" fontId="74" fillId="0" borderId="0" xfId="0" applyFont="1" applyAlignment="1">
      <alignment horizontal="center"/>
    </xf>
    <xf numFmtId="0" fontId="77" fillId="27" borderId="1" xfId="0" applyFont="1" applyFill="1" applyBorder="1" applyAlignment="1">
      <alignment horizontal="center" vertical="center" wrapText="1"/>
    </xf>
    <xf numFmtId="0" fontId="78" fillId="29" borderId="1" xfId="0" applyFont="1" applyFill="1" applyBorder="1" applyAlignment="1">
      <alignment horizontal="center" vertical="center"/>
    </xf>
    <xf numFmtId="0" fontId="78" fillId="29" borderId="89" xfId="0" applyFont="1" applyFill="1" applyBorder="1" applyAlignment="1">
      <alignment horizontal="center" vertical="center" wrapText="1"/>
    </xf>
    <xf numFmtId="2" fontId="78" fillId="29" borderId="89" xfId="0" applyNumberFormat="1" applyFont="1" applyFill="1" applyBorder="1" applyAlignment="1">
      <alignment horizontal="center" vertical="center"/>
    </xf>
    <xf numFmtId="0" fontId="40" fillId="0" borderId="89" xfId="0" applyFont="1" applyBorder="1" applyAlignment="1">
      <alignment horizontal="center" vertical="center"/>
    </xf>
    <xf numFmtId="2" fontId="40" fillId="0" borderId="89" xfId="0" applyNumberFormat="1" applyFont="1" applyBorder="1" applyAlignment="1">
      <alignment horizontal="center" vertical="center"/>
    </xf>
    <xf numFmtId="0" fontId="79" fillId="0" borderId="145" xfId="0" applyFont="1" applyBorder="1" applyAlignment="1">
      <alignment horizontal="center" vertical="center"/>
    </xf>
    <xf numFmtId="0" fontId="78" fillId="29" borderId="1" xfId="0" applyFont="1" applyFill="1" applyBorder="1" applyAlignment="1">
      <alignment horizontal="center" vertical="center" wrapText="1"/>
    </xf>
    <xf numFmtId="2" fontId="78" fillId="29" borderId="1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  <xf numFmtId="9" fontId="78" fillId="22" borderId="1" xfId="0" applyNumberFormat="1" applyFont="1" applyFill="1" applyBorder="1" applyAlignment="1">
      <alignment horizontal="center" vertical="center"/>
    </xf>
    <xf numFmtId="0" fontId="78" fillId="29" borderId="147" xfId="0" applyFont="1" applyFill="1" applyBorder="1" applyAlignment="1">
      <alignment horizontal="center" vertical="center"/>
    </xf>
    <xf numFmtId="2" fontId="78" fillId="29" borderId="147" xfId="0" applyNumberFormat="1" applyFont="1" applyFill="1" applyBorder="1" applyAlignment="1">
      <alignment horizontal="center" vertical="center" wrapText="1"/>
    </xf>
    <xf numFmtId="2" fontId="78" fillId="29" borderId="147" xfId="0" applyNumberFormat="1" applyFont="1" applyFill="1" applyBorder="1" applyAlignment="1">
      <alignment horizontal="center" vertical="center"/>
    </xf>
    <xf numFmtId="0" fontId="78" fillId="29" borderId="147" xfId="0" applyFont="1" applyFill="1" applyBorder="1" applyAlignment="1">
      <alignment horizontal="center" vertical="center" wrapText="1"/>
    </xf>
    <xf numFmtId="0" fontId="40" fillId="0" borderId="147" xfId="0" applyFont="1" applyBorder="1" applyAlignment="1">
      <alignment horizontal="center" vertical="center"/>
    </xf>
    <xf numFmtId="2" fontId="40" fillId="0" borderId="147" xfId="0" applyNumberFormat="1" applyFont="1" applyBorder="1" applyAlignment="1">
      <alignment horizontal="center" vertical="center"/>
    </xf>
    <xf numFmtId="9" fontId="78" fillId="22" borderId="147" xfId="0" applyNumberFormat="1" applyFont="1" applyFill="1" applyBorder="1" applyAlignment="1">
      <alignment horizontal="center" vertical="center"/>
    </xf>
    <xf numFmtId="0" fontId="79" fillId="0" borderId="148" xfId="0" applyFont="1" applyBorder="1" applyAlignment="1">
      <alignment horizontal="center" vertical="center"/>
    </xf>
    <xf numFmtId="0" fontId="46" fillId="2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1" fillId="22" borderId="1" xfId="0" applyFont="1" applyFill="1" applyBorder="1" applyAlignment="1">
      <alignment horizontal="center" vertical="center" wrapText="1"/>
    </xf>
    <xf numFmtId="0" fontId="58" fillId="22" borderId="115" xfId="0" applyFont="1" applyFill="1" applyBorder="1" applyAlignment="1" applyProtection="1">
      <alignment horizontal="center" vertical="center"/>
      <protection locked="0"/>
    </xf>
    <xf numFmtId="1" fontId="58" fillId="22" borderId="115" xfId="0" applyNumberFormat="1" applyFont="1" applyFill="1" applyBorder="1" applyAlignment="1" applyProtection="1">
      <alignment horizontal="center" vertical="center"/>
      <protection locked="0"/>
    </xf>
    <xf numFmtId="49" fontId="58" fillId="22" borderId="118" xfId="0" applyNumberFormat="1" applyFont="1" applyFill="1" applyBorder="1" applyAlignment="1">
      <alignment horizontal="center" vertical="center"/>
    </xf>
    <xf numFmtId="0" fontId="58" fillId="22" borderId="110" xfId="0" applyFont="1" applyFill="1" applyBorder="1" applyAlignment="1">
      <alignment horizontal="center" vertical="center"/>
    </xf>
    <xf numFmtId="0" fontId="58" fillId="22" borderId="118" xfId="0" applyFont="1" applyFill="1" applyBorder="1" applyAlignment="1">
      <alignment horizontal="center" vertical="center"/>
    </xf>
    <xf numFmtId="1" fontId="58" fillId="22" borderId="105" xfId="0" applyNumberFormat="1" applyFont="1" applyFill="1" applyBorder="1" applyAlignment="1" applyProtection="1">
      <alignment horizontal="center" vertical="center"/>
      <protection locked="0"/>
    </xf>
    <xf numFmtId="0" fontId="46" fillId="22" borderId="1" xfId="0" applyFont="1" applyFill="1" applyBorder="1" applyAlignment="1">
      <alignment horizontal="left" vertical="center" wrapText="1"/>
    </xf>
    <xf numFmtId="2" fontId="6" fillId="22" borderId="73" xfId="0" applyNumberFormat="1" applyFont="1" applyFill="1" applyBorder="1" applyAlignment="1">
      <alignment horizontal="center" vertical="center" wrapText="1"/>
    </xf>
    <xf numFmtId="2" fontId="6" fillId="22" borderId="86" xfId="0" applyNumberFormat="1" applyFont="1" applyFill="1" applyBorder="1" applyAlignment="1">
      <alignment horizontal="center" vertical="center" wrapText="1"/>
    </xf>
    <xf numFmtId="2" fontId="6" fillId="22" borderId="42" xfId="0" applyNumberFormat="1" applyFont="1" applyFill="1" applyBorder="1" applyAlignment="1">
      <alignment horizontal="center" vertical="center" wrapText="1"/>
    </xf>
    <xf numFmtId="2" fontId="6" fillId="22" borderId="87" xfId="0" applyNumberFormat="1" applyFont="1" applyFill="1" applyBorder="1" applyAlignment="1">
      <alignment horizontal="center" vertical="center" wrapText="1"/>
    </xf>
    <xf numFmtId="2" fontId="6" fillId="0" borderId="87" xfId="0" applyNumberFormat="1" applyFont="1" applyBorder="1" applyAlignment="1">
      <alignment horizontal="center" vertical="center" wrapText="1"/>
    </xf>
    <xf numFmtId="2" fontId="53" fillId="22" borderId="41" xfId="0" applyNumberFormat="1" applyFont="1" applyFill="1" applyBorder="1" applyAlignment="1">
      <alignment horizontal="center" vertical="center" wrapText="1"/>
    </xf>
    <xf numFmtId="2" fontId="53" fillId="22" borderId="87" xfId="0" applyNumberFormat="1" applyFont="1" applyFill="1" applyBorder="1" applyAlignment="1">
      <alignment horizontal="center" vertical="center" wrapText="1"/>
    </xf>
    <xf numFmtId="1" fontId="78" fillId="0" borderId="89" xfId="0" applyNumberFormat="1" applyFont="1" applyBorder="1" applyAlignment="1">
      <alignment horizontal="center" vertical="center"/>
    </xf>
    <xf numFmtId="1" fontId="78" fillId="0" borderId="1" xfId="0" applyNumberFormat="1" applyFont="1" applyBorder="1" applyAlignment="1">
      <alignment horizontal="center" vertical="center"/>
    </xf>
    <xf numFmtId="1" fontId="78" fillId="0" borderId="147" xfId="0" applyNumberFormat="1" applyFont="1" applyBorder="1" applyAlignment="1">
      <alignment horizontal="center" vertical="center"/>
    </xf>
    <xf numFmtId="0" fontId="81" fillId="0" borderId="105" xfId="0" applyFont="1" applyBorder="1" applyAlignment="1" applyProtection="1">
      <alignment horizontal="center" vertical="center"/>
      <protection locked="0"/>
    </xf>
    <xf numFmtId="1" fontId="81" fillId="0" borderId="105" xfId="0" applyNumberFormat="1" applyFont="1" applyBorder="1" applyAlignment="1" applyProtection="1">
      <alignment horizontal="center" vertical="center"/>
      <protection locked="0"/>
    </xf>
    <xf numFmtId="0" fontId="81" fillId="0" borderId="107" xfId="0" applyFont="1" applyBorder="1" applyAlignment="1" applyProtection="1">
      <alignment horizontal="center" vertical="center"/>
      <protection locked="0"/>
    </xf>
    <xf numFmtId="0" fontId="81" fillId="22" borderId="107" xfId="0" applyFont="1" applyFill="1" applyBorder="1" applyAlignment="1" applyProtection="1">
      <alignment horizontal="center" vertical="center"/>
      <protection locked="0"/>
    </xf>
    <xf numFmtId="9" fontId="78" fillId="22" borderId="1" xfId="0" applyNumberFormat="1" applyFont="1" applyFill="1" applyBorder="1" applyAlignment="1">
      <alignment horizontal="center" vertical="center" wrapText="1"/>
    </xf>
    <xf numFmtId="0" fontId="46" fillId="22" borderId="79" xfId="0" applyFont="1" applyFill="1" applyBorder="1" applyAlignment="1">
      <alignment vertical="center" wrapText="1"/>
    </xf>
    <xf numFmtId="0" fontId="46" fillId="22" borderId="80" xfId="0" applyFont="1" applyFill="1" applyBorder="1" applyAlignment="1">
      <alignment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61" fillId="23" borderId="108" xfId="0" applyFont="1" applyFill="1" applyBorder="1" applyAlignment="1">
      <alignment horizontal="center" vertical="center"/>
    </xf>
    <xf numFmtId="0" fontId="61" fillId="0" borderId="149" xfId="0" applyFont="1" applyBorder="1" applyAlignment="1">
      <alignment horizontal="center" vertical="center"/>
    </xf>
    <xf numFmtId="0" fontId="61" fillId="0" borderId="114" xfId="0" applyFont="1" applyBorder="1" applyAlignment="1">
      <alignment horizontal="center" vertical="center"/>
    </xf>
    <xf numFmtId="0" fontId="67" fillId="26" borderId="150" xfId="0" applyFont="1" applyFill="1" applyBorder="1" applyAlignment="1">
      <alignment horizontal="center" vertical="center" wrapText="1"/>
    </xf>
    <xf numFmtId="0" fontId="82" fillId="0" borderId="118" xfId="0" applyFont="1" applyBorder="1" applyAlignment="1">
      <alignment horizontal="center" vertical="center"/>
    </xf>
    <xf numFmtId="0" fontId="71" fillId="0" borderId="117" xfId="0" applyFont="1" applyBorder="1" applyAlignment="1">
      <alignment horizontal="centerContinuous" vertical="center"/>
    </xf>
    <xf numFmtId="0" fontId="83" fillId="0" borderId="0" xfId="0" applyFont="1"/>
    <xf numFmtId="0" fontId="59" fillId="22" borderId="0" xfId="0" applyFont="1" applyFill="1" applyAlignment="1">
      <alignment horizontal="center" vertical="center" wrapText="1"/>
    </xf>
    <xf numFmtId="0" fontId="83" fillId="22" borderId="0" xfId="0" applyFont="1" applyFill="1"/>
    <xf numFmtId="0" fontId="59" fillId="22" borderId="100" xfId="0" applyFont="1" applyFill="1" applyBorder="1" applyAlignment="1">
      <alignment horizontal="centerContinuous" vertical="center" wrapText="1"/>
    </xf>
    <xf numFmtId="0" fontId="60" fillId="2" borderId="113" xfId="0" applyFont="1" applyFill="1" applyBorder="1" applyAlignment="1">
      <alignment horizontal="center" vertical="center" wrapText="1"/>
    </xf>
    <xf numFmtId="14" fontId="60" fillId="0" borderId="105" xfId="0" applyNumberFormat="1" applyFont="1" applyBorder="1" applyAlignment="1">
      <alignment horizontal="center" vertical="center"/>
    </xf>
    <xf numFmtId="0" fontId="60" fillId="0" borderId="118" xfId="0" applyFont="1" applyBorder="1" applyAlignment="1">
      <alignment horizontal="center" vertical="center"/>
    </xf>
    <xf numFmtId="14" fontId="60" fillId="0" borderId="106" xfId="0" applyNumberFormat="1" applyFont="1" applyBorder="1" applyAlignment="1">
      <alignment horizontal="center" vertical="center"/>
    </xf>
    <xf numFmtId="0" fontId="80" fillId="0" borderId="0" xfId="0" applyFont="1"/>
    <xf numFmtId="0" fontId="80" fillId="22" borderId="0" xfId="0" applyFont="1" applyFill="1"/>
    <xf numFmtId="1" fontId="58" fillId="0" borderId="151" xfId="0" applyNumberFormat="1" applyFont="1" applyBorder="1" applyAlignment="1" applyProtection="1">
      <alignment horizontal="center" vertical="center"/>
      <protection locked="0"/>
    </xf>
    <xf numFmtId="1" fontId="58" fillId="23" borderId="151" xfId="0" applyNumberFormat="1" applyFont="1" applyFill="1" applyBorder="1" applyAlignment="1" applyProtection="1">
      <alignment horizontal="center" vertical="center"/>
      <protection locked="0"/>
    </xf>
    <xf numFmtId="1" fontId="58" fillId="22" borderId="151" xfId="0" applyNumberFormat="1" applyFont="1" applyFill="1" applyBorder="1" applyAlignment="1" applyProtection="1">
      <alignment horizontal="center" vertical="center"/>
      <protection locked="0"/>
    </xf>
    <xf numFmtId="166" fontId="84" fillId="0" borderId="0" xfId="0" applyNumberFormat="1" applyFont="1" applyAlignment="1">
      <alignment horizontal="center" vertical="center" wrapText="1"/>
    </xf>
    <xf numFmtId="1" fontId="61" fillId="0" borderId="152" xfId="0" applyNumberFormat="1" applyFont="1" applyBorder="1" applyAlignment="1">
      <alignment horizontal="center" vertical="center"/>
    </xf>
    <xf numFmtId="0" fontId="56" fillId="22" borderId="154" xfId="0" applyFont="1" applyFill="1" applyBorder="1" applyAlignment="1">
      <alignment horizontal="centerContinuous" vertical="center" wrapText="1"/>
    </xf>
    <xf numFmtId="0" fontId="0" fillId="0" borderId="98" xfId="0" applyBorder="1"/>
    <xf numFmtId="0" fontId="0" fillId="22" borderId="153" xfId="0" applyFill="1" applyBorder="1"/>
    <xf numFmtId="0" fontId="58" fillId="2" borderId="113" xfId="0" applyFont="1" applyFill="1" applyBorder="1" applyAlignment="1">
      <alignment horizontal="center" vertical="center" wrapText="1"/>
    </xf>
    <xf numFmtId="2" fontId="46" fillId="30" borderId="1" xfId="0" applyNumberFormat="1" applyFont="1" applyFill="1" applyBorder="1" applyAlignment="1">
      <alignment horizontal="center" vertical="center" wrapText="1"/>
    </xf>
    <xf numFmtId="0" fontId="85" fillId="13" borderId="46" xfId="0" applyFont="1" applyFill="1" applyBorder="1" applyAlignment="1">
      <alignment horizontal="center" vertical="center" wrapText="1"/>
    </xf>
    <xf numFmtId="0" fontId="85" fillId="13" borderId="48" xfId="0" applyFont="1" applyFill="1" applyBorder="1" applyAlignment="1">
      <alignment horizontal="center" vertical="center" wrapText="1"/>
    </xf>
    <xf numFmtId="2" fontId="6" fillId="22" borderId="40" xfId="0" applyNumberFormat="1" applyFont="1" applyFill="1" applyBorder="1" applyAlignment="1">
      <alignment horizontal="center" vertical="center" wrapText="1"/>
    </xf>
    <xf numFmtId="2" fontId="6" fillId="22" borderId="39" xfId="0" applyNumberFormat="1" applyFont="1" applyFill="1" applyBorder="1" applyAlignment="1">
      <alignment horizontal="center" vertical="center" wrapText="1"/>
    </xf>
    <xf numFmtId="2" fontId="22" fillId="22" borderId="39" xfId="0" applyNumberFormat="1" applyFont="1" applyFill="1" applyBorder="1" applyAlignment="1">
      <alignment horizontal="center" vertical="center" wrapText="1"/>
    </xf>
    <xf numFmtId="2" fontId="6" fillId="22" borderId="80" xfId="0" applyNumberFormat="1" applyFont="1" applyFill="1" applyBorder="1" applyAlignment="1">
      <alignment horizontal="center" vertical="center" wrapText="1"/>
    </xf>
    <xf numFmtId="2" fontId="14" fillId="22" borderId="39" xfId="0" applyNumberFormat="1" applyFont="1" applyFill="1" applyBorder="1" applyAlignment="1">
      <alignment horizontal="center" vertical="center" wrapText="1"/>
    </xf>
    <xf numFmtId="166" fontId="84" fillId="0" borderId="155" xfId="0" applyNumberFormat="1" applyFont="1" applyBorder="1" applyAlignment="1">
      <alignment horizontal="center" vertical="center" wrapText="1"/>
    </xf>
    <xf numFmtId="1" fontId="58" fillId="22" borderId="0" xfId="0" applyNumberFormat="1" applyFont="1" applyFill="1" applyAlignment="1" applyProtection="1">
      <alignment horizontal="center" vertical="center"/>
      <protection locked="0"/>
    </xf>
    <xf numFmtId="1" fontId="58" fillId="0" borderId="0" xfId="0" applyNumberFormat="1" applyFont="1" applyAlignment="1" applyProtection="1">
      <alignment horizontal="center" vertical="center"/>
      <protection locked="0"/>
    </xf>
    <xf numFmtId="1" fontId="58" fillId="0" borderId="119" xfId="0" applyNumberFormat="1" applyFont="1" applyBorder="1" applyAlignment="1">
      <alignment horizontal="center" vertical="center"/>
    </xf>
    <xf numFmtId="1" fontId="58" fillId="0" borderId="118" xfId="0" applyNumberFormat="1" applyFont="1" applyBorder="1" applyAlignment="1" applyProtection="1">
      <alignment horizontal="center" vertical="center"/>
      <protection locked="0"/>
    </xf>
    <xf numFmtId="1" fontId="58" fillId="0" borderId="119" xfId="0" applyNumberFormat="1" applyFont="1" applyBorder="1" applyAlignment="1" applyProtection="1">
      <alignment horizontal="center" vertical="center"/>
      <protection locked="0"/>
    </xf>
    <xf numFmtId="0" fontId="65" fillId="24" borderId="0" xfId="0" applyFont="1" applyFill="1" applyAlignment="1" applyProtection="1">
      <alignment horizontal="left" vertical="center"/>
      <protection hidden="1"/>
    </xf>
    <xf numFmtId="0" fontId="56" fillId="22" borderId="10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6" fillId="21" borderId="1" xfId="0" applyFont="1" applyFill="1" applyBorder="1" applyAlignment="1">
      <alignment vertical="center" wrapText="1"/>
    </xf>
    <xf numFmtId="0" fontId="46" fillId="22" borderId="1" xfId="0" applyFont="1" applyFill="1" applyBorder="1" applyAlignment="1">
      <alignment vertical="center" wrapText="1"/>
    </xf>
    <xf numFmtId="0" fontId="86" fillId="22" borderId="1" xfId="0" applyFont="1" applyFill="1" applyBorder="1" applyAlignment="1">
      <alignment vertical="center" wrapText="1"/>
    </xf>
    <xf numFmtId="0" fontId="81" fillId="0" borderId="118" xfId="0" applyFont="1" applyBorder="1" applyAlignment="1" applyProtection="1">
      <alignment horizontal="center" vertical="center"/>
      <protection locked="0"/>
    </xf>
    <xf numFmtId="0" fontId="81" fillId="0" borderId="121" xfId="0" applyFont="1" applyBorder="1" applyAlignment="1">
      <alignment horizontal="center" vertical="center"/>
    </xf>
    <xf numFmtId="0" fontId="81" fillId="22" borderId="118" xfId="0" applyFont="1" applyFill="1" applyBorder="1" applyAlignment="1">
      <alignment horizontal="center" vertical="center"/>
    </xf>
    <xf numFmtId="14" fontId="87" fillId="0" borderId="105" xfId="0" applyNumberFormat="1" applyFont="1" applyBorder="1" applyAlignment="1">
      <alignment horizontal="center" vertical="center"/>
    </xf>
    <xf numFmtId="1" fontId="81" fillId="22" borderId="105" xfId="0" applyNumberFormat="1" applyFont="1" applyFill="1" applyBorder="1" applyAlignment="1" applyProtection="1">
      <alignment horizontal="center" vertical="center"/>
      <protection locked="0"/>
    </xf>
    <xf numFmtId="1" fontId="81" fillId="0" borderId="105" xfId="0" applyNumberFormat="1" applyFont="1" applyBorder="1" applyAlignment="1">
      <alignment horizontal="center" vertical="center"/>
    </xf>
    <xf numFmtId="0" fontId="77" fillId="27" borderId="2" xfId="0" applyFont="1" applyFill="1" applyBorder="1" applyAlignment="1">
      <alignment vertical="center" wrapText="1"/>
    </xf>
    <xf numFmtId="0" fontId="77" fillId="27" borderId="5" xfId="0" applyFont="1" applyFill="1" applyBorder="1" applyAlignment="1">
      <alignment vertical="center" wrapText="1"/>
    </xf>
    <xf numFmtId="0" fontId="77" fillId="27" borderId="4" xfId="0" applyFont="1" applyFill="1" applyBorder="1" applyAlignment="1">
      <alignment vertical="center" wrapText="1"/>
    </xf>
    <xf numFmtId="0" fontId="77" fillId="28" borderId="2" xfId="0" applyFont="1" applyFill="1" applyBorder="1" applyAlignment="1">
      <alignment vertical="center" wrapText="1"/>
    </xf>
    <xf numFmtId="0" fontId="77" fillId="28" borderId="5" xfId="0" applyFont="1" applyFill="1" applyBorder="1" applyAlignment="1">
      <alignment vertical="center" wrapText="1"/>
    </xf>
    <xf numFmtId="0" fontId="77" fillId="28" borderId="4" xfId="0" applyFont="1" applyFill="1" applyBorder="1" applyAlignment="1">
      <alignment vertical="center" wrapText="1"/>
    </xf>
    <xf numFmtId="0" fontId="77" fillId="28" borderId="140" xfId="0" applyFont="1" applyFill="1" applyBorder="1" applyAlignment="1">
      <alignment vertical="center" wrapText="1"/>
    </xf>
    <xf numFmtId="0" fontId="77" fillId="28" borderId="142" xfId="0" applyFont="1" applyFill="1" applyBorder="1" applyAlignment="1">
      <alignment vertical="center" wrapText="1"/>
    </xf>
    <xf numFmtId="0" fontId="77" fillId="28" borderId="144" xfId="0" applyFont="1" applyFill="1" applyBorder="1" applyAlignment="1">
      <alignment vertical="center" wrapText="1"/>
    </xf>
    <xf numFmtId="0" fontId="77" fillId="27" borderId="88" xfId="0" applyFont="1" applyFill="1" applyBorder="1" applyAlignment="1">
      <alignment vertical="center" wrapText="1"/>
    </xf>
    <xf numFmtId="0" fontId="77" fillId="27" borderId="89" xfId="0" applyFont="1" applyFill="1" applyBorder="1" applyAlignment="1">
      <alignment vertical="center" wrapText="1"/>
    </xf>
    <xf numFmtId="0" fontId="77" fillId="28" borderId="88" xfId="0" applyFont="1" applyFill="1" applyBorder="1" applyAlignment="1">
      <alignment vertical="center" wrapText="1"/>
    </xf>
    <xf numFmtId="0" fontId="77" fillId="28" borderId="89" xfId="0" applyFont="1" applyFill="1" applyBorder="1" applyAlignment="1">
      <alignment vertical="center" wrapText="1"/>
    </xf>
    <xf numFmtId="2" fontId="6" fillId="22" borderId="0" xfId="0" applyNumberFormat="1" applyFont="1" applyFill="1" applyAlignment="1">
      <alignment horizontal="center" vertical="center"/>
    </xf>
    <xf numFmtId="165" fontId="46" fillId="3" borderId="1" xfId="0" applyNumberFormat="1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horizontal="center" vertical="center" wrapText="1"/>
    </xf>
    <xf numFmtId="2" fontId="46" fillId="3" borderId="1" xfId="0" applyNumberFormat="1" applyFont="1" applyFill="1" applyBorder="1" applyAlignment="1">
      <alignment horizontal="center" vertical="center" wrapText="1"/>
    </xf>
    <xf numFmtId="2" fontId="46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46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165" fontId="6" fillId="22" borderId="14" xfId="0" applyNumberFormat="1" applyFont="1" applyFill="1" applyBorder="1" applyAlignment="1">
      <alignment horizontal="center" vertical="center" wrapText="1"/>
    </xf>
    <xf numFmtId="165" fontId="6" fillId="22" borderId="26" xfId="0" applyNumberFormat="1" applyFont="1" applyFill="1" applyBorder="1" applyAlignment="1">
      <alignment horizontal="center" vertical="center" wrapText="1"/>
    </xf>
    <xf numFmtId="165" fontId="6" fillId="22" borderId="82" xfId="0" applyNumberFormat="1" applyFont="1" applyFill="1" applyBorder="1" applyAlignment="1">
      <alignment horizontal="center" vertical="center" wrapText="1"/>
    </xf>
    <xf numFmtId="165" fontId="6" fillId="0" borderId="26" xfId="0" applyNumberFormat="1" applyFont="1" applyBorder="1" applyAlignment="1">
      <alignment horizontal="center" vertical="center" wrapText="1"/>
    </xf>
    <xf numFmtId="49" fontId="46" fillId="3" borderId="1" xfId="0" applyNumberFormat="1" applyFont="1" applyFill="1" applyBorder="1" applyAlignment="1">
      <alignment horizontal="center" vertical="center" wrapText="1"/>
    </xf>
    <xf numFmtId="2" fontId="86" fillId="4" borderId="1" xfId="0" applyNumberFormat="1" applyFont="1" applyFill="1" applyBorder="1" applyAlignment="1">
      <alignment horizontal="center" vertical="center" wrapText="1"/>
    </xf>
    <xf numFmtId="49" fontId="46" fillId="4" borderId="1" xfId="0" applyNumberFormat="1" applyFont="1" applyFill="1" applyBorder="1" applyAlignment="1">
      <alignment horizontal="center" vertical="center" wrapText="1"/>
    </xf>
    <xf numFmtId="1" fontId="46" fillId="4" borderId="1" xfId="0" applyNumberFormat="1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2" fontId="44" fillId="22" borderId="1" xfId="0" applyNumberFormat="1" applyFont="1" applyFill="1" applyBorder="1" applyAlignment="1">
      <alignment horizontal="center" vertical="center" wrapText="1"/>
    </xf>
    <xf numFmtId="0" fontId="82" fillId="8" borderId="110" xfId="0" applyFont="1" applyFill="1" applyBorder="1" applyAlignment="1" applyProtection="1">
      <alignment horizontal="center" vertical="center"/>
      <protection locked="0"/>
    </xf>
    <xf numFmtId="166" fontId="88" fillId="8" borderId="0" xfId="0" applyNumberFormat="1" applyFont="1" applyFill="1" applyAlignment="1">
      <alignment horizontal="center" vertical="center" wrapText="1"/>
    </xf>
    <xf numFmtId="1" fontId="82" fillId="8" borderId="118" xfId="0" applyNumberFormat="1" applyFont="1" applyFill="1" applyBorder="1" applyAlignment="1">
      <alignment horizontal="center" vertical="center"/>
    </xf>
    <xf numFmtId="49" fontId="82" fillId="8" borderId="119" xfId="0" applyNumberFormat="1" applyFont="1" applyFill="1" applyBorder="1" applyAlignment="1">
      <alignment horizontal="center" vertical="center"/>
    </xf>
    <xf numFmtId="0" fontId="82" fillId="8" borderId="118" xfId="0" applyFont="1" applyFill="1" applyBorder="1" applyAlignment="1">
      <alignment horizontal="center" vertical="center"/>
    </xf>
    <xf numFmtId="165" fontId="14" fillId="10" borderId="156" xfId="0" applyNumberFormat="1" applyFont="1" applyFill="1" applyBorder="1" applyAlignment="1" applyProtection="1">
      <alignment horizontal="center" vertical="center" wrapText="1"/>
      <protection locked="0"/>
    </xf>
    <xf numFmtId="165" fontId="46" fillId="22" borderId="157" xfId="0" applyNumberFormat="1" applyFont="1" applyFill="1" applyBorder="1" applyAlignment="1">
      <alignment horizontal="center" vertical="center" wrapText="1"/>
    </xf>
    <xf numFmtId="165" fontId="6" fillId="22" borderId="90" xfId="0" applyNumberFormat="1" applyFont="1" applyFill="1" applyBorder="1" applyAlignment="1">
      <alignment horizontal="center" vertical="center" wrapText="1"/>
    </xf>
    <xf numFmtId="165" fontId="46" fillId="22" borderId="90" xfId="0" applyNumberFormat="1" applyFont="1" applyFill="1" applyBorder="1" applyAlignment="1">
      <alignment horizontal="center" vertical="center" wrapText="1"/>
    </xf>
    <xf numFmtId="165" fontId="6" fillId="0" borderId="90" xfId="0" applyNumberFormat="1" applyFont="1" applyBorder="1" applyAlignment="1">
      <alignment horizontal="center" vertical="center" wrapText="1"/>
    </xf>
    <xf numFmtId="1" fontId="46" fillId="3" borderId="1" xfId="0" applyNumberFormat="1" applyFont="1" applyFill="1" applyBorder="1" applyAlignment="1">
      <alignment horizontal="center" vertical="center" wrapText="1"/>
    </xf>
    <xf numFmtId="49" fontId="29" fillId="12" borderId="47" xfId="0" applyNumberFormat="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75" fillId="22" borderId="0" xfId="0" applyFont="1" applyFill="1"/>
    <xf numFmtId="0" fontId="75" fillId="22" borderId="0" xfId="0" applyFont="1" applyFill="1" applyAlignment="1">
      <alignment horizontal="center" vertical="center"/>
    </xf>
    <xf numFmtId="0" fontId="73" fillId="22" borderId="0" xfId="0" applyFont="1" applyFill="1"/>
    <xf numFmtId="0" fontId="73" fillId="0" borderId="0" xfId="0" applyFont="1" applyAlignment="1">
      <alignment horizontal="center" vertical="center"/>
    </xf>
    <xf numFmtId="0" fontId="58" fillId="25" borderId="105" xfId="0" applyFont="1" applyFill="1" applyBorder="1" applyAlignment="1" applyProtection="1">
      <alignment horizontal="center" vertical="center"/>
      <protection locked="0"/>
    </xf>
    <xf numFmtId="1" fontId="58" fillId="25" borderId="105" xfId="0" applyNumberFormat="1" applyFont="1" applyFill="1" applyBorder="1" applyAlignment="1" applyProtection="1">
      <alignment horizontal="center" vertical="center"/>
      <protection locked="0"/>
    </xf>
    <xf numFmtId="0" fontId="82" fillId="8" borderId="108" xfId="0" applyFont="1" applyFill="1" applyBorder="1" applyAlignment="1" applyProtection="1">
      <alignment horizontal="center" vertical="center"/>
      <protection locked="0"/>
    </xf>
    <xf numFmtId="14" fontId="82" fillId="8" borderId="106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 applyProtection="1">
      <alignment horizontal="center" vertical="center" wrapText="1"/>
      <protection locked="0"/>
    </xf>
    <xf numFmtId="167" fontId="46" fillId="3" borderId="1" xfId="0" applyNumberFormat="1" applyFont="1" applyFill="1" applyBorder="1" applyAlignment="1">
      <alignment horizontal="center" vertical="center" wrapText="1"/>
    </xf>
    <xf numFmtId="2" fontId="46" fillId="31" borderId="1" xfId="0" applyNumberFormat="1" applyFont="1" applyFill="1" applyBorder="1" applyAlignment="1">
      <alignment horizontal="center" vertical="center" wrapText="1"/>
    </xf>
    <xf numFmtId="1" fontId="89" fillId="22" borderId="1" xfId="0" applyNumberFormat="1" applyFont="1" applyFill="1" applyBorder="1" applyAlignment="1">
      <alignment horizontal="center" vertical="center" wrapText="1"/>
    </xf>
    <xf numFmtId="1" fontId="58" fillId="0" borderId="106" xfId="0" applyNumberFormat="1" applyFont="1" applyBorder="1" applyAlignment="1" applyProtection="1">
      <alignment horizontal="center" vertical="center"/>
      <protection locked="0"/>
    </xf>
    <xf numFmtId="0" fontId="58" fillId="0" borderId="106" xfId="0" applyFont="1" applyBorder="1" applyAlignment="1" applyProtection="1">
      <alignment horizontal="center" vertical="center"/>
      <protection hidden="1"/>
    </xf>
    <xf numFmtId="0" fontId="58" fillId="0" borderId="104" xfId="0" applyFont="1" applyBorder="1" applyAlignment="1" applyProtection="1">
      <alignment horizontal="center" vertical="center"/>
      <protection locked="0"/>
    </xf>
    <xf numFmtId="0" fontId="58" fillId="22" borderId="104" xfId="0" applyFont="1" applyFill="1" applyBorder="1" applyAlignment="1" applyProtection="1">
      <alignment horizontal="center" vertical="center"/>
      <protection locked="0"/>
    </xf>
    <xf numFmtId="0" fontId="58" fillId="21" borderId="118" xfId="0" applyFont="1" applyFill="1" applyBorder="1" applyAlignment="1">
      <alignment horizontal="center" vertical="center"/>
    </xf>
    <xf numFmtId="0" fontId="90" fillId="21" borderId="105" xfId="0" applyFont="1" applyFill="1" applyBorder="1" applyAlignment="1" applyProtection="1">
      <alignment horizontal="center" vertical="center"/>
      <protection locked="0"/>
    </xf>
    <xf numFmtId="166" fontId="91" fillId="21" borderId="0" xfId="0" applyNumberFormat="1" applyFont="1" applyFill="1" applyAlignment="1">
      <alignment horizontal="center" vertical="center" wrapText="1"/>
    </xf>
    <xf numFmtId="1" fontId="90" fillId="21" borderId="114" xfId="0" applyNumberFormat="1" applyFont="1" applyFill="1" applyBorder="1" applyAlignment="1" applyProtection="1">
      <alignment horizontal="center" vertical="center"/>
      <protection locked="0"/>
    </xf>
    <xf numFmtId="49" fontId="90" fillId="21" borderId="118" xfId="0" applyNumberFormat="1" applyFont="1" applyFill="1" applyBorder="1" applyAlignment="1">
      <alignment horizontal="center" vertical="center"/>
    </xf>
    <xf numFmtId="0" fontId="90" fillId="21" borderId="118" xfId="0" applyFont="1" applyFill="1" applyBorder="1" applyAlignment="1">
      <alignment horizontal="center" vertical="center"/>
    </xf>
    <xf numFmtId="14" fontId="90" fillId="21" borderId="105" xfId="0" applyNumberFormat="1" applyFont="1" applyFill="1" applyBorder="1" applyAlignment="1">
      <alignment horizontal="center" vertical="center"/>
    </xf>
    <xf numFmtId="0" fontId="58" fillId="20" borderId="118" xfId="0" applyFont="1" applyFill="1" applyBorder="1" applyAlignment="1">
      <alignment horizontal="center" vertical="center"/>
    </xf>
    <xf numFmtId="49" fontId="58" fillId="20" borderId="118" xfId="0" applyNumberFormat="1" applyFont="1" applyFill="1" applyBorder="1" applyAlignment="1">
      <alignment horizontal="center" vertical="center"/>
    </xf>
    <xf numFmtId="1" fontId="58" fillId="20" borderId="105" xfId="0" applyNumberFormat="1" applyFont="1" applyFill="1" applyBorder="1" applyAlignment="1" applyProtection="1">
      <alignment horizontal="center" vertical="center"/>
      <protection locked="0"/>
    </xf>
    <xf numFmtId="1" fontId="58" fillId="20" borderId="114" xfId="0" applyNumberFormat="1" applyFont="1" applyFill="1" applyBorder="1" applyAlignment="1" applyProtection="1">
      <alignment horizontal="center" vertical="center"/>
      <protection locked="0"/>
    </xf>
    <xf numFmtId="0" fontId="68" fillId="32" borderId="126" xfId="0" applyFont="1" applyFill="1" applyBorder="1" applyAlignment="1">
      <alignment horizontal="center" vertical="center" wrapText="1"/>
    </xf>
    <xf numFmtId="0" fontId="61" fillId="20" borderId="108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61" fillId="22" borderId="10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6" fontId="58" fillId="0" borderId="119" xfId="0" applyNumberFormat="1" applyFont="1" applyBorder="1" applyAlignment="1">
      <alignment horizontal="center" vertical="center"/>
    </xf>
    <xf numFmtId="0" fontId="46" fillId="22" borderId="40" xfId="0" applyFont="1" applyFill="1" applyBorder="1" applyAlignment="1">
      <alignment vertical="center" wrapText="1"/>
    </xf>
    <xf numFmtId="0" fontId="52" fillId="22" borderId="1" xfId="0" applyFont="1" applyFill="1" applyBorder="1" applyAlignment="1">
      <alignment vertical="center" wrapText="1"/>
    </xf>
    <xf numFmtId="0" fontId="52" fillId="22" borderId="79" xfId="0" applyFont="1" applyFill="1" applyBorder="1" applyAlignment="1">
      <alignment vertical="center" wrapText="1"/>
    </xf>
    <xf numFmtId="0" fontId="52" fillId="22" borderId="40" xfId="0" applyFont="1" applyFill="1" applyBorder="1" applyAlignment="1">
      <alignment vertical="center" wrapText="1"/>
    </xf>
    <xf numFmtId="0" fontId="52" fillId="22" borderId="80" xfId="0" applyFont="1" applyFill="1" applyBorder="1" applyAlignment="1">
      <alignment vertical="center" wrapText="1"/>
    </xf>
    <xf numFmtId="0" fontId="73" fillId="0" borderId="0" xfId="0" applyFont="1" applyAlignment="1" applyProtection="1">
      <alignment horizontal="center" vertical="center"/>
      <protection locked="0"/>
    </xf>
    <xf numFmtId="0" fontId="82" fillId="22" borderId="0" xfId="0" applyFont="1" applyFill="1" applyAlignment="1" applyProtection="1">
      <alignment horizontal="center" vertical="center"/>
      <protection locked="0"/>
    </xf>
    <xf numFmtId="0" fontId="73" fillId="22" borderId="0" xfId="0" applyFont="1" applyFill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58" fillId="21" borderId="0" xfId="0" applyFont="1" applyFill="1" applyAlignment="1" applyProtection="1">
      <alignment horizontal="center" vertical="center"/>
      <protection locked="0"/>
    </xf>
    <xf numFmtId="1" fontId="58" fillId="21" borderId="0" xfId="0" applyNumberFormat="1" applyFont="1" applyFill="1" applyAlignment="1" applyProtection="1">
      <alignment horizontal="center" vertical="center"/>
      <protection locked="0"/>
    </xf>
    <xf numFmtId="0" fontId="6" fillId="20" borderId="1" xfId="0" applyFont="1" applyFill="1" applyBorder="1" applyAlignment="1">
      <alignment horizontal="center" vertical="center" wrapText="1"/>
    </xf>
    <xf numFmtId="2" fontId="44" fillId="4" borderId="1" xfId="0" applyNumberFormat="1" applyFont="1" applyFill="1" applyBorder="1" applyAlignment="1">
      <alignment horizontal="center" vertical="center" wrapText="1"/>
    </xf>
    <xf numFmtId="14" fontId="58" fillId="21" borderId="106" xfId="0" applyNumberFormat="1" applyFont="1" applyFill="1" applyBorder="1" applyAlignment="1">
      <alignment horizontal="center" vertical="center"/>
    </xf>
    <xf numFmtId="14" fontId="58" fillId="21" borderId="105" xfId="0" applyNumberFormat="1" applyFont="1" applyFill="1" applyBorder="1" applyAlignment="1">
      <alignment horizontal="center" vertical="center"/>
    </xf>
    <xf numFmtId="1" fontId="46" fillId="30" borderId="1" xfId="0" applyNumberFormat="1" applyFont="1" applyFill="1" applyBorder="1" applyAlignment="1">
      <alignment horizontal="center" vertical="center" wrapText="1"/>
    </xf>
    <xf numFmtId="49" fontId="58" fillId="4" borderId="118" xfId="0" applyNumberFormat="1" applyFont="1" applyFill="1" applyBorder="1" applyAlignment="1">
      <alignment horizontal="center" vertical="center"/>
    </xf>
    <xf numFmtId="14" fontId="58" fillId="4" borderId="106" xfId="0" applyNumberFormat="1" applyFont="1" applyFill="1" applyBorder="1" applyAlignment="1">
      <alignment horizontal="center" vertical="center"/>
    </xf>
    <xf numFmtId="14" fontId="60" fillId="22" borderId="106" xfId="0" applyNumberFormat="1" applyFont="1" applyFill="1" applyBorder="1" applyAlignment="1">
      <alignment horizontal="center" vertical="center"/>
    </xf>
    <xf numFmtId="14" fontId="82" fillId="22" borderId="106" xfId="0" applyNumberFormat="1" applyFont="1" applyFill="1" applyBorder="1" applyAlignment="1">
      <alignment horizontal="center" vertical="center"/>
    </xf>
    <xf numFmtId="0" fontId="58" fillId="22" borderId="119" xfId="0" applyFont="1" applyFill="1" applyBorder="1" applyAlignment="1">
      <alignment horizontal="center" vertical="center"/>
    </xf>
    <xf numFmtId="0" fontId="82" fillId="8" borderId="119" xfId="0" applyFont="1" applyFill="1" applyBorder="1" applyAlignment="1">
      <alignment horizontal="center" vertical="center"/>
    </xf>
    <xf numFmtId="49" fontId="58" fillId="0" borderId="121" xfId="0" applyNumberFormat="1" applyFont="1" applyBorder="1" applyAlignment="1">
      <alignment horizontal="center" vertical="center"/>
    </xf>
    <xf numFmtId="0" fontId="81" fillId="8" borderId="118" xfId="0" applyFont="1" applyFill="1" applyBorder="1" applyAlignment="1">
      <alignment horizontal="center" vertical="center"/>
    </xf>
    <xf numFmtId="14" fontId="60" fillId="8" borderId="106" xfId="0" applyNumberFormat="1" applyFont="1" applyFill="1" applyBorder="1" applyAlignment="1">
      <alignment horizontal="center" vertical="center"/>
    </xf>
    <xf numFmtId="49" fontId="27" fillId="12" borderId="27" xfId="0" applyNumberFormat="1" applyFont="1" applyFill="1" applyBorder="1" applyAlignment="1">
      <alignment horizontal="center" vertical="center" wrapText="1"/>
    </xf>
    <xf numFmtId="0" fontId="0" fillId="0" borderId="50" xfId="0" applyBorder="1"/>
    <xf numFmtId="0" fontId="0" fillId="0" borderId="12" xfId="0" applyBorder="1"/>
    <xf numFmtId="0" fontId="0" fillId="0" borderId="55" xfId="0" applyBorder="1"/>
    <xf numFmtId="0" fontId="20" fillId="12" borderId="175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54" xfId="0" applyBorder="1"/>
    <xf numFmtId="49" fontId="45" fillId="13" borderId="127" xfId="0" applyNumberFormat="1" applyFont="1" applyFill="1" applyBorder="1" applyAlignment="1">
      <alignment horizontal="center" vertical="center" wrapText="1"/>
    </xf>
    <xf numFmtId="0" fontId="0" fillId="0" borderId="127" xfId="0" applyBorder="1"/>
    <xf numFmtId="49" fontId="45" fillId="13" borderId="130" xfId="0" applyNumberFormat="1" applyFont="1" applyFill="1" applyBorder="1" applyAlignment="1">
      <alignment horizontal="center" vertical="center" wrapText="1"/>
    </xf>
    <xf numFmtId="0" fontId="0" fillId="0" borderId="173" xfId="0" applyBorder="1"/>
    <xf numFmtId="0" fontId="25" fillId="12" borderId="27" xfId="0" applyFont="1" applyFill="1" applyBorder="1" applyAlignment="1">
      <alignment horizontal="center" vertical="center" wrapText="1"/>
    </xf>
    <xf numFmtId="0" fontId="0" fillId="0" borderId="47" xfId="0" applyBorder="1"/>
    <xf numFmtId="0" fontId="0" fillId="0" borderId="16" xfId="0" applyBorder="1"/>
    <xf numFmtId="49" fontId="25" fillId="12" borderId="24" xfId="0" applyNumberFormat="1" applyFont="1" applyFill="1" applyBorder="1" applyAlignment="1">
      <alignment horizontal="center" vertical="center" wrapText="1"/>
    </xf>
    <xf numFmtId="0" fontId="23" fillId="12" borderId="15" xfId="0" applyFont="1" applyFill="1" applyBorder="1" applyAlignment="1">
      <alignment horizontal="center" vertical="center" wrapText="1"/>
    </xf>
    <xf numFmtId="0" fontId="6" fillId="15" borderId="0" xfId="0" applyFont="1" applyFill="1" applyAlignment="1">
      <alignment horizontal="left" vertical="center" wrapText="1"/>
    </xf>
    <xf numFmtId="0" fontId="23" fillId="12" borderId="176" xfId="0" applyFont="1" applyFill="1" applyBorder="1" applyAlignment="1">
      <alignment horizontal="center" vertical="center" wrapText="1"/>
    </xf>
    <xf numFmtId="0" fontId="0" fillId="0" borderId="52" xfId="0" applyBorder="1"/>
    <xf numFmtId="0" fontId="0" fillId="0" borderId="15" xfId="0" applyBorder="1"/>
    <xf numFmtId="0" fontId="25" fillId="12" borderId="29" xfId="0" applyFont="1" applyFill="1" applyBorder="1" applyAlignment="1">
      <alignment horizontal="center" vertical="center" wrapText="1"/>
    </xf>
    <xf numFmtId="0" fontId="0" fillId="0" borderId="133" xfId="0" applyBorder="1"/>
    <xf numFmtId="0" fontId="0" fillId="0" borderId="18" xfId="0" applyBorder="1"/>
    <xf numFmtId="0" fontId="13" fillId="13" borderId="27" xfId="0" applyFont="1" applyFill="1" applyBorder="1" applyAlignment="1">
      <alignment horizontal="center" vertical="center" wrapText="1"/>
    </xf>
    <xf numFmtId="0" fontId="23" fillId="12" borderId="165" xfId="0" applyFont="1" applyFill="1" applyBorder="1" applyAlignment="1">
      <alignment horizontal="center" vertical="center" wrapText="1"/>
    </xf>
    <xf numFmtId="0" fontId="0" fillId="0" borderId="94" xfId="0" applyBorder="1"/>
    <xf numFmtId="0" fontId="0" fillId="0" borderId="21" xfId="0" applyBorder="1"/>
    <xf numFmtId="0" fontId="11" fillId="9" borderId="2" xfId="0" applyFont="1" applyFill="1" applyBorder="1" applyAlignment="1">
      <alignment horizontal="center" vertical="center" wrapText="1"/>
    </xf>
    <xf numFmtId="0" fontId="0" fillId="0" borderId="5" xfId="0" applyBorder="1"/>
    <xf numFmtId="0" fontId="50" fillId="12" borderId="12" xfId="0" applyFont="1" applyFill="1" applyBorder="1" applyAlignment="1">
      <alignment horizontal="center" vertical="center" wrapText="1"/>
    </xf>
    <xf numFmtId="0" fontId="0" fillId="0" borderId="93" xfId="0" applyBorder="1"/>
    <xf numFmtId="0" fontId="32" fillId="12" borderId="29" xfId="0" applyFont="1" applyFill="1" applyBorder="1" applyAlignment="1">
      <alignment horizontal="center" vertical="center" wrapText="1"/>
    </xf>
    <xf numFmtId="0" fontId="0" fillId="0" borderId="22" xfId="0" applyBorder="1"/>
    <xf numFmtId="0" fontId="34" fillId="12" borderId="28" xfId="0" applyFont="1" applyFill="1" applyBorder="1" applyAlignment="1">
      <alignment horizontal="center" vertical="center" wrapText="1"/>
    </xf>
    <xf numFmtId="0" fontId="0" fillId="0" borderId="56" xfId="0" applyBorder="1"/>
    <xf numFmtId="0" fontId="0" fillId="0" borderId="19" xfId="0" applyBorder="1"/>
    <xf numFmtId="0" fontId="26" fillId="12" borderId="15" xfId="0" applyFont="1" applyFill="1" applyBorder="1" applyAlignment="1">
      <alignment horizontal="center" vertical="center" wrapText="1"/>
    </xf>
    <xf numFmtId="0" fontId="25" fillId="12" borderId="67" xfId="0" applyFont="1" applyFill="1" applyBorder="1" applyAlignment="1">
      <alignment horizontal="center" vertical="center" wrapText="1"/>
    </xf>
    <xf numFmtId="0" fontId="0" fillId="0" borderId="65" xfId="0" applyBorder="1"/>
    <xf numFmtId="0" fontId="23" fillId="12" borderId="12" xfId="0" applyFont="1" applyFill="1" applyBorder="1" applyAlignment="1">
      <alignment horizontal="center" vertical="center" wrapText="1"/>
    </xf>
    <xf numFmtId="0" fontId="21" fillId="12" borderId="165" xfId="0" applyFont="1" applyFill="1" applyBorder="1" applyAlignment="1">
      <alignment horizontal="center" vertical="center" wrapText="1"/>
    </xf>
    <xf numFmtId="0" fontId="33" fillId="12" borderId="29" xfId="0" applyFont="1" applyFill="1" applyBorder="1" applyAlignment="1">
      <alignment horizontal="center" vertical="center" wrapText="1"/>
    </xf>
    <xf numFmtId="49" fontId="28" fillId="12" borderId="29" xfId="0" applyNumberFormat="1" applyFont="1" applyFill="1" applyBorder="1" applyAlignment="1">
      <alignment horizontal="center" vertical="center" wrapText="1"/>
    </xf>
    <xf numFmtId="49" fontId="29" fillId="12" borderId="28" xfId="0" applyNumberFormat="1" applyFont="1" applyFill="1" applyBorder="1" applyAlignment="1">
      <alignment horizontal="center" vertical="center" wrapText="1"/>
    </xf>
    <xf numFmtId="0" fontId="25" fillId="12" borderId="69" xfId="0" applyFont="1" applyFill="1" applyBorder="1" applyAlignment="1">
      <alignment horizontal="center" vertical="center" wrapText="1"/>
    </xf>
    <xf numFmtId="0" fontId="0" fillId="0" borderId="70" xfId="0" applyBorder="1"/>
    <xf numFmtId="0" fontId="25" fillId="12" borderId="28" xfId="0" applyFont="1" applyFill="1" applyBorder="1" applyAlignment="1">
      <alignment horizontal="center" vertical="center" wrapText="1"/>
    </xf>
    <xf numFmtId="0" fontId="18" fillId="11" borderId="11" xfId="0" applyFont="1" applyFill="1" applyBorder="1" applyAlignment="1">
      <alignment horizontal="center" vertical="center" textRotation="90"/>
    </xf>
    <xf numFmtId="0" fontId="0" fillId="0" borderId="53" xfId="0" applyBorder="1"/>
    <xf numFmtId="0" fontId="0" fillId="0" borderId="11" xfId="0" applyBorder="1"/>
    <xf numFmtId="0" fontId="6" fillId="0" borderId="1" xfId="0" applyFont="1" applyBorder="1" applyAlignment="1">
      <alignment horizontal="center" vertical="center"/>
    </xf>
    <xf numFmtId="0" fontId="0" fillId="0" borderId="4" xfId="0" applyBorder="1"/>
    <xf numFmtId="0" fontId="47" fillId="12" borderId="13" xfId="0" applyFont="1" applyFill="1" applyBorder="1" applyAlignment="1">
      <alignment horizontal="center" vertical="center" textRotation="90" wrapText="1"/>
    </xf>
    <xf numFmtId="0" fontId="0" fillId="0" borderId="25" xfId="0" applyBorder="1"/>
    <xf numFmtId="0" fontId="8" fillId="0" borderId="0" xfId="0" applyFont="1" applyAlignment="1">
      <alignment horizontal="left" vertical="center"/>
    </xf>
    <xf numFmtId="49" fontId="45" fillId="13" borderId="131" xfId="0" applyNumberFormat="1" applyFont="1" applyFill="1" applyBorder="1" applyAlignment="1">
      <alignment horizontal="center" vertical="center" wrapText="1"/>
    </xf>
    <xf numFmtId="0" fontId="0" fillId="0" borderId="172" xfId="0" applyBorder="1"/>
    <xf numFmtId="0" fontId="51" fillId="12" borderId="21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23" fillId="12" borderId="174" xfId="0" applyFont="1" applyFill="1" applyBorder="1" applyAlignment="1">
      <alignment horizontal="center" vertical="center" wrapText="1"/>
    </xf>
    <xf numFmtId="0" fontId="0" fillId="0" borderId="6" xfId="0" applyBorder="1"/>
    <xf numFmtId="0" fontId="25" fillId="12" borderId="24" xfId="0" applyFont="1" applyFill="1" applyBorder="1" applyAlignment="1">
      <alignment horizontal="center" vertical="center" wrapText="1"/>
    </xf>
    <xf numFmtId="0" fontId="0" fillId="0" borderId="166" xfId="0" applyBorder="1"/>
    <xf numFmtId="0" fontId="0" fillId="0" borderId="17" xfId="0" applyBorder="1"/>
    <xf numFmtId="0" fontId="21" fillId="12" borderId="14" xfId="0" applyFont="1" applyFill="1" applyBorder="1" applyAlignment="1">
      <alignment horizontal="center" vertical="center" textRotation="90" wrapText="1"/>
    </xf>
    <xf numFmtId="0" fontId="0" fillId="0" borderId="161" xfId="0" applyBorder="1"/>
    <xf numFmtId="0" fontId="0" fillId="0" borderId="14" xfId="0" applyBorder="1"/>
    <xf numFmtId="0" fontId="31" fillId="12" borderId="27" xfId="0" applyFont="1" applyFill="1" applyBorder="1" applyAlignment="1">
      <alignment horizontal="center" vertical="center" wrapText="1"/>
    </xf>
    <xf numFmtId="0" fontId="21" fillId="12" borderId="162" xfId="0" applyFont="1" applyFill="1" applyBorder="1" applyAlignment="1">
      <alignment horizontal="center" vertical="center" wrapText="1"/>
    </xf>
    <xf numFmtId="0" fontId="0" fillId="0" borderId="163" xfId="0" applyBorder="1"/>
    <xf numFmtId="0" fontId="0" fillId="0" borderId="164" xfId="0" applyBorder="1"/>
    <xf numFmtId="0" fontId="23" fillId="12" borderId="69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49" fontId="45" fillId="13" borderId="166" xfId="0" applyNumberFormat="1" applyFont="1" applyFill="1" applyBorder="1" applyAlignment="1">
      <alignment horizontal="center" vertical="center" wrapText="1"/>
    </xf>
    <xf numFmtId="0" fontId="25" fillId="12" borderId="177" xfId="0" applyFont="1" applyFill="1" applyBorder="1" applyAlignment="1">
      <alignment horizontal="center" vertical="center" wrapText="1"/>
    </xf>
    <xf numFmtId="0" fontId="0" fillId="0" borderId="128" xfId="0" applyBorder="1"/>
    <xf numFmtId="0" fontId="0" fillId="0" borderId="129" xfId="0" applyBorder="1"/>
    <xf numFmtId="49" fontId="25" fillId="12" borderId="171" xfId="0" applyNumberFormat="1" applyFont="1" applyFill="1" applyBorder="1" applyAlignment="1">
      <alignment horizontal="center" vertical="center" wrapText="1"/>
    </xf>
    <xf numFmtId="0" fontId="0" fillId="0" borderId="71" xfId="0" applyBorder="1"/>
    <xf numFmtId="49" fontId="45" fillId="17" borderId="136" xfId="0" applyNumberFormat="1" applyFont="1" applyFill="1" applyBorder="1" applyAlignment="1">
      <alignment horizontal="center" vertical="center" wrapText="1"/>
    </xf>
    <xf numFmtId="0" fontId="0" fillId="0" borderId="59" xfId="0" applyBorder="1"/>
    <xf numFmtId="0" fontId="0" fillId="0" borderId="61" xfId="0" applyBorder="1"/>
    <xf numFmtId="49" fontId="25" fillId="12" borderId="28" xfId="0" applyNumberFormat="1" applyFont="1" applyFill="1" applyBorder="1" applyAlignment="1">
      <alignment horizontal="center" vertical="center" wrapText="1"/>
    </xf>
    <xf numFmtId="0" fontId="25" fillId="12" borderId="169" xfId="0" applyFont="1" applyFill="1" applyBorder="1" applyAlignment="1">
      <alignment horizontal="center" vertical="center" wrapText="1"/>
    </xf>
    <xf numFmtId="0" fontId="0" fillId="0" borderId="66" xfId="0" applyBorder="1"/>
    <xf numFmtId="0" fontId="6" fillId="9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49" fontId="45" fillId="13" borderId="168" xfId="0" applyNumberFormat="1" applyFont="1" applyFill="1" applyBorder="1" applyAlignment="1">
      <alignment horizontal="center" vertical="center" wrapText="1"/>
    </xf>
    <xf numFmtId="0" fontId="0" fillId="0" borderId="60" xfId="0" applyBorder="1"/>
    <xf numFmtId="0" fontId="47" fillId="12" borderId="160" xfId="0" applyFont="1" applyFill="1" applyBorder="1" applyAlignment="1">
      <alignment horizontal="center" vertical="center" textRotation="90" wrapText="1"/>
    </xf>
    <xf numFmtId="0" fontId="0" fillId="0" borderId="31" xfId="0" applyBorder="1"/>
    <xf numFmtId="0" fontId="25" fillId="12" borderId="21" xfId="0" applyFont="1" applyFill="1" applyBorder="1" applyAlignment="1">
      <alignment horizontal="center" vertical="center" wrapText="1"/>
    </xf>
    <xf numFmtId="0" fontId="20" fillId="12" borderId="159" xfId="0" applyFont="1" applyFill="1" applyBorder="1" applyAlignment="1">
      <alignment horizontal="center" vertical="center" wrapText="1"/>
    </xf>
    <xf numFmtId="0" fontId="0" fillId="0" borderId="57" xfId="0" applyBorder="1"/>
    <xf numFmtId="0" fontId="0" fillId="0" borderId="58" xfId="0" applyBorder="1"/>
    <xf numFmtId="0" fontId="0" fillId="0" borderId="132" xfId="0" applyBorder="1"/>
    <xf numFmtId="0" fontId="25" fillId="12" borderId="12" xfId="0" applyFont="1" applyFill="1" applyBorder="1" applyAlignment="1">
      <alignment horizontal="center" vertical="center" wrapText="1"/>
    </xf>
    <xf numFmtId="0" fontId="24" fillId="12" borderId="21" xfId="0" applyFont="1" applyFill="1" applyBorder="1" applyAlignment="1">
      <alignment horizontal="center" vertical="center" wrapText="1"/>
    </xf>
    <xf numFmtId="0" fontId="19" fillId="12" borderId="12" xfId="0" applyFont="1" applyFill="1" applyBorder="1" applyAlignment="1">
      <alignment horizontal="center" vertical="center" wrapText="1"/>
    </xf>
    <xf numFmtId="0" fontId="23" fillId="12" borderId="167" xfId="0" applyFont="1" applyFill="1" applyBorder="1" applyAlignment="1">
      <alignment horizontal="center" vertical="center" wrapText="1"/>
    </xf>
    <xf numFmtId="0" fontId="0" fillId="0" borderId="62" xfId="0" applyBorder="1"/>
    <xf numFmtId="0" fontId="6" fillId="7" borderId="1" xfId="0" applyFont="1" applyFill="1" applyBorder="1" applyAlignment="1">
      <alignment horizontal="center"/>
    </xf>
    <xf numFmtId="49" fontId="25" fillId="12" borderId="27" xfId="0" applyNumberFormat="1" applyFont="1" applyFill="1" applyBorder="1" applyAlignment="1">
      <alignment horizontal="center" vertical="center" wrapText="1"/>
    </xf>
    <xf numFmtId="0" fontId="22" fillId="12" borderId="15" xfId="0" applyFont="1" applyFill="1" applyBorder="1" applyAlignment="1">
      <alignment horizontal="center" vertical="center" wrapText="1"/>
    </xf>
    <xf numFmtId="0" fontId="25" fillId="12" borderId="37" xfId="0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37" xfId="0" applyBorder="1"/>
    <xf numFmtId="0" fontId="25" fillId="12" borderId="170" xfId="0" applyFont="1" applyFill="1" applyBorder="1" applyAlignment="1">
      <alignment horizontal="center" vertical="center" wrapText="1"/>
    </xf>
    <xf numFmtId="0" fontId="0" fillId="0" borderId="68" xfId="0" applyBorder="1"/>
    <xf numFmtId="0" fontId="20" fillId="12" borderId="158" xfId="0" applyFont="1" applyFill="1" applyBorder="1" applyAlignment="1">
      <alignment horizontal="center" vertical="center" wrapText="1"/>
    </xf>
    <xf numFmtId="0" fontId="30" fillId="13" borderId="27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/>
    </xf>
    <xf numFmtId="0" fontId="25" fillId="12" borderId="165" xfId="0" applyFont="1" applyFill="1" applyBorder="1" applyAlignment="1">
      <alignment horizontal="center" vertical="center" wrapText="1"/>
    </xf>
    <xf numFmtId="0" fontId="20" fillId="12" borderId="63" xfId="0" applyFont="1" applyFill="1" applyBorder="1" applyAlignment="1">
      <alignment horizontal="center" vertical="center" wrapText="1"/>
    </xf>
    <xf numFmtId="0" fontId="23" fillId="12" borderId="77" xfId="0" applyFont="1" applyFill="1" applyBorder="1" applyAlignment="1">
      <alignment horizontal="center" vertical="center" wrapText="1"/>
    </xf>
    <xf numFmtId="0" fontId="0" fillId="0" borderId="78" xfId="0" applyBorder="1"/>
    <xf numFmtId="0" fontId="25" fillId="12" borderId="6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/>
    </xf>
    <xf numFmtId="0" fontId="46" fillId="22" borderId="39" xfId="0" applyFont="1" applyFill="1" applyBorder="1" applyAlignment="1">
      <alignment horizontal="left" vertical="center" wrapText="1"/>
    </xf>
    <xf numFmtId="0" fontId="0" fillId="0" borderId="40" xfId="0" applyBorder="1"/>
    <xf numFmtId="0" fontId="0" fillId="0" borderId="80" xfId="0" applyBorder="1"/>
    <xf numFmtId="0" fontId="52" fillId="22" borderId="39" xfId="0" applyFont="1" applyFill="1" applyBorder="1" applyAlignment="1">
      <alignment horizontal="left" vertical="center" wrapText="1"/>
    </xf>
    <xf numFmtId="0" fontId="46" fillId="22" borderId="40" xfId="0" applyFont="1" applyFill="1" applyBorder="1" applyAlignment="1">
      <alignment horizontal="left" vertical="center" wrapText="1"/>
    </xf>
    <xf numFmtId="0" fontId="52" fillId="22" borderId="40" xfId="0" applyFont="1" applyFill="1" applyBorder="1" applyAlignment="1">
      <alignment horizontal="left" vertical="center" wrapText="1"/>
    </xf>
    <xf numFmtId="0" fontId="23" fillId="12" borderId="1" xfId="0" applyFont="1" applyFill="1" applyBorder="1" applyAlignment="1">
      <alignment horizontal="center" vertical="center" wrapText="1"/>
    </xf>
    <xf numFmtId="0" fontId="0" fillId="0" borderId="178" xfId="0" applyBorder="1"/>
    <xf numFmtId="0" fontId="0" fillId="0" borderId="89" xfId="0" applyBorder="1"/>
    <xf numFmtId="0" fontId="21" fillId="12" borderId="1" xfId="0" applyFont="1" applyFill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23" fillId="12" borderId="88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textRotation="90"/>
    </xf>
    <xf numFmtId="0" fontId="22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textRotation="90" wrapText="1"/>
    </xf>
    <xf numFmtId="0" fontId="50" fillId="12" borderId="1" xfId="0" applyFont="1" applyFill="1" applyBorder="1" applyAlignment="1">
      <alignment horizontal="center" vertical="center" wrapText="1"/>
    </xf>
    <xf numFmtId="0" fontId="77" fillId="0" borderId="180" xfId="0" applyFont="1" applyBorder="1" applyAlignment="1">
      <alignment horizontal="center" vertical="center"/>
    </xf>
    <xf numFmtId="0" fontId="0" fillId="0" borderId="141" xfId="0" applyBorder="1"/>
    <xf numFmtId="0" fontId="0" fillId="0" borderId="146" xfId="0" applyBorder="1"/>
    <xf numFmtId="0" fontId="77" fillId="27" borderId="179" xfId="0" applyFont="1" applyFill="1" applyBorder="1" applyAlignment="1">
      <alignment horizontal="center" vertical="center" wrapText="1"/>
    </xf>
    <xf numFmtId="0" fontId="0" fillId="0" borderId="138" xfId="0" applyBorder="1"/>
    <xf numFmtId="0" fontId="0" fillId="0" borderId="139" xfId="0" applyBorder="1"/>
    <xf numFmtId="0" fontId="77" fillId="27" borderId="181" xfId="0" applyFont="1" applyFill="1" applyBorder="1" applyAlignment="1">
      <alignment horizontal="center" vertical="center" wrapText="1"/>
    </xf>
    <xf numFmtId="0" fontId="0" fillId="0" borderId="143" xfId="0" applyBorder="1"/>
    <xf numFmtId="0" fontId="0" fillId="22" borderId="1" xfId="0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6" fillId="21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6" fillId="21" borderId="103" xfId="0" applyFont="1" applyFill="1" applyBorder="1" applyAlignment="1" applyProtection="1">
      <alignment horizontal="center" vertical="center"/>
      <protection locked="0"/>
    </xf>
    <xf numFmtId="0" fontId="0" fillId="0" borderId="103" xfId="0" applyBorder="1" applyProtection="1">
      <protection locked="0"/>
    </xf>
    <xf numFmtId="0" fontId="63" fillId="22" borderId="182" xfId="0" applyFont="1" applyFill="1" applyBorder="1" applyAlignment="1">
      <alignment horizontal="center" vertical="center" wrapText="1"/>
    </xf>
    <xf numFmtId="0" fontId="0" fillId="0" borderId="112" xfId="0" applyBorder="1"/>
    <xf numFmtId="0" fontId="0" fillId="0" borderId="97" xfId="0" applyBorder="1"/>
    <xf numFmtId="0" fontId="63" fillId="22" borderId="183" xfId="0" applyFont="1" applyFill="1" applyBorder="1" applyAlignment="1">
      <alignment horizontal="center" vertical="center" wrapText="1"/>
    </xf>
    <xf numFmtId="0" fontId="0" fillId="0" borderId="96" xfId="0" applyBorder="1"/>
    <xf numFmtId="0" fontId="0" fillId="0" borderId="117" xfId="0" applyBorder="1"/>
    <xf numFmtId="0" fontId="92" fillId="0" borderId="118" xfId="0" applyFont="1" applyBorder="1" applyAlignment="1">
      <alignment horizontal="center" vertical="center"/>
    </xf>
  </cellXfs>
  <cellStyles count="1">
    <cellStyle name="Normale" xfId="0" builtinId="0"/>
  </cellStyles>
  <dxfs count="5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2" formatCode="0.00"/>
      <alignment horizontal="center" vertical="center"/>
      <border>
        <left/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numFmt numFmtId="1" formatCode="0"/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numFmt numFmtId="168" formatCode="mm/dd/yy;@"/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border outline="0">
        <left style="thin">
          <color theme="0" tint="-0.24994659260841701"/>
        </left>
        <top style="thin">
          <color theme="0" tint="-0.24994659260841701"/>
        </top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</dxf>
    <dxf>
      <border outline="0">
        <bottom style="thin">
          <color theme="0" tint="-0.2499465926084170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</font>
      <fill>
        <patternFill patternType="solid">
          <fgColor rgb="FF003C50"/>
          <bgColor theme="0" tint="-4.9989318521683403E-2"/>
        </patternFill>
      </fill>
      <alignment horizontal="center" vertical="center" wrapText="1"/>
      <border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theme="0" tint="-0.1498764000366222"/>
        </top>
        <bottom style="thin">
          <color theme="0" tint="-0.1498458815271462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/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1" hidden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bottom style="thin">
          <color theme="0" tint="-0.1498458815271462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protection locked="0" hidden="0"/>
    </dxf>
    <dxf>
      <font>
        <i/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wrapText="1"/>
      <protection locked="0" hidden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</dxfs>
  <tableStyles count="1" defaultTableStyle="TableStyleMedium2" defaultPivotStyle="PivotStyleLight16">
    <tableStyle name="Estilo de Tabela 1" pivot="0" count="1" xr9:uid="{00000000-0011-0000-FFFF-FFFF00000000}">
      <tableStyleElement type="wholeTable" dxfId="5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235</xdr:row>
      <xdr:rowOff>63500</xdr:rowOff>
    </xdr:from>
    <xdr:to>
      <xdr:col>17</xdr:col>
      <xdr:colOff>196850</xdr:colOff>
      <xdr:row>235</xdr:row>
      <xdr:rowOff>209550</xdr:rowOff>
    </xdr:to>
    <xdr:pic>
      <xdr:nvPicPr>
        <xdr:cNvPr id="19457" name="Picture 1">
          <a:extLst>
            <a:ext uri="{FF2B5EF4-FFF2-40B4-BE49-F238E27FC236}">
              <a16:creationId xmlns:a16="http://schemas.microsoft.com/office/drawing/2014/main" id="{5F3F5220-2478-57C2-D730-9588BCC00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2840850"/>
          <a:ext cx="196850" cy="146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236</xdr:row>
      <xdr:rowOff>57150</xdr:rowOff>
    </xdr:from>
    <xdr:to>
      <xdr:col>17</xdr:col>
      <xdr:colOff>196850</xdr:colOff>
      <xdr:row>236</xdr:row>
      <xdr:rowOff>196850</xdr:rowOff>
    </xdr:to>
    <xdr:pic>
      <xdr:nvPicPr>
        <xdr:cNvPr id="19458" name="Picture 2">
          <a:extLst>
            <a:ext uri="{FF2B5EF4-FFF2-40B4-BE49-F238E27FC236}">
              <a16:creationId xmlns:a16="http://schemas.microsoft.com/office/drawing/2014/main" id="{52341E65-0690-0F0E-B149-2E88EC153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145650"/>
          <a:ext cx="196850" cy="139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237</xdr:row>
      <xdr:rowOff>57150</xdr:rowOff>
    </xdr:from>
    <xdr:to>
      <xdr:col>17</xdr:col>
      <xdr:colOff>196850</xdr:colOff>
      <xdr:row>237</xdr:row>
      <xdr:rowOff>209550</xdr:rowOff>
    </xdr:to>
    <xdr:pic>
      <xdr:nvPicPr>
        <xdr:cNvPr id="19459" name="Picture 3">
          <a:extLst>
            <a:ext uri="{FF2B5EF4-FFF2-40B4-BE49-F238E27FC236}">
              <a16:creationId xmlns:a16="http://schemas.microsoft.com/office/drawing/2014/main" id="{E848863F-0065-AC50-3187-CD4910790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456800"/>
          <a:ext cx="19685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238</xdr:row>
      <xdr:rowOff>57150</xdr:rowOff>
    </xdr:from>
    <xdr:to>
      <xdr:col>17</xdr:col>
      <xdr:colOff>215900</xdr:colOff>
      <xdr:row>238</xdr:row>
      <xdr:rowOff>215900</xdr:rowOff>
    </xdr:to>
    <xdr:pic>
      <xdr:nvPicPr>
        <xdr:cNvPr id="19460" name="Picture 4">
          <a:extLst>
            <a:ext uri="{FF2B5EF4-FFF2-40B4-BE49-F238E27FC236}">
              <a16:creationId xmlns:a16="http://schemas.microsoft.com/office/drawing/2014/main" id="{CAC00ABC-40CA-5AEF-5750-9C3628763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767950"/>
          <a:ext cx="21590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249</xdr:row>
      <xdr:rowOff>63500</xdr:rowOff>
    </xdr:from>
    <xdr:to>
      <xdr:col>20</xdr:col>
      <xdr:colOff>190500</xdr:colOff>
      <xdr:row>249</xdr:row>
      <xdr:rowOff>209550</xdr:rowOff>
    </xdr:to>
    <xdr:pic>
      <xdr:nvPicPr>
        <xdr:cNvPr id="1226" name="Picture 202">
          <a:extLst>
            <a:ext uri="{FF2B5EF4-FFF2-40B4-BE49-F238E27FC236}">
              <a16:creationId xmlns:a16="http://schemas.microsoft.com/office/drawing/2014/main" id="{3A64AE20-E6FE-2689-7426-63797253A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196950"/>
          <a:ext cx="190500" cy="146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250</xdr:row>
      <xdr:rowOff>57150</xdr:rowOff>
    </xdr:from>
    <xdr:to>
      <xdr:col>20</xdr:col>
      <xdr:colOff>190500</xdr:colOff>
      <xdr:row>250</xdr:row>
      <xdr:rowOff>209550</xdr:rowOff>
    </xdr:to>
    <xdr:pic>
      <xdr:nvPicPr>
        <xdr:cNvPr id="1227" name="Picture 203">
          <a:extLst>
            <a:ext uri="{FF2B5EF4-FFF2-40B4-BE49-F238E27FC236}">
              <a16:creationId xmlns:a16="http://schemas.microsoft.com/office/drawing/2014/main" id="{32C86B6C-7D0C-5B18-D889-22570AFC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501750"/>
          <a:ext cx="19050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251</xdr:row>
      <xdr:rowOff>57150</xdr:rowOff>
    </xdr:from>
    <xdr:to>
      <xdr:col>20</xdr:col>
      <xdr:colOff>209550</xdr:colOff>
      <xdr:row>251</xdr:row>
      <xdr:rowOff>209550</xdr:rowOff>
    </xdr:to>
    <xdr:pic>
      <xdr:nvPicPr>
        <xdr:cNvPr id="1228" name="Picture 204">
          <a:extLst>
            <a:ext uri="{FF2B5EF4-FFF2-40B4-BE49-F238E27FC236}">
              <a16:creationId xmlns:a16="http://schemas.microsoft.com/office/drawing/2014/main" id="{9AF7E21F-F62E-D4B5-6D46-D6309FA8B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812900"/>
          <a:ext cx="20955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252</xdr:row>
      <xdr:rowOff>57150</xdr:rowOff>
    </xdr:from>
    <xdr:to>
      <xdr:col>20</xdr:col>
      <xdr:colOff>215900</xdr:colOff>
      <xdr:row>252</xdr:row>
      <xdr:rowOff>215900</xdr:rowOff>
    </xdr:to>
    <xdr:pic>
      <xdr:nvPicPr>
        <xdr:cNvPr id="1229" name="Picture 205">
          <a:extLst>
            <a:ext uri="{FF2B5EF4-FFF2-40B4-BE49-F238E27FC236}">
              <a16:creationId xmlns:a16="http://schemas.microsoft.com/office/drawing/2014/main" id="{F2E58DCE-8F1F-20A5-1234-A9160A492A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8124050"/>
          <a:ext cx="21590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2057400</xdr:colOff>
      <xdr:row>2</xdr:row>
      <xdr:rowOff>0</xdr:rowOff>
    </xdr:from>
    <xdr:to>
      <xdr:col>10</xdr:col>
      <xdr:colOff>20964</xdr:colOff>
      <xdr:row>3</xdr:row>
      <xdr:rowOff>54766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82100" y="3638550"/>
          <a:ext cx="57158" cy="29531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1190888</xdr:colOff>
      <xdr:row>0</xdr:row>
      <xdr:rowOff>7139</xdr:rowOff>
    </xdr:from>
    <xdr:to>
      <xdr:col>9</xdr:col>
      <xdr:colOff>2609708</xdr:colOff>
      <xdr:row>0</xdr:row>
      <xdr:rowOff>400644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4488" y="7139"/>
          <a:ext cx="1426440" cy="3820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1</xdr:col>
      <xdr:colOff>59860</xdr:colOff>
      <xdr:row>0</xdr:row>
      <xdr:rowOff>381000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15</xdr:col>
      <xdr:colOff>85988</xdr:colOff>
      <xdr:row>0</xdr:row>
      <xdr:rowOff>16664</xdr:rowOff>
    </xdr:from>
    <xdr:to>
      <xdr:col>16</xdr:col>
      <xdr:colOff>458963</xdr:colOff>
      <xdr:row>0</xdr:row>
      <xdr:rowOff>398739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49188" y="16664"/>
          <a:ext cx="1430250" cy="3858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104775</xdr:colOff>
      <xdr:row>0</xdr:row>
      <xdr:rowOff>36798</xdr:rowOff>
    </xdr:from>
    <xdr:to>
      <xdr:col>2</xdr:col>
      <xdr:colOff>22719</xdr:colOff>
      <xdr:row>0</xdr:row>
      <xdr:rowOff>419100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36798"/>
          <a:ext cx="447534" cy="38230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089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1181100</xdr:colOff>
      <xdr:row>0</xdr:row>
      <xdr:rowOff>16664</xdr:rowOff>
    </xdr:from>
    <xdr:to>
      <xdr:col>9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16664"/>
          <a:ext cx="1474065" cy="3858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34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470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1181100</xdr:colOff>
      <xdr:row>0</xdr:row>
      <xdr:rowOff>16664</xdr:rowOff>
    </xdr:from>
    <xdr:to>
      <xdr:col>8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0" y="16664"/>
          <a:ext cx="1470255" cy="3820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778045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0"/>
          <a:ext cx="72851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781050</xdr:colOff>
      <xdr:row>0</xdr:row>
      <xdr:rowOff>47144</xdr:rowOff>
    </xdr:from>
    <xdr:to>
      <xdr:col>4</xdr:col>
      <xdr:colOff>2249400</xdr:colOff>
      <xdr:row>0</xdr:row>
      <xdr:rowOff>444459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3625" y="47144"/>
          <a:ext cx="1468350" cy="39731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1061419</xdr:colOff>
      <xdr:row>0</xdr:row>
      <xdr:rowOff>46323</xdr:rowOff>
    </xdr:from>
    <xdr:to>
      <xdr:col>0</xdr:col>
      <xdr:colOff>1422561</xdr:colOff>
      <xdr:row>0</xdr:row>
      <xdr:rowOff>409575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419" y="46323"/>
          <a:ext cx="361142" cy="363252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J66" totalsRowShown="0" headerRowDxfId="590" dataDxfId="589" tableBorderDxfId="588">
  <autoFilter ref="A3:J66" xr:uid="{00000000-0009-0000-0100-000001000000}"/>
  <tableColumns count="10">
    <tableColumn id="1" xr3:uid="{00000000-0010-0000-0000-000001000000}" name="Weekly" dataDxfId="587"/>
    <tableColumn id="2" xr3:uid="{00000000-0010-0000-0000-000002000000}" name="Date" dataDxfId="586"/>
    <tableColumn id="3" xr3:uid="{00000000-0010-0000-0000-000003000000}" name="Shiftt" dataDxfId="585"/>
    <tableColumn id="4" xr3:uid="{00000000-0010-0000-0000-000004000000}" name="Coated" dataDxfId="584"/>
    <tableColumn id="5" xr3:uid="{00000000-0010-0000-0000-000005000000}" name="Not approved / Onhold" dataDxfId="583"/>
    <tableColumn id="6" xr3:uid="{00000000-0010-0000-0000-000006000000}" name="Repair" dataDxfId="582"/>
    <tableColumn id="7" xr3:uid="{00000000-0010-0000-0000-000007000000}" name="Approved" dataDxfId="581">
      <calculatedColumnFormula>IF(Tabela1[[#This Row],[Repair]]&lt;&gt;"",Tabela1[[#This Row],[Coated]]-Tabela1[[#This Row],[Not approved / Onhold]]-Tabela1[[#This Row],[Repair]],"")</calculatedColumnFormula>
    </tableColumn>
    <tableColumn id="8" xr3:uid="{00000000-0010-0000-0000-000008000000}" name="Sample" dataDxfId="580"/>
    <tableColumn id="9" xr3:uid="{00000000-0010-0000-0000-000009000000}" name="Type" dataDxfId="579"/>
    <tableColumn id="10" xr3:uid="{00000000-0010-0000-0000-00000A000000}" name="Obs" dataDxfId="57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M3:T67" totalsRowShown="0" headerRowDxfId="577" dataDxfId="576" tableBorderDxfId="575">
  <autoFilter ref="M3:T67" xr:uid="{00000000-0009-0000-0100-000002000000}"/>
  <tableColumns count="8">
    <tableColumn id="1" xr3:uid="{00000000-0010-0000-0100-000001000000}" name="Weekly" dataDxfId="574"/>
    <tableColumn id="2" xr3:uid="{00000000-0010-0000-0100-000002000000}" name="Date" dataDxfId="573"/>
    <tableColumn id="3" xr3:uid="{00000000-0010-0000-0100-000003000000}" name="Shiftt" dataDxfId="572"/>
    <tableColumn id="4" xr3:uid="{00000000-0010-0000-0100-000004000000}" name="Coated" dataDxfId="571"/>
    <tableColumn id="5" xr3:uid="{00000000-0010-0000-0100-000005000000}" name="Not approved / Onhold" dataDxfId="570"/>
    <tableColumn id="6" xr3:uid="{00000000-0010-0000-0100-000006000000}" name="Repair" dataDxfId="569"/>
    <tableColumn id="7" xr3:uid="{00000000-0010-0000-0100-000007000000}" name="Approved " dataDxfId="568">
      <calculatedColumnFormula>IF(Tabela3[[#This Row],[Coated]]&lt;&gt;"",Tabela3[[#This Row],[Coated]]-Tabela3[[#This Row],[Not approved / Onhold]]-Tabela3[[#This Row],[Repair]],"")</calculatedColumnFormula>
    </tableColumn>
    <tableColumn id="8" xr3:uid="{00000000-0010-0000-0100-000008000000}" name="Obs" dataDxfId="567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tem1.3LPP.OnHold" displayName="Item1.3LPP.OnHold" ref="A4:J157" totalsRowShown="0" headerRowDxfId="566" dataDxfId="565" tableBorderDxfId="564">
  <autoFilter ref="A4:J157" xr:uid="{00000000-0009-0000-0100-000003000000}"/>
  <tableColumns count="10">
    <tableColumn id="1" xr3:uid="{00000000-0010-0000-0200-000001000000}" name="Weekly" dataDxfId="563"/>
    <tableColumn id="2" xr3:uid="{00000000-0010-0000-0200-000002000000}" name="Date" dataDxfId="562"/>
    <tableColumn id="3" xr3:uid="{00000000-0010-0000-0200-000003000000}" name="Shift" dataDxfId="561"/>
    <tableColumn id="4" xr3:uid="{00000000-0010-0000-0200-000004000000}" name="Pipe" dataDxfId="560"/>
    <tableColumn id="5" xr3:uid="{00000000-0010-0000-0200-000005000000}" name="Defect" dataDxfId="559"/>
    <tableColumn id="6" xr3:uid="{00000000-0010-0000-0200-000006000000}" name="Status" dataDxfId="558"/>
    <tableColumn id="7" xr3:uid="{00000000-0010-0000-0200-000007000000}" name="Work station" dataDxfId="557"/>
    <tableColumn id="8" xr3:uid="{00000000-0010-0000-0200-000008000000}" name="After Action" dataDxfId="556"/>
    <tableColumn id="10" xr3:uid="{00000000-0010-0000-0200-00000A000000}" name="After Action Date" dataDxfId="555"/>
    <tableColumn id="9" xr3:uid="{00000000-0010-0000-0200-000009000000}" name="Obs" dataDxfId="554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8" displayName="Tabela8" ref="A4:R368" totalsRowShown="0" headerRowDxfId="553" dataDxfId="551" headerRowBorderDxfId="552" tableBorderDxfId="550">
  <autoFilter ref="A4:R368" xr:uid="{00000000-0009-0000-0100-000004000000}"/>
  <tableColumns count="18">
    <tableColumn id="1" xr3:uid="{00000000-0010-0000-0300-000001000000}" name="Date" dataDxfId="549"/>
    <tableColumn id="17" xr3:uid="{00000000-0010-0000-0300-000011000000}" name="Shift" dataDxfId="548"/>
    <tableColumn id="8" xr3:uid="{00000000-0010-0000-0300-000008000000}" name="Manufacturer " dataDxfId="547"/>
    <tableColumn id="9" xr3:uid="{00000000-0010-0000-0300-000009000000}" name="Trade Name  " dataDxfId="546"/>
    <tableColumn id="10" xr3:uid="{00000000-0010-0000-0300-00000A000000}" name="Batch  " dataDxfId="545"/>
    <tableColumn id="11" xr3:uid="{00000000-0010-0000-0300-00000B000000}" name="Manufacturer   " dataDxfId="544"/>
    <tableColumn id="12" xr3:uid="{00000000-0010-0000-0300-00000C000000}" name="Trade Name   " dataDxfId="543"/>
    <tableColumn id="13" xr3:uid="{00000000-0010-0000-0300-00000D000000}" name="Batch    " dataDxfId="542"/>
    <tableColumn id="4" xr3:uid="{00000000-0010-0000-0300-000004000000}" name="Manufacturer      " dataDxfId="541"/>
    <tableColumn id="3" xr3:uid="{00000000-0010-0000-0300-000003000000}" name="Trade Name     " dataDxfId="540"/>
    <tableColumn id="2" xr3:uid="{00000000-0010-0000-0300-000002000000}" name="Batch       " dataDxfId="539"/>
    <tableColumn id="14" xr3:uid="{00000000-0010-0000-0300-00000E000000}" name=" Manufacturer" dataDxfId="538"/>
    <tableColumn id="15" xr3:uid="{00000000-0010-0000-0300-00000F000000}" name="Trade Name    " dataDxfId="537"/>
    <tableColumn id="16" xr3:uid="{00000000-0010-0000-0300-000010000000}" name=" Batch" dataDxfId="536"/>
    <tableColumn id="18" xr3:uid="{00000000-0010-0000-0300-000012000000}" name=" Manufacturer    " dataDxfId="535"/>
    <tableColumn id="19" xr3:uid="{00000000-0010-0000-0300-000013000000}" name="Trade Name        " dataDxfId="534"/>
    <tableColumn id="20" xr3:uid="{00000000-0010-0000-0300-000014000000}" name=" Batch  " dataDxfId="533"/>
    <tableColumn id="5" xr3:uid="{00000000-0010-0000-0300-000005000000}" name="Remarks" dataDxfId="53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tem1.3LPP.OnHold4" displayName="Item1.3LPP.OnHold4" ref="A4:J162" totalsRowShown="0" headerRowDxfId="531" dataDxfId="530" tableBorderDxfId="529">
  <autoFilter ref="A4:J162" xr:uid="{00000000-0009-0000-0100-000005000000}"/>
  <tableColumns count="10">
    <tableColumn id="1" xr3:uid="{00000000-0010-0000-0400-000001000000}" name="Weekly" dataDxfId="528"/>
    <tableColumn id="2" xr3:uid="{00000000-0010-0000-0400-000002000000}" name="Date" dataDxfId="527"/>
    <tableColumn id="3" xr3:uid="{00000000-0010-0000-0400-000003000000}" name="Shift" dataDxfId="526"/>
    <tableColumn id="4" xr3:uid="{00000000-0010-0000-0400-000004000000}" name="Pipe" dataDxfId="525"/>
    <tableColumn id="5" xr3:uid="{00000000-0010-0000-0400-000005000000}" name="Defect" dataDxfId="524"/>
    <tableColumn id="6" xr3:uid="{00000000-0010-0000-0400-000006000000}" name="Status" dataDxfId="523"/>
    <tableColumn id="10" xr3:uid="{00000000-0010-0000-0400-00000A000000}" name="Stripping Qty." dataDxfId="522">
      <calculatedColumnFormula>IF(Item1.3LPP.OnHold4[[#This Row],[Pipe]]&lt;&gt;"",COUNTIF(Item1.3LPP.OnHold4[Pipe],D5),"")</calculatedColumnFormula>
    </tableColumn>
    <tableColumn id="7" xr3:uid="{00000000-0010-0000-0400-000007000000}" name="Prod. Status" dataDxfId="521">
      <calculatedColumnFormula>IF(Item1.3LPP.OnHold4[[#This Row],[Pipe]]&lt;&gt;"",IF(COUNTIF(Item1.3LPP.OnHold46[Pipe],D5)&gt;0,"Sim","Não"),"")</calculatedColumnFormula>
    </tableColumn>
    <tableColumn id="8" xr3:uid="{00000000-0010-0000-0400-000008000000}" name="Prod. Qty." dataDxfId="520">
      <calculatedColumnFormula>IF(Item1.3LPP.OnHold4[[#This Row],[Pipe]]&lt;&gt;"",COUNTIF(Item1.3LPP.OnHold46[Pipe],D5),"")</calculatedColumnFormula>
    </tableColumn>
    <tableColumn id="9" xr3:uid="{00000000-0010-0000-0400-000009000000}" name="Obs" dataDxfId="519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Item1.3LPP.OnHold46" displayName="Item1.3LPP.OnHold46" ref="A3:I300" totalsRowShown="0" headerRowDxfId="518" dataDxfId="517" tableBorderDxfId="516">
  <autoFilter ref="A3:I300" xr:uid="{00000000-0009-0000-0100-000006000000}"/>
  <tableColumns count="9">
    <tableColumn id="1" xr3:uid="{00000000-0010-0000-0500-000001000000}" name="Weekly" dataDxfId="515">
      <calculatedColumnFormula>IF(Item1.3LPP.OnHold46[[#This Row],[Date]]&lt;&gt;"",WEEKNUM(Item1.3LPP.OnHold46[[#This Row],[Date]]),"")</calculatedColumnFormula>
    </tableColumn>
    <tableColumn id="2" xr3:uid="{00000000-0010-0000-0500-000002000000}" name="Date" dataDxfId="514"/>
    <tableColumn id="3" xr3:uid="{00000000-0010-0000-0500-000003000000}" name="Shift" dataDxfId="513"/>
    <tableColumn id="8" xr3:uid="{00000000-0010-0000-0500-000008000000}" name="Pipe" dataDxfId="512"/>
    <tableColumn id="5" xr3:uid="{00000000-0010-0000-0500-000005000000}" name="Defect" dataDxfId="511"/>
    <tableColumn id="6" xr3:uid="{00000000-0010-0000-0500-000006000000}" name="Status" dataDxfId="510"/>
    <tableColumn id="4" xr3:uid="{00000000-0010-0000-0500-000004000000}" name="Stripping Qty." dataDxfId="509">
      <calculatedColumnFormula>IF(Item1.3LPP.OnHold46[[#This Row],[Pipe]]&lt;&gt;"",COUNTIF(Item1.3LPP.OnHold46[Pipe],D4),"")</calculatedColumnFormula>
    </tableColumn>
    <tableColumn id="7" xr3:uid="{00000000-0010-0000-0500-000007000000}" name="TPI x Prod" dataDxfId="508">
      <calculatedColumnFormula>IF(COUNTIF(Item1.3LPP.OnHold4[Pipe],D4)&gt;0,"Sim","Não")</calculatedColumnFormula>
    </tableColumn>
    <tableColumn id="9" xr3:uid="{00000000-0010-0000-0500-000009000000}" name="Obs" dataDxfId="507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tem1.3LPP.OnHold45" displayName="Item1.3LPP.OnHold45" ref="A4:E150" totalsRowShown="0" headerRowDxfId="506" dataDxfId="505" tableBorderDxfId="504">
  <autoFilter ref="A4:E150" xr:uid="{00000000-0009-0000-0100-000007000000}"/>
  <tableColumns count="5">
    <tableColumn id="1" xr3:uid="{00000000-0010-0000-0600-000001000000}" name="NAME" dataDxfId="503"/>
    <tableColumn id="3" xr3:uid="{00000000-0010-0000-0600-000003000000}" name="Shift" dataDxfId="502"/>
    <tableColumn id="2" xr3:uid="{00000000-0010-0000-0600-000002000000}" name="Work Station" dataDxfId="501"/>
    <tableColumn id="4" xr3:uid="{00000000-0010-0000-0600-000004000000}" name="Cert. Nº" dataDxfId="500"/>
    <tableColumn id="5" xr3:uid="{00000000-0010-0000-0600-000005000000}" name="Title" dataDxfId="499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7" tint="0.79998168889431442"/>
    <pageSetUpPr fitToPage="1"/>
  </sheetPr>
  <dimension ref="A1:CF53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P19" sqref="P19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2.5429687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9.453125" style="6" customWidth="1"/>
    <col min="17" max="24" width="8.36328125" style="6" customWidth="1"/>
    <col min="25" max="25" width="12.90625" style="6" customWidth="1"/>
    <col min="26" max="49" width="8.36328125" style="6" customWidth="1"/>
    <col min="50" max="51" width="15.6328125" style="6" customWidth="1"/>
    <col min="52" max="57" width="8.36328125" style="6" customWidth="1"/>
    <col min="58" max="59" width="9" style="6" customWidth="1"/>
    <col min="60" max="60" width="8.36328125" style="6" customWidth="1"/>
    <col min="61" max="62" width="4.6328125" style="63" customWidth="1"/>
    <col min="63" max="63" width="8.36328125" style="6" customWidth="1"/>
    <col min="64" max="75" width="15.6328125" style="6" customWidth="1"/>
    <col min="76" max="76" width="34" style="6" customWidth="1"/>
    <col min="77" max="77" width="23.453125" style="6" customWidth="1"/>
    <col min="78" max="78" width="34" style="6" customWidth="1"/>
    <col min="79" max="79" width="23.453125" style="6" customWidth="1"/>
    <col min="80" max="80" width="34" style="6" customWidth="1"/>
    <col min="81" max="81" width="23.453125" style="6" customWidth="1"/>
    <col min="82" max="82" width="34" style="6" customWidth="1"/>
    <col min="83" max="83" width="23.453125" style="6" customWidth="1"/>
    <col min="84" max="84" width="57" style="6" customWidth="1"/>
    <col min="85" max="85" width="9.08984375" style="6" customWidth="1"/>
    <col min="86" max="16384" width="9.08984375" style="6"/>
  </cols>
  <sheetData>
    <row r="1" spans="1:84" s="1" customFormat="1" ht="31.5" customHeight="1">
      <c r="A1" s="109" t="s">
        <v>250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8"/>
      <c r="BJ1" s="108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</row>
    <row r="2" spans="1:84" s="2" customFormat="1" ht="28.5" customHeight="1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</row>
    <row r="3" spans="1:84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3"/>
      <c r="BJ3" s="3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8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10"/>
      <c r="BJ4" s="10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</row>
    <row r="5" spans="1:84" ht="18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10"/>
      <c r="BJ5" s="10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</row>
    <row r="6" spans="1:84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10"/>
      <c r="BJ6" s="10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</row>
    <row r="7" spans="1:84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10"/>
      <c r="BJ7" s="10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</row>
    <row r="8" spans="1:84" ht="5.15" customHeight="1">
      <c r="A8" s="12"/>
      <c r="B8" s="13"/>
      <c r="C8" s="14"/>
      <c r="D8" s="15"/>
      <c r="E8" s="699"/>
      <c r="F8" s="616"/>
      <c r="G8" s="639"/>
      <c r="H8" s="689"/>
      <c r="I8" s="616"/>
      <c r="J8" s="616"/>
      <c r="K8" s="616"/>
      <c r="L8" s="616"/>
      <c r="M8" s="639"/>
      <c r="N8" s="674"/>
      <c r="O8" s="616"/>
      <c r="P8" s="639"/>
      <c r="Q8" s="673"/>
      <c r="R8" s="616"/>
      <c r="S8" s="616"/>
      <c r="T8" s="616"/>
      <c r="U8" s="616"/>
      <c r="V8" s="616"/>
      <c r="W8" s="616"/>
      <c r="X8" s="639"/>
      <c r="Y8" s="16"/>
      <c r="Z8" s="673"/>
      <c r="AA8" s="616"/>
      <c r="AB8" s="616"/>
      <c r="AC8" s="616"/>
      <c r="AD8" s="616"/>
      <c r="AE8" s="616"/>
      <c r="AF8" s="616"/>
      <c r="AG8" s="616"/>
      <c r="AH8" s="616"/>
      <c r="AI8" s="616"/>
      <c r="AJ8" s="616"/>
      <c r="AK8" s="616"/>
      <c r="AL8" s="616"/>
      <c r="AM8" s="616"/>
      <c r="AN8" s="616"/>
      <c r="AO8" s="616"/>
      <c r="AP8" s="616"/>
      <c r="AQ8" s="616"/>
      <c r="AR8" s="616"/>
      <c r="AS8" s="616"/>
      <c r="AT8" s="639"/>
      <c r="AU8" s="135"/>
      <c r="AV8" s="135"/>
      <c r="AW8" s="135"/>
      <c r="AX8" s="16"/>
      <c r="AY8" s="17"/>
      <c r="AZ8" s="674"/>
      <c r="BA8" s="616"/>
      <c r="BB8" s="616"/>
      <c r="BC8" s="616"/>
      <c r="BD8" s="616"/>
      <c r="BE8" s="639"/>
      <c r="BF8" s="673"/>
      <c r="BG8" s="616"/>
      <c r="BH8" s="616"/>
      <c r="BI8" s="616"/>
      <c r="BJ8" s="616"/>
      <c r="BK8" s="639"/>
      <c r="BL8" s="674"/>
      <c r="BM8" s="616"/>
      <c r="BN8" s="616"/>
      <c r="BO8" s="616"/>
      <c r="BP8" s="616"/>
      <c r="BQ8" s="616"/>
      <c r="BR8" s="616"/>
      <c r="BS8" s="616"/>
      <c r="BT8" s="639"/>
      <c r="BU8" s="134"/>
      <c r="BV8" s="134"/>
      <c r="BW8" s="134"/>
      <c r="BX8" s="673"/>
      <c r="BY8" s="616"/>
      <c r="BZ8" s="616"/>
      <c r="CA8" s="616"/>
      <c r="CB8" s="616"/>
      <c r="CC8" s="616"/>
      <c r="CD8" s="616"/>
      <c r="CE8" s="639"/>
      <c r="CF8" s="16"/>
    </row>
    <row r="9" spans="1:84" ht="20.399999999999999" customHeight="1">
      <c r="A9" s="615" t="s">
        <v>5</v>
      </c>
      <c r="B9" s="616"/>
      <c r="C9" s="18"/>
      <c r="D9" s="19"/>
      <c r="E9" s="20"/>
      <c r="F9" s="21"/>
      <c r="G9" s="22" t="s">
        <v>6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19"/>
      <c r="X9" s="118"/>
      <c r="Y9" s="120">
        <v>400</v>
      </c>
      <c r="Z9" s="121">
        <v>7</v>
      </c>
      <c r="AA9" s="122"/>
      <c r="AB9" s="123"/>
      <c r="AC9" s="121" t="s">
        <v>251</v>
      </c>
      <c r="AD9" s="122"/>
      <c r="AE9" s="123"/>
      <c r="AF9" s="121">
        <v>15</v>
      </c>
      <c r="AG9" s="122"/>
      <c r="AH9" s="123"/>
      <c r="AI9" s="121" t="s">
        <v>251</v>
      </c>
      <c r="AJ9" s="122"/>
      <c r="AK9" s="123"/>
      <c r="AL9" s="121">
        <v>3</v>
      </c>
      <c r="AM9" s="122"/>
      <c r="AN9" s="123"/>
      <c r="AO9" s="121" t="s">
        <v>251</v>
      </c>
      <c r="AP9" s="122"/>
      <c r="AQ9" s="123"/>
      <c r="AR9" s="121">
        <v>4</v>
      </c>
      <c r="AS9" s="122"/>
      <c r="AT9" s="123"/>
      <c r="AU9" s="121" t="s">
        <v>251</v>
      </c>
      <c r="AV9" s="122"/>
      <c r="AW9" s="123"/>
      <c r="AX9" s="124" t="s">
        <v>252</v>
      </c>
      <c r="AY9" s="120">
        <v>20</v>
      </c>
      <c r="AZ9" s="111">
        <v>2</v>
      </c>
      <c r="BA9" s="112">
        <v>3</v>
      </c>
      <c r="BB9" s="111"/>
      <c r="BC9" s="112"/>
      <c r="BD9" s="111"/>
      <c r="BE9" s="112"/>
      <c r="BF9" s="111"/>
      <c r="BG9" s="125"/>
      <c r="BH9" s="125"/>
      <c r="BI9" s="126">
        <v>7</v>
      </c>
      <c r="BJ9" s="126"/>
      <c r="BK9" s="127" t="s">
        <v>252</v>
      </c>
      <c r="BL9" s="111">
        <v>20</v>
      </c>
      <c r="BM9" s="125"/>
      <c r="BN9" s="112">
        <v>10</v>
      </c>
      <c r="BO9" s="128"/>
      <c r="BP9" s="128"/>
      <c r="BQ9" s="128"/>
      <c r="BR9" s="111"/>
      <c r="BS9" s="125"/>
      <c r="BT9" s="112"/>
      <c r="BU9" s="128"/>
      <c r="BV9" s="128"/>
      <c r="BW9" s="128"/>
      <c r="BX9" s="111"/>
      <c r="BY9" s="112"/>
      <c r="BZ9" s="111"/>
      <c r="CA9" s="112"/>
      <c r="CB9" s="111"/>
      <c r="CC9" s="112"/>
      <c r="CD9" s="111"/>
      <c r="CE9" s="129"/>
      <c r="CF9" s="120"/>
    </row>
    <row r="10" spans="1:84" ht="38.25" customHeight="1">
      <c r="A10" s="635" t="s">
        <v>7</v>
      </c>
      <c r="B10" s="686" t="s">
        <v>8</v>
      </c>
      <c r="C10" s="677" t="s">
        <v>9</v>
      </c>
      <c r="D10" s="652" t="s">
        <v>10</v>
      </c>
      <c r="E10" s="656" t="s">
        <v>11</v>
      </c>
      <c r="F10" s="648"/>
      <c r="G10" s="606"/>
      <c r="H10" s="691" t="s">
        <v>13</v>
      </c>
      <c r="I10" s="601"/>
      <c r="J10" s="601"/>
      <c r="K10" s="601"/>
      <c r="L10" s="601"/>
      <c r="M10" s="591"/>
      <c r="N10" s="603" t="s">
        <v>14</v>
      </c>
      <c r="O10" s="601"/>
      <c r="P10" s="591"/>
      <c r="Q10" s="685" t="s">
        <v>16</v>
      </c>
      <c r="R10" s="601"/>
      <c r="S10" s="601"/>
      <c r="T10" s="601"/>
      <c r="U10" s="601"/>
      <c r="V10" s="601"/>
      <c r="W10" s="601"/>
      <c r="X10" s="623"/>
      <c r="Y10" s="684" t="s">
        <v>253</v>
      </c>
      <c r="Z10" s="687" t="s">
        <v>19</v>
      </c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88"/>
      <c r="AX10" s="23" t="s">
        <v>254</v>
      </c>
      <c r="AY10" s="679" t="s">
        <v>255</v>
      </c>
      <c r="AZ10" s="660" t="s">
        <v>21</v>
      </c>
      <c r="BA10" s="601"/>
      <c r="BB10" s="601"/>
      <c r="BC10" s="601"/>
      <c r="BD10" s="601"/>
      <c r="BE10" s="591"/>
      <c r="BF10" s="691" t="s">
        <v>22</v>
      </c>
      <c r="BG10" s="601"/>
      <c r="BH10" s="601"/>
      <c r="BI10" s="601"/>
      <c r="BJ10" s="601"/>
      <c r="BK10" s="591"/>
      <c r="BL10" s="700" t="s">
        <v>24</v>
      </c>
      <c r="BM10" s="633"/>
      <c r="BN10" s="633"/>
      <c r="BO10" s="633"/>
      <c r="BP10" s="633"/>
      <c r="BQ10" s="633"/>
      <c r="BR10" s="633"/>
      <c r="BS10" s="633"/>
      <c r="BT10" s="633"/>
      <c r="BU10" s="633"/>
      <c r="BV10" s="633"/>
      <c r="BW10" s="666"/>
      <c r="BX10" s="624" t="s">
        <v>25</v>
      </c>
      <c r="BY10" s="601"/>
      <c r="BZ10" s="601"/>
      <c r="CA10" s="601"/>
      <c r="CB10" s="601"/>
      <c r="CC10" s="601"/>
      <c r="CD10" s="601"/>
      <c r="CE10" s="591"/>
      <c r="CF10" s="679" t="s">
        <v>26</v>
      </c>
    </row>
    <row r="11" spans="1:84" ht="29.25" customHeight="1">
      <c r="A11" s="636"/>
      <c r="B11" s="618"/>
      <c r="C11" s="641"/>
      <c r="D11" s="653"/>
      <c r="E11" s="657"/>
      <c r="F11" s="593"/>
      <c r="G11" s="594"/>
      <c r="H11" s="599" t="s">
        <v>27</v>
      </c>
      <c r="I11" s="589"/>
      <c r="J11" s="608" t="s">
        <v>28</v>
      </c>
      <c r="K11" s="589"/>
      <c r="L11" s="634" t="s">
        <v>256</v>
      </c>
      <c r="M11" s="622"/>
      <c r="N11" s="599" t="s">
        <v>30</v>
      </c>
      <c r="O11" s="608" t="s">
        <v>31</v>
      </c>
      <c r="P11" s="634" t="s">
        <v>257</v>
      </c>
      <c r="Q11" s="690" t="s">
        <v>34</v>
      </c>
      <c r="R11" s="600"/>
      <c r="S11" s="600"/>
      <c r="T11" s="589"/>
      <c r="U11" s="670" t="s">
        <v>35</v>
      </c>
      <c r="V11" s="600"/>
      <c r="W11" s="600"/>
      <c r="X11" s="622"/>
      <c r="Y11" s="618"/>
      <c r="Z11" s="697" t="s">
        <v>258</v>
      </c>
      <c r="AA11" s="681"/>
      <c r="AB11" s="681"/>
      <c r="AC11" s="681"/>
      <c r="AD11" s="681"/>
      <c r="AE11" s="682"/>
      <c r="AF11" s="680" t="s">
        <v>259</v>
      </c>
      <c r="AG11" s="681"/>
      <c r="AH11" s="681"/>
      <c r="AI11" s="681"/>
      <c r="AJ11" s="681"/>
      <c r="AK11" s="682"/>
      <c r="AL11" s="680" t="s">
        <v>36</v>
      </c>
      <c r="AM11" s="681"/>
      <c r="AN11" s="681"/>
      <c r="AO11" s="681"/>
      <c r="AP11" s="681"/>
      <c r="AQ11" s="682"/>
      <c r="AR11" s="680" t="s">
        <v>260</v>
      </c>
      <c r="AS11" s="681"/>
      <c r="AT11" s="681"/>
      <c r="AU11" s="681"/>
      <c r="AV11" s="681"/>
      <c r="AW11" s="682"/>
      <c r="AX11" s="692" t="s">
        <v>261</v>
      </c>
      <c r="AY11" s="613"/>
      <c r="AZ11" s="588" t="s">
        <v>37</v>
      </c>
      <c r="BA11" s="589"/>
      <c r="BB11" s="630" t="s">
        <v>38</v>
      </c>
      <c r="BC11" s="589"/>
      <c r="BD11" s="631" t="s">
        <v>39</v>
      </c>
      <c r="BE11" s="622"/>
      <c r="BF11" s="599" t="s">
        <v>262</v>
      </c>
      <c r="BG11" s="589"/>
      <c r="BH11" s="608" t="s">
        <v>41</v>
      </c>
      <c r="BI11" s="698" t="s">
        <v>42</v>
      </c>
      <c r="BJ11" s="589"/>
      <c r="BK11" s="634" t="s">
        <v>43</v>
      </c>
      <c r="BL11" s="671" t="s">
        <v>45</v>
      </c>
      <c r="BM11" s="626"/>
      <c r="BN11" s="626"/>
      <c r="BO11" s="626"/>
      <c r="BP11" s="626"/>
      <c r="BQ11" s="672"/>
      <c r="BR11" s="695" t="s">
        <v>46</v>
      </c>
      <c r="BS11" s="626"/>
      <c r="BT11" s="626"/>
      <c r="BU11" s="626"/>
      <c r="BV11" s="626"/>
      <c r="BW11" s="696"/>
      <c r="BX11" s="655" t="s">
        <v>47</v>
      </c>
      <c r="BY11" s="589"/>
      <c r="BZ11" s="619" t="s">
        <v>263</v>
      </c>
      <c r="CA11" s="589"/>
      <c r="CB11" s="629" t="s">
        <v>50</v>
      </c>
      <c r="CC11" s="589"/>
      <c r="CD11" s="621" t="s">
        <v>51</v>
      </c>
      <c r="CE11" s="622"/>
      <c r="CF11" s="613"/>
    </row>
    <row r="12" spans="1:84" ht="29.25" customHeight="1">
      <c r="A12" s="636"/>
      <c r="B12" s="618"/>
      <c r="C12" s="641"/>
      <c r="D12" s="653"/>
      <c r="E12" s="658"/>
      <c r="F12" s="601"/>
      <c r="G12" s="623"/>
      <c r="H12" s="590"/>
      <c r="I12" s="591"/>
      <c r="J12" s="620"/>
      <c r="K12" s="591"/>
      <c r="L12" s="620"/>
      <c r="M12" s="623"/>
      <c r="N12" s="683"/>
      <c r="O12" s="609"/>
      <c r="P12" s="650"/>
      <c r="Q12" s="590"/>
      <c r="R12" s="601"/>
      <c r="S12" s="601"/>
      <c r="T12" s="591"/>
      <c r="U12" s="620"/>
      <c r="V12" s="601"/>
      <c r="W12" s="601"/>
      <c r="X12" s="623"/>
      <c r="Y12" s="618"/>
      <c r="Z12" s="675" t="s">
        <v>53</v>
      </c>
      <c r="AA12" s="668"/>
      <c r="AB12" s="676"/>
      <c r="AC12" s="667" t="s">
        <v>264</v>
      </c>
      <c r="AD12" s="668"/>
      <c r="AE12" s="669"/>
      <c r="AF12" s="675" t="s">
        <v>53</v>
      </c>
      <c r="AG12" s="668"/>
      <c r="AH12" s="676"/>
      <c r="AI12" s="667" t="s">
        <v>264</v>
      </c>
      <c r="AJ12" s="668"/>
      <c r="AK12" s="669"/>
      <c r="AL12" s="675" t="s">
        <v>53</v>
      </c>
      <c r="AM12" s="668"/>
      <c r="AN12" s="676"/>
      <c r="AO12" s="667" t="s">
        <v>264</v>
      </c>
      <c r="AP12" s="668"/>
      <c r="AQ12" s="669"/>
      <c r="AR12" s="675" t="s">
        <v>53</v>
      </c>
      <c r="AS12" s="668"/>
      <c r="AT12" s="676"/>
      <c r="AU12" s="667" t="s">
        <v>264</v>
      </c>
      <c r="AV12" s="668"/>
      <c r="AW12" s="669"/>
      <c r="AX12" s="693"/>
      <c r="AY12" s="613"/>
      <c r="AZ12" s="590"/>
      <c r="BA12" s="591"/>
      <c r="BB12" s="620"/>
      <c r="BC12" s="591"/>
      <c r="BD12" s="620"/>
      <c r="BE12" s="623"/>
      <c r="BF12" s="590"/>
      <c r="BG12" s="591"/>
      <c r="BH12" s="609"/>
      <c r="BI12" s="590"/>
      <c r="BJ12" s="591"/>
      <c r="BK12" s="650"/>
      <c r="BL12" s="675" t="s">
        <v>53</v>
      </c>
      <c r="BM12" s="668"/>
      <c r="BN12" s="676"/>
      <c r="BO12" s="667" t="s">
        <v>265</v>
      </c>
      <c r="BP12" s="668"/>
      <c r="BQ12" s="669"/>
      <c r="BR12" s="675" t="s">
        <v>53</v>
      </c>
      <c r="BS12" s="668"/>
      <c r="BT12" s="676"/>
      <c r="BU12" s="667" t="s">
        <v>265</v>
      </c>
      <c r="BV12" s="668"/>
      <c r="BW12" s="669"/>
      <c r="BX12" s="590"/>
      <c r="BY12" s="591"/>
      <c r="BZ12" s="620"/>
      <c r="CA12" s="591"/>
      <c r="CB12" s="620"/>
      <c r="CC12" s="591"/>
      <c r="CD12" s="620"/>
      <c r="CE12" s="623"/>
      <c r="CF12" s="613"/>
    </row>
    <row r="13" spans="1:84" ht="33" customHeight="1">
      <c r="A13" s="637"/>
      <c r="B13" s="590"/>
      <c r="C13" s="678"/>
      <c r="D13" s="654"/>
      <c r="E13" s="24" t="s">
        <v>56</v>
      </c>
      <c r="F13" s="25" t="s">
        <v>57</v>
      </c>
      <c r="G13" s="26" t="s">
        <v>58</v>
      </c>
      <c r="H13" s="71" t="s">
        <v>65</v>
      </c>
      <c r="I13" s="69" t="s">
        <v>266</v>
      </c>
      <c r="J13" s="69" t="s">
        <v>65</v>
      </c>
      <c r="K13" s="69" t="s">
        <v>266</v>
      </c>
      <c r="L13" s="69" t="s">
        <v>65</v>
      </c>
      <c r="M13" s="70" t="s">
        <v>266</v>
      </c>
      <c r="N13" s="607"/>
      <c r="O13" s="610"/>
      <c r="P13" s="651"/>
      <c r="Q13" s="27" t="s">
        <v>70</v>
      </c>
      <c r="R13" s="28" t="s">
        <v>71</v>
      </c>
      <c r="S13" s="29" t="s">
        <v>72</v>
      </c>
      <c r="T13" s="30" t="s">
        <v>53</v>
      </c>
      <c r="U13" s="31" t="s">
        <v>70</v>
      </c>
      <c r="V13" s="28" t="s">
        <v>71</v>
      </c>
      <c r="W13" s="32" t="s">
        <v>72</v>
      </c>
      <c r="X13" s="30" t="s">
        <v>53</v>
      </c>
      <c r="Y13" s="590"/>
      <c r="Z13" s="33" t="s">
        <v>70</v>
      </c>
      <c r="AA13" s="34" t="s">
        <v>71</v>
      </c>
      <c r="AB13" s="35" t="s">
        <v>72</v>
      </c>
      <c r="AC13" s="72" t="s">
        <v>70</v>
      </c>
      <c r="AD13" s="73" t="s">
        <v>71</v>
      </c>
      <c r="AE13" s="74" t="s">
        <v>72</v>
      </c>
      <c r="AF13" s="33" t="s">
        <v>70</v>
      </c>
      <c r="AG13" s="34" t="s">
        <v>71</v>
      </c>
      <c r="AH13" s="35" t="s">
        <v>72</v>
      </c>
      <c r="AI13" s="72" t="s">
        <v>70</v>
      </c>
      <c r="AJ13" s="73" t="s">
        <v>71</v>
      </c>
      <c r="AK13" s="74" t="s">
        <v>72</v>
      </c>
      <c r="AL13" s="33" t="s">
        <v>70</v>
      </c>
      <c r="AM13" s="34" t="s">
        <v>71</v>
      </c>
      <c r="AN13" s="35" t="s">
        <v>72</v>
      </c>
      <c r="AO13" s="72" t="s">
        <v>70</v>
      </c>
      <c r="AP13" s="73" t="s">
        <v>71</v>
      </c>
      <c r="AQ13" s="74" t="s">
        <v>72</v>
      </c>
      <c r="AR13" s="33" t="s">
        <v>70</v>
      </c>
      <c r="AS13" s="34" t="s">
        <v>71</v>
      </c>
      <c r="AT13" s="35" t="s">
        <v>72</v>
      </c>
      <c r="AU13" s="72" t="s">
        <v>70</v>
      </c>
      <c r="AV13" s="73" t="s">
        <v>71</v>
      </c>
      <c r="AW13" s="74" t="s">
        <v>72</v>
      </c>
      <c r="AX13" s="694"/>
      <c r="AY13" s="614"/>
      <c r="AZ13" s="103" t="s">
        <v>53</v>
      </c>
      <c r="BA13" s="36" t="s">
        <v>76</v>
      </c>
      <c r="BB13" s="36" t="s">
        <v>53</v>
      </c>
      <c r="BC13" s="36" t="s">
        <v>76</v>
      </c>
      <c r="BD13" s="36" t="s">
        <v>53</v>
      </c>
      <c r="BE13" s="37" t="s">
        <v>76</v>
      </c>
      <c r="BF13" s="71" t="s">
        <v>77</v>
      </c>
      <c r="BG13" s="69" t="s">
        <v>78</v>
      </c>
      <c r="BH13" s="610"/>
      <c r="BI13" s="38" t="s">
        <v>77</v>
      </c>
      <c r="BJ13" s="39" t="s">
        <v>78</v>
      </c>
      <c r="BK13" s="651"/>
      <c r="BL13" s="71" t="s">
        <v>267</v>
      </c>
      <c r="BM13" s="69" t="s">
        <v>267</v>
      </c>
      <c r="BN13" s="69" t="s">
        <v>268</v>
      </c>
      <c r="BO13" s="75" t="s">
        <v>267</v>
      </c>
      <c r="BP13" s="76" t="s">
        <v>267</v>
      </c>
      <c r="BQ13" s="76" t="s">
        <v>268</v>
      </c>
      <c r="BR13" s="69" t="s">
        <v>267</v>
      </c>
      <c r="BS13" s="69" t="s">
        <v>267</v>
      </c>
      <c r="BT13" s="70" t="s">
        <v>268</v>
      </c>
      <c r="BU13" s="77" t="s">
        <v>267</v>
      </c>
      <c r="BV13" s="77" t="s">
        <v>267</v>
      </c>
      <c r="BW13" s="78" t="s">
        <v>268</v>
      </c>
      <c r="BX13" s="71" t="s">
        <v>83</v>
      </c>
      <c r="BY13" s="69" t="s">
        <v>84</v>
      </c>
      <c r="BZ13" s="69" t="s">
        <v>83</v>
      </c>
      <c r="CA13" s="69" t="s">
        <v>84</v>
      </c>
      <c r="CB13" s="69" t="s">
        <v>83</v>
      </c>
      <c r="CC13" s="69" t="s">
        <v>84</v>
      </c>
      <c r="CD13" s="69" t="s">
        <v>83</v>
      </c>
      <c r="CE13" s="70" t="s">
        <v>84</v>
      </c>
      <c r="CF13" s="614"/>
    </row>
    <row r="14" spans="1:84" ht="8.25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</row>
    <row r="15" spans="1:84" ht="6.9" customHeight="1">
      <c r="A15" s="105"/>
      <c r="B15" s="137" t="s">
        <v>88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2"/>
      <c r="X15" s="102"/>
      <c r="Y15" s="101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1"/>
      <c r="AY15" s="102"/>
      <c r="AZ15" s="101"/>
      <c r="BA15" s="101"/>
      <c r="BB15" s="101"/>
      <c r="BC15" s="101"/>
      <c r="BD15" s="101"/>
      <c r="BE15" s="101"/>
      <c r="BF15" s="102"/>
      <c r="BG15" s="102"/>
      <c r="BH15" s="102"/>
      <c r="BI15" s="102"/>
      <c r="BJ15" s="102"/>
      <c r="BK15" s="102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2"/>
      <c r="BY15" s="102"/>
      <c r="BZ15" s="102"/>
      <c r="CA15" s="102"/>
      <c r="CB15" s="102"/>
      <c r="CC15" s="102"/>
      <c r="CD15" s="102"/>
      <c r="CE15" s="102"/>
      <c r="CF15" s="101"/>
    </row>
    <row r="16" spans="1:84" s="2" customFormat="1" ht="24.9" customHeight="1">
      <c r="A16" s="80"/>
      <c r="B16" s="81"/>
      <c r="C16" s="42"/>
      <c r="D16" s="81"/>
      <c r="E16" s="82"/>
      <c r="F16" s="83"/>
      <c r="G16" s="83" t="str">
        <f t="shared" ref="G16:G40" si="0">IF(E16="","",_xlfn.ISOWEEKNUM(E16))</f>
        <v/>
      </c>
      <c r="H16" s="44" t="s">
        <v>6</v>
      </c>
      <c r="I16" s="45" t="s">
        <v>6</v>
      </c>
      <c r="J16" s="44" t="s">
        <v>6</v>
      </c>
      <c r="K16" s="45" t="s">
        <v>6</v>
      </c>
      <c r="L16" s="46" t="s">
        <v>6</v>
      </c>
      <c r="M16" s="47" t="s">
        <v>6</v>
      </c>
      <c r="N16" s="46" t="s">
        <v>6</v>
      </c>
      <c r="O16" s="48" t="s">
        <v>6</v>
      </c>
      <c r="P16" s="49"/>
      <c r="Q16" s="50" t="s">
        <v>6</v>
      </c>
      <c r="R16" s="51" t="s">
        <v>6</v>
      </c>
      <c r="S16" s="52" t="s">
        <v>6</v>
      </c>
      <c r="T16" s="130" t="str">
        <f t="shared" ref="T16:T40" si="1">IF(Q16=" - "," - ",IF(R16=" - "," - ",IF(S16=" - ","samples?",AVERAGE(Q16:S16))))</f>
        <v xml:space="preserve"> - </v>
      </c>
      <c r="U16" s="50" t="s">
        <v>6</v>
      </c>
      <c r="V16" s="51" t="s">
        <v>6</v>
      </c>
      <c r="W16" s="51" t="s">
        <v>6</v>
      </c>
      <c r="X16" s="130" t="str">
        <f t="shared" ref="X16:X40" si="2">IF(U16=" - "," - ",IF(V16=" - "," - ",IF(W16=" - ","samples?",AVERAGE(U16:W16))))</f>
        <v xml:space="preserve"> - </v>
      </c>
      <c r="Y16" s="41" t="s">
        <v>6</v>
      </c>
      <c r="Z16" s="46" t="s">
        <v>6</v>
      </c>
      <c r="AA16" s="48" t="s">
        <v>6</v>
      </c>
      <c r="AB16" s="53" t="s">
        <v>6</v>
      </c>
      <c r="AC16" s="46" t="s">
        <v>6</v>
      </c>
      <c r="AD16" s="48" t="s">
        <v>6</v>
      </c>
      <c r="AE16" s="53" t="s">
        <v>6</v>
      </c>
      <c r="AF16" s="46" t="s">
        <v>6</v>
      </c>
      <c r="AG16" s="48" t="s">
        <v>6</v>
      </c>
      <c r="AH16" s="53" t="s">
        <v>6</v>
      </c>
      <c r="AI16" s="46" t="s">
        <v>6</v>
      </c>
      <c r="AJ16" s="48" t="s">
        <v>6</v>
      </c>
      <c r="AK16" s="53" t="s">
        <v>6</v>
      </c>
      <c r="AL16" s="46" t="s">
        <v>6</v>
      </c>
      <c r="AM16" s="48" t="s">
        <v>6</v>
      </c>
      <c r="AN16" s="53" t="s">
        <v>6</v>
      </c>
      <c r="AO16" s="46" t="s">
        <v>6</v>
      </c>
      <c r="AP16" s="48" t="s">
        <v>6</v>
      </c>
      <c r="AQ16" s="53" t="s">
        <v>6</v>
      </c>
      <c r="AR16" s="46" t="s">
        <v>6</v>
      </c>
      <c r="AS16" s="48" t="s">
        <v>6</v>
      </c>
      <c r="AT16" s="53" t="s">
        <v>6</v>
      </c>
      <c r="AU16" s="46" t="s">
        <v>6</v>
      </c>
      <c r="AV16" s="48" t="s">
        <v>6</v>
      </c>
      <c r="AW16" s="53" t="s">
        <v>6</v>
      </c>
      <c r="AX16" s="41" t="s">
        <v>6</v>
      </c>
      <c r="AY16" s="54" t="s">
        <v>6</v>
      </c>
      <c r="AZ16" s="46" t="s">
        <v>6</v>
      </c>
      <c r="BA16" s="53" t="s">
        <v>6</v>
      </c>
      <c r="BB16" s="46" t="s">
        <v>6</v>
      </c>
      <c r="BC16" s="53" t="s">
        <v>6</v>
      </c>
      <c r="BD16" s="46" t="s">
        <v>6</v>
      </c>
      <c r="BE16" s="53" t="s">
        <v>6</v>
      </c>
      <c r="BF16" s="46" t="s">
        <v>6</v>
      </c>
      <c r="BG16" s="48" t="s">
        <v>6</v>
      </c>
      <c r="BH16" s="48" t="s">
        <v>6</v>
      </c>
      <c r="BI16" s="132" t="str">
        <f t="shared" ref="BI16:BI40" si="3">IF(BF16=" - "," - ",BH16/BF16)</f>
        <v xml:space="preserve"> - </v>
      </c>
      <c r="BJ16" s="132" t="str">
        <f t="shared" ref="BJ16:BJ40" si="4">IF(BG16=" - "," - ",BH16/BG16)</f>
        <v xml:space="preserve"> - </v>
      </c>
      <c r="BK16" s="49" t="s">
        <v>6</v>
      </c>
      <c r="BL16" s="46" t="s">
        <v>6</v>
      </c>
      <c r="BM16" s="48" t="s">
        <v>6</v>
      </c>
      <c r="BN16" s="53" t="s">
        <v>6</v>
      </c>
      <c r="BO16" s="46" t="s">
        <v>6</v>
      </c>
      <c r="BP16" s="48" t="s">
        <v>6</v>
      </c>
      <c r="BQ16" s="53" t="s">
        <v>6</v>
      </c>
      <c r="BR16" s="46" t="s">
        <v>6</v>
      </c>
      <c r="BS16" s="48" t="s">
        <v>6</v>
      </c>
      <c r="BT16" s="53" t="s">
        <v>6</v>
      </c>
      <c r="BU16" s="46" t="s">
        <v>6</v>
      </c>
      <c r="BV16" s="48" t="s">
        <v>6</v>
      </c>
      <c r="BW16" s="53" t="s">
        <v>6</v>
      </c>
      <c r="BX16" s="55" t="s">
        <v>6</v>
      </c>
      <c r="BY16" s="49" t="s">
        <v>6</v>
      </c>
      <c r="BZ16" s="55" t="s">
        <v>6</v>
      </c>
      <c r="CA16" s="49" t="s">
        <v>6</v>
      </c>
      <c r="CB16" s="55" t="s">
        <v>6</v>
      </c>
      <c r="CC16" s="49" t="s">
        <v>6</v>
      </c>
      <c r="CD16" s="55" t="s">
        <v>6</v>
      </c>
      <c r="CE16" s="56" t="s">
        <v>6</v>
      </c>
      <c r="CF16" s="57" t="s">
        <v>6</v>
      </c>
    </row>
    <row r="17" spans="1:84" s="2" customFormat="1" ht="24.9" customHeight="1">
      <c r="A17" s="40"/>
      <c r="B17" s="40"/>
      <c r="C17" s="59"/>
      <c r="D17" s="40"/>
      <c r="E17" s="43"/>
      <c r="F17" s="44"/>
      <c r="G17" s="44" t="str">
        <f t="shared" si="0"/>
        <v/>
      </c>
      <c r="H17" s="44" t="s">
        <v>6</v>
      </c>
      <c r="I17" s="45" t="s">
        <v>6</v>
      </c>
      <c r="J17" s="44" t="s">
        <v>6</v>
      </c>
      <c r="K17" s="45" t="s">
        <v>6</v>
      </c>
      <c r="L17" s="46" t="s">
        <v>6</v>
      </c>
      <c r="M17" s="47" t="s">
        <v>6</v>
      </c>
      <c r="N17" s="46" t="s">
        <v>6</v>
      </c>
      <c r="O17" s="48" t="s">
        <v>6</v>
      </c>
      <c r="P17" s="49"/>
      <c r="Q17" s="50" t="s">
        <v>6</v>
      </c>
      <c r="R17" s="51" t="s">
        <v>6</v>
      </c>
      <c r="S17" s="52" t="s">
        <v>6</v>
      </c>
      <c r="T17" s="130" t="str">
        <f t="shared" si="1"/>
        <v xml:space="preserve"> - </v>
      </c>
      <c r="U17" s="50" t="s">
        <v>6</v>
      </c>
      <c r="V17" s="51" t="s">
        <v>6</v>
      </c>
      <c r="W17" s="51" t="s">
        <v>6</v>
      </c>
      <c r="X17" s="130" t="str">
        <f t="shared" si="2"/>
        <v xml:space="preserve"> - </v>
      </c>
      <c r="Y17" s="41" t="s">
        <v>6</v>
      </c>
      <c r="Z17" s="46" t="s">
        <v>6</v>
      </c>
      <c r="AA17" s="48" t="s">
        <v>6</v>
      </c>
      <c r="AB17" s="53" t="s">
        <v>6</v>
      </c>
      <c r="AC17" s="46" t="s">
        <v>6</v>
      </c>
      <c r="AD17" s="48" t="s">
        <v>6</v>
      </c>
      <c r="AE17" s="53" t="s">
        <v>6</v>
      </c>
      <c r="AF17" s="46" t="s">
        <v>6</v>
      </c>
      <c r="AG17" s="48" t="s">
        <v>6</v>
      </c>
      <c r="AH17" s="53" t="s">
        <v>6</v>
      </c>
      <c r="AI17" s="46" t="s">
        <v>6</v>
      </c>
      <c r="AJ17" s="48" t="s">
        <v>6</v>
      </c>
      <c r="AK17" s="53" t="s">
        <v>6</v>
      </c>
      <c r="AL17" s="46" t="s">
        <v>6</v>
      </c>
      <c r="AM17" s="48" t="s">
        <v>6</v>
      </c>
      <c r="AN17" s="53" t="s">
        <v>6</v>
      </c>
      <c r="AO17" s="46" t="s">
        <v>6</v>
      </c>
      <c r="AP17" s="48" t="s">
        <v>6</v>
      </c>
      <c r="AQ17" s="53" t="s">
        <v>6</v>
      </c>
      <c r="AR17" s="46" t="s">
        <v>6</v>
      </c>
      <c r="AS17" s="48" t="s">
        <v>6</v>
      </c>
      <c r="AT17" s="53" t="s">
        <v>6</v>
      </c>
      <c r="AU17" s="46" t="s">
        <v>6</v>
      </c>
      <c r="AV17" s="48" t="s">
        <v>6</v>
      </c>
      <c r="AW17" s="53" t="s">
        <v>6</v>
      </c>
      <c r="AX17" s="41" t="s">
        <v>6</v>
      </c>
      <c r="AY17" s="54" t="s">
        <v>6</v>
      </c>
      <c r="AZ17" s="46" t="s">
        <v>6</v>
      </c>
      <c r="BA17" s="53" t="s">
        <v>6</v>
      </c>
      <c r="BB17" s="46" t="s">
        <v>6</v>
      </c>
      <c r="BC17" s="53" t="s">
        <v>6</v>
      </c>
      <c r="BD17" s="46" t="s">
        <v>6</v>
      </c>
      <c r="BE17" s="53" t="s">
        <v>6</v>
      </c>
      <c r="BF17" s="46" t="s">
        <v>6</v>
      </c>
      <c r="BG17" s="48" t="s">
        <v>6</v>
      </c>
      <c r="BH17" s="48" t="s">
        <v>6</v>
      </c>
      <c r="BI17" s="132" t="str">
        <f t="shared" si="3"/>
        <v xml:space="preserve"> - </v>
      </c>
      <c r="BJ17" s="132" t="str">
        <f t="shared" si="4"/>
        <v xml:space="preserve"> - </v>
      </c>
      <c r="BK17" s="49" t="s">
        <v>6</v>
      </c>
      <c r="BL17" s="46" t="s">
        <v>6</v>
      </c>
      <c r="BM17" s="48" t="s">
        <v>6</v>
      </c>
      <c r="BN17" s="53" t="s">
        <v>6</v>
      </c>
      <c r="BO17" s="46" t="s">
        <v>6</v>
      </c>
      <c r="BP17" s="48" t="s">
        <v>6</v>
      </c>
      <c r="BQ17" s="53" t="s">
        <v>6</v>
      </c>
      <c r="BR17" s="46" t="s">
        <v>6</v>
      </c>
      <c r="BS17" s="48" t="s">
        <v>6</v>
      </c>
      <c r="BT17" s="53" t="s">
        <v>6</v>
      </c>
      <c r="BU17" s="46" t="s">
        <v>6</v>
      </c>
      <c r="BV17" s="48" t="s">
        <v>6</v>
      </c>
      <c r="BW17" s="53" t="s">
        <v>6</v>
      </c>
      <c r="BX17" s="55" t="s">
        <v>6</v>
      </c>
      <c r="BY17" s="49" t="s">
        <v>6</v>
      </c>
      <c r="BZ17" s="55" t="s">
        <v>6</v>
      </c>
      <c r="CA17" s="49" t="s">
        <v>6</v>
      </c>
      <c r="CB17" s="55" t="s">
        <v>6</v>
      </c>
      <c r="CC17" s="49" t="s">
        <v>6</v>
      </c>
      <c r="CD17" s="55" t="s">
        <v>6</v>
      </c>
      <c r="CE17" s="56" t="s">
        <v>6</v>
      </c>
      <c r="CF17" s="57" t="s">
        <v>6</v>
      </c>
    </row>
    <row r="18" spans="1:84" s="2" customFormat="1" ht="24.9" customHeight="1">
      <c r="A18" s="40"/>
      <c r="B18" s="40"/>
      <c r="C18" s="59"/>
      <c r="D18" s="40"/>
      <c r="E18" s="43"/>
      <c r="F18" s="44"/>
      <c r="G18" s="44" t="str">
        <f t="shared" si="0"/>
        <v/>
      </c>
      <c r="H18" s="44" t="s">
        <v>6</v>
      </c>
      <c r="I18" s="45" t="s">
        <v>6</v>
      </c>
      <c r="J18" s="44" t="s">
        <v>6</v>
      </c>
      <c r="K18" s="45" t="s">
        <v>6</v>
      </c>
      <c r="L18" s="46" t="s">
        <v>6</v>
      </c>
      <c r="M18" s="47" t="s">
        <v>6</v>
      </c>
      <c r="N18" s="46" t="s">
        <v>6</v>
      </c>
      <c r="O18" s="48" t="s">
        <v>6</v>
      </c>
      <c r="P18" s="49"/>
      <c r="Q18" s="50" t="s">
        <v>6</v>
      </c>
      <c r="R18" s="51" t="s">
        <v>6</v>
      </c>
      <c r="S18" s="52" t="s">
        <v>6</v>
      </c>
      <c r="T18" s="130" t="str">
        <f t="shared" si="1"/>
        <v xml:space="preserve"> - </v>
      </c>
      <c r="U18" s="50" t="s">
        <v>6</v>
      </c>
      <c r="V18" s="51" t="s">
        <v>6</v>
      </c>
      <c r="W18" s="51" t="s">
        <v>6</v>
      </c>
      <c r="X18" s="130" t="str">
        <f t="shared" si="2"/>
        <v xml:space="preserve"> - </v>
      </c>
      <c r="Y18" s="41" t="s">
        <v>6</v>
      </c>
      <c r="Z18" s="46" t="s">
        <v>6</v>
      </c>
      <c r="AA18" s="48" t="s">
        <v>6</v>
      </c>
      <c r="AB18" s="53" t="s">
        <v>6</v>
      </c>
      <c r="AC18" s="46" t="s">
        <v>6</v>
      </c>
      <c r="AD18" s="48" t="s">
        <v>6</v>
      </c>
      <c r="AE18" s="53" t="s">
        <v>6</v>
      </c>
      <c r="AF18" s="46" t="s">
        <v>6</v>
      </c>
      <c r="AG18" s="48" t="s">
        <v>6</v>
      </c>
      <c r="AH18" s="53" t="s">
        <v>6</v>
      </c>
      <c r="AI18" s="46" t="s">
        <v>6</v>
      </c>
      <c r="AJ18" s="48" t="s">
        <v>6</v>
      </c>
      <c r="AK18" s="53" t="s">
        <v>6</v>
      </c>
      <c r="AL18" s="46" t="s">
        <v>6</v>
      </c>
      <c r="AM18" s="48" t="s">
        <v>6</v>
      </c>
      <c r="AN18" s="53" t="s">
        <v>6</v>
      </c>
      <c r="AO18" s="46" t="s">
        <v>6</v>
      </c>
      <c r="AP18" s="48" t="s">
        <v>6</v>
      </c>
      <c r="AQ18" s="53" t="s">
        <v>6</v>
      </c>
      <c r="AR18" s="46" t="s">
        <v>6</v>
      </c>
      <c r="AS18" s="48" t="s">
        <v>6</v>
      </c>
      <c r="AT18" s="53" t="s">
        <v>6</v>
      </c>
      <c r="AU18" s="46" t="s">
        <v>6</v>
      </c>
      <c r="AV18" s="48" t="s">
        <v>6</v>
      </c>
      <c r="AW18" s="53" t="s">
        <v>6</v>
      </c>
      <c r="AX18" s="41" t="s">
        <v>6</v>
      </c>
      <c r="AY18" s="54" t="s">
        <v>6</v>
      </c>
      <c r="AZ18" s="46" t="s">
        <v>6</v>
      </c>
      <c r="BA18" s="53" t="s">
        <v>6</v>
      </c>
      <c r="BB18" s="46" t="s">
        <v>6</v>
      </c>
      <c r="BC18" s="53" t="s">
        <v>6</v>
      </c>
      <c r="BD18" s="46" t="s">
        <v>6</v>
      </c>
      <c r="BE18" s="53" t="s">
        <v>6</v>
      </c>
      <c r="BF18" s="46" t="s">
        <v>6</v>
      </c>
      <c r="BG18" s="48" t="s">
        <v>6</v>
      </c>
      <c r="BH18" s="48" t="s">
        <v>6</v>
      </c>
      <c r="BI18" s="132" t="str">
        <f t="shared" si="3"/>
        <v xml:space="preserve"> - </v>
      </c>
      <c r="BJ18" s="132" t="str">
        <f t="shared" si="4"/>
        <v xml:space="preserve"> - </v>
      </c>
      <c r="BK18" s="49" t="s">
        <v>6</v>
      </c>
      <c r="BL18" s="46" t="s">
        <v>6</v>
      </c>
      <c r="BM18" s="48" t="s">
        <v>6</v>
      </c>
      <c r="BN18" s="53" t="s">
        <v>6</v>
      </c>
      <c r="BO18" s="46" t="s">
        <v>6</v>
      </c>
      <c r="BP18" s="48" t="s">
        <v>6</v>
      </c>
      <c r="BQ18" s="53" t="s">
        <v>6</v>
      </c>
      <c r="BR18" s="46" t="s">
        <v>6</v>
      </c>
      <c r="BS18" s="48" t="s">
        <v>6</v>
      </c>
      <c r="BT18" s="53" t="s">
        <v>6</v>
      </c>
      <c r="BU18" s="46" t="s">
        <v>6</v>
      </c>
      <c r="BV18" s="48" t="s">
        <v>6</v>
      </c>
      <c r="BW18" s="53" t="s">
        <v>6</v>
      </c>
      <c r="BX18" s="55" t="s">
        <v>6</v>
      </c>
      <c r="BY18" s="49" t="s">
        <v>6</v>
      </c>
      <c r="BZ18" s="55" t="s">
        <v>6</v>
      </c>
      <c r="CA18" s="49" t="s">
        <v>6</v>
      </c>
      <c r="CB18" s="55" t="s">
        <v>6</v>
      </c>
      <c r="CC18" s="49" t="s">
        <v>6</v>
      </c>
      <c r="CD18" s="55" t="s">
        <v>6</v>
      </c>
      <c r="CE18" s="56" t="s">
        <v>6</v>
      </c>
      <c r="CF18" s="57" t="s">
        <v>6</v>
      </c>
    </row>
    <row r="19" spans="1:84" s="2" customFormat="1" ht="24.9" customHeight="1">
      <c r="A19" s="40"/>
      <c r="B19" s="40"/>
      <c r="C19" s="59"/>
      <c r="D19" s="40"/>
      <c r="E19" s="43"/>
      <c r="F19" s="44"/>
      <c r="G19" s="44" t="str">
        <f t="shared" si="0"/>
        <v/>
      </c>
      <c r="H19" s="44" t="s">
        <v>6</v>
      </c>
      <c r="I19" s="45" t="s">
        <v>6</v>
      </c>
      <c r="J19" s="44" t="s">
        <v>6</v>
      </c>
      <c r="K19" s="45" t="s">
        <v>6</v>
      </c>
      <c r="L19" s="46" t="s">
        <v>6</v>
      </c>
      <c r="M19" s="47" t="s">
        <v>6</v>
      </c>
      <c r="N19" s="46" t="s">
        <v>6</v>
      </c>
      <c r="O19" s="48" t="s">
        <v>6</v>
      </c>
      <c r="P19" s="49"/>
      <c r="Q19" s="50" t="s">
        <v>6</v>
      </c>
      <c r="R19" s="51" t="s">
        <v>6</v>
      </c>
      <c r="S19" s="52" t="s">
        <v>6</v>
      </c>
      <c r="T19" s="130" t="str">
        <f t="shared" si="1"/>
        <v xml:space="preserve"> - </v>
      </c>
      <c r="U19" s="50" t="s">
        <v>6</v>
      </c>
      <c r="V19" s="51" t="s">
        <v>6</v>
      </c>
      <c r="W19" s="51" t="s">
        <v>6</v>
      </c>
      <c r="X19" s="130" t="str">
        <f t="shared" si="2"/>
        <v xml:space="preserve"> - </v>
      </c>
      <c r="Y19" s="41" t="s">
        <v>6</v>
      </c>
      <c r="Z19" s="46" t="s">
        <v>6</v>
      </c>
      <c r="AA19" s="48" t="s">
        <v>6</v>
      </c>
      <c r="AB19" s="53" t="s">
        <v>6</v>
      </c>
      <c r="AC19" s="46" t="s">
        <v>6</v>
      </c>
      <c r="AD19" s="48" t="s">
        <v>6</v>
      </c>
      <c r="AE19" s="53" t="s">
        <v>6</v>
      </c>
      <c r="AF19" s="46" t="s">
        <v>6</v>
      </c>
      <c r="AG19" s="48" t="s">
        <v>6</v>
      </c>
      <c r="AH19" s="53" t="s">
        <v>6</v>
      </c>
      <c r="AI19" s="46" t="s">
        <v>6</v>
      </c>
      <c r="AJ19" s="48" t="s">
        <v>6</v>
      </c>
      <c r="AK19" s="53" t="s">
        <v>6</v>
      </c>
      <c r="AL19" s="46" t="s">
        <v>6</v>
      </c>
      <c r="AM19" s="48" t="s">
        <v>6</v>
      </c>
      <c r="AN19" s="53" t="s">
        <v>6</v>
      </c>
      <c r="AO19" s="46" t="s">
        <v>6</v>
      </c>
      <c r="AP19" s="48" t="s">
        <v>6</v>
      </c>
      <c r="AQ19" s="53" t="s">
        <v>6</v>
      </c>
      <c r="AR19" s="46" t="s">
        <v>6</v>
      </c>
      <c r="AS19" s="48" t="s">
        <v>6</v>
      </c>
      <c r="AT19" s="53" t="s">
        <v>6</v>
      </c>
      <c r="AU19" s="46" t="s">
        <v>6</v>
      </c>
      <c r="AV19" s="48" t="s">
        <v>6</v>
      </c>
      <c r="AW19" s="53" t="s">
        <v>6</v>
      </c>
      <c r="AX19" s="41" t="s">
        <v>6</v>
      </c>
      <c r="AY19" s="54" t="s">
        <v>6</v>
      </c>
      <c r="AZ19" s="46" t="s">
        <v>6</v>
      </c>
      <c r="BA19" s="53" t="s">
        <v>6</v>
      </c>
      <c r="BB19" s="46" t="s">
        <v>6</v>
      </c>
      <c r="BC19" s="53" t="s">
        <v>6</v>
      </c>
      <c r="BD19" s="46" t="s">
        <v>6</v>
      </c>
      <c r="BE19" s="53" t="s">
        <v>6</v>
      </c>
      <c r="BF19" s="46" t="s">
        <v>6</v>
      </c>
      <c r="BG19" s="48" t="s">
        <v>6</v>
      </c>
      <c r="BH19" s="48" t="s">
        <v>6</v>
      </c>
      <c r="BI19" s="132" t="str">
        <f t="shared" si="3"/>
        <v xml:space="preserve"> - </v>
      </c>
      <c r="BJ19" s="132" t="str">
        <f t="shared" si="4"/>
        <v xml:space="preserve"> - </v>
      </c>
      <c r="BK19" s="49" t="s">
        <v>6</v>
      </c>
      <c r="BL19" s="46" t="s">
        <v>6</v>
      </c>
      <c r="BM19" s="48" t="s">
        <v>6</v>
      </c>
      <c r="BN19" s="53" t="s">
        <v>6</v>
      </c>
      <c r="BO19" s="46" t="s">
        <v>6</v>
      </c>
      <c r="BP19" s="48" t="s">
        <v>6</v>
      </c>
      <c r="BQ19" s="53" t="s">
        <v>6</v>
      </c>
      <c r="BR19" s="46" t="s">
        <v>6</v>
      </c>
      <c r="BS19" s="48" t="s">
        <v>6</v>
      </c>
      <c r="BT19" s="53" t="s">
        <v>6</v>
      </c>
      <c r="BU19" s="46" t="s">
        <v>6</v>
      </c>
      <c r="BV19" s="48" t="s">
        <v>6</v>
      </c>
      <c r="BW19" s="53" t="s">
        <v>6</v>
      </c>
      <c r="BX19" s="55" t="s">
        <v>6</v>
      </c>
      <c r="BY19" s="49" t="s">
        <v>6</v>
      </c>
      <c r="BZ19" s="55" t="s">
        <v>6</v>
      </c>
      <c r="CA19" s="49" t="s">
        <v>6</v>
      </c>
      <c r="CB19" s="55" t="s">
        <v>6</v>
      </c>
      <c r="CC19" s="49" t="s">
        <v>6</v>
      </c>
      <c r="CD19" s="55" t="s">
        <v>6</v>
      </c>
      <c r="CE19" s="56" t="s">
        <v>6</v>
      </c>
      <c r="CF19" s="57" t="s">
        <v>6</v>
      </c>
    </row>
    <row r="20" spans="1:84" s="2" customFormat="1" ht="24.9" customHeight="1">
      <c r="A20" s="40"/>
      <c r="B20" s="40"/>
      <c r="C20" s="59"/>
      <c r="D20" s="40"/>
      <c r="E20" s="43"/>
      <c r="F20" s="44"/>
      <c r="G20" s="44" t="str">
        <f t="shared" si="0"/>
        <v/>
      </c>
      <c r="H20" s="44" t="s">
        <v>6</v>
      </c>
      <c r="I20" s="45" t="s">
        <v>6</v>
      </c>
      <c r="J20" s="44" t="s">
        <v>6</v>
      </c>
      <c r="K20" s="45" t="s">
        <v>6</v>
      </c>
      <c r="L20" s="46" t="s">
        <v>6</v>
      </c>
      <c r="M20" s="47" t="s">
        <v>6</v>
      </c>
      <c r="N20" s="46" t="s">
        <v>6</v>
      </c>
      <c r="O20" s="48" t="s">
        <v>6</v>
      </c>
      <c r="P20" s="49"/>
      <c r="Q20" s="50" t="s">
        <v>6</v>
      </c>
      <c r="R20" s="51" t="s">
        <v>6</v>
      </c>
      <c r="S20" s="52" t="s">
        <v>6</v>
      </c>
      <c r="T20" s="130" t="str">
        <f t="shared" si="1"/>
        <v xml:space="preserve"> - </v>
      </c>
      <c r="U20" s="50" t="s">
        <v>6</v>
      </c>
      <c r="V20" s="51" t="s">
        <v>6</v>
      </c>
      <c r="W20" s="51" t="s">
        <v>6</v>
      </c>
      <c r="X20" s="130" t="str">
        <f t="shared" si="2"/>
        <v xml:space="preserve"> - </v>
      </c>
      <c r="Y20" s="41" t="s">
        <v>6</v>
      </c>
      <c r="Z20" s="46" t="s">
        <v>6</v>
      </c>
      <c r="AA20" s="48" t="s">
        <v>6</v>
      </c>
      <c r="AB20" s="53" t="s">
        <v>6</v>
      </c>
      <c r="AC20" s="46" t="s">
        <v>6</v>
      </c>
      <c r="AD20" s="48" t="s">
        <v>6</v>
      </c>
      <c r="AE20" s="53" t="s">
        <v>6</v>
      </c>
      <c r="AF20" s="46" t="s">
        <v>6</v>
      </c>
      <c r="AG20" s="48" t="s">
        <v>6</v>
      </c>
      <c r="AH20" s="53" t="s">
        <v>6</v>
      </c>
      <c r="AI20" s="46" t="s">
        <v>6</v>
      </c>
      <c r="AJ20" s="48" t="s">
        <v>6</v>
      </c>
      <c r="AK20" s="53" t="s">
        <v>6</v>
      </c>
      <c r="AL20" s="46" t="s">
        <v>6</v>
      </c>
      <c r="AM20" s="48" t="s">
        <v>6</v>
      </c>
      <c r="AN20" s="53" t="s">
        <v>6</v>
      </c>
      <c r="AO20" s="46" t="s">
        <v>6</v>
      </c>
      <c r="AP20" s="48" t="s">
        <v>6</v>
      </c>
      <c r="AQ20" s="53" t="s">
        <v>6</v>
      </c>
      <c r="AR20" s="46" t="s">
        <v>6</v>
      </c>
      <c r="AS20" s="48" t="s">
        <v>6</v>
      </c>
      <c r="AT20" s="53" t="s">
        <v>6</v>
      </c>
      <c r="AU20" s="46" t="s">
        <v>6</v>
      </c>
      <c r="AV20" s="48" t="s">
        <v>6</v>
      </c>
      <c r="AW20" s="53" t="s">
        <v>6</v>
      </c>
      <c r="AX20" s="41" t="s">
        <v>6</v>
      </c>
      <c r="AY20" s="54" t="s">
        <v>6</v>
      </c>
      <c r="AZ20" s="46" t="s">
        <v>6</v>
      </c>
      <c r="BA20" s="53" t="s">
        <v>6</v>
      </c>
      <c r="BB20" s="46" t="s">
        <v>6</v>
      </c>
      <c r="BC20" s="53" t="s">
        <v>6</v>
      </c>
      <c r="BD20" s="46" t="s">
        <v>6</v>
      </c>
      <c r="BE20" s="53" t="s">
        <v>6</v>
      </c>
      <c r="BF20" s="46" t="s">
        <v>6</v>
      </c>
      <c r="BG20" s="48" t="s">
        <v>6</v>
      </c>
      <c r="BH20" s="48" t="s">
        <v>6</v>
      </c>
      <c r="BI20" s="132" t="str">
        <f t="shared" si="3"/>
        <v xml:space="preserve"> - </v>
      </c>
      <c r="BJ20" s="132" t="str">
        <f t="shared" si="4"/>
        <v xml:space="preserve"> - </v>
      </c>
      <c r="BK20" s="49" t="s">
        <v>6</v>
      </c>
      <c r="BL20" s="46" t="s">
        <v>6</v>
      </c>
      <c r="BM20" s="48" t="s">
        <v>6</v>
      </c>
      <c r="BN20" s="53" t="s">
        <v>6</v>
      </c>
      <c r="BO20" s="46" t="s">
        <v>6</v>
      </c>
      <c r="BP20" s="48" t="s">
        <v>6</v>
      </c>
      <c r="BQ20" s="53" t="s">
        <v>6</v>
      </c>
      <c r="BR20" s="46" t="s">
        <v>6</v>
      </c>
      <c r="BS20" s="48" t="s">
        <v>6</v>
      </c>
      <c r="BT20" s="53" t="s">
        <v>6</v>
      </c>
      <c r="BU20" s="46" t="s">
        <v>6</v>
      </c>
      <c r="BV20" s="48" t="s">
        <v>6</v>
      </c>
      <c r="BW20" s="53" t="s">
        <v>6</v>
      </c>
      <c r="BX20" s="55" t="s">
        <v>6</v>
      </c>
      <c r="BY20" s="49" t="s">
        <v>6</v>
      </c>
      <c r="BZ20" s="55" t="s">
        <v>6</v>
      </c>
      <c r="CA20" s="49" t="s">
        <v>6</v>
      </c>
      <c r="CB20" s="55" t="s">
        <v>6</v>
      </c>
      <c r="CC20" s="49" t="s">
        <v>6</v>
      </c>
      <c r="CD20" s="55" t="s">
        <v>6</v>
      </c>
      <c r="CE20" s="56" t="s">
        <v>6</v>
      </c>
      <c r="CF20" s="57" t="s">
        <v>6</v>
      </c>
    </row>
    <row r="21" spans="1:84" s="2" customFormat="1" ht="24.9" customHeight="1">
      <c r="A21" s="40"/>
      <c r="B21" s="40"/>
      <c r="C21" s="59"/>
      <c r="D21" s="40"/>
      <c r="E21" s="43"/>
      <c r="F21" s="44"/>
      <c r="G21" s="44" t="str">
        <f t="shared" si="0"/>
        <v/>
      </c>
      <c r="H21" s="44" t="s">
        <v>6</v>
      </c>
      <c r="I21" s="45" t="s">
        <v>6</v>
      </c>
      <c r="J21" s="44" t="s">
        <v>6</v>
      </c>
      <c r="K21" s="45" t="s">
        <v>6</v>
      </c>
      <c r="L21" s="46" t="s">
        <v>6</v>
      </c>
      <c r="M21" s="47" t="s">
        <v>6</v>
      </c>
      <c r="N21" s="46" t="s">
        <v>6</v>
      </c>
      <c r="O21" s="48" t="s">
        <v>6</v>
      </c>
      <c r="P21" s="49"/>
      <c r="Q21" s="50" t="s">
        <v>6</v>
      </c>
      <c r="R21" s="51" t="s">
        <v>6</v>
      </c>
      <c r="S21" s="52" t="s">
        <v>6</v>
      </c>
      <c r="T21" s="130" t="str">
        <f t="shared" si="1"/>
        <v xml:space="preserve"> - </v>
      </c>
      <c r="U21" s="50" t="s">
        <v>6</v>
      </c>
      <c r="V21" s="51" t="s">
        <v>6</v>
      </c>
      <c r="W21" s="51" t="s">
        <v>6</v>
      </c>
      <c r="X21" s="130" t="str">
        <f t="shared" si="2"/>
        <v xml:space="preserve"> - </v>
      </c>
      <c r="Y21" s="41" t="s">
        <v>6</v>
      </c>
      <c r="Z21" s="46" t="s">
        <v>6</v>
      </c>
      <c r="AA21" s="48" t="s">
        <v>6</v>
      </c>
      <c r="AB21" s="53" t="s">
        <v>6</v>
      </c>
      <c r="AC21" s="46" t="s">
        <v>6</v>
      </c>
      <c r="AD21" s="48" t="s">
        <v>6</v>
      </c>
      <c r="AE21" s="53" t="s">
        <v>6</v>
      </c>
      <c r="AF21" s="46" t="s">
        <v>6</v>
      </c>
      <c r="AG21" s="48" t="s">
        <v>6</v>
      </c>
      <c r="AH21" s="53" t="s">
        <v>6</v>
      </c>
      <c r="AI21" s="46" t="s">
        <v>6</v>
      </c>
      <c r="AJ21" s="48" t="s">
        <v>6</v>
      </c>
      <c r="AK21" s="53" t="s">
        <v>6</v>
      </c>
      <c r="AL21" s="46" t="s">
        <v>6</v>
      </c>
      <c r="AM21" s="48" t="s">
        <v>6</v>
      </c>
      <c r="AN21" s="53" t="s">
        <v>6</v>
      </c>
      <c r="AO21" s="46" t="s">
        <v>6</v>
      </c>
      <c r="AP21" s="48" t="s">
        <v>6</v>
      </c>
      <c r="AQ21" s="53" t="s">
        <v>6</v>
      </c>
      <c r="AR21" s="46" t="s">
        <v>6</v>
      </c>
      <c r="AS21" s="48" t="s">
        <v>6</v>
      </c>
      <c r="AT21" s="53" t="s">
        <v>6</v>
      </c>
      <c r="AU21" s="46" t="s">
        <v>6</v>
      </c>
      <c r="AV21" s="48" t="s">
        <v>6</v>
      </c>
      <c r="AW21" s="53" t="s">
        <v>6</v>
      </c>
      <c r="AX21" s="41" t="s">
        <v>6</v>
      </c>
      <c r="AY21" s="54" t="s">
        <v>6</v>
      </c>
      <c r="AZ21" s="46" t="s">
        <v>6</v>
      </c>
      <c r="BA21" s="53" t="s">
        <v>6</v>
      </c>
      <c r="BB21" s="46" t="s">
        <v>6</v>
      </c>
      <c r="BC21" s="53" t="s">
        <v>6</v>
      </c>
      <c r="BD21" s="46" t="s">
        <v>6</v>
      </c>
      <c r="BE21" s="53" t="s">
        <v>6</v>
      </c>
      <c r="BF21" s="46" t="s">
        <v>6</v>
      </c>
      <c r="BG21" s="48" t="s">
        <v>6</v>
      </c>
      <c r="BH21" s="48" t="s">
        <v>6</v>
      </c>
      <c r="BI21" s="132" t="str">
        <f t="shared" si="3"/>
        <v xml:space="preserve"> - </v>
      </c>
      <c r="BJ21" s="132" t="str">
        <f t="shared" si="4"/>
        <v xml:space="preserve"> - </v>
      </c>
      <c r="BK21" s="49" t="s">
        <v>6</v>
      </c>
      <c r="BL21" s="46" t="s">
        <v>6</v>
      </c>
      <c r="BM21" s="48" t="s">
        <v>6</v>
      </c>
      <c r="BN21" s="53" t="s">
        <v>6</v>
      </c>
      <c r="BO21" s="46" t="s">
        <v>6</v>
      </c>
      <c r="BP21" s="48" t="s">
        <v>6</v>
      </c>
      <c r="BQ21" s="53" t="s">
        <v>6</v>
      </c>
      <c r="BR21" s="46" t="s">
        <v>6</v>
      </c>
      <c r="BS21" s="48" t="s">
        <v>6</v>
      </c>
      <c r="BT21" s="53" t="s">
        <v>6</v>
      </c>
      <c r="BU21" s="46" t="s">
        <v>6</v>
      </c>
      <c r="BV21" s="48" t="s">
        <v>6</v>
      </c>
      <c r="BW21" s="53" t="s">
        <v>6</v>
      </c>
      <c r="BX21" s="55" t="s">
        <v>6</v>
      </c>
      <c r="BY21" s="49" t="s">
        <v>6</v>
      </c>
      <c r="BZ21" s="55" t="s">
        <v>6</v>
      </c>
      <c r="CA21" s="49" t="s">
        <v>6</v>
      </c>
      <c r="CB21" s="55" t="s">
        <v>6</v>
      </c>
      <c r="CC21" s="49" t="s">
        <v>6</v>
      </c>
      <c r="CD21" s="55" t="s">
        <v>6</v>
      </c>
      <c r="CE21" s="56" t="s">
        <v>6</v>
      </c>
      <c r="CF21" s="57" t="s">
        <v>6</v>
      </c>
    </row>
    <row r="22" spans="1:84" s="2" customFormat="1" ht="24.9" customHeight="1">
      <c r="A22" s="40"/>
      <c r="B22" s="40"/>
      <c r="C22" s="59"/>
      <c r="D22" s="40"/>
      <c r="E22" s="43"/>
      <c r="F22" s="44"/>
      <c r="G22" s="44" t="str">
        <f t="shared" si="0"/>
        <v/>
      </c>
      <c r="H22" s="44" t="s">
        <v>6</v>
      </c>
      <c r="I22" s="45" t="s">
        <v>6</v>
      </c>
      <c r="J22" s="44" t="s">
        <v>6</v>
      </c>
      <c r="K22" s="45" t="s">
        <v>6</v>
      </c>
      <c r="L22" s="46" t="s">
        <v>6</v>
      </c>
      <c r="M22" s="47" t="s">
        <v>6</v>
      </c>
      <c r="N22" s="46" t="s">
        <v>6</v>
      </c>
      <c r="O22" s="48" t="s">
        <v>6</v>
      </c>
      <c r="P22" s="49"/>
      <c r="Q22" s="50" t="s">
        <v>6</v>
      </c>
      <c r="R22" s="51" t="s">
        <v>6</v>
      </c>
      <c r="S22" s="52" t="s">
        <v>6</v>
      </c>
      <c r="T22" s="130" t="str">
        <f t="shared" si="1"/>
        <v xml:space="preserve"> - </v>
      </c>
      <c r="U22" s="50" t="s">
        <v>6</v>
      </c>
      <c r="V22" s="51" t="s">
        <v>6</v>
      </c>
      <c r="W22" s="51" t="s">
        <v>6</v>
      </c>
      <c r="X22" s="130" t="str">
        <f t="shared" si="2"/>
        <v xml:space="preserve"> - </v>
      </c>
      <c r="Y22" s="41" t="s">
        <v>6</v>
      </c>
      <c r="Z22" s="46" t="s">
        <v>6</v>
      </c>
      <c r="AA22" s="48" t="s">
        <v>6</v>
      </c>
      <c r="AB22" s="53" t="s">
        <v>6</v>
      </c>
      <c r="AC22" s="46" t="s">
        <v>6</v>
      </c>
      <c r="AD22" s="48" t="s">
        <v>6</v>
      </c>
      <c r="AE22" s="53" t="s">
        <v>6</v>
      </c>
      <c r="AF22" s="46" t="s">
        <v>6</v>
      </c>
      <c r="AG22" s="48" t="s">
        <v>6</v>
      </c>
      <c r="AH22" s="53" t="s">
        <v>6</v>
      </c>
      <c r="AI22" s="46" t="s">
        <v>6</v>
      </c>
      <c r="AJ22" s="48" t="s">
        <v>6</v>
      </c>
      <c r="AK22" s="53" t="s">
        <v>6</v>
      </c>
      <c r="AL22" s="46" t="s">
        <v>6</v>
      </c>
      <c r="AM22" s="48" t="s">
        <v>6</v>
      </c>
      <c r="AN22" s="53" t="s">
        <v>6</v>
      </c>
      <c r="AO22" s="46" t="s">
        <v>6</v>
      </c>
      <c r="AP22" s="48" t="s">
        <v>6</v>
      </c>
      <c r="AQ22" s="53" t="s">
        <v>6</v>
      </c>
      <c r="AR22" s="46" t="s">
        <v>6</v>
      </c>
      <c r="AS22" s="48" t="s">
        <v>6</v>
      </c>
      <c r="AT22" s="53" t="s">
        <v>6</v>
      </c>
      <c r="AU22" s="46" t="s">
        <v>6</v>
      </c>
      <c r="AV22" s="48" t="s">
        <v>6</v>
      </c>
      <c r="AW22" s="53" t="s">
        <v>6</v>
      </c>
      <c r="AX22" s="41" t="s">
        <v>6</v>
      </c>
      <c r="AY22" s="54" t="s">
        <v>6</v>
      </c>
      <c r="AZ22" s="46" t="s">
        <v>6</v>
      </c>
      <c r="BA22" s="53" t="s">
        <v>6</v>
      </c>
      <c r="BB22" s="46" t="s">
        <v>6</v>
      </c>
      <c r="BC22" s="53" t="s">
        <v>6</v>
      </c>
      <c r="BD22" s="46" t="s">
        <v>6</v>
      </c>
      <c r="BE22" s="53" t="s">
        <v>6</v>
      </c>
      <c r="BF22" s="46" t="s">
        <v>6</v>
      </c>
      <c r="BG22" s="48" t="s">
        <v>6</v>
      </c>
      <c r="BH22" s="48" t="s">
        <v>6</v>
      </c>
      <c r="BI22" s="132" t="str">
        <f t="shared" si="3"/>
        <v xml:space="preserve"> - </v>
      </c>
      <c r="BJ22" s="132" t="str">
        <f t="shared" si="4"/>
        <v xml:space="preserve"> - </v>
      </c>
      <c r="BK22" s="49" t="s">
        <v>6</v>
      </c>
      <c r="BL22" s="46" t="s">
        <v>6</v>
      </c>
      <c r="BM22" s="48" t="s">
        <v>6</v>
      </c>
      <c r="BN22" s="53" t="s">
        <v>6</v>
      </c>
      <c r="BO22" s="46" t="s">
        <v>6</v>
      </c>
      <c r="BP22" s="48" t="s">
        <v>6</v>
      </c>
      <c r="BQ22" s="53" t="s">
        <v>6</v>
      </c>
      <c r="BR22" s="46" t="s">
        <v>6</v>
      </c>
      <c r="BS22" s="48" t="s">
        <v>6</v>
      </c>
      <c r="BT22" s="53" t="s">
        <v>6</v>
      </c>
      <c r="BU22" s="46" t="s">
        <v>6</v>
      </c>
      <c r="BV22" s="48" t="s">
        <v>6</v>
      </c>
      <c r="BW22" s="53" t="s">
        <v>6</v>
      </c>
      <c r="BX22" s="55" t="s">
        <v>6</v>
      </c>
      <c r="BY22" s="49" t="s">
        <v>6</v>
      </c>
      <c r="BZ22" s="55" t="s">
        <v>6</v>
      </c>
      <c r="CA22" s="49" t="s">
        <v>6</v>
      </c>
      <c r="CB22" s="55" t="s">
        <v>6</v>
      </c>
      <c r="CC22" s="49" t="s">
        <v>6</v>
      </c>
      <c r="CD22" s="55" t="s">
        <v>6</v>
      </c>
      <c r="CE22" s="56" t="s">
        <v>6</v>
      </c>
      <c r="CF22" s="57" t="s">
        <v>6</v>
      </c>
    </row>
    <row r="23" spans="1:84" s="2" customFormat="1" ht="24.9" customHeight="1">
      <c r="A23" s="40"/>
      <c r="B23" s="40"/>
      <c r="C23" s="59"/>
      <c r="D23" s="40"/>
      <c r="E23" s="43"/>
      <c r="F23" s="44"/>
      <c r="G23" s="44" t="str">
        <f t="shared" si="0"/>
        <v/>
      </c>
      <c r="H23" s="44" t="s">
        <v>6</v>
      </c>
      <c r="I23" s="45" t="s">
        <v>6</v>
      </c>
      <c r="J23" s="44" t="s">
        <v>6</v>
      </c>
      <c r="K23" s="45" t="s">
        <v>6</v>
      </c>
      <c r="L23" s="46" t="s">
        <v>6</v>
      </c>
      <c r="M23" s="47" t="s">
        <v>6</v>
      </c>
      <c r="N23" s="46" t="s">
        <v>6</v>
      </c>
      <c r="O23" s="48" t="s">
        <v>6</v>
      </c>
      <c r="P23" s="49"/>
      <c r="Q23" s="50" t="s">
        <v>6</v>
      </c>
      <c r="R23" s="51" t="s">
        <v>6</v>
      </c>
      <c r="S23" s="52" t="s">
        <v>6</v>
      </c>
      <c r="T23" s="130" t="str">
        <f t="shared" si="1"/>
        <v xml:space="preserve"> - </v>
      </c>
      <c r="U23" s="50" t="s">
        <v>6</v>
      </c>
      <c r="V23" s="51" t="s">
        <v>6</v>
      </c>
      <c r="W23" s="51" t="s">
        <v>6</v>
      </c>
      <c r="X23" s="130" t="str">
        <f t="shared" si="2"/>
        <v xml:space="preserve"> - </v>
      </c>
      <c r="Y23" s="41" t="s">
        <v>6</v>
      </c>
      <c r="Z23" s="46" t="s">
        <v>6</v>
      </c>
      <c r="AA23" s="48" t="s">
        <v>6</v>
      </c>
      <c r="AB23" s="53" t="s">
        <v>6</v>
      </c>
      <c r="AC23" s="46" t="s">
        <v>6</v>
      </c>
      <c r="AD23" s="48" t="s">
        <v>6</v>
      </c>
      <c r="AE23" s="53" t="s">
        <v>6</v>
      </c>
      <c r="AF23" s="46" t="s">
        <v>6</v>
      </c>
      <c r="AG23" s="48" t="s">
        <v>6</v>
      </c>
      <c r="AH23" s="53" t="s">
        <v>6</v>
      </c>
      <c r="AI23" s="46" t="s">
        <v>6</v>
      </c>
      <c r="AJ23" s="48" t="s">
        <v>6</v>
      </c>
      <c r="AK23" s="53" t="s">
        <v>6</v>
      </c>
      <c r="AL23" s="46" t="s">
        <v>6</v>
      </c>
      <c r="AM23" s="48" t="s">
        <v>6</v>
      </c>
      <c r="AN23" s="53" t="s">
        <v>6</v>
      </c>
      <c r="AO23" s="46" t="s">
        <v>6</v>
      </c>
      <c r="AP23" s="48" t="s">
        <v>6</v>
      </c>
      <c r="AQ23" s="53" t="s">
        <v>6</v>
      </c>
      <c r="AR23" s="46" t="s">
        <v>6</v>
      </c>
      <c r="AS23" s="48" t="s">
        <v>6</v>
      </c>
      <c r="AT23" s="53" t="s">
        <v>6</v>
      </c>
      <c r="AU23" s="46" t="s">
        <v>6</v>
      </c>
      <c r="AV23" s="48" t="s">
        <v>6</v>
      </c>
      <c r="AW23" s="53" t="s">
        <v>6</v>
      </c>
      <c r="AX23" s="41" t="s">
        <v>6</v>
      </c>
      <c r="AY23" s="54" t="s">
        <v>6</v>
      </c>
      <c r="AZ23" s="46" t="s">
        <v>6</v>
      </c>
      <c r="BA23" s="53" t="s">
        <v>6</v>
      </c>
      <c r="BB23" s="46" t="s">
        <v>6</v>
      </c>
      <c r="BC23" s="53" t="s">
        <v>6</v>
      </c>
      <c r="BD23" s="46" t="s">
        <v>6</v>
      </c>
      <c r="BE23" s="53" t="s">
        <v>6</v>
      </c>
      <c r="BF23" s="46" t="s">
        <v>6</v>
      </c>
      <c r="BG23" s="48" t="s">
        <v>6</v>
      </c>
      <c r="BH23" s="48" t="s">
        <v>6</v>
      </c>
      <c r="BI23" s="132" t="str">
        <f t="shared" si="3"/>
        <v xml:space="preserve"> - </v>
      </c>
      <c r="BJ23" s="132" t="str">
        <f t="shared" si="4"/>
        <v xml:space="preserve"> - </v>
      </c>
      <c r="BK23" s="49" t="s">
        <v>6</v>
      </c>
      <c r="BL23" s="46" t="s">
        <v>6</v>
      </c>
      <c r="BM23" s="48" t="s">
        <v>6</v>
      </c>
      <c r="BN23" s="53" t="s">
        <v>6</v>
      </c>
      <c r="BO23" s="46" t="s">
        <v>6</v>
      </c>
      <c r="BP23" s="48" t="s">
        <v>6</v>
      </c>
      <c r="BQ23" s="53" t="s">
        <v>6</v>
      </c>
      <c r="BR23" s="46" t="s">
        <v>6</v>
      </c>
      <c r="BS23" s="48" t="s">
        <v>6</v>
      </c>
      <c r="BT23" s="53" t="s">
        <v>6</v>
      </c>
      <c r="BU23" s="46" t="s">
        <v>6</v>
      </c>
      <c r="BV23" s="48" t="s">
        <v>6</v>
      </c>
      <c r="BW23" s="53" t="s">
        <v>6</v>
      </c>
      <c r="BX23" s="55" t="s">
        <v>6</v>
      </c>
      <c r="BY23" s="49" t="s">
        <v>6</v>
      </c>
      <c r="BZ23" s="55" t="s">
        <v>6</v>
      </c>
      <c r="CA23" s="49" t="s">
        <v>6</v>
      </c>
      <c r="CB23" s="55" t="s">
        <v>6</v>
      </c>
      <c r="CC23" s="49" t="s">
        <v>6</v>
      </c>
      <c r="CD23" s="55" t="s">
        <v>6</v>
      </c>
      <c r="CE23" s="56" t="s">
        <v>6</v>
      </c>
      <c r="CF23" s="57" t="s">
        <v>6</v>
      </c>
    </row>
    <row r="24" spans="1:84" s="2" customFormat="1" ht="24.9" customHeight="1">
      <c r="A24" s="40"/>
      <c r="B24" s="40"/>
      <c r="C24" s="59"/>
      <c r="D24" s="40"/>
      <c r="E24" s="43"/>
      <c r="F24" s="44"/>
      <c r="G24" s="44" t="str">
        <f t="shared" si="0"/>
        <v/>
      </c>
      <c r="H24" s="44" t="s">
        <v>6</v>
      </c>
      <c r="I24" s="45" t="s">
        <v>6</v>
      </c>
      <c r="J24" s="44" t="s">
        <v>6</v>
      </c>
      <c r="K24" s="45" t="s">
        <v>6</v>
      </c>
      <c r="L24" s="46" t="s">
        <v>6</v>
      </c>
      <c r="M24" s="47" t="s">
        <v>6</v>
      </c>
      <c r="N24" s="46" t="s">
        <v>6</v>
      </c>
      <c r="O24" s="48" t="s">
        <v>6</v>
      </c>
      <c r="P24" s="49"/>
      <c r="Q24" s="50" t="s">
        <v>6</v>
      </c>
      <c r="R24" s="51" t="s">
        <v>6</v>
      </c>
      <c r="S24" s="52" t="s">
        <v>6</v>
      </c>
      <c r="T24" s="130" t="str">
        <f t="shared" si="1"/>
        <v xml:space="preserve"> - </v>
      </c>
      <c r="U24" s="50" t="s">
        <v>6</v>
      </c>
      <c r="V24" s="51" t="s">
        <v>6</v>
      </c>
      <c r="W24" s="51" t="s">
        <v>6</v>
      </c>
      <c r="X24" s="130" t="str">
        <f t="shared" si="2"/>
        <v xml:space="preserve"> - </v>
      </c>
      <c r="Y24" s="41" t="s">
        <v>6</v>
      </c>
      <c r="Z24" s="46" t="s">
        <v>6</v>
      </c>
      <c r="AA24" s="48" t="s">
        <v>6</v>
      </c>
      <c r="AB24" s="53" t="s">
        <v>6</v>
      </c>
      <c r="AC24" s="46" t="s">
        <v>6</v>
      </c>
      <c r="AD24" s="48" t="s">
        <v>6</v>
      </c>
      <c r="AE24" s="53" t="s">
        <v>6</v>
      </c>
      <c r="AF24" s="46" t="s">
        <v>6</v>
      </c>
      <c r="AG24" s="48" t="s">
        <v>6</v>
      </c>
      <c r="AH24" s="53" t="s">
        <v>6</v>
      </c>
      <c r="AI24" s="46" t="s">
        <v>6</v>
      </c>
      <c r="AJ24" s="48" t="s">
        <v>6</v>
      </c>
      <c r="AK24" s="53" t="s">
        <v>6</v>
      </c>
      <c r="AL24" s="46" t="s">
        <v>6</v>
      </c>
      <c r="AM24" s="48" t="s">
        <v>6</v>
      </c>
      <c r="AN24" s="53" t="s">
        <v>6</v>
      </c>
      <c r="AO24" s="46" t="s">
        <v>6</v>
      </c>
      <c r="AP24" s="48" t="s">
        <v>6</v>
      </c>
      <c r="AQ24" s="53" t="s">
        <v>6</v>
      </c>
      <c r="AR24" s="46" t="s">
        <v>6</v>
      </c>
      <c r="AS24" s="48" t="s">
        <v>6</v>
      </c>
      <c r="AT24" s="53" t="s">
        <v>6</v>
      </c>
      <c r="AU24" s="46" t="s">
        <v>6</v>
      </c>
      <c r="AV24" s="48" t="s">
        <v>6</v>
      </c>
      <c r="AW24" s="53" t="s">
        <v>6</v>
      </c>
      <c r="AX24" s="41" t="s">
        <v>6</v>
      </c>
      <c r="AY24" s="54" t="s">
        <v>6</v>
      </c>
      <c r="AZ24" s="46" t="s">
        <v>6</v>
      </c>
      <c r="BA24" s="53" t="s">
        <v>6</v>
      </c>
      <c r="BB24" s="46" t="s">
        <v>6</v>
      </c>
      <c r="BC24" s="53" t="s">
        <v>6</v>
      </c>
      <c r="BD24" s="46" t="s">
        <v>6</v>
      </c>
      <c r="BE24" s="53" t="s">
        <v>6</v>
      </c>
      <c r="BF24" s="46" t="s">
        <v>6</v>
      </c>
      <c r="BG24" s="48" t="s">
        <v>6</v>
      </c>
      <c r="BH24" s="48" t="s">
        <v>6</v>
      </c>
      <c r="BI24" s="132" t="str">
        <f t="shared" si="3"/>
        <v xml:space="preserve"> - </v>
      </c>
      <c r="BJ24" s="132" t="str">
        <f t="shared" si="4"/>
        <v xml:space="preserve"> - </v>
      </c>
      <c r="BK24" s="49" t="s">
        <v>6</v>
      </c>
      <c r="BL24" s="46" t="s">
        <v>6</v>
      </c>
      <c r="BM24" s="48" t="s">
        <v>6</v>
      </c>
      <c r="BN24" s="53" t="s">
        <v>6</v>
      </c>
      <c r="BO24" s="46" t="s">
        <v>6</v>
      </c>
      <c r="BP24" s="48" t="s">
        <v>6</v>
      </c>
      <c r="BQ24" s="53" t="s">
        <v>6</v>
      </c>
      <c r="BR24" s="46" t="s">
        <v>6</v>
      </c>
      <c r="BS24" s="48" t="s">
        <v>6</v>
      </c>
      <c r="BT24" s="53" t="s">
        <v>6</v>
      </c>
      <c r="BU24" s="46" t="s">
        <v>6</v>
      </c>
      <c r="BV24" s="48" t="s">
        <v>6</v>
      </c>
      <c r="BW24" s="53" t="s">
        <v>6</v>
      </c>
      <c r="BX24" s="55" t="s">
        <v>6</v>
      </c>
      <c r="BY24" s="49" t="s">
        <v>6</v>
      </c>
      <c r="BZ24" s="55" t="s">
        <v>6</v>
      </c>
      <c r="CA24" s="49" t="s">
        <v>6</v>
      </c>
      <c r="CB24" s="55" t="s">
        <v>6</v>
      </c>
      <c r="CC24" s="49" t="s">
        <v>6</v>
      </c>
      <c r="CD24" s="55" t="s">
        <v>6</v>
      </c>
      <c r="CE24" s="56" t="s">
        <v>6</v>
      </c>
      <c r="CF24" s="57" t="s">
        <v>6</v>
      </c>
    </row>
    <row r="25" spans="1:84" s="2" customFormat="1" ht="24.9" customHeight="1">
      <c r="A25" s="40"/>
      <c r="B25" s="40"/>
      <c r="C25" s="59"/>
      <c r="D25" s="40"/>
      <c r="E25" s="43"/>
      <c r="F25" s="44"/>
      <c r="G25" s="44" t="str">
        <f t="shared" si="0"/>
        <v/>
      </c>
      <c r="H25" s="44" t="s">
        <v>6</v>
      </c>
      <c r="I25" s="45" t="s">
        <v>6</v>
      </c>
      <c r="J25" s="44" t="s">
        <v>6</v>
      </c>
      <c r="K25" s="45" t="s">
        <v>6</v>
      </c>
      <c r="L25" s="46" t="s">
        <v>6</v>
      </c>
      <c r="M25" s="47" t="s">
        <v>6</v>
      </c>
      <c r="N25" s="46" t="s">
        <v>6</v>
      </c>
      <c r="O25" s="48" t="s">
        <v>6</v>
      </c>
      <c r="P25" s="49"/>
      <c r="Q25" s="50" t="s">
        <v>6</v>
      </c>
      <c r="R25" s="51" t="s">
        <v>6</v>
      </c>
      <c r="S25" s="52" t="s">
        <v>6</v>
      </c>
      <c r="T25" s="130" t="str">
        <f t="shared" si="1"/>
        <v xml:space="preserve"> - </v>
      </c>
      <c r="U25" s="50" t="s">
        <v>6</v>
      </c>
      <c r="V25" s="51" t="s">
        <v>6</v>
      </c>
      <c r="W25" s="51" t="s">
        <v>6</v>
      </c>
      <c r="X25" s="130" t="str">
        <f t="shared" si="2"/>
        <v xml:space="preserve"> - </v>
      </c>
      <c r="Y25" s="41" t="s">
        <v>6</v>
      </c>
      <c r="Z25" s="46" t="s">
        <v>6</v>
      </c>
      <c r="AA25" s="48" t="s">
        <v>6</v>
      </c>
      <c r="AB25" s="53" t="s">
        <v>6</v>
      </c>
      <c r="AC25" s="46" t="s">
        <v>6</v>
      </c>
      <c r="AD25" s="48" t="s">
        <v>6</v>
      </c>
      <c r="AE25" s="53" t="s">
        <v>6</v>
      </c>
      <c r="AF25" s="46" t="s">
        <v>6</v>
      </c>
      <c r="AG25" s="48" t="s">
        <v>6</v>
      </c>
      <c r="AH25" s="53" t="s">
        <v>6</v>
      </c>
      <c r="AI25" s="46" t="s">
        <v>6</v>
      </c>
      <c r="AJ25" s="48" t="s">
        <v>6</v>
      </c>
      <c r="AK25" s="53" t="s">
        <v>6</v>
      </c>
      <c r="AL25" s="46" t="s">
        <v>6</v>
      </c>
      <c r="AM25" s="48" t="s">
        <v>6</v>
      </c>
      <c r="AN25" s="53" t="s">
        <v>6</v>
      </c>
      <c r="AO25" s="46" t="s">
        <v>6</v>
      </c>
      <c r="AP25" s="48" t="s">
        <v>6</v>
      </c>
      <c r="AQ25" s="53" t="s">
        <v>6</v>
      </c>
      <c r="AR25" s="46" t="s">
        <v>6</v>
      </c>
      <c r="AS25" s="48" t="s">
        <v>6</v>
      </c>
      <c r="AT25" s="53" t="s">
        <v>6</v>
      </c>
      <c r="AU25" s="46" t="s">
        <v>6</v>
      </c>
      <c r="AV25" s="48" t="s">
        <v>6</v>
      </c>
      <c r="AW25" s="53" t="s">
        <v>6</v>
      </c>
      <c r="AX25" s="41" t="s">
        <v>6</v>
      </c>
      <c r="AY25" s="54" t="s">
        <v>6</v>
      </c>
      <c r="AZ25" s="46" t="s">
        <v>6</v>
      </c>
      <c r="BA25" s="53" t="s">
        <v>6</v>
      </c>
      <c r="BB25" s="46" t="s">
        <v>6</v>
      </c>
      <c r="BC25" s="53" t="s">
        <v>6</v>
      </c>
      <c r="BD25" s="46" t="s">
        <v>6</v>
      </c>
      <c r="BE25" s="53" t="s">
        <v>6</v>
      </c>
      <c r="BF25" s="46" t="s">
        <v>6</v>
      </c>
      <c r="BG25" s="48" t="s">
        <v>6</v>
      </c>
      <c r="BH25" s="48" t="s">
        <v>6</v>
      </c>
      <c r="BI25" s="132" t="str">
        <f t="shared" si="3"/>
        <v xml:space="preserve"> - </v>
      </c>
      <c r="BJ25" s="132" t="str">
        <f t="shared" si="4"/>
        <v xml:space="preserve"> - </v>
      </c>
      <c r="BK25" s="49" t="s">
        <v>6</v>
      </c>
      <c r="BL25" s="46" t="s">
        <v>6</v>
      </c>
      <c r="BM25" s="48" t="s">
        <v>6</v>
      </c>
      <c r="BN25" s="53" t="s">
        <v>6</v>
      </c>
      <c r="BO25" s="46" t="s">
        <v>6</v>
      </c>
      <c r="BP25" s="48" t="s">
        <v>6</v>
      </c>
      <c r="BQ25" s="53" t="s">
        <v>6</v>
      </c>
      <c r="BR25" s="46" t="s">
        <v>6</v>
      </c>
      <c r="BS25" s="48" t="s">
        <v>6</v>
      </c>
      <c r="BT25" s="53" t="s">
        <v>6</v>
      </c>
      <c r="BU25" s="46" t="s">
        <v>6</v>
      </c>
      <c r="BV25" s="48" t="s">
        <v>6</v>
      </c>
      <c r="BW25" s="53" t="s">
        <v>6</v>
      </c>
      <c r="BX25" s="55" t="s">
        <v>6</v>
      </c>
      <c r="BY25" s="49" t="s">
        <v>6</v>
      </c>
      <c r="BZ25" s="55" t="s">
        <v>6</v>
      </c>
      <c r="CA25" s="49" t="s">
        <v>6</v>
      </c>
      <c r="CB25" s="55" t="s">
        <v>6</v>
      </c>
      <c r="CC25" s="49" t="s">
        <v>6</v>
      </c>
      <c r="CD25" s="55" t="s">
        <v>6</v>
      </c>
      <c r="CE25" s="56" t="s">
        <v>6</v>
      </c>
      <c r="CF25" s="57" t="s">
        <v>6</v>
      </c>
    </row>
    <row r="26" spans="1:84" s="2" customFormat="1" ht="24.9" customHeight="1">
      <c r="A26" s="40"/>
      <c r="B26" s="40"/>
      <c r="C26" s="59"/>
      <c r="D26" s="40"/>
      <c r="E26" s="43"/>
      <c r="F26" s="44"/>
      <c r="G26" s="44" t="str">
        <f t="shared" si="0"/>
        <v/>
      </c>
      <c r="H26" s="44" t="s">
        <v>6</v>
      </c>
      <c r="I26" s="45" t="s">
        <v>6</v>
      </c>
      <c r="J26" s="44" t="s">
        <v>6</v>
      </c>
      <c r="K26" s="45" t="s">
        <v>6</v>
      </c>
      <c r="L26" s="46" t="s">
        <v>6</v>
      </c>
      <c r="M26" s="47" t="s">
        <v>6</v>
      </c>
      <c r="N26" s="46" t="s">
        <v>6</v>
      </c>
      <c r="O26" s="48" t="s">
        <v>6</v>
      </c>
      <c r="P26" s="49"/>
      <c r="Q26" s="50" t="s">
        <v>6</v>
      </c>
      <c r="R26" s="51" t="s">
        <v>6</v>
      </c>
      <c r="S26" s="52" t="s">
        <v>6</v>
      </c>
      <c r="T26" s="130" t="str">
        <f t="shared" si="1"/>
        <v xml:space="preserve"> - </v>
      </c>
      <c r="U26" s="50" t="s">
        <v>6</v>
      </c>
      <c r="V26" s="51" t="s">
        <v>6</v>
      </c>
      <c r="W26" s="51" t="s">
        <v>6</v>
      </c>
      <c r="X26" s="130" t="str">
        <f t="shared" si="2"/>
        <v xml:space="preserve"> - </v>
      </c>
      <c r="Y26" s="41" t="s">
        <v>6</v>
      </c>
      <c r="Z26" s="46" t="s">
        <v>6</v>
      </c>
      <c r="AA26" s="48" t="s">
        <v>6</v>
      </c>
      <c r="AB26" s="53" t="s">
        <v>6</v>
      </c>
      <c r="AC26" s="46" t="s">
        <v>6</v>
      </c>
      <c r="AD26" s="48" t="s">
        <v>6</v>
      </c>
      <c r="AE26" s="53" t="s">
        <v>6</v>
      </c>
      <c r="AF26" s="46" t="s">
        <v>6</v>
      </c>
      <c r="AG26" s="48" t="s">
        <v>6</v>
      </c>
      <c r="AH26" s="53" t="s">
        <v>6</v>
      </c>
      <c r="AI26" s="46" t="s">
        <v>6</v>
      </c>
      <c r="AJ26" s="48" t="s">
        <v>6</v>
      </c>
      <c r="AK26" s="53" t="s">
        <v>6</v>
      </c>
      <c r="AL26" s="46" t="s">
        <v>6</v>
      </c>
      <c r="AM26" s="48" t="s">
        <v>6</v>
      </c>
      <c r="AN26" s="53" t="s">
        <v>6</v>
      </c>
      <c r="AO26" s="46" t="s">
        <v>6</v>
      </c>
      <c r="AP26" s="48" t="s">
        <v>6</v>
      </c>
      <c r="AQ26" s="53" t="s">
        <v>6</v>
      </c>
      <c r="AR26" s="46" t="s">
        <v>6</v>
      </c>
      <c r="AS26" s="48" t="s">
        <v>6</v>
      </c>
      <c r="AT26" s="53" t="s">
        <v>6</v>
      </c>
      <c r="AU26" s="46" t="s">
        <v>6</v>
      </c>
      <c r="AV26" s="48" t="s">
        <v>6</v>
      </c>
      <c r="AW26" s="53" t="s">
        <v>6</v>
      </c>
      <c r="AX26" s="41" t="s">
        <v>6</v>
      </c>
      <c r="AY26" s="54" t="s">
        <v>6</v>
      </c>
      <c r="AZ26" s="46" t="s">
        <v>6</v>
      </c>
      <c r="BA26" s="53" t="s">
        <v>6</v>
      </c>
      <c r="BB26" s="46" t="s">
        <v>6</v>
      </c>
      <c r="BC26" s="53" t="s">
        <v>6</v>
      </c>
      <c r="BD26" s="46" t="s">
        <v>6</v>
      </c>
      <c r="BE26" s="53" t="s">
        <v>6</v>
      </c>
      <c r="BF26" s="46" t="s">
        <v>6</v>
      </c>
      <c r="BG26" s="48" t="s">
        <v>6</v>
      </c>
      <c r="BH26" s="48" t="s">
        <v>6</v>
      </c>
      <c r="BI26" s="132" t="str">
        <f t="shared" si="3"/>
        <v xml:space="preserve"> - </v>
      </c>
      <c r="BJ26" s="132" t="str">
        <f t="shared" si="4"/>
        <v xml:space="preserve"> - </v>
      </c>
      <c r="BK26" s="49" t="s">
        <v>6</v>
      </c>
      <c r="BL26" s="46" t="s">
        <v>6</v>
      </c>
      <c r="BM26" s="48" t="s">
        <v>6</v>
      </c>
      <c r="BN26" s="53" t="s">
        <v>6</v>
      </c>
      <c r="BO26" s="46" t="s">
        <v>6</v>
      </c>
      <c r="BP26" s="48" t="s">
        <v>6</v>
      </c>
      <c r="BQ26" s="53" t="s">
        <v>6</v>
      </c>
      <c r="BR26" s="46" t="s">
        <v>6</v>
      </c>
      <c r="BS26" s="48" t="s">
        <v>6</v>
      </c>
      <c r="BT26" s="53" t="s">
        <v>6</v>
      </c>
      <c r="BU26" s="46" t="s">
        <v>6</v>
      </c>
      <c r="BV26" s="48" t="s">
        <v>6</v>
      </c>
      <c r="BW26" s="53" t="s">
        <v>6</v>
      </c>
      <c r="BX26" s="55" t="s">
        <v>6</v>
      </c>
      <c r="BY26" s="49" t="s">
        <v>6</v>
      </c>
      <c r="BZ26" s="55" t="s">
        <v>6</v>
      </c>
      <c r="CA26" s="49" t="s">
        <v>6</v>
      </c>
      <c r="CB26" s="55" t="s">
        <v>6</v>
      </c>
      <c r="CC26" s="49" t="s">
        <v>6</v>
      </c>
      <c r="CD26" s="55" t="s">
        <v>6</v>
      </c>
      <c r="CE26" s="56" t="s">
        <v>6</v>
      </c>
      <c r="CF26" s="57" t="s">
        <v>6</v>
      </c>
    </row>
    <row r="27" spans="1:84" s="2" customFormat="1" ht="24.9" customHeight="1">
      <c r="A27" s="40"/>
      <c r="B27" s="40"/>
      <c r="C27" s="59"/>
      <c r="D27" s="40"/>
      <c r="E27" s="43"/>
      <c r="F27" s="44"/>
      <c r="G27" s="44" t="str">
        <f t="shared" si="0"/>
        <v/>
      </c>
      <c r="H27" s="44" t="s">
        <v>6</v>
      </c>
      <c r="I27" s="45" t="s">
        <v>6</v>
      </c>
      <c r="J27" s="44" t="s">
        <v>6</v>
      </c>
      <c r="K27" s="45" t="s">
        <v>6</v>
      </c>
      <c r="L27" s="46" t="s">
        <v>6</v>
      </c>
      <c r="M27" s="47" t="s">
        <v>6</v>
      </c>
      <c r="N27" s="46" t="s">
        <v>6</v>
      </c>
      <c r="O27" s="48" t="s">
        <v>6</v>
      </c>
      <c r="P27" s="49"/>
      <c r="Q27" s="50" t="s">
        <v>6</v>
      </c>
      <c r="R27" s="51" t="s">
        <v>6</v>
      </c>
      <c r="S27" s="52" t="s">
        <v>6</v>
      </c>
      <c r="T27" s="130" t="str">
        <f t="shared" si="1"/>
        <v xml:space="preserve"> - </v>
      </c>
      <c r="U27" s="50" t="s">
        <v>6</v>
      </c>
      <c r="V27" s="51" t="s">
        <v>6</v>
      </c>
      <c r="W27" s="51" t="s">
        <v>6</v>
      </c>
      <c r="X27" s="130" t="str">
        <f t="shared" si="2"/>
        <v xml:space="preserve"> - </v>
      </c>
      <c r="Y27" s="41" t="s">
        <v>6</v>
      </c>
      <c r="Z27" s="46" t="s">
        <v>6</v>
      </c>
      <c r="AA27" s="48" t="s">
        <v>6</v>
      </c>
      <c r="AB27" s="53" t="s">
        <v>6</v>
      </c>
      <c r="AC27" s="46" t="s">
        <v>6</v>
      </c>
      <c r="AD27" s="48" t="s">
        <v>6</v>
      </c>
      <c r="AE27" s="53" t="s">
        <v>6</v>
      </c>
      <c r="AF27" s="46" t="s">
        <v>6</v>
      </c>
      <c r="AG27" s="48" t="s">
        <v>6</v>
      </c>
      <c r="AH27" s="53" t="s">
        <v>6</v>
      </c>
      <c r="AI27" s="46" t="s">
        <v>6</v>
      </c>
      <c r="AJ27" s="48" t="s">
        <v>6</v>
      </c>
      <c r="AK27" s="53" t="s">
        <v>6</v>
      </c>
      <c r="AL27" s="46" t="s">
        <v>6</v>
      </c>
      <c r="AM27" s="48" t="s">
        <v>6</v>
      </c>
      <c r="AN27" s="53" t="s">
        <v>6</v>
      </c>
      <c r="AO27" s="46" t="s">
        <v>6</v>
      </c>
      <c r="AP27" s="48" t="s">
        <v>6</v>
      </c>
      <c r="AQ27" s="53" t="s">
        <v>6</v>
      </c>
      <c r="AR27" s="46" t="s">
        <v>6</v>
      </c>
      <c r="AS27" s="48" t="s">
        <v>6</v>
      </c>
      <c r="AT27" s="53" t="s">
        <v>6</v>
      </c>
      <c r="AU27" s="46" t="s">
        <v>6</v>
      </c>
      <c r="AV27" s="48" t="s">
        <v>6</v>
      </c>
      <c r="AW27" s="53" t="s">
        <v>6</v>
      </c>
      <c r="AX27" s="41" t="s">
        <v>6</v>
      </c>
      <c r="AY27" s="54" t="s">
        <v>6</v>
      </c>
      <c r="AZ27" s="46" t="s">
        <v>6</v>
      </c>
      <c r="BA27" s="53" t="s">
        <v>6</v>
      </c>
      <c r="BB27" s="46" t="s">
        <v>6</v>
      </c>
      <c r="BC27" s="53" t="s">
        <v>6</v>
      </c>
      <c r="BD27" s="46" t="s">
        <v>6</v>
      </c>
      <c r="BE27" s="53" t="s">
        <v>6</v>
      </c>
      <c r="BF27" s="46" t="s">
        <v>6</v>
      </c>
      <c r="BG27" s="48" t="s">
        <v>6</v>
      </c>
      <c r="BH27" s="48" t="s">
        <v>6</v>
      </c>
      <c r="BI27" s="132" t="str">
        <f t="shared" si="3"/>
        <v xml:space="preserve"> - </v>
      </c>
      <c r="BJ27" s="132" t="str">
        <f t="shared" si="4"/>
        <v xml:space="preserve"> - </v>
      </c>
      <c r="BK27" s="49" t="s">
        <v>6</v>
      </c>
      <c r="BL27" s="46" t="s">
        <v>6</v>
      </c>
      <c r="BM27" s="48" t="s">
        <v>6</v>
      </c>
      <c r="BN27" s="53" t="s">
        <v>6</v>
      </c>
      <c r="BO27" s="46" t="s">
        <v>6</v>
      </c>
      <c r="BP27" s="48" t="s">
        <v>6</v>
      </c>
      <c r="BQ27" s="53" t="s">
        <v>6</v>
      </c>
      <c r="BR27" s="46" t="s">
        <v>6</v>
      </c>
      <c r="BS27" s="48" t="s">
        <v>6</v>
      </c>
      <c r="BT27" s="53" t="s">
        <v>6</v>
      </c>
      <c r="BU27" s="46" t="s">
        <v>6</v>
      </c>
      <c r="BV27" s="48" t="s">
        <v>6</v>
      </c>
      <c r="BW27" s="53" t="s">
        <v>6</v>
      </c>
      <c r="BX27" s="55" t="s">
        <v>6</v>
      </c>
      <c r="BY27" s="49" t="s">
        <v>6</v>
      </c>
      <c r="BZ27" s="55" t="s">
        <v>6</v>
      </c>
      <c r="CA27" s="49" t="s">
        <v>6</v>
      </c>
      <c r="CB27" s="55" t="s">
        <v>6</v>
      </c>
      <c r="CC27" s="49" t="s">
        <v>6</v>
      </c>
      <c r="CD27" s="55" t="s">
        <v>6</v>
      </c>
      <c r="CE27" s="56" t="s">
        <v>6</v>
      </c>
      <c r="CF27" s="57" t="s">
        <v>6</v>
      </c>
    </row>
    <row r="28" spans="1:84" s="2" customFormat="1" ht="24.9" customHeight="1">
      <c r="A28" s="40"/>
      <c r="B28" s="40"/>
      <c r="C28" s="59"/>
      <c r="D28" s="40"/>
      <c r="E28" s="43"/>
      <c r="F28" s="44"/>
      <c r="G28" s="44" t="str">
        <f t="shared" si="0"/>
        <v/>
      </c>
      <c r="H28" s="44" t="s">
        <v>6</v>
      </c>
      <c r="I28" s="45" t="s">
        <v>6</v>
      </c>
      <c r="J28" s="44" t="s">
        <v>6</v>
      </c>
      <c r="K28" s="45" t="s">
        <v>6</v>
      </c>
      <c r="L28" s="46" t="s">
        <v>6</v>
      </c>
      <c r="M28" s="47" t="s">
        <v>6</v>
      </c>
      <c r="N28" s="46" t="s">
        <v>6</v>
      </c>
      <c r="O28" s="48" t="s">
        <v>6</v>
      </c>
      <c r="P28" s="49"/>
      <c r="Q28" s="50" t="s">
        <v>6</v>
      </c>
      <c r="R28" s="51" t="s">
        <v>6</v>
      </c>
      <c r="S28" s="52" t="s">
        <v>6</v>
      </c>
      <c r="T28" s="130" t="str">
        <f t="shared" si="1"/>
        <v xml:space="preserve"> - </v>
      </c>
      <c r="U28" s="50" t="s">
        <v>6</v>
      </c>
      <c r="V28" s="51" t="s">
        <v>6</v>
      </c>
      <c r="W28" s="51" t="s">
        <v>6</v>
      </c>
      <c r="X28" s="130" t="str">
        <f t="shared" si="2"/>
        <v xml:space="preserve"> - </v>
      </c>
      <c r="Y28" s="41" t="s">
        <v>6</v>
      </c>
      <c r="Z28" s="46" t="s">
        <v>6</v>
      </c>
      <c r="AA28" s="48" t="s">
        <v>6</v>
      </c>
      <c r="AB28" s="53" t="s">
        <v>6</v>
      </c>
      <c r="AC28" s="46" t="s">
        <v>6</v>
      </c>
      <c r="AD28" s="48" t="s">
        <v>6</v>
      </c>
      <c r="AE28" s="53" t="s">
        <v>6</v>
      </c>
      <c r="AF28" s="46" t="s">
        <v>6</v>
      </c>
      <c r="AG28" s="48" t="s">
        <v>6</v>
      </c>
      <c r="AH28" s="53" t="s">
        <v>6</v>
      </c>
      <c r="AI28" s="46" t="s">
        <v>6</v>
      </c>
      <c r="AJ28" s="48" t="s">
        <v>6</v>
      </c>
      <c r="AK28" s="53" t="s">
        <v>6</v>
      </c>
      <c r="AL28" s="46" t="s">
        <v>6</v>
      </c>
      <c r="AM28" s="48" t="s">
        <v>6</v>
      </c>
      <c r="AN28" s="53" t="s">
        <v>6</v>
      </c>
      <c r="AO28" s="46" t="s">
        <v>6</v>
      </c>
      <c r="AP28" s="48" t="s">
        <v>6</v>
      </c>
      <c r="AQ28" s="53" t="s">
        <v>6</v>
      </c>
      <c r="AR28" s="46" t="s">
        <v>6</v>
      </c>
      <c r="AS28" s="48" t="s">
        <v>6</v>
      </c>
      <c r="AT28" s="53" t="s">
        <v>6</v>
      </c>
      <c r="AU28" s="46" t="s">
        <v>6</v>
      </c>
      <c r="AV28" s="48" t="s">
        <v>6</v>
      </c>
      <c r="AW28" s="53" t="s">
        <v>6</v>
      </c>
      <c r="AX28" s="41" t="s">
        <v>6</v>
      </c>
      <c r="AY28" s="54" t="s">
        <v>6</v>
      </c>
      <c r="AZ28" s="46" t="s">
        <v>6</v>
      </c>
      <c r="BA28" s="53" t="s">
        <v>6</v>
      </c>
      <c r="BB28" s="46" t="s">
        <v>6</v>
      </c>
      <c r="BC28" s="53" t="s">
        <v>6</v>
      </c>
      <c r="BD28" s="46" t="s">
        <v>6</v>
      </c>
      <c r="BE28" s="53" t="s">
        <v>6</v>
      </c>
      <c r="BF28" s="46" t="s">
        <v>6</v>
      </c>
      <c r="BG28" s="48" t="s">
        <v>6</v>
      </c>
      <c r="BH28" s="48" t="s">
        <v>6</v>
      </c>
      <c r="BI28" s="132" t="str">
        <f t="shared" si="3"/>
        <v xml:space="preserve"> - </v>
      </c>
      <c r="BJ28" s="132" t="str">
        <f t="shared" si="4"/>
        <v xml:space="preserve"> - </v>
      </c>
      <c r="BK28" s="49" t="s">
        <v>6</v>
      </c>
      <c r="BL28" s="46" t="s">
        <v>6</v>
      </c>
      <c r="BM28" s="48" t="s">
        <v>6</v>
      </c>
      <c r="BN28" s="53" t="s">
        <v>6</v>
      </c>
      <c r="BO28" s="46" t="s">
        <v>6</v>
      </c>
      <c r="BP28" s="48" t="s">
        <v>6</v>
      </c>
      <c r="BQ28" s="53" t="s">
        <v>6</v>
      </c>
      <c r="BR28" s="46" t="s">
        <v>6</v>
      </c>
      <c r="BS28" s="48" t="s">
        <v>6</v>
      </c>
      <c r="BT28" s="53" t="s">
        <v>6</v>
      </c>
      <c r="BU28" s="46" t="s">
        <v>6</v>
      </c>
      <c r="BV28" s="48" t="s">
        <v>6</v>
      </c>
      <c r="BW28" s="53" t="s">
        <v>6</v>
      </c>
      <c r="BX28" s="55" t="s">
        <v>6</v>
      </c>
      <c r="BY28" s="49" t="s">
        <v>6</v>
      </c>
      <c r="BZ28" s="55" t="s">
        <v>6</v>
      </c>
      <c r="CA28" s="49" t="s">
        <v>6</v>
      </c>
      <c r="CB28" s="55" t="s">
        <v>6</v>
      </c>
      <c r="CC28" s="49" t="s">
        <v>6</v>
      </c>
      <c r="CD28" s="55" t="s">
        <v>6</v>
      </c>
      <c r="CE28" s="56" t="s">
        <v>6</v>
      </c>
      <c r="CF28" s="57" t="s">
        <v>6</v>
      </c>
    </row>
    <row r="29" spans="1:84" s="2" customFormat="1" ht="24.9" customHeight="1">
      <c r="A29" s="40"/>
      <c r="B29" s="40"/>
      <c r="C29" s="59"/>
      <c r="D29" s="40"/>
      <c r="E29" s="43"/>
      <c r="F29" s="44"/>
      <c r="G29" s="44" t="str">
        <f t="shared" si="0"/>
        <v/>
      </c>
      <c r="H29" s="44" t="s">
        <v>6</v>
      </c>
      <c r="I29" s="45" t="s">
        <v>6</v>
      </c>
      <c r="J29" s="44" t="s">
        <v>6</v>
      </c>
      <c r="K29" s="45" t="s">
        <v>6</v>
      </c>
      <c r="L29" s="46" t="s">
        <v>6</v>
      </c>
      <c r="M29" s="47" t="s">
        <v>6</v>
      </c>
      <c r="N29" s="46" t="s">
        <v>6</v>
      </c>
      <c r="O29" s="48" t="s">
        <v>6</v>
      </c>
      <c r="P29" s="49"/>
      <c r="Q29" s="50" t="s">
        <v>6</v>
      </c>
      <c r="R29" s="51" t="s">
        <v>6</v>
      </c>
      <c r="S29" s="52" t="s">
        <v>6</v>
      </c>
      <c r="T29" s="130" t="str">
        <f t="shared" si="1"/>
        <v xml:space="preserve"> - </v>
      </c>
      <c r="U29" s="50" t="s">
        <v>6</v>
      </c>
      <c r="V29" s="51" t="s">
        <v>6</v>
      </c>
      <c r="W29" s="51" t="s">
        <v>6</v>
      </c>
      <c r="X29" s="130" t="str">
        <f t="shared" si="2"/>
        <v xml:space="preserve"> - </v>
      </c>
      <c r="Y29" s="41" t="s">
        <v>6</v>
      </c>
      <c r="Z29" s="46" t="s">
        <v>6</v>
      </c>
      <c r="AA29" s="48" t="s">
        <v>6</v>
      </c>
      <c r="AB29" s="53" t="s">
        <v>6</v>
      </c>
      <c r="AC29" s="46" t="s">
        <v>6</v>
      </c>
      <c r="AD29" s="48" t="s">
        <v>6</v>
      </c>
      <c r="AE29" s="53" t="s">
        <v>6</v>
      </c>
      <c r="AF29" s="46" t="s">
        <v>6</v>
      </c>
      <c r="AG29" s="48" t="s">
        <v>6</v>
      </c>
      <c r="AH29" s="53" t="s">
        <v>6</v>
      </c>
      <c r="AI29" s="46" t="s">
        <v>6</v>
      </c>
      <c r="AJ29" s="48" t="s">
        <v>6</v>
      </c>
      <c r="AK29" s="53" t="s">
        <v>6</v>
      </c>
      <c r="AL29" s="46" t="s">
        <v>6</v>
      </c>
      <c r="AM29" s="48" t="s">
        <v>6</v>
      </c>
      <c r="AN29" s="53" t="s">
        <v>6</v>
      </c>
      <c r="AO29" s="46" t="s">
        <v>6</v>
      </c>
      <c r="AP29" s="48" t="s">
        <v>6</v>
      </c>
      <c r="AQ29" s="53" t="s">
        <v>6</v>
      </c>
      <c r="AR29" s="46" t="s">
        <v>6</v>
      </c>
      <c r="AS29" s="48" t="s">
        <v>6</v>
      </c>
      <c r="AT29" s="53" t="s">
        <v>6</v>
      </c>
      <c r="AU29" s="46" t="s">
        <v>6</v>
      </c>
      <c r="AV29" s="48" t="s">
        <v>6</v>
      </c>
      <c r="AW29" s="53" t="s">
        <v>6</v>
      </c>
      <c r="AX29" s="41" t="s">
        <v>6</v>
      </c>
      <c r="AY29" s="54" t="s">
        <v>6</v>
      </c>
      <c r="AZ29" s="46" t="s">
        <v>6</v>
      </c>
      <c r="BA29" s="53" t="s">
        <v>6</v>
      </c>
      <c r="BB29" s="46" t="s">
        <v>6</v>
      </c>
      <c r="BC29" s="53" t="s">
        <v>6</v>
      </c>
      <c r="BD29" s="46" t="s">
        <v>6</v>
      </c>
      <c r="BE29" s="53" t="s">
        <v>6</v>
      </c>
      <c r="BF29" s="46" t="s">
        <v>6</v>
      </c>
      <c r="BG29" s="48" t="s">
        <v>6</v>
      </c>
      <c r="BH29" s="48" t="s">
        <v>6</v>
      </c>
      <c r="BI29" s="132" t="str">
        <f t="shared" si="3"/>
        <v xml:space="preserve"> - </v>
      </c>
      <c r="BJ29" s="132" t="str">
        <f t="shared" si="4"/>
        <v xml:space="preserve"> - </v>
      </c>
      <c r="BK29" s="49" t="s">
        <v>6</v>
      </c>
      <c r="BL29" s="46" t="s">
        <v>6</v>
      </c>
      <c r="BM29" s="48" t="s">
        <v>6</v>
      </c>
      <c r="BN29" s="53" t="s">
        <v>6</v>
      </c>
      <c r="BO29" s="46" t="s">
        <v>6</v>
      </c>
      <c r="BP29" s="48" t="s">
        <v>6</v>
      </c>
      <c r="BQ29" s="53" t="s">
        <v>6</v>
      </c>
      <c r="BR29" s="46" t="s">
        <v>6</v>
      </c>
      <c r="BS29" s="48" t="s">
        <v>6</v>
      </c>
      <c r="BT29" s="53" t="s">
        <v>6</v>
      </c>
      <c r="BU29" s="46" t="s">
        <v>6</v>
      </c>
      <c r="BV29" s="48" t="s">
        <v>6</v>
      </c>
      <c r="BW29" s="53" t="s">
        <v>6</v>
      </c>
      <c r="BX29" s="55" t="s">
        <v>6</v>
      </c>
      <c r="BY29" s="49" t="s">
        <v>6</v>
      </c>
      <c r="BZ29" s="55" t="s">
        <v>6</v>
      </c>
      <c r="CA29" s="49" t="s">
        <v>6</v>
      </c>
      <c r="CB29" s="55" t="s">
        <v>6</v>
      </c>
      <c r="CC29" s="49" t="s">
        <v>6</v>
      </c>
      <c r="CD29" s="55" t="s">
        <v>6</v>
      </c>
      <c r="CE29" s="56" t="s">
        <v>6</v>
      </c>
      <c r="CF29" s="57" t="s">
        <v>6</v>
      </c>
    </row>
    <row r="30" spans="1:84" s="2" customFormat="1" ht="24.9" customHeight="1">
      <c r="A30" s="40"/>
      <c r="B30" s="40"/>
      <c r="C30" s="59"/>
      <c r="D30" s="40"/>
      <c r="E30" s="43"/>
      <c r="F30" s="44"/>
      <c r="G30" s="44" t="str">
        <f t="shared" si="0"/>
        <v/>
      </c>
      <c r="H30" s="44" t="s">
        <v>6</v>
      </c>
      <c r="I30" s="45" t="s">
        <v>6</v>
      </c>
      <c r="J30" s="44" t="s">
        <v>6</v>
      </c>
      <c r="K30" s="45" t="s">
        <v>6</v>
      </c>
      <c r="L30" s="46" t="s">
        <v>6</v>
      </c>
      <c r="M30" s="47" t="s">
        <v>6</v>
      </c>
      <c r="N30" s="46" t="s">
        <v>6</v>
      </c>
      <c r="O30" s="48" t="s">
        <v>6</v>
      </c>
      <c r="P30" s="49"/>
      <c r="Q30" s="50" t="s">
        <v>6</v>
      </c>
      <c r="R30" s="51" t="s">
        <v>6</v>
      </c>
      <c r="S30" s="52" t="s">
        <v>6</v>
      </c>
      <c r="T30" s="130" t="str">
        <f t="shared" si="1"/>
        <v xml:space="preserve"> - </v>
      </c>
      <c r="U30" s="50" t="s">
        <v>6</v>
      </c>
      <c r="V30" s="51" t="s">
        <v>6</v>
      </c>
      <c r="W30" s="51" t="s">
        <v>6</v>
      </c>
      <c r="X30" s="130" t="str">
        <f t="shared" si="2"/>
        <v xml:space="preserve"> - </v>
      </c>
      <c r="Y30" s="41" t="s">
        <v>6</v>
      </c>
      <c r="Z30" s="46" t="s">
        <v>6</v>
      </c>
      <c r="AA30" s="48" t="s">
        <v>6</v>
      </c>
      <c r="AB30" s="53" t="s">
        <v>6</v>
      </c>
      <c r="AC30" s="46" t="s">
        <v>6</v>
      </c>
      <c r="AD30" s="48" t="s">
        <v>6</v>
      </c>
      <c r="AE30" s="53" t="s">
        <v>6</v>
      </c>
      <c r="AF30" s="46" t="s">
        <v>6</v>
      </c>
      <c r="AG30" s="48" t="s">
        <v>6</v>
      </c>
      <c r="AH30" s="53" t="s">
        <v>6</v>
      </c>
      <c r="AI30" s="46" t="s">
        <v>6</v>
      </c>
      <c r="AJ30" s="48" t="s">
        <v>6</v>
      </c>
      <c r="AK30" s="53" t="s">
        <v>6</v>
      </c>
      <c r="AL30" s="46" t="s">
        <v>6</v>
      </c>
      <c r="AM30" s="48" t="s">
        <v>6</v>
      </c>
      <c r="AN30" s="53" t="s">
        <v>6</v>
      </c>
      <c r="AO30" s="46" t="s">
        <v>6</v>
      </c>
      <c r="AP30" s="48" t="s">
        <v>6</v>
      </c>
      <c r="AQ30" s="53" t="s">
        <v>6</v>
      </c>
      <c r="AR30" s="46" t="s">
        <v>6</v>
      </c>
      <c r="AS30" s="48" t="s">
        <v>6</v>
      </c>
      <c r="AT30" s="53" t="s">
        <v>6</v>
      </c>
      <c r="AU30" s="46" t="s">
        <v>6</v>
      </c>
      <c r="AV30" s="48" t="s">
        <v>6</v>
      </c>
      <c r="AW30" s="53" t="s">
        <v>6</v>
      </c>
      <c r="AX30" s="41" t="s">
        <v>6</v>
      </c>
      <c r="AY30" s="54" t="s">
        <v>6</v>
      </c>
      <c r="AZ30" s="46" t="s">
        <v>6</v>
      </c>
      <c r="BA30" s="53" t="s">
        <v>6</v>
      </c>
      <c r="BB30" s="46" t="s">
        <v>6</v>
      </c>
      <c r="BC30" s="53" t="s">
        <v>6</v>
      </c>
      <c r="BD30" s="46" t="s">
        <v>6</v>
      </c>
      <c r="BE30" s="53" t="s">
        <v>6</v>
      </c>
      <c r="BF30" s="46" t="s">
        <v>6</v>
      </c>
      <c r="BG30" s="48" t="s">
        <v>6</v>
      </c>
      <c r="BH30" s="48" t="s">
        <v>6</v>
      </c>
      <c r="BI30" s="132" t="str">
        <f t="shared" si="3"/>
        <v xml:space="preserve"> - </v>
      </c>
      <c r="BJ30" s="132" t="str">
        <f t="shared" si="4"/>
        <v xml:space="preserve"> - </v>
      </c>
      <c r="BK30" s="49" t="s">
        <v>6</v>
      </c>
      <c r="BL30" s="46" t="s">
        <v>6</v>
      </c>
      <c r="BM30" s="48" t="s">
        <v>6</v>
      </c>
      <c r="BN30" s="53" t="s">
        <v>6</v>
      </c>
      <c r="BO30" s="46" t="s">
        <v>6</v>
      </c>
      <c r="BP30" s="48" t="s">
        <v>6</v>
      </c>
      <c r="BQ30" s="53" t="s">
        <v>6</v>
      </c>
      <c r="BR30" s="46" t="s">
        <v>6</v>
      </c>
      <c r="BS30" s="48" t="s">
        <v>6</v>
      </c>
      <c r="BT30" s="53" t="s">
        <v>6</v>
      </c>
      <c r="BU30" s="46" t="s">
        <v>6</v>
      </c>
      <c r="BV30" s="48" t="s">
        <v>6</v>
      </c>
      <c r="BW30" s="53" t="s">
        <v>6</v>
      </c>
      <c r="BX30" s="55" t="s">
        <v>6</v>
      </c>
      <c r="BY30" s="49" t="s">
        <v>6</v>
      </c>
      <c r="BZ30" s="55" t="s">
        <v>6</v>
      </c>
      <c r="CA30" s="49" t="s">
        <v>6</v>
      </c>
      <c r="CB30" s="55" t="s">
        <v>6</v>
      </c>
      <c r="CC30" s="49" t="s">
        <v>6</v>
      </c>
      <c r="CD30" s="55" t="s">
        <v>6</v>
      </c>
      <c r="CE30" s="56" t="s">
        <v>6</v>
      </c>
      <c r="CF30" s="57" t="s">
        <v>6</v>
      </c>
    </row>
    <row r="31" spans="1:84" s="2" customFormat="1" ht="24.9" customHeight="1">
      <c r="A31" s="40"/>
      <c r="B31" s="40"/>
      <c r="C31" s="59"/>
      <c r="D31" s="40"/>
      <c r="E31" s="43"/>
      <c r="F31" s="44"/>
      <c r="G31" s="44" t="str">
        <f t="shared" si="0"/>
        <v/>
      </c>
      <c r="H31" s="44" t="s">
        <v>6</v>
      </c>
      <c r="I31" s="45" t="s">
        <v>6</v>
      </c>
      <c r="J31" s="44" t="s">
        <v>6</v>
      </c>
      <c r="K31" s="45" t="s">
        <v>6</v>
      </c>
      <c r="L31" s="46" t="s">
        <v>6</v>
      </c>
      <c r="M31" s="47" t="s">
        <v>6</v>
      </c>
      <c r="N31" s="46" t="s">
        <v>6</v>
      </c>
      <c r="O31" s="48" t="s">
        <v>6</v>
      </c>
      <c r="P31" s="49"/>
      <c r="Q31" s="50" t="s">
        <v>6</v>
      </c>
      <c r="R31" s="51" t="s">
        <v>6</v>
      </c>
      <c r="S31" s="52" t="s">
        <v>6</v>
      </c>
      <c r="T31" s="130" t="str">
        <f t="shared" si="1"/>
        <v xml:space="preserve"> - </v>
      </c>
      <c r="U31" s="50" t="s">
        <v>6</v>
      </c>
      <c r="V31" s="51" t="s">
        <v>6</v>
      </c>
      <c r="W31" s="51" t="s">
        <v>6</v>
      </c>
      <c r="X31" s="130" t="str">
        <f t="shared" si="2"/>
        <v xml:space="preserve"> - </v>
      </c>
      <c r="Y31" s="41" t="s">
        <v>6</v>
      </c>
      <c r="Z31" s="46" t="s">
        <v>6</v>
      </c>
      <c r="AA31" s="48" t="s">
        <v>6</v>
      </c>
      <c r="AB31" s="53" t="s">
        <v>6</v>
      </c>
      <c r="AC31" s="46" t="s">
        <v>6</v>
      </c>
      <c r="AD31" s="48" t="s">
        <v>6</v>
      </c>
      <c r="AE31" s="53" t="s">
        <v>6</v>
      </c>
      <c r="AF31" s="46" t="s">
        <v>6</v>
      </c>
      <c r="AG31" s="48" t="s">
        <v>6</v>
      </c>
      <c r="AH31" s="53" t="s">
        <v>6</v>
      </c>
      <c r="AI31" s="46" t="s">
        <v>6</v>
      </c>
      <c r="AJ31" s="48" t="s">
        <v>6</v>
      </c>
      <c r="AK31" s="53" t="s">
        <v>6</v>
      </c>
      <c r="AL31" s="46" t="s">
        <v>6</v>
      </c>
      <c r="AM31" s="48" t="s">
        <v>6</v>
      </c>
      <c r="AN31" s="53" t="s">
        <v>6</v>
      </c>
      <c r="AO31" s="46" t="s">
        <v>6</v>
      </c>
      <c r="AP31" s="48" t="s">
        <v>6</v>
      </c>
      <c r="AQ31" s="53" t="s">
        <v>6</v>
      </c>
      <c r="AR31" s="46" t="s">
        <v>6</v>
      </c>
      <c r="AS31" s="48" t="s">
        <v>6</v>
      </c>
      <c r="AT31" s="53" t="s">
        <v>6</v>
      </c>
      <c r="AU31" s="46" t="s">
        <v>6</v>
      </c>
      <c r="AV31" s="48" t="s">
        <v>6</v>
      </c>
      <c r="AW31" s="53" t="s">
        <v>6</v>
      </c>
      <c r="AX31" s="41" t="s">
        <v>6</v>
      </c>
      <c r="AY31" s="54" t="s">
        <v>6</v>
      </c>
      <c r="AZ31" s="46" t="s">
        <v>6</v>
      </c>
      <c r="BA31" s="53" t="s">
        <v>6</v>
      </c>
      <c r="BB31" s="46" t="s">
        <v>6</v>
      </c>
      <c r="BC31" s="53" t="s">
        <v>6</v>
      </c>
      <c r="BD31" s="46" t="s">
        <v>6</v>
      </c>
      <c r="BE31" s="53" t="s">
        <v>6</v>
      </c>
      <c r="BF31" s="46" t="s">
        <v>6</v>
      </c>
      <c r="BG31" s="48" t="s">
        <v>6</v>
      </c>
      <c r="BH31" s="48" t="s">
        <v>6</v>
      </c>
      <c r="BI31" s="132" t="str">
        <f t="shared" si="3"/>
        <v xml:space="preserve"> - </v>
      </c>
      <c r="BJ31" s="132" t="str">
        <f t="shared" si="4"/>
        <v xml:space="preserve"> - </v>
      </c>
      <c r="BK31" s="49" t="s">
        <v>6</v>
      </c>
      <c r="BL31" s="46" t="s">
        <v>6</v>
      </c>
      <c r="BM31" s="48" t="s">
        <v>6</v>
      </c>
      <c r="BN31" s="53" t="s">
        <v>6</v>
      </c>
      <c r="BO31" s="46" t="s">
        <v>6</v>
      </c>
      <c r="BP31" s="48" t="s">
        <v>6</v>
      </c>
      <c r="BQ31" s="53" t="s">
        <v>6</v>
      </c>
      <c r="BR31" s="46" t="s">
        <v>6</v>
      </c>
      <c r="BS31" s="48" t="s">
        <v>6</v>
      </c>
      <c r="BT31" s="53" t="s">
        <v>6</v>
      </c>
      <c r="BU31" s="46" t="s">
        <v>6</v>
      </c>
      <c r="BV31" s="48" t="s">
        <v>6</v>
      </c>
      <c r="BW31" s="53" t="s">
        <v>6</v>
      </c>
      <c r="BX31" s="55" t="s">
        <v>6</v>
      </c>
      <c r="BY31" s="49" t="s">
        <v>6</v>
      </c>
      <c r="BZ31" s="55" t="s">
        <v>6</v>
      </c>
      <c r="CA31" s="49" t="s">
        <v>6</v>
      </c>
      <c r="CB31" s="55" t="s">
        <v>6</v>
      </c>
      <c r="CC31" s="49" t="s">
        <v>6</v>
      </c>
      <c r="CD31" s="55" t="s">
        <v>6</v>
      </c>
      <c r="CE31" s="56" t="s">
        <v>6</v>
      </c>
      <c r="CF31" s="57" t="s">
        <v>6</v>
      </c>
    </row>
    <row r="32" spans="1:84" s="2" customFormat="1" ht="24.9" customHeight="1">
      <c r="A32" s="40"/>
      <c r="B32" s="40"/>
      <c r="C32" s="59"/>
      <c r="D32" s="40"/>
      <c r="E32" s="43"/>
      <c r="F32" s="44"/>
      <c r="G32" s="44" t="str">
        <f t="shared" si="0"/>
        <v/>
      </c>
      <c r="H32" s="44" t="s">
        <v>6</v>
      </c>
      <c r="I32" s="45" t="s">
        <v>6</v>
      </c>
      <c r="J32" s="44" t="s">
        <v>6</v>
      </c>
      <c r="K32" s="45" t="s">
        <v>6</v>
      </c>
      <c r="L32" s="46" t="s">
        <v>6</v>
      </c>
      <c r="M32" s="47" t="s">
        <v>6</v>
      </c>
      <c r="N32" s="46" t="s">
        <v>6</v>
      </c>
      <c r="O32" s="48" t="s">
        <v>6</v>
      </c>
      <c r="P32" s="49"/>
      <c r="Q32" s="50" t="s">
        <v>6</v>
      </c>
      <c r="R32" s="51" t="s">
        <v>6</v>
      </c>
      <c r="S32" s="52" t="s">
        <v>6</v>
      </c>
      <c r="T32" s="130" t="str">
        <f t="shared" si="1"/>
        <v xml:space="preserve"> - </v>
      </c>
      <c r="U32" s="50" t="s">
        <v>6</v>
      </c>
      <c r="V32" s="51" t="s">
        <v>6</v>
      </c>
      <c r="W32" s="51" t="s">
        <v>6</v>
      </c>
      <c r="X32" s="130" t="str">
        <f t="shared" si="2"/>
        <v xml:space="preserve"> - </v>
      </c>
      <c r="Y32" s="41" t="s">
        <v>6</v>
      </c>
      <c r="Z32" s="46" t="s">
        <v>6</v>
      </c>
      <c r="AA32" s="48" t="s">
        <v>6</v>
      </c>
      <c r="AB32" s="53" t="s">
        <v>6</v>
      </c>
      <c r="AC32" s="46" t="s">
        <v>6</v>
      </c>
      <c r="AD32" s="48" t="s">
        <v>6</v>
      </c>
      <c r="AE32" s="53" t="s">
        <v>6</v>
      </c>
      <c r="AF32" s="46" t="s">
        <v>6</v>
      </c>
      <c r="AG32" s="48" t="s">
        <v>6</v>
      </c>
      <c r="AH32" s="53" t="s">
        <v>6</v>
      </c>
      <c r="AI32" s="46" t="s">
        <v>6</v>
      </c>
      <c r="AJ32" s="48" t="s">
        <v>6</v>
      </c>
      <c r="AK32" s="53" t="s">
        <v>6</v>
      </c>
      <c r="AL32" s="46" t="s">
        <v>6</v>
      </c>
      <c r="AM32" s="48" t="s">
        <v>6</v>
      </c>
      <c r="AN32" s="53" t="s">
        <v>6</v>
      </c>
      <c r="AO32" s="46" t="s">
        <v>6</v>
      </c>
      <c r="AP32" s="48" t="s">
        <v>6</v>
      </c>
      <c r="AQ32" s="53" t="s">
        <v>6</v>
      </c>
      <c r="AR32" s="46" t="s">
        <v>6</v>
      </c>
      <c r="AS32" s="48" t="s">
        <v>6</v>
      </c>
      <c r="AT32" s="53" t="s">
        <v>6</v>
      </c>
      <c r="AU32" s="46" t="s">
        <v>6</v>
      </c>
      <c r="AV32" s="48" t="s">
        <v>6</v>
      </c>
      <c r="AW32" s="53" t="s">
        <v>6</v>
      </c>
      <c r="AX32" s="41" t="s">
        <v>6</v>
      </c>
      <c r="AY32" s="54" t="s">
        <v>6</v>
      </c>
      <c r="AZ32" s="46" t="s">
        <v>6</v>
      </c>
      <c r="BA32" s="53" t="s">
        <v>6</v>
      </c>
      <c r="BB32" s="46" t="s">
        <v>6</v>
      </c>
      <c r="BC32" s="53" t="s">
        <v>6</v>
      </c>
      <c r="BD32" s="46" t="s">
        <v>6</v>
      </c>
      <c r="BE32" s="53" t="s">
        <v>6</v>
      </c>
      <c r="BF32" s="46" t="s">
        <v>6</v>
      </c>
      <c r="BG32" s="48" t="s">
        <v>6</v>
      </c>
      <c r="BH32" s="48" t="s">
        <v>6</v>
      </c>
      <c r="BI32" s="132" t="str">
        <f t="shared" si="3"/>
        <v xml:space="preserve"> - </v>
      </c>
      <c r="BJ32" s="132" t="str">
        <f t="shared" si="4"/>
        <v xml:space="preserve"> - </v>
      </c>
      <c r="BK32" s="49" t="s">
        <v>6</v>
      </c>
      <c r="BL32" s="46" t="s">
        <v>6</v>
      </c>
      <c r="BM32" s="48" t="s">
        <v>6</v>
      </c>
      <c r="BN32" s="53" t="s">
        <v>6</v>
      </c>
      <c r="BO32" s="46" t="s">
        <v>6</v>
      </c>
      <c r="BP32" s="48" t="s">
        <v>6</v>
      </c>
      <c r="BQ32" s="53" t="s">
        <v>6</v>
      </c>
      <c r="BR32" s="46" t="s">
        <v>6</v>
      </c>
      <c r="BS32" s="48" t="s">
        <v>6</v>
      </c>
      <c r="BT32" s="53" t="s">
        <v>6</v>
      </c>
      <c r="BU32" s="46" t="s">
        <v>6</v>
      </c>
      <c r="BV32" s="48" t="s">
        <v>6</v>
      </c>
      <c r="BW32" s="53" t="s">
        <v>6</v>
      </c>
      <c r="BX32" s="55" t="s">
        <v>6</v>
      </c>
      <c r="BY32" s="49" t="s">
        <v>6</v>
      </c>
      <c r="BZ32" s="55" t="s">
        <v>6</v>
      </c>
      <c r="CA32" s="49" t="s">
        <v>6</v>
      </c>
      <c r="CB32" s="55" t="s">
        <v>6</v>
      </c>
      <c r="CC32" s="49" t="s">
        <v>6</v>
      </c>
      <c r="CD32" s="55" t="s">
        <v>6</v>
      </c>
      <c r="CE32" s="56" t="s">
        <v>6</v>
      </c>
      <c r="CF32" s="57" t="s">
        <v>6</v>
      </c>
    </row>
    <row r="33" spans="1:84" s="2" customFormat="1" ht="24.9" customHeight="1">
      <c r="A33" s="40"/>
      <c r="B33" s="40"/>
      <c r="C33" s="59"/>
      <c r="D33" s="40"/>
      <c r="E33" s="43"/>
      <c r="F33" s="44"/>
      <c r="G33" s="44" t="str">
        <f t="shared" si="0"/>
        <v/>
      </c>
      <c r="H33" s="44" t="s">
        <v>6</v>
      </c>
      <c r="I33" s="45" t="s">
        <v>6</v>
      </c>
      <c r="J33" s="44" t="s">
        <v>6</v>
      </c>
      <c r="K33" s="45" t="s">
        <v>6</v>
      </c>
      <c r="L33" s="46" t="s">
        <v>6</v>
      </c>
      <c r="M33" s="47" t="s">
        <v>6</v>
      </c>
      <c r="N33" s="46" t="s">
        <v>6</v>
      </c>
      <c r="O33" s="48" t="s">
        <v>6</v>
      </c>
      <c r="P33" s="49"/>
      <c r="Q33" s="50" t="s">
        <v>6</v>
      </c>
      <c r="R33" s="51" t="s">
        <v>6</v>
      </c>
      <c r="S33" s="52" t="s">
        <v>6</v>
      </c>
      <c r="T33" s="130" t="str">
        <f t="shared" si="1"/>
        <v xml:space="preserve"> - </v>
      </c>
      <c r="U33" s="50" t="s">
        <v>6</v>
      </c>
      <c r="V33" s="51" t="s">
        <v>6</v>
      </c>
      <c r="W33" s="51" t="s">
        <v>6</v>
      </c>
      <c r="X33" s="130" t="str">
        <f t="shared" si="2"/>
        <v xml:space="preserve"> - </v>
      </c>
      <c r="Y33" s="41" t="s">
        <v>6</v>
      </c>
      <c r="Z33" s="46" t="s">
        <v>6</v>
      </c>
      <c r="AA33" s="48" t="s">
        <v>6</v>
      </c>
      <c r="AB33" s="53" t="s">
        <v>6</v>
      </c>
      <c r="AC33" s="46" t="s">
        <v>6</v>
      </c>
      <c r="AD33" s="48" t="s">
        <v>6</v>
      </c>
      <c r="AE33" s="53" t="s">
        <v>6</v>
      </c>
      <c r="AF33" s="46" t="s">
        <v>6</v>
      </c>
      <c r="AG33" s="48" t="s">
        <v>6</v>
      </c>
      <c r="AH33" s="53" t="s">
        <v>6</v>
      </c>
      <c r="AI33" s="46" t="s">
        <v>6</v>
      </c>
      <c r="AJ33" s="48" t="s">
        <v>6</v>
      </c>
      <c r="AK33" s="53" t="s">
        <v>6</v>
      </c>
      <c r="AL33" s="46" t="s">
        <v>6</v>
      </c>
      <c r="AM33" s="48" t="s">
        <v>6</v>
      </c>
      <c r="AN33" s="53" t="s">
        <v>6</v>
      </c>
      <c r="AO33" s="46" t="s">
        <v>6</v>
      </c>
      <c r="AP33" s="48" t="s">
        <v>6</v>
      </c>
      <c r="AQ33" s="53" t="s">
        <v>6</v>
      </c>
      <c r="AR33" s="46" t="s">
        <v>6</v>
      </c>
      <c r="AS33" s="48" t="s">
        <v>6</v>
      </c>
      <c r="AT33" s="53" t="s">
        <v>6</v>
      </c>
      <c r="AU33" s="46" t="s">
        <v>6</v>
      </c>
      <c r="AV33" s="48" t="s">
        <v>6</v>
      </c>
      <c r="AW33" s="53" t="s">
        <v>6</v>
      </c>
      <c r="AX33" s="41" t="s">
        <v>6</v>
      </c>
      <c r="AY33" s="54" t="s">
        <v>6</v>
      </c>
      <c r="AZ33" s="46" t="s">
        <v>6</v>
      </c>
      <c r="BA33" s="53" t="s">
        <v>6</v>
      </c>
      <c r="BB33" s="46" t="s">
        <v>6</v>
      </c>
      <c r="BC33" s="53" t="s">
        <v>6</v>
      </c>
      <c r="BD33" s="46" t="s">
        <v>6</v>
      </c>
      <c r="BE33" s="53" t="s">
        <v>6</v>
      </c>
      <c r="BF33" s="46" t="s">
        <v>6</v>
      </c>
      <c r="BG33" s="48" t="s">
        <v>6</v>
      </c>
      <c r="BH33" s="48" t="s">
        <v>6</v>
      </c>
      <c r="BI33" s="132" t="str">
        <f t="shared" si="3"/>
        <v xml:space="preserve"> - </v>
      </c>
      <c r="BJ33" s="132" t="str">
        <f t="shared" si="4"/>
        <v xml:space="preserve"> - </v>
      </c>
      <c r="BK33" s="49" t="s">
        <v>6</v>
      </c>
      <c r="BL33" s="46" t="s">
        <v>6</v>
      </c>
      <c r="BM33" s="48" t="s">
        <v>6</v>
      </c>
      <c r="BN33" s="53" t="s">
        <v>6</v>
      </c>
      <c r="BO33" s="46" t="s">
        <v>6</v>
      </c>
      <c r="BP33" s="48" t="s">
        <v>6</v>
      </c>
      <c r="BQ33" s="53" t="s">
        <v>6</v>
      </c>
      <c r="BR33" s="46" t="s">
        <v>6</v>
      </c>
      <c r="BS33" s="48" t="s">
        <v>6</v>
      </c>
      <c r="BT33" s="53" t="s">
        <v>6</v>
      </c>
      <c r="BU33" s="46" t="s">
        <v>6</v>
      </c>
      <c r="BV33" s="48" t="s">
        <v>6</v>
      </c>
      <c r="BW33" s="53" t="s">
        <v>6</v>
      </c>
      <c r="BX33" s="55" t="s">
        <v>6</v>
      </c>
      <c r="BY33" s="49" t="s">
        <v>6</v>
      </c>
      <c r="BZ33" s="55" t="s">
        <v>6</v>
      </c>
      <c r="CA33" s="49" t="s">
        <v>6</v>
      </c>
      <c r="CB33" s="55" t="s">
        <v>6</v>
      </c>
      <c r="CC33" s="49" t="s">
        <v>6</v>
      </c>
      <c r="CD33" s="55" t="s">
        <v>6</v>
      </c>
      <c r="CE33" s="56" t="s">
        <v>6</v>
      </c>
      <c r="CF33" s="57" t="s">
        <v>6</v>
      </c>
    </row>
    <row r="34" spans="1:84" s="2" customFormat="1" ht="24.9" customHeight="1">
      <c r="A34" s="40"/>
      <c r="B34" s="40"/>
      <c r="C34" s="59"/>
      <c r="D34" s="40"/>
      <c r="E34" s="43"/>
      <c r="F34" s="44"/>
      <c r="G34" s="44" t="str">
        <f t="shared" si="0"/>
        <v/>
      </c>
      <c r="H34" s="44" t="s">
        <v>6</v>
      </c>
      <c r="I34" s="45" t="s">
        <v>6</v>
      </c>
      <c r="J34" s="44" t="s">
        <v>6</v>
      </c>
      <c r="K34" s="45" t="s">
        <v>6</v>
      </c>
      <c r="L34" s="46" t="s">
        <v>6</v>
      </c>
      <c r="M34" s="47" t="s">
        <v>6</v>
      </c>
      <c r="N34" s="46" t="s">
        <v>6</v>
      </c>
      <c r="O34" s="48" t="s">
        <v>6</v>
      </c>
      <c r="P34" s="49"/>
      <c r="Q34" s="50" t="s">
        <v>6</v>
      </c>
      <c r="R34" s="51" t="s">
        <v>6</v>
      </c>
      <c r="S34" s="52" t="s">
        <v>6</v>
      </c>
      <c r="T34" s="130" t="str">
        <f t="shared" si="1"/>
        <v xml:space="preserve"> - </v>
      </c>
      <c r="U34" s="50" t="s">
        <v>6</v>
      </c>
      <c r="V34" s="51" t="s">
        <v>6</v>
      </c>
      <c r="W34" s="51" t="s">
        <v>6</v>
      </c>
      <c r="X34" s="130" t="str">
        <f t="shared" si="2"/>
        <v xml:space="preserve"> - </v>
      </c>
      <c r="Y34" s="41" t="s">
        <v>6</v>
      </c>
      <c r="Z34" s="46" t="s">
        <v>6</v>
      </c>
      <c r="AA34" s="48" t="s">
        <v>6</v>
      </c>
      <c r="AB34" s="53" t="s">
        <v>6</v>
      </c>
      <c r="AC34" s="46" t="s">
        <v>6</v>
      </c>
      <c r="AD34" s="48" t="s">
        <v>6</v>
      </c>
      <c r="AE34" s="53" t="s">
        <v>6</v>
      </c>
      <c r="AF34" s="46" t="s">
        <v>6</v>
      </c>
      <c r="AG34" s="48" t="s">
        <v>6</v>
      </c>
      <c r="AH34" s="53" t="s">
        <v>6</v>
      </c>
      <c r="AI34" s="46" t="s">
        <v>6</v>
      </c>
      <c r="AJ34" s="48" t="s">
        <v>6</v>
      </c>
      <c r="AK34" s="53" t="s">
        <v>6</v>
      </c>
      <c r="AL34" s="46" t="s">
        <v>6</v>
      </c>
      <c r="AM34" s="48" t="s">
        <v>6</v>
      </c>
      <c r="AN34" s="53" t="s">
        <v>6</v>
      </c>
      <c r="AO34" s="46" t="s">
        <v>6</v>
      </c>
      <c r="AP34" s="48" t="s">
        <v>6</v>
      </c>
      <c r="AQ34" s="53" t="s">
        <v>6</v>
      </c>
      <c r="AR34" s="46" t="s">
        <v>6</v>
      </c>
      <c r="AS34" s="48" t="s">
        <v>6</v>
      </c>
      <c r="AT34" s="53" t="s">
        <v>6</v>
      </c>
      <c r="AU34" s="46" t="s">
        <v>6</v>
      </c>
      <c r="AV34" s="48" t="s">
        <v>6</v>
      </c>
      <c r="AW34" s="53" t="s">
        <v>6</v>
      </c>
      <c r="AX34" s="41" t="s">
        <v>6</v>
      </c>
      <c r="AY34" s="54" t="s">
        <v>6</v>
      </c>
      <c r="AZ34" s="46" t="s">
        <v>6</v>
      </c>
      <c r="BA34" s="53" t="s">
        <v>6</v>
      </c>
      <c r="BB34" s="46" t="s">
        <v>6</v>
      </c>
      <c r="BC34" s="53" t="s">
        <v>6</v>
      </c>
      <c r="BD34" s="46" t="s">
        <v>6</v>
      </c>
      <c r="BE34" s="53" t="s">
        <v>6</v>
      </c>
      <c r="BF34" s="46" t="s">
        <v>6</v>
      </c>
      <c r="BG34" s="48" t="s">
        <v>6</v>
      </c>
      <c r="BH34" s="48" t="s">
        <v>6</v>
      </c>
      <c r="BI34" s="132" t="str">
        <f t="shared" si="3"/>
        <v xml:space="preserve"> - </v>
      </c>
      <c r="BJ34" s="132" t="str">
        <f t="shared" si="4"/>
        <v xml:space="preserve"> - </v>
      </c>
      <c r="BK34" s="49" t="s">
        <v>6</v>
      </c>
      <c r="BL34" s="46" t="s">
        <v>6</v>
      </c>
      <c r="BM34" s="48" t="s">
        <v>6</v>
      </c>
      <c r="BN34" s="53" t="s">
        <v>6</v>
      </c>
      <c r="BO34" s="46" t="s">
        <v>6</v>
      </c>
      <c r="BP34" s="48" t="s">
        <v>6</v>
      </c>
      <c r="BQ34" s="53" t="s">
        <v>6</v>
      </c>
      <c r="BR34" s="46" t="s">
        <v>6</v>
      </c>
      <c r="BS34" s="48" t="s">
        <v>6</v>
      </c>
      <c r="BT34" s="53" t="s">
        <v>6</v>
      </c>
      <c r="BU34" s="46" t="s">
        <v>6</v>
      </c>
      <c r="BV34" s="48" t="s">
        <v>6</v>
      </c>
      <c r="BW34" s="53" t="s">
        <v>6</v>
      </c>
      <c r="BX34" s="55" t="s">
        <v>6</v>
      </c>
      <c r="BY34" s="49" t="s">
        <v>6</v>
      </c>
      <c r="BZ34" s="55" t="s">
        <v>6</v>
      </c>
      <c r="CA34" s="49" t="s">
        <v>6</v>
      </c>
      <c r="CB34" s="55" t="s">
        <v>6</v>
      </c>
      <c r="CC34" s="49" t="s">
        <v>6</v>
      </c>
      <c r="CD34" s="55" t="s">
        <v>6</v>
      </c>
      <c r="CE34" s="56" t="s">
        <v>6</v>
      </c>
      <c r="CF34" s="57" t="s">
        <v>6</v>
      </c>
    </row>
    <row r="35" spans="1:84" s="2" customFormat="1" ht="24.9" customHeight="1">
      <c r="A35" s="40"/>
      <c r="B35" s="40"/>
      <c r="C35" s="59"/>
      <c r="D35" s="40"/>
      <c r="E35" s="43"/>
      <c r="F35" s="44"/>
      <c r="G35" s="44" t="str">
        <f t="shared" si="0"/>
        <v/>
      </c>
      <c r="H35" s="44" t="s">
        <v>6</v>
      </c>
      <c r="I35" s="45" t="s">
        <v>6</v>
      </c>
      <c r="J35" s="44" t="s">
        <v>6</v>
      </c>
      <c r="K35" s="45" t="s">
        <v>6</v>
      </c>
      <c r="L35" s="46" t="s">
        <v>6</v>
      </c>
      <c r="M35" s="47" t="s">
        <v>6</v>
      </c>
      <c r="N35" s="46" t="s">
        <v>6</v>
      </c>
      <c r="O35" s="48" t="s">
        <v>6</v>
      </c>
      <c r="P35" s="49"/>
      <c r="Q35" s="50" t="s">
        <v>6</v>
      </c>
      <c r="R35" s="51" t="s">
        <v>6</v>
      </c>
      <c r="S35" s="52" t="s">
        <v>6</v>
      </c>
      <c r="T35" s="130" t="str">
        <f t="shared" si="1"/>
        <v xml:space="preserve"> - </v>
      </c>
      <c r="U35" s="50" t="s">
        <v>6</v>
      </c>
      <c r="V35" s="51" t="s">
        <v>6</v>
      </c>
      <c r="W35" s="51" t="s">
        <v>6</v>
      </c>
      <c r="X35" s="130" t="str">
        <f t="shared" si="2"/>
        <v xml:space="preserve"> - </v>
      </c>
      <c r="Y35" s="41" t="s">
        <v>6</v>
      </c>
      <c r="Z35" s="46" t="s">
        <v>6</v>
      </c>
      <c r="AA35" s="48" t="s">
        <v>6</v>
      </c>
      <c r="AB35" s="53" t="s">
        <v>6</v>
      </c>
      <c r="AC35" s="46" t="s">
        <v>6</v>
      </c>
      <c r="AD35" s="48" t="s">
        <v>6</v>
      </c>
      <c r="AE35" s="53" t="s">
        <v>6</v>
      </c>
      <c r="AF35" s="46" t="s">
        <v>6</v>
      </c>
      <c r="AG35" s="48" t="s">
        <v>6</v>
      </c>
      <c r="AH35" s="53" t="s">
        <v>6</v>
      </c>
      <c r="AI35" s="46" t="s">
        <v>6</v>
      </c>
      <c r="AJ35" s="48" t="s">
        <v>6</v>
      </c>
      <c r="AK35" s="53" t="s">
        <v>6</v>
      </c>
      <c r="AL35" s="46" t="s">
        <v>6</v>
      </c>
      <c r="AM35" s="48" t="s">
        <v>6</v>
      </c>
      <c r="AN35" s="53" t="s">
        <v>6</v>
      </c>
      <c r="AO35" s="46" t="s">
        <v>6</v>
      </c>
      <c r="AP35" s="48" t="s">
        <v>6</v>
      </c>
      <c r="AQ35" s="53" t="s">
        <v>6</v>
      </c>
      <c r="AR35" s="46" t="s">
        <v>6</v>
      </c>
      <c r="AS35" s="48" t="s">
        <v>6</v>
      </c>
      <c r="AT35" s="53" t="s">
        <v>6</v>
      </c>
      <c r="AU35" s="46" t="s">
        <v>6</v>
      </c>
      <c r="AV35" s="48" t="s">
        <v>6</v>
      </c>
      <c r="AW35" s="53" t="s">
        <v>6</v>
      </c>
      <c r="AX35" s="41" t="s">
        <v>6</v>
      </c>
      <c r="AY35" s="54" t="s">
        <v>6</v>
      </c>
      <c r="AZ35" s="46" t="s">
        <v>6</v>
      </c>
      <c r="BA35" s="53" t="s">
        <v>6</v>
      </c>
      <c r="BB35" s="46" t="s">
        <v>6</v>
      </c>
      <c r="BC35" s="53" t="s">
        <v>6</v>
      </c>
      <c r="BD35" s="46" t="s">
        <v>6</v>
      </c>
      <c r="BE35" s="53" t="s">
        <v>6</v>
      </c>
      <c r="BF35" s="46" t="s">
        <v>6</v>
      </c>
      <c r="BG35" s="48" t="s">
        <v>6</v>
      </c>
      <c r="BH35" s="48" t="s">
        <v>6</v>
      </c>
      <c r="BI35" s="132" t="str">
        <f t="shared" si="3"/>
        <v xml:space="preserve"> - </v>
      </c>
      <c r="BJ35" s="132" t="str">
        <f t="shared" si="4"/>
        <v xml:space="preserve"> - </v>
      </c>
      <c r="BK35" s="49" t="s">
        <v>6</v>
      </c>
      <c r="BL35" s="46" t="s">
        <v>6</v>
      </c>
      <c r="BM35" s="48" t="s">
        <v>6</v>
      </c>
      <c r="BN35" s="53" t="s">
        <v>6</v>
      </c>
      <c r="BO35" s="46" t="s">
        <v>6</v>
      </c>
      <c r="BP35" s="48" t="s">
        <v>6</v>
      </c>
      <c r="BQ35" s="53" t="s">
        <v>6</v>
      </c>
      <c r="BR35" s="46" t="s">
        <v>6</v>
      </c>
      <c r="BS35" s="48" t="s">
        <v>6</v>
      </c>
      <c r="BT35" s="53" t="s">
        <v>6</v>
      </c>
      <c r="BU35" s="46" t="s">
        <v>6</v>
      </c>
      <c r="BV35" s="48" t="s">
        <v>6</v>
      </c>
      <c r="BW35" s="53" t="s">
        <v>6</v>
      </c>
      <c r="BX35" s="55" t="s">
        <v>6</v>
      </c>
      <c r="BY35" s="49" t="s">
        <v>6</v>
      </c>
      <c r="BZ35" s="55" t="s">
        <v>6</v>
      </c>
      <c r="CA35" s="49" t="s">
        <v>6</v>
      </c>
      <c r="CB35" s="55" t="s">
        <v>6</v>
      </c>
      <c r="CC35" s="49" t="s">
        <v>6</v>
      </c>
      <c r="CD35" s="55" t="s">
        <v>6</v>
      </c>
      <c r="CE35" s="56" t="s">
        <v>6</v>
      </c>
      <c r="CF35" s="57" t="s">
        <v>6</v>
      </c>
    </row>
    <row r="36" spans="1:84" s="2" customFormat="1" ht="24.9" customHeight="1">
      <c r="A36" s="40"/>
      <c r="B36" s="40"/>
      <c r="C36" s="59"/>
      <c r="D36" s="40"/>
      <c r="E36" s="43"/>
      <c r="F36" s="44"/>
      <c r="G36" s="44" t="str">
        <f t="shared" si="0"/>
        <v/>
      </c>
      <c r="H36" s="44" t="s">
        <v>6</v>
      </c>
      <c r="I36" s="45" t="s">
        <v>6</v>
      </c>
      <c r="J36" s="44" t="s">
        <v>6</v>
      </c>
      <c r="K36" s="45" t="s">
        <v>6</v>
      </c>
      <c r="L36" s="46" t="s">
        <v>6</v>
      </c>
      <c r="M36" s="47" t="s">
        <v>6</v>
      </c>
      <c r="N36" s="46" t="s">
        <v>6</v>
      </c>
      <c r="O36" s="48" t="s">
        <v>6</v>
      </c>
      <c r="P36" s="49"/>
      <c r="Q36" s="50" t="s">
        <v>6</v>
      </c>
      <c r="R36" s="51" t="s">
        <v>6</v>
      </c>
      <c r="S36" s="52" t="s">
        <v>6</v>
      </c>
      <c r="T36" s="130" t="str">
        <f t="shared" si="1"/>
        <v xml:space="preserve"> - </v>
      </c>
      <c r="U36" s="50" t="s">
        <v>6</v>
      </c>
      <c r="V36" s="51" t="s">
        <v>6</v>
      </c>
      <c r="W36" s="51" t="s">
        <v>6</v>
      </c>
      <c r="X36" s="130" t="str">
        <f t="shared" si="2"/>
        <v xml:space="preserve"> - </v>
      </c>
      <c r="Y36" s="41" t="s">
        <v>6</v>
      </c>
      <c r="Z36" s="46" t="s">
        <v>6</v>
      </c>
      <c r="AA36" s="48" t="s">
        <v>6</v>
      </c>
      <c r="AB36" s="53" t="s">
        <v>6</v>
      </c>
      <c r="AC36" s="46" t="s">
        <v>6</v>
      </c>
      <c r="AD36" s="48" t="s">
        <v>6</v>
      </c>
      <c r="AE36" s="53" t="s">
        <v>6</v>
      </c>
      <c r="AF36" s="46" t="s">
        <v>6</v>
      </c>
      <c r="AG36" s="48" t="s">
        <v>6</v>
      </c>
      <c r="AH36" s="53" t="s">
        <v>6</v>
      </c>
      <c r="AI36" s="46" t="s">
        <v>6</v>
      </c>
      <c r="AJ36" s="48" t="s">
        <v>6</v>
      </c>
      <c r="AK36" s="53" t="s">
        <v>6</v>
      </c>
      <c r="AL36" s="46" t="s">
        <v>6</v>
      </c>
      <c r="AM36" s="48" t="s">
        <v>6</v>
      </c>
      <c r="AN36" s="53" t="s">
        <v>6</v>
      </c>
      <c r="AO36" s="46" t="s">
        <v>6</v>
      </c>
      <c r="AP36" s="48" t="s">
        <v>6</v>
      </c>
      <c r="AQ36" s="53" t="s">
        <v>6</v>
      </c>
      <c r="AR36" s="46" t="s">
        <v>6</v>
      </c>
      <c r="AS36" s="48" t="s">
        <v>6</v>
      </c>
      <c r="AT36" s="53" t="s">
        <v>6</v>
      </c>
      <c r="AU36" s="46" t="s">
        <v>6</v>
      </c>
      <c r="AV36" s="48" t="s">
        <v>6</v>
      </c>
      <c r="AW36" s="53" t="s">
        <v>6</v>
      </c>
      <c r="AX36" s="41" t="s">
        <v>6</v>
      </c>
      <c r="AY36" s="54" t="s">
        <v>6</v>
      </c>
      <c r="AZ36" s="46" t="s">
        <v>6</v>
      </c>
      <c r="BA36" s="53" t="s">
        <v>6</v>
      </c>
      <c r="BB36" s="46" t="s">
        <v>6</v>
      </c>
      <c r="BC36" s="53" t="s">
        <v>6</v>
      </c>
      <c r="BD36" s="46" t="s">
        <v>6</v>
      </c>
      <c r="BE36" s="53" t="s">
        <v>6</v>
      </c>
      <c r="BF36" s="46" t="s">
        <v>6</v>
      </c>
      <c r="BG36" s="48" t="s">
        <v>6</v>
      </c>
      <c r="BH36" s="48" t="s">
        <v>6</v>
      </c>
      <c r="BI36" s="132" t="str">
        <f t="shared" si="3"/>
        <v xml:space="preserve"> - </v>
      </c>
      <c r="BJ36" s="132" t="str">
        <f t="shared" si="4"/>
        <v xml:space="preserve"> - </v>
      </c>
      <c r="BK36" s="49" t="s">
        <v>6</v>
      </c>
      <c r="BL36" s="46" t="s">
        <v>6</v>
      </c>
      <c r="BM36" s="48" t="s">
        <v>6</v>
      </c>
      <c r="BN36" s="53" t="s">
        <v>6</v>
      </c>
      <c r="BO36" s="46" t="s">
        <v>6</v>
      </c>
      <c r="BP36" s="48" t="s">
        <v>6</v>
      </c>
      <c r="BQ36" s="53" t="s">
        <v>6</v>
      </c>
      <c r="BR36" s="46" t="s">
        <v>6</v>
      </c>
      <c r="BS36" s="48" t="s">
        <v>6</v>
      </c>
      <c r="BT36" s="53" t="s">
        <v>6</v>
      </c>
      <c r="BU36" s="46" t="s">
        <v>6</v>
      </c>
      <c r="BV36" s="48" t="s">
        <v>6</v>
      </c>
      <c r="BW36" s="53" t="s">
        <v>6</v>
      </c>
      <c r="BX36" s="55" t="s">
        <v>6</v>
      </c>
      <c r="BY36" s="49" t="s">
        <v>6</v>
      </c>
      <c r="BZ36" s="55" t="s">
        <v>6</v>
      </c>
      <c r="CA36" s="49" t="s">
        <v>6</v>
      </c>
      <c r="CB36" s="55" t="s">
        <v>6</v>
      </c>
      <c r="CC36" s="49" t="s">
        <v>6</v>
      </c>
      <c r="CD36" s="55" t="s">
        <v>6</v>
      </c>
      <c r="CE36" s="56" t="s">
        <v>6</v>
      </c>
      <c r="CF36" s="57" t="s">
        <v>6</v>
      </c>
    </row>
    <row r="37" spans="1:84" s="2" customFormat="1" ht="24.9" customHeight="1">
      <c r="A37" s="40"/>
      <c r="B37" s="40"/>
      <c r="C37" s="59"/>
      <c r="D37" s="40"/>
      <c r="E37" s="43"/>
      <c r="F37" s="44"/>
      <c r="G37" s="44" t="str">
        <f t="shared" si="0"/>
        <v/>
      </c>
      <c r="H37" s="44" t="s">
        <v>6</v>
      </c>
      <c r="I37" s="45" t="s">
        <v>6</v>
      </c>
      <c r="J37" s="44" t="s">
        <v>6</v>
      </c>
      <c r="K37" s="45" t="s">
        <v>6</v>
      </c>
      <c r="L37" s="46" t="s">
        <v>6</v>
      </c>
      <c r="M37" s="47" t="s">
        <v>6</v>
      </c>
      <c r="N37" s="46" t="s">
        <v>6</v>
      </c>
      <c r="O37" s="48" t="s">
        <v>6</v>
      </c>
      <c r="P37" s="49"/>
      <c r="Q37" s="50" t="s">
        <v>6</v>
      </c>
      <c r="R37" s="51" t="s">
        <v>6</v>
      </c>
      <c r="S37" s="52" t="s">
        <v>6</v>
      </c>
      <c r="T37" s="130" t="str">
        <f t="shared" si="1"/>
        <v xml:space="preserve"> - </v>
      </c>
      <c r="U37" s="50" t="s">
        <v>6</v>
      </c>
      <c r="V37" s="51" t="s">
        <v>6</v>
      </c>
      <c r="W37" s="51" t="s">
        <v>6</v>
      </c>
      <c r="X37" s="130" t="str">
        <f t="shared" si="2"/>
        <v xml:space="preserve"> - </v>
      </c>
      <c r="Y37" s="41" t="s">
        <v>6</v>
      </c>
      <c r="Z37" s="46" t="s">
        <v>6</v>
      </c>
      <c r="AA37" s="48" t="s">
        <v>6</v>
      </c>
      <c r="AB37" s="53" t="s">
        <v>6</v>
      </c>
      <c r="AC37" s="46" t="s">
        <v>6</v>
      </c>
      <c r="AD37" s="48" t="s">
        <v>6</v>
      </c>
      <c r="AE37" s="53" t="s">
        <v>6</v>
      </c>
      <c r="AF37" s="46" t="s">
        <v>6</v>
      </c>
      <c r="AG37" s="48" t="s">
        <v>6</v>
      </c>
      <c r="AH37" s="53" t="s">
        <v>6</v>
      </c>
      <c r="AI37" s="46" t="s">
        <v>6</v>
      </c>
      <c r="AJ37" s="48" t="s">
        <v>6</v>
      </c>
      <c r="AK37" s="53" t="s">
        <v>6</v>
      </c>
      <c r="AL37" s="46" t="s">
        <v>6</v>
      </c>
      <c r="AM37" s="48" t="s">
        <v>6</v>
      </c>
      <c r="AN37" s="53" t="s">
        <v>6</v>
      </c>
      <c r="AO37" s="46" t="s">
        <v>6</v>
      </c>
      <c r="AP37" s="48" t="s">
        <v>6</v>
      </c>
      <c r="AQ37" s="53" t="s">
        <v>6</v>
      </c>
      <c r="AR37" s="46" t="s">
        <v>6</v>
      </c>
      <c r="AS37" s="48" t="s">
        <v>6</v>
      </c>
      <c r="AT37" s="53" t="s">
        <v>6</v>
      </c>
      <c r="AU37" s="46" t="s">
        <v>6</v>
      </c>
      <c r="AV37" s="48" t="s">
        <v>6</v>
      </c>
      <c r="AW37" s="53" t="s">
        <v>6</v>
      </c>
      <c r="AX37" s="41" t="s">
        <v>6</v>
      </c>
      <c r="AY37" s="54" t="s">
        <v>6</v>
      </c>
      <c r="AZ37" s="46" t="s">
        <v>6</v>
      </c>
      <c r="BA37" s="53" t="s">
        <v>6</v>
      </c>
      <c r="BB37" s="46" t="s">
        <v>6</v>
      </c>
      <c r="BC37" s="53" t="s">
        <v>6</v>
      </c>
      <c r="BD37" s="46" t="s">
        <v>6</v>
      </c>
      <c r="BE37" s="53" t="s">
        <v>6</v>
      </c>
      <c r="BF37" s="46" t="s">
        <v>6</v>
      </c>
      <c r="BG37" s="48" t="s">
        <v>6</v>
      </c>
      <c r="BH37" s="48" t="s">
        <v>6</v>
      </c>
      <c r="BI37" s="132" t="str">
        <f t="shared" si="3"/>
        <v xml:space="preserve"> - </v>
      </c>
      <c r="BJ37" s="132" t="str">
        <f t="shared" si="4"/>
        <v xml:space="preserve"> - </v>
      </c>
      <c r="BK37" s="49" t="s">
        <v>6</v>
      </c>
      <c r="BL37" s="46" t="s">
        <v>6</v>
      </c>
      <c r="BM37" s="48" t="s">
        <v>6</v>
      </c>
      <c r="BN37" s="53" t="s">
        <v>6</v>
      </c>
      <c r="BO37" s="46" t="s">
        <v>6</v>
      </c>
      <c r="BP37" s="48" t="s">
        <v>6</v>
      </c>
      <c r="BQ37" s="53" t="s">
        <v>6</v>
      </c>
      <c r="BR37" s="46" t="s">
        <v>6</v>
      </c>
      <c r="BS37" s="48" t="s">
        <v>6</v>
      </c>
      <c r="BT37" s="53" t="s">
        <v>6</v>
      </c>
      <c r="BU37" s="46" t="s">
        <v>6</v>
      </c>
      <c r="BV37" s="48" t="s">
        <v>6</v>
      </c>
      <c r="BW37" s="53" t="s">
        <v>6</v>
      </c>
      <c r="BX37" s="55" t="s">
        <v>6</v>
      </c>
      <c r="BY37" s="49" t="s">
        <v>6</v>
      </c>
      <c r="BZ37" s="55" t="s">
        <v>6</v>
      </c>
      <c r="CA37" s="49" t="s">
        <v>6</v>
      </c>
      <c r="CB37" s="55" t="s">
        <v>6</v>
      </c>
      <c r="CC37" s="49" t="s">
        <v>6</v>
      </c>
      <c r="CD37" s="55" t="s">
        <v>6</v>
      </c>
      <c r="CE37" s="56" t="s">
        <v>6</v>
      </c>
      <c r="CF37" s="57" t="s">
        <v>6</v>
      </c>
    </row>
    <row r="38" spans="1:84" s="2" customFormat="1" ht="24.9" customHeight="1">
      <c r="A38" s="40"/>
      <c r="B38" s="40"/>
      <c r="C38" s="59"/>
      <c r="D38" s="40"/>
      <c r="E38" s="43"/>
      <c r="F38" s="44"/>
      <c r="G38" s="44" t="str">
        <f t="shared" si="0"/>
        <v/>
      </c>
      <c r="H38" s="44" t="s">
        <v>6</v>
      </c>
      <c r="I38" s="45" t="s">
        <v>6</v>
      </c>
      <c r="J38" s="44" t="s">
        <v>6</v>
      </c>
      <c r="K38" s="45" t="s">
        <v>6</v>
      </c>
      <c r="L38" s="46" t="s">
        <v>6</v>
      </c>
      <c r="M38" s="47" t="s">
        <v>6</v>
      </c>
      <c r="N38" s="46" t="s">
        <v>6</v>
      </c>
      <c r="O38" s="48" t="s">
        <v>6</v>
      </c>
      <c r="P38" s="49"/>
      <c r="Q38" s="50" t="s">
        <v>6</v>
      </c>
      <c r="R38" s="51" t="s">
        <v>6</v>
      </c>
      <c r="S38" s="52" t="s">
        <v>6</v>
      </c>
      <c r="T38" s="130" t="str">
        <f t="shared" si="1"/>
        <v xml:space="preserve"> - </v>
      </c>
      <c r="U38" s="50" t="s">
        <v>6</v>
      </c>
      <c r="V38" s="51" t="s">
        <v>6</v>
      </c>
      <c r="W38" s="51" t="s">
        <v>6</v>
      </c>
      <c r="X38" s="130" t="str">
        <f t="shared" si="2"/>
        <v xml:space="preserve"> - </v>
      </c>
      <c r="Y38" s="41" t="s">
        <v>6</v>
      </c>
      <c r="Z38" s="46" t="s">
        <v>6</v>
      </c>
      <c r="AA38" s="48" t="s">
        <v>6</v>
      </c>
      <c r="AB38" s="53" t="s">
        <v>6</v>
      </c>
      <c r="AC38" s="46" t="s">
        <v>6</v>
      </c>
      <c r="AD38" s="48" t="s">
        <v>6</v>
      </c>
      <c r="AE38" s="53" t="s">
        <v>6</v>
      </c>
      <c r="AF38" s="46" t="s">
        <v>6</v>
      </c>
      <c r="AG38" s="48" t="s">
        <v>6</v>
      </c>
      <c r="AH38" s="53" t="s">
        <v>6</v>
      </c>
      <c r="AI38" s="46" t="s">
        <v>6</v>
      </c>
      <c r="AJ38" s="48" t="s">
        <v>6</v>
      </c>
      <c r="AK38" s="53" t="s">
        <v>6</v>
      </c>
      <c r="AL38" s="46" t="s">
        <v>6</v>
      </c>
      <c r="AM38" s="48" t="s">
        <v>6</v>
      </c>
      <c r="AN38" s="53" t="s">
        <v>6</v>
      </c>
      <c r="AO38" s="46" t="s">
        <v>6</v>
      </c>
      <c r="AP38" s="48" t="s">
        <v>6</v>
      </c>
      <c r="AQ38" s="53" t="s">
        <v>6</v>
      </c>
      <c r="AR38" s="46" t="s">
        <v>6</v>
      </c>
      <c r="AS38" s="48" t="s">
        <v>6</v>
      </c>
      <c r="AT38" s="53" t="s">
        <v>6</v>
      </c>
      <c r="AU38" s="46" t="s">
        <v>6</v>
      </c>
      <c r="AV38" s="48" t="s">
        <v>6</v>
      </c>
      <c r="AW38" s="53" t="s">
        <v>6</v>
      </c>
      <c r="AX38" s="41" t="s">
        <v>6</v>
      </c>
      <c r="AY38" s="54" t="s">
        <v>6</v>
      </c>
      <c r="AZ38" s="46" t="s">
        <v>6</v>
      </c>
      <c r="BA38" s="53" t="s">
        <v>6</v>
      </c>
      <c r="BB38" s="46" t="s">
        <v>6</v>
      </c>
      <c r="BC38" s="53" t="s">
        <v>6</v>
      </c>
      <c r="BD38" s="46" t="s">
        <v>6</v>
      </c>
      <c r="BE38" s="53" t="s">
        <v>6</v>
      </c>
      <c r="BF38" s="46" t="s">
        <v>6</v>
      </c>
      <c r="BG38" s="48" t="s">
        <v>6</v>
      </c>
      <c r="BH38" s="48" t="s">
        <v>6</v>
      </c>
      <c r="BI38" s="132" t="str">
        <f t="shared" si="3"/>
        <v xml:space="preserve"> - </v>
      </c>
      <c r="BJ38" s="132" t="str">
        <f t="shared" si="4"/>
        <v xml:space="preserve"> - </v>
      </c>
      <c r="BK38" s="49" t="s">
        <v>6</v>
      </c>
      <c r="BL38" s="46" t="s">
        <v>6</v>
      </c>
      <c r="BM38" s="48" t="s">
        <v>6</v>
      </c>
      <c r="BN38" s="53" t="s">
        <v>6</v>
      </c>
      <c r="BO38" s="46" t="s">
        <v>6</v>
      </c>
      <c r="BP38" s="48" t="s">
        <v>6</v>
      </c>
      <c r="BQ38" s="53" t="s">
        <v>6</v>
      </c>
      <c r="BR38" s="46" t="s">
        <v>6</v>
      </c>
      <c r="BS38" s="48" t="s">
        <v>6</v>
      </c>
      <c r="BT38" s="53" t="s">
        <v>6</v>
      </c>
      <c r="BU38" s="46" t="s">
        <v>6</v>
      </c>
      <c r="BV38" s="48" t="s">
        <v>6</v>
      </c>
      <c r="BW38" s="53" t="s">
        <v>6</v>
      </c>
      <c r="BX38" s="55" t="s">
        <v>6</v>
      </c>
      <c r="BY38" s="49" t="s">
        <v>6</v>
      </c>
      <c r="BZ38" s="55" t="s">
        <v>6</v>
      </c>
      <c r="CA38" s="49" t="s">
        <v>6</v>
      </c>
      <c r="CB38" s="55" t="s">
        <v>6</v>
      </c>
      <c r="CC38" s="49" t="s">
        <v>6</v>
      </c>
      <c r="CD38" s="55" t="s">
        <v>6</v>
      </c>
      <c r="CE38" s="56" t="s">
        <v>6</v>
      </c>
      <c r="CF38" s="57" t="s">
        <v>6</v>
      </c>
    </row>
    <row r="39" spans="1:84" s="2" customFormat="1" ht="24.9" customHeight="1">
      <c r="A39" s="40"/>
      <c r="B39" s="40"/>
      <c r="C39" s="59"/>
      <c r="D39" s="40"/>
      <c r="E39" s="43"/>
      <c r="F39" s="44"/>
      <c r="G39" s="44" t="str">
        <f t="shared" si="0"/>
        <v/>
      </c>
      <c r="H39" s="44" t="s">
        <v>6</v>
      </c>
      <c r="I39" s="45" t="s">
        <v>6</v>
      </c>
      <c r="J39" s="44" t="s">
        <v>6</v>
      </c>
      <c r="K39" s="45" t="s">
        <v>6</v>
      </c>
      <c r="L39" s="46" t="s">
        <v>6</v>
      </c>
      <c r="M39" s="47" t="s">
        <v>6</v>
      </c>
      <c r="N39" s="46" t="s">
        <v>6</v>
      </c>
      <c r="O39" s="48" t="s">
        <v>6</v>
      </c>
      <c r="P39" s="49"/>
      <c r="Q39" s="50" t="s">
        <v>6</v>
      </c>
      <c r="R39" s="51" t="s">
        <v>6</v>
      </c>
      <c r="S39" s="52" t="s">
        <v>6</v>
      </c>
      <c r="T39" s="130" t="str">
        <f t="shared" si="1"/>
        <v xml:space="preserve"> - </v>
      </c>
      <c r="U39" s="50" t="s">
        <v>6</v>
      </c>
      <c r="V39" s="51" t="s">
        <v>6</v>
      </c>
      <c r="W39" s="51" t="s">
        <v>6</v>
      </c>
      <c r="X39" s="130" t="str">
        <f t="shared" si="2"/>
        <v xml:space="preserve"> - </v>
      </c>
      <c r="Y39" s="41" t="s">
        <v>6</v>
      </c>
      <c r="Z39" s="46" t="s">
        <v>6</v>
      </c>
      <c r="AA39" s="48" t="s">
        <v>6</v>
      </c>
      <c r="AB39" s="53" t="s">
        <v>6</v>
      </c>
      <c r="AC39" s="46" t="s">
        <v>6</v>
      </c>
      <c r="AD39" s="48" t="s">
        <v>6</v>
      </c>
      <c r="AE39" s="53" t="s">
        <v>6</v>
      </c>
      <c r="AF39" s="46" t="s">
        <v>6</v>
      </c>
      <c r="AG39" s="48" t="s">
        <v>6</v>
      </c>
      <c r="AH39" s="53" t="s">
        <v>6</v>
      </c>
      <c r="AI39" s="46" t="s">
        <v>6</v>
      </c>
      <c r="AJ39" s="48" t="s">
        <v>6</v>
      </c>
      <c r="AK39" s="53" t="s">
        <v>6</v>
      </c>
      <c r="AL39" s="46" t="s">
        <v>6</v>
      </c>
      <c r="AM39" s="48" t="s">
        <v>6</v>
      </c>
      <c r="AN39" s="53" t="s">
        <v>6</v>
      </c>
      <c r="AO39" s="46" t="s">
        <v>6</v>
      </c>
      <c r="AP39" s="48" t="s">
        <v>6</v>
      </c>
      <c r="AQ39" s="53" t="s">
        <v>6</v>
      </c>
      <c r="AR39" s="46" t="s">
        <v>6</v>
      </c>
      <c r="AS39" s="48" t="s">
        <v>6</v>
      </c>
      <c r="AT39" s="53" t="s">
        <v>6</v>
      </c>
      <c r="AU39" s="46" t="s">
        <v>6</v>
      </c>
      <c r="AV39" s="48" t="s">
        <v>6</v>
      </c>
      <c r="AW39" s="53" t="s">
        <v>6</v>
      </c>
      <c r="AX39" s="41" t="s">
        <v>6</v>
      </c>
      <c r="AY39" s="54" t="s">
        <v>6</v>
      </c>
      <c r="AZ39" s="46" t="s">
        <v>6</v>
      </c>
      <c r="BA39" s="53" t="s">
        <v>6</v>
      </c>
      <c r="BB39" s="46" t="s">
        <v>6</v>
      </c>
      <c r="BC39" s="53" t="s">
        <v>6</v>
      </c>
      <c r="BD39" s="46" t="s">
        <v>6</v>
      </c>
      <c r="BE39" s="53" t="s">
        <v>6</v>
      </c>
      <c r="BF39" s="46" t="s">
        <v>6</v>
      </c>
      <c r="BG39" s="48" t="s">
        <v>6</v>
      </c>
      <c r="BH39" s="48" t="s">
        <v>6</v>
      </c>
      <c r="BI39" s="132" t="str">
        <f t="shared" si="3"/>
        <v xml:space="preserve"> - </v>
      </c>
      <c r="BJ39" s="132" t="str">
        <f t="shared" si="4"/>
        <v xml:space="preserve"> - </v>
      </c>
      <c r="BK39" s="49" t="s">
        <v>6</v>
      </c>
      <c r="BL39" s="46" t="s">
        <v>6</v>
      </c>
      <c r="BM39" s="48" t="s">
        <v>6</v>
      </c>
      <c r="BN39" s="53" t="s">
        <v>6</v>
      </c>
      <c r="BO39" s="46" t="s">
        <v>6</v>
      </c>
      <c r="BP39" s="48" t="s">
        <v>6</v>
      </c>
      <c r="BQ39" s="53" t="s">
        <v>6</v>
      </c>
      <c r="BR39" s="46" t="s">
        <v>6</v>
      </c>
      <c r="BS39" s="48" t="s">
        <v>6</v>
      </c>
      <c r="BT39" s="53" t="s">
        <v>6</v>
      </c>
      <c r="BU39" s="46" t="s">
        <v>6</v>
      </c>
      <c r="BV39" s="48" t="s">
        <v>6</v>
      </c>
      <c r="BW39" s="53" t="s">
        <v>6</v>
      </c>
      <c r="BX39" s="55" t="s">
        <v>6</v>
      </c>
      <c r="BY39" s="49" t="s">
        <v>6</v>
      </c>
      <c r="BZ39" s="55" t="s">
        <v>6</v>
      </c>
      <c r="CA39" s="49" t="s">
        <v>6</v>
      </c>
      <c r="CB39" s="55" t="s">
        <v>6</v>
      </c>
      <c r="CC39" s="49" t="s">
        <v>6</v>
      </c>
      <c r="CD39" s="55" t="s">
        <v>6</v>
      </c>
      <c r="CE39" s="56" t="s">
        <v>6</v>
      </c>
      <c r="CF39" s="57" t="s">
        <v>6</v>
      </c>
    </row>
    <row r="40" spans="1:84" s="2" customFormat="1" ht="24.9" customHeight="1">
      <c r="A40" s="40"/>
      <c r="B40" s="40"/>
      <c r="C40" s="59"/>
      <c r="D40" s="40" t="s">
        <v>241</v>
      </c>
      <c r="E40" s="43"/>
      <c r="F40" s="44"/>
      <c r="G40" s="44" t="str">
        <f t="shared" si="0"/>
        <v/>
      </c>
      <c r="H40" s="44" t="s">
        <v>6</v>
      </c>
      <c r="I40" s="45" t="s">
        <v>6</v>
      </c>
      <c r="J40" s="44" t="s">
        <v>6</v>
      </c>
      <c r="K40" s="45" t="s">
        <v>6</v>
      </c>
      <c r="L40" s="46" t="s">
        <v>6</v>
      </c>
      <c r="M40" s="47" t="s">
        <v>6</v>
      </c>
      <c r="N40" s="46" t="s">
        <v>6</v>
      </c>
      <c r="O40" s="48" t="s">
        <v>6</v>
      </c>
      <c r="P40" s="49"/>
      <c r="Q40" s="50" t="s">
        <v>6</v>
      </c>
      <c r="R40" s="51" t="s">
        <v>6</v>
      </c>
      <c r="S40" s="52" t="s">
        <v>6</v>
      </c>
      <c r="T40" s="130" t="str">
        <f t="shared" si="1"/>
        <v xml:space="preserve"> - </v>
      </c>
      <c r="U40" s="50" t="s">
        <v>6</v>
      </c>
      <c r="V40" s="51" t="s">
        <v>6</v>
      </c>
      <c r="W40" s="51" t="s">
        <v>6</v>
      </c>
      <c r="X40" s="130" t="str">
        <f t="shared" si="2"/>
        <v xml:space="preserve"> - </v>
      </c>
      <c r="Y40" s="41" t="s">
        <v>6</v>
      </c>
      <c r="Z40" s="46" t="s">
        <v>6</v>
      </c>
      <c r="AA40" s="48" t="s">
        <v>6</v>
      </c>
      <c r="AB40" s="53" t="s">
        <v>6</v>
      </c>
      <c r="AC40" s="46" t="s">
        <v>6</v>
      </c>
      <c r="AD40" s="48" t="s">
        <v>6</v>
      </c>
      <c r="AE40" s="53" t="s">
        <v>6</v>
      </c>
      <c r="AF40" s="46" t="s">
        <v>6</v>
      </c>
      <c r="AG40" s="48" t="s">
        <v>6</v>
      </c>
      <c r="AH40" s="53" t="s">
        <v>6</v>
      </c>
      <c r="AI40" s="46" t="s">
        <v>6</v>
      </c>
      <c r="AJ40" s="48" t="s">
        <v>6</v>
      </c>
      <c r="AK40" s="53" t="s">
        <v>6</v>
      </c>
      <c r="AL40" s="46" t="s">
        <v>6</v>
      </c>
      <c r="AM40" s="48" t="s">
        <v>6</v>
      </c>
      <c r="AN40" s="53" t="s">
        <v>6</v>
      </c>
      <c r="AO40" s="46" t="s">
        <v>6</v>
      </c>
      <c r="AP40" s="48" t="s">
        <v>6</v>
      </c>
      <c r="AQ40" s="53" t="s">
        <v>6</v>
      </c>
      <c r="AR40" s="46" t="s">
        <v>6</v>
      </c>
      <c r="AS40" s="48" t="s">
        <v>6</v>
      </c>
      <c r="AT40" s="53" t="s">
        <v>6</v>
      </c>
      <c r="AU40" s="46" t="s">
        <v>6</v>
      </c>
      <c r="AV40" s="48" t="s">
        <v>6</v>
      </c>
      <c r="AW40" s="53" t="s">
        <v>6</v>
      </c>
      <c r="AX40" s="41" t="s">
        <v>6</v>
      </c>
      <c r="AY40" s="54" t="s">
        <v>6</v>
      </c>
      <c r="AZ40" s="46" t="s">
        <v>6</v>
      </c>
      <c r="BA40" s="53" t="s">
        <v>6</v>
      </c>
      <c r="BB40" s="46" t="s">
        <v>6</v>
      </c>
      <c r="BC40" s="53" t="s">
        <v>6</v>
      </c>
      <c r="BD40" s="46" t="s">
        <v>6</v>
      </c>
      <c r="BE40" s="53" t="s">
        <v>6</v>
      </c>
      <c r="BF40" s="46" t="s">
        <v>6</v>
      </c>
      <c r="BG40" s="48" t="s">
        <v>6</v>
      </c>
      <c r="BH40" s="48" t="s">
        <v>6</v>
      </c>
      <c r="BI40" s="132" t="str">
        <f t="shared" si="3"/>
        <v xml:space="preserve"> - </v>
      </c>
      <c r="BJ40" s="132" t="str">
        <f t="shared" si="4"/>
        <v xml:space="preserve"> - </v>
      </c>
      <c r="BK40" s="49" t="s">
        <v>6</v>
      </c>
      <c r="BL40" s="46" t="s">
        <v>6</v>
      </c>
      <c r="BM40" s="48" t="s">
        <v>6</v>
      </c>
      <c r="BN40" s="53" t="s">
        <v>6</v>
      </c>
      <c r="BO40" s="46" t="s">
        <v>6</v>
      </c>
      <c r="BP40" s="48" t="s">
        <v>6</v>
      </c>
      <c r="BQ40" s="53" t="s">
        <v>6</v>
      </c>
      <c r="BR40" s="46" t="s">
        <v>6</v>
      </c>
      <c r="BS40" s="48" t="s">
        <v>6</v>
      </c>
      <c r="BT40" s="53" t="s">
        <v>6</v>
      </c>
      <c r="BU40" s="46" t="s">
        <v>6</v>
      </c>
      <c r="BV40" s="48" t="s">
        <v>6</v>
      </c>
      <c r="BW40" s="53" t="s">
        <v>6</v>
      </c>
      <c r="BX40" s="55" t="s">
        <v>6</v>
      </c>
      <c r="BY40" s="49" t="s">
        <v>6</v>
      </c>
      <c r="BZ40" s="55" t="s">
        <v>6</v>
      </c>
      <c r="CA40" s="49" t="s">
        <v>6</v>
      </c>
      <c r="CB40" s="55" t="s">
        <v>6</v>
      </c>
      <c r="CC40" s="49" t="s">
        <v>6</v>
      </c>
      <c r="CD40" s="55" t="s">
        <v>6</v>
      </c>
      <c r="CE40" s="56" t="s">
        <v>6</v>
      </c>
      <c r="CF40" s="57" t="s">
        <v>6</v>
      </c>
    </row>
    <row r="41" spans="1:84" ht="6.9" customHeight="1">
      <c r="A41" s="60" t="s">
        <v>6</v>
      </c>
      <c r="B41" s="60" t="s">
        <v>6</v>
      </c>
      <c r="C41" s="60"/>
      <c r="D41" s="60" t="s">
        <v>6</v>
      </c>
      <c r="E41" s="60" t="s">
        <v>6</v>
      </c>
      <c r="F41" s="60" t="s">
        <v>6</v>
      </c>
      <c r="G41" s="60" t="s">
        <v>6</v>
      </c>
      <c r="H41" s="60" t="s">
        <v>6</v>
      </c>
      <c r="I41" s="60" t="s">
        <v>6</v>
      </c>
      <c r="J41" s="60" t="s">
        <v>6</v>
      </c>
      <c r="K41" s="60" t="s">
        <v>6</v>
      </c>
      <c r="L41" s="60" t="s">
        <v>6</v>
      </c>
      <c r="M41" s="60" t="s">
        <v>6</v>
      </c>
      <c r="N41" s="60" t="s">
        <v>6</v>
      </c>
      <c r="O41" s="60" t="s">
        <v>6</v>
      </c>
      <c r="P41" s="60" t="s">
        <v>6</v>
      </c>
      <c r="Q41" s="60" t="s">
        <v>6</v>
      </c>
      <c r="R41" s="60" t="s">
        <v>6</v>
      </c>
      <c r="S41" s="60" t="s">
        <v>6</v>
      </c>
      <c r="T41" s="60" t="s">
        <v>6</v>
      </c>
      <c r="U41" s="60" t="s">
        <v>6</v>
      </c>
      <c r="V41" s="60" t="s">
        <v>6</v>
      </c>
      <c r="W41" s="60" t="s">
        <v>6</v>
      </c>
      <c r="X41" s="60" t="s">
        <v>6</v>
      </c>
      <c r="Y41" s="60" t="s">
        <v>6</v>
      </c>
      <c r="Z41" s="60" t="s">
        <v>6</v>
      </c>
      <c r="AA41" s="60" t="s">
        <v>6</v>
      </c>
      <c r="AB41" s="60" t="s">
        <v>6</v>
      </c>
      <c r="AC41" s="60" t="s">
        <v>6</v>
      </c>
      <c r="AD41" s="60" t="s">
        <v>6</v>
      </c>
      <c r="AE41" s="60" t="s">
        <v>6</v>
      </c>
      <c r="AF41" s="60" t="s">
        <v>6</v>
      </c>
      <c r="AG41" s="60" t="s">
        <v>6</v>
      </c>
      <c r="AH41" s="60" t="s">
        <v>6</v>
      </c>
      <c r="AI41" s="60" t="s">
        <v>6</v>
      </c>
      <c r="AJ41" s="60" t="s">
        <v>6</v>
      </c>
      <c r="AK41" s="60" t="s">
        <v>6</v>
      </c>
      <c r="AL41" s="60" t="s">
        <v>6</v>
      </c>
      <c r="AM41" s="60" t="s">
        <v>6</v>
      </c>
      <c r="AN41" s="60" t="s">
        <v>6</v>
      </c>
      <c r="AO41" s="60" t="s">
        <v>6</v>
      </c>
      <c r="AP41" s="60" t="s">
        <v>6</v>
      </c>
      <c r="AQ41" s="60" t="s">
        <v>6</v>
      </c>
      <c r="AR41" s="60" t="s">
        <v>6</v>
      </c>
      <c r="AS41" s="60" t="s">
        <v>6</v>
      </c>
      <c r="AT41" s="60" t="s">
        <v>6</v>
      </c>
      <c r="AU41" s="60" t="s">
        <v>6</v>
      </c>
      <c r="AV41" s="60" t="s">
        <v>6</v>
      </c>
      <c r="AW41" s="60" t="s">
        <v>6</v>
      </c>
      <c r="AX41" s="60" t="s">
        <v>6</v>
      </c>
      <c r="AY41" s="60" t="s">
        <v>6</v>
      </c>
      <c r="AZ41" s="60" t="s">
        <v>6</v>
      </c>
      <c r="BA41" s="60" t="s">
        <v>6</v>
      </c>
      <c r="BB41" s="60" t="s">
        <v>6</v>
      </c>
      <c r="BC41" s="60" t="s">
        <v>6</v>
      </c>
      <c r="BD41" s="60" t="s">
        <v>6</v>
      </c>
      <c r="BE41" s="60" t="s">
        <v>6</v>
      </c>
      <c r="BF41" s="60" t="s">
        <v>6</v>
      </c>
      <c r="BG41" s="60" t="s">
        <v>6</v>
      </c>
      <c r="BH41" s="60" t="s">
        <v>6</v>
      </c>
      <c r="BI41" s="61"/>
      <c r="BJ41" s="61"/>
      <c r="BK41" s="60" t="s">
        <v>6</v>
      </c>
      <c r="BL41" s="60" t="s">
        <v>6</v>
      </c>
      <c r="BM41" s="60" t="s">
        <v>6</v>
      </c>
      <c r="BN41" s="60" t="s">
        <v>6</v>
      </c>
      <c r="BO41" s="60" t="s">
        <v>6</v>
      </c>
      <c r="BP41" s="60" t="s">
        <v>6</v>
      </c>
      <c r="BQ41" s="60" t="s">
        <v>6</v>
      </c>
      <c r="BR41" s="60" t="s">
        <v>6</v>
      </c>
      <c r="BS41" s="60" t="s">
        <v>6</v>
      </c>
      <c r="BT41" s="60" t="s">
        <v>6</v>
      </c>
      <c r="BU41" s="60" t="s">
        <v>6</v>
      </c>
      <c r="BV41" s="60" t="s">
        <v>6</v>
      </c>
      <c r="BW41" s="60" t="s">
        <v>6</v>
      </c>
      <c r="BX41" s="60" t="s">
        <v>6</v>
      </c>
      <c r="BY41" s="60" t="s">
        <v>6</v>
      </c>
      <c r="BZ41" s="60" t="s">
        <v>6</v>
      </c>
      <c r="CA41" s="60" t="s">
        <v>6</v>
      </c>
      <c r="CB41" s="60" t="s">
        <v>6</v>
      </c>
      <c r="CC41" s="60" t="s">
        <v>6</v>
      </c>
      <c r="CD41" s="60" t="s">
        <v>6</v>
      </c>
      <c r="CE41" s="60" t="s">
        <v>6</v>
      </c>
      <c r="CF41" s="60" t="s">
        <v>6</v>
      </c>
    </row>
    <row r="43" spans="1:84">
      <c r="B43" s="64" t="s">
        <v>242</v>
      </c>
      <c r="C43" s="64"/>
    </row>
    <row r="45" spans="1:84" ht="15.75" customHeight="1">
      <c r="A45" s="65" t="s">
        <v>243</v>
      </c>
      <c r="B45" s="65">
        <v>1</v>
      </c>
      <c r="C45" s="604" t="s">
        <v>269</v>
      </c>
      <c r="D45" s="593"/>
      <c r="E45" s="593"/>
    </row>
    <row r="46" spans="1:84" ht="15.65" customHeight="1">
      <c r="A46" s="65"/>
      <c r="B46" s="65">
        <v>2</v>
      </c>
      <c r="C46" s="604" t="s">
        <v>270</v>
      </c>
      <c r="D46" s="593"/>
      <c r="E46" s="593"/>
    </row>
    <row r="47" spans="1:84" ht="15.65" customHeight="1">
      <c r="A47" s="65"/>
      <c r="B47" s="65">
        <v>3</v>
      </c>
      <c r="C47" s="604" t="s">
        <v>271</v>
      </c>
      <c r="D47" s="593"/>
      <c r="E47" s="593"/>
    </row>
    <row r="48" spans="1:84" ht="15.75" customHeight="1">
      <c r="A48" s="6"/>
    </row>
    <row r="49" spans="1:5" ht="15.75" customHeight="1">
      <c r="A49" s="646" t="s">
        <v>245</v>
      </c>
      <c r="B49" s="593"/>
      <c r="C49" s="104" t="s">
        <v>246</v>
      </c>
      <c r="D49" s="66" t="s">
        <v>247</v>
      </c>
      <c r="E49" s="67"/>
    </row>
    <row r="50" spans="1:5" ht="15.65" customHeight="1">
      <c r="A50" s="68"/>
      <c r="B50" s="67"/>
      <c r="C50" s="104" t="s">
        <v>248</v>
      </c>
      <c r="D50" s="66" t="s">
        <v>249</v>
      </c>
      <c r="E50" s="67"/>
    </row>
    <row r="51" spans="1:5">
      <c r="B51" s="62"/>
      <c r="C51" s="62"/>
      <c r="D51" s="62"/>
      <c r="E51" s="62"/>
    </row>
    <row r="52" spans="1:5">
      <c r="B52" s="64" t="s">
        <v>272</v>
      </c>
      <c r="C52" s="62"/>
      <c r="D52" s="62"/>
      <c r="E52" s="62"/>
    </row>
    <row r="53" spans="1:5">
      <c r="B53" s="62"/>
      <c r="C53" s="62"/>
      <c r="D53" s="62"/>
      <c r="E53" s="62"/>
    </row>
  </sheetData>
  <mergeCells count="70">
    <mergeCell ref="B3:D3"/>
    <mergeCell ref="BR11:BW11"/>
    <mergeCell ref="Z11:AE11"/>
    <mergeCell ref="BI11:BJ12"/>
    <mergeCell ref="H10:M10"/>
    <mergeCell ref="AZ10:BE10"/>
    <mergeCell ref="BU12:BW12"/>
    <mergeCell ref="E8:G8"/>
    <mergeCell ref="AL11:AQ11"/>
    <mergeCell ref="BL10:BW10"/>
    <mergeCell ref="H11:I12"/>
    <mergeCell ref="P11:P13"/>
    <mergeCell ref="J11:K12"/>
    <mergeCell ref="AC12:AE12"/>
    <mergeCell ref="A9:B9"/>
    <mergeCell ref="D10:D13"/>
    <mergeCell ref="B4:D4"/>
    <mergeCell ref="Z10:AW10"/>
    <mergeCell ref="H8:M8"/>
    <mergeCell ref="BZ11:CA12"/>
    <mergeCell ref="Q11:T12"/>
    <mergeCell ref="BF10:BK10"/>
    <mergeCell ref="AY10:AY13"/>
    <mergeCell ref="BR12:BT12"/>
    <mergeCell ref="AX11:AX13"/>
    <mergeCell ref="BL8:BT8"/>
    <mergeCell ref="CF10:CF13"/>
    <mergeCell ref="Q8:X8"/>
    <mergeCell ref="Z8:AT8"/>
    <mergeCell ref="N10:P10"/>
    <mergeCell ref="AF11:AK11"/>
    <mergeCell ref="BX11:BY12"/>
    <mergeCell ref="AZ11:BA12"/>
    <mergeCell ref="BB11:BC12"/>
    <mergeCell ref="N11:N13"/>
    <mergeCell ref="BX10:CE10"/>
    <mergeCell ref="Y10:Y13"/>
    <mergeCell ref="AR12:AT12"/>
    <mergeCell ref="Q10:X10"/>
    <mergeCell ref="AI12:AK12"/>
    <mergeCell ref="BH11:BH13"/>
    <mergeCell ref="BL12:BN12"/>
    <mergeCell ref="BX8:CE8"/>
    <mergeCell ref="O11:O13"/>
    <mergeCell ref="N8:P8"/>
    <mergeCell ref="Z12:AB12"/>
    <mergeCell ref="BF8:BK8"/>
    <mergeCell ref="AF12:AH12"/>
    <mergeCell ref="BK11:BK13"/>
    <mergeCell ref="BO12:BQ12"/>
    <mergeCell ref="AL12:AN12"/>
    <mergeCell ref="AZ8:BE8"/>
    <mergeCell ref="AR11:AW11"/>
    <mergeCell ref="AU12:AW12"/>
    <mergeCell ref="BF11:BG12"/>
    <mergeCell ref="CB11:CC12"/>
    <mergeCell ref="CD11:CE12"/>
    <mergeCell ref="AO12:AQ12"/>
    <mergeCell ref="U11:X12"/>
    <mergeCell ref="BD11:BE12"/>
    <mergeCell ref="A49:B49"/>
    <mergeCell ref="BL11:BQ11"/>
    <mergeCell ref="E10:G12"/>
    <mergeCell ref="C10:C13"/>
    <mergeCell ref="C46:E46"/>
    <mergeCell ref="L11:M12"/>
    <mergeCell ref="B10:B13"/>
    <mergeCell ref="A10:A13"/>
    <mergeCell ref="C45:E45"/>
    <mergeCell ref="C47:E47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>
    <tabColor rgb="FF7030A0"/>
    <pageSetUpPr fitToPage="1"/>
  </sheetPr>
  <dimension ref="A1:BA46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A10" sqref="A10:A13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2.5429687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9.453125" style="6" customWidth="1"/>
    <col min="17" max="22" width="8.36328125" style="6" customWidth="1"/>
    <col min="23" max="24" width="15.6328125" style="6" customWidth="1"/>
    <col min="25" max="27" width="8.36328125" style="6" customWidth="1"/>
    <col min="28" max="28" width="15.6328125" style="6" customWidth="1"/>
    <col min="29" max="34" width="8.36328125" style="6" customWidth="1"/>
    <col min="35" max="36" width="9" style="6" customWidth="1"/>
    <col min="37" max="37" width="8.36328125" style="6" customWidth="1"/>
    <col min="38" max="39" width="4.6328125" style="63" customWidth="1"/>
    <col min="40" max="40" width="8.36328125" style="6" customWidth="1"/>
    <col min="41" max="44" width="15.6328125" style="6" customWidth="1"/>
    <col min="45" max="45" width="34" style="6" customWidth="1"/>
    <col min="46" max="46" width="10.08984375" style="6" bestFit="1" customWidth="1"/>
    <col min="47" max="47" width="22.36328125" style="6" bestFit="1" customWidth="1"/>
    <col min="48" max="48" width="11.36328125" style="6" bestFit="1" customWidth="1"/>
    <col min="49" max="49" width="23.08984375" style="6" bestFit="1" customWidth="1"/>
    <col min="50" max="50" width="11.36328125" style="6" bestFit="1" customWidth="1"/>
    <col min="51" max="51" width="31" style="6" bestFit="1" customWidth="1"/>
    <col min="52" max="52" width="11.36328125" style="6" bestFit="1" customWidth="1"/>
    <col min="53" max="53" width="57" style="6" customWidth="1"/>
    <col min="54" max="54" width="9.08984375" style="6" customWidth="1"/>
    <col min="55" max="16384" width="9.08984375" style="6"/>
  </cols>
  <sheetData>
    <row r="1" spans="1:53" s="1" customFormat="1" ht="31.5" customHeight="1">
      <c r="A1" s="109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36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8"/>
      <c r="AM1" s="108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</row>
    <row r="2" spans="1:53" s="2" customFormat="1" ht="28.5" customHeight="1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53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3"/>
      <c r="AM3" s="3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</row>
    <row r="4" spans="1:53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8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</row>
    <row r="5" spans="1:53" ht="18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B5" s="9"/>
      <c r="AC5" s="9"/>
      <c r="AD5" s="9"/>
      <c r="AE5" s="9"/>
      <c r="AF5" s="9"/>
      <c r="AG5" s="9"/>
      <c r="AH5" s="9"/>
      <c r="AI5" s="9"/>
      <c r="AJ5" s="9"/>
      <c r="AK5" s="9"/>
      <c r="AL5" s="10"/>
      <c r="AM5" s="10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B6" s="9"/>
      <c r="AC6" s="9"/>
      <c r="AD6" s="9"/>
      <c r="AE6" s="9"/>
      <c r="AF6" s="9"/>
      <c r="AG6" s="9"/>
      <c r="AH6" s="9"/>
      <c r="AI6" s="9"/>
      <c r="AJ6" s="9"/>
      <c r="AK6" s="9"/>
      <c r="AL6" s="10"/>
      <c r="AM6" s="10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  <row r="7" spans="1:53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0"/>
      <c r="AM7" s="10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ht="5.15" customHeight="1">
      <c r="A8" s="12"/>
      <c r="B8" s="13"/>
      <c r="C8" s="14"/>
      <c r="D8" s="15"/>
      <c r="E8" s="699"/>
      <c r="F8" s="616"/>
      <c r="G8" s="639"/>
      <c r="H8" s="689"/>
      <c r="I8" s="616"/>
      <c r="J8" s="616"/>
      <c r="K8" s="616"/>
      <c r="L8" s="616"/>
      <c r="M8" s="639"/>
      <c r="N8" s="674"/>
      <c r="O8" s="616"/>
      <c r="P8" s="639"/>
      <c r="Q8" s="705"/>
      <c r="R8" s="616"/>
      <c r="S8" s="616"/>
      <c r="T8" s="616"/>
      <c r="U8" s="616"/>
      <c r="V8" s="616"/>
      <c r="W8" s="16"/>
      <c r="X8" s="16"/>
      <c r="Y8" s="673"/>
      <c r="Z8" s="616"/>
      <c r="AA8" s="639"/>
      <c r="AB8" s="17"/>
      <c r="AC8" s="674"/>
      <c r="AD8" s="616"/>
      <c r="AE8" s="616"/>
      <c r="AF8" s="616"/>
      <c r="AG8" s="616"/>
      <c r="AH8" s="639"/>
      <c r="AI8" s="673"/>
      <c r="AJ8" s="616"/>
      <c r="AK8" s="616"/>
      <c r="AL8" s="616"/>
      <c r="AM8" s="616"/>
      <c r="AN8" s="639"/>
      <c r="AO8" s="674"/>
      <c r="AP8" s="616"/>
      <c r="AQ8" s="616"/>
      <c r="AR8" s="639"/>
      <c r="AS8" s="673"/>
      <c r="AT8" s="616"/>
      <c r="AU8" s="616"/>
      <c r="AV8" s="616"/>
      <c r="AW8" s="616"/>
      <c r="AX8" s="616"/>
      <c r="AY8" s="616"/>
      <c r="AZ8" s="639"/>
      <c r="BA8" s="16"/>
    </row>
    <row r="9" spans="1:53" ht="20.399999999999999" hidden="1" customHeight="1">
      <c r="A9" s="615" t="s">
        <v>5</v>
      </c>
      <c r="B9" s="616"/>
      <c r="C9" s="18"/>
      <c r="D9" s="19"/>
      <c r="E9" s="20"/>
      <c r="F9" s="21"/>
      <c r="G9" s="22" t="s">
        <v>6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20">
        <v>400</v>
      </c>
      <c r="X9" s="214"/>
      <c r="Y9" s="121">
        <v>7</v>
      </c>
      <c r="Z9" s="122"/>
      <c r="AA9" s="123"/>
      <c r="AB9" s="120">
        <v>20</v>
      </c>
      <c r="AC9" s="111">
        <v>2</v>
      </c>
      <c r="AD9" s="112">
        <v>3</v>
      </c>
      <c r="AE9" s="111"/>
      <c r="AF9" s="112"/>
      <c r="AG9" s="111"/>
      <c r="AH9" s="112"/>
      <c r="AI9" s="111"/>
      <c r="AJ9" s="125"/>
      <c r="AK9" s="125"/>
      <c r="AL9" s="126">
        <v>7</v>
      </c>
      <c r="AM9" s="126"/>
      <c r="AN9" s="127" t="s">
        <v>252</v>
      </c>
      <c r="AO9" s="111">
        <v>20</v>
      </c>
      <c r="AP9" s="112">
        <v>10</v>
      </c>
      <c r="AQ9" s="111"/>
      <c r="AR9" s="112"/>
      <c r="AS9" s="111"/>
      <c r="AT9" s="112"/>
      <c r="AU9" s="111"/>
      <c r="AV9" s="112"/>
      <c r="AW9" s="111"/>
      <c r="AX9" s="112"/>
      <c r="AY9" s="111"/>
      <c r="AZ9" s="129"/>
      <c r="BA9" s="120"/>
    </row>
    <row r="10" spans="1:53" ht="38.25" customHeight="1">
      <c r="A10" s="635" t="s">
        <v>7</v>
      </c>
      <c r="B10" s="617" t="s">
        <v>8</v>
      </c>
      <c r="C10" s="677" t="s">
        <v>9</v>
      </c>
      <c r="D10" s="652" t="s">
        <v>10</v>
      </c>
      <c r="E10" s="656" t="s">
        <v>11</v>
      </c>
      <c r="F10" s="648"/>
      <c r="G10" s="606"/>
      <c r="H10" s="603" t="s">
        <v>13</v>
      </c>
      <c r="I10" s="601"/>
      <c r="J10" s="601"/>
      <c r="K10" s="601"/>
      <c r="L10" s="601"/>
      <c r="M10" s="591"/>
      <c r="N10" s="603" t="s">
        <v>14</v>
      </c>
      <c r="O10" s="601"/>
      <c r="P10" s="591"/>
      <c r="Q10" s="659" t="s">
        <v>16</v>
      </c>
      <c r="R10" s="633"/>
      <c r="S10" s="633"/>
      <c r="T10" s="633"/>
      <c r="U10" s="633"/>
      <c r="V10" s="633"/>
      <c r="W10" s="612" t="s">
        <v>17</v>
      </c>
      <c r="X10" s="659" t="s">
        <v>18</v>
      </c>
      <c r="Y10" s="702" t="s">
        <v>19</v>
      </c>
      <c r="Z10" s="703"/>
      <c r="AA10" s="703"/>
      <c r="AB10" s="612" t="s">
        <v>20</v>
      </c>
      <c r="AC10" s="660" t="s">
        <v>21</v>
      </c>
      <c r="AD10" s="601"/>
      <c r="AE10" s="601"/>
      <c r="AF10" s="601"/>
      <c r="AG10" s="601"/>
      <c r="AH10" s="591"/>
      <c r="AI10" s="603" t="s">
        <v>22</v>
      </c>
      <c r="AJ10" s="601"/>
      <c r="AK10" s="601"/>
      <c r="AL10" s="601"/>
      <c r="AM10" s="601"/>
      <c r="AN10" s="591"/>
      <c r="AO10" s="632" t="s">
        <v>24</v>
      </c>
      <c r="AP10" s="633"/>
      <c r="AQ10" s="633"/>
      <c r="AR10" s="633"/>
      <c r="AS10" s="624" t="s">
        <v>25</v>
      </c>
      <c r="AT10" s="601"/>
      <c r="AU10" s="601"/>
      <c r="AV10" s="601"/>
      <c r="AW10" s="601"/>
      <c r="AX10" s="601"/>
      <c r="AY10" s="601"/>
      <c r="AZ10" s="591"/>
      <c r="BA10" s="645" t="s">
        <v>26</v>
      </c>
    </row>
    <row r="11" spans="1:53" ht="29.25" customHeight="1">
      <c r="A11" s="636"/>
      <c r="B11" s="618"/>
      <c r="C11" s="641"/>
      <c r="D11" s="653"/>
      <c r="E11" s="657"/>
      <c r="F11" s="593"/>
      <c r="G11" s="594"/>
      <c r="H11" s="599" t="s">
        <v>27</v>
      </c>
      <c r="I11" s="589"/>
      <c r="J11" s="608" t="s">
        <v>28</v>
      </c>
      <c r="K11" s="589"/>
      <c r="L11" s="634" t="s">
        <v>256</v>
      </c>
      <c r="M11" s="622"/>
      <c r="N11" s="599" t="s">
        <v>30</v>
      </c>
      <c r="O11" s="608" t="s">
        <v>31</v>
      </c>
      <c r="P11" s="634" t="s">
        <v>257</v>
      </c>
      <c r="Q11" s="602" t="s">
        <v>34</v>
      </c>
      <c r="R11" s="600"/>
      <c r="S11" s="600"/>
      <c r="T11" s="665" t="s">
        <v>35</v>
      </c>
      <c r="U11" s="600"/>
      <c r="V11" s="600"/>
      <c r="W11" s="613"/>
      <c r="X11" s="618"/>
      <c r="Y11" s="701" t="s">
        <v>36</v>
      </c>
      <c r="Z11" s="681"/>
      <c r="AA11" s="681"/>
      <c r="AB11" s="613"/>
      <c r="AC11" s="588" t="s">
        <v>37</v>
      </c>
      <c r="AD11" s="589"/>
      <c r="AE11" s="630" t="s">
        <v>38</v>
      </c>
      <c r="AF11" s="589"/>
      <c r="AG11" s="631" t="s">
        <v>39</v>
      </c>
      <c r="AH11" s="622"/>
      <c r="AI11" s="599" t="s">
        <v>262</v>
      </c>
      <c r="AJ11" s="589"/>
      <c r="AK11" s="608" t="s">
        <v>41</v>
      </c>
      <c r="AL11" s="698" t="s">
        <v>42</v>
      </c>
      <c r="AM11" s="589"/>
      <c r="AN11" s="634" t="s">
        <v>43</v>
      </c>
      <c r="AO11" s="704" t="s">
        <v>45</v>
      </c>
      <c r="AP11" s="626"/>
      <c r="AQ11" s="625" t="s">
        <v>46</v>
      </c>
      <c r="AR11" s="626"/>
      <c r="AS11" s="655" t="s">
        <v>47</v>
      </c>
      <c r="AT11" s="589"/>
      <c r="AU11" s="619" t="s">
        <v>263</v>
      </c>
      <c r="AV11" s="589"/>
      <c r="AW11" s="629" t="s">
        <v>50</v>
      </c>
      <c r="AX11" s="589"/>
      <c r="AY11" s="621" t="s">
        <v>51</v>
      </c>
      <c r="AZ11" s="622"/>
      <c r="BA11" s="613"/>
    </row>
    <row r="12" spans="1:53" ht="29.25" customHeight="1">
      <c r="A12" s="636"/>
      <c r="B12" s="618"/>
      <c r="C12" s="641"/>
      <c r="D12" s="653"/>
      <c r="E12" s="658"/>
      <c r="F12" s="601"/>
      <c r="G12" s="623"/>
      <c r="H12" s="590"/>
      <c r="I12" s="591"/>
      <c r="J12" s="620"/>
      <c r="K12" s="591"/>
      <c r="L12" s="620"/>
      <c r="M12" s="623"/>
      <c r="N12" s="607"/>
      <c r="O12" s="609"/>
      <c r="P12" s="650"/>
      <c r="Q12" s="590"/>
      <c r="R12" s="601"/>
      <c r="S12" s="601"/>
      <c r="T12" s="620"/>
      <c r="U12" s="601"/>
      <c r="V12" s="601"/>
      <c r="W12" s="614"/>
      <c r="X12" s="590"/>
      <c r="Y12" s="675" t="s">
        <v>53</v>
      </c>
      <c r="Z12" s="668"/>
      <c r="AA12" s="676"/>
      <c r="AB12" s="614"/>
      <c r="AC12" s="590"/>
      <c r="AD12" s="591"/>
      <c r="AE12" s="620"/>
      <c r="AF12" s="591"/>
      <c r="AG12" s="620"/>
      <c r="AH12" s="623"/>
      <c r="AI12" s="590"/>
      <c r="AJ12" s="591"/>
      <c r="AK12" s="609"/>
      <c r="AL12" s="590"/>
      <c r="AM12" s="591"/>
      <c r="AN12" s="650"/>
      <c r="AO12" s="675" t="s">
        <v>53</v>
      </c>
      <c r="AP12" s="676"/>
      <c r="AQ12" s="675" t="s">
        <v>53</v>
      </c>
      <c r="AR12" s="676"/>
      <c r="AS12" s="590"/>
      <c r="AT12" s="591"/>
      <c r="AU12" s="620"/>
      <c r="AV12" s="591"/>
      <c r="AW12" s="620"/>
      <c r="AX12" s="591"/>
      <c r="AY12" s="620"/>
      <c r="AZ12" s="623"/>
      <c r="BA12" s="613"/>
    </row>
    <row r="13" spans="1:53" ht="33" customHeight="1">
      <c r="A13" s="637"/>
      <c r="B13" s="590"/>
      <c r="C13" s="678"/>
      <c r="D13" s="654"/>
      <c r="E13" s="24" t="s">
        <v>56</v>
      </c>
      <c r="F13" s="25" t="s">
        <v>57</v>
      </c>
      <c r="G13" s="26" t="s">
        <v>58</v>
      </c>
      <c r="H13" s="71" t="s">
        <v>60</v>
      </c>
      <c r="I13" s="69" t="s">
        <v>61</v>
      </c>
      <c r="J13" s="71" t="s">
        <v>63</v>
      </c>
      <c r="K13" s="69" t="s">
        <v>64</v>
      </c>
      <c r="L13" s="69" t="s">
        <v>65</v>
      </c>
      <c r="M13" s="70" t="s">
        <v>66</v>
      </c>
      <c r="N13" s="69" t="s">
        <v>67</v>
      </c>
      <c r="O13" s="610"/>
      <c r="P13" s="651"/>
      <c r="Q13" s="27" t="s">
        <v>70</v>
      </c>
      <c r="R13" s="28" t="s">
        <v>71</v>
      </c>
      <c r="S13" s="29" t="s">
        <v>72</v>
      </c>
      <c r="T13" s="31" t="s">
        <v>70</v>
      </c>
      <c r="U13" s="28" t="s">
        <v>71</v>
      </c>
      <c r="V13" s="32" t="s">
        <v>72</v>
      </c>
      <c r="W13" s="200" t="s">
        <v>73</v>
      </c>
      <c r="X13" s="200" t="s">
        <v>73</v>
      </c>
      <c r="Y13" s="33" t="s">
        <v>70</v>
      </c>
      <c r="Z13" s="143" t="s">
        <v>71</v>
      </c>
      <c r="AA13" s="35" t="s">
        <v>72</v>
      </c>
      <c r="AB13" s="218" t="s">
        <v>75</v>
      </c>
      <c r="AC13" s="103" t="s">
        <v>53</v>
      </c>
      <c r="AD13" s="36" t="s">
        <v>76</v>
      </c>
      <c r="AE13" s="36" t="s">
        <v>53</v>
      </c>
      <c r="AF13" s="36" t="s">
        <v>76</v>
      </c>
      <c r="AG13" s="36" t="s">
        <v>53</v>
      </c>
      <c r="AH13" s="37" t="s">
        <v>76</v>
      </c>
      <c r="AI13" s="71" t="s">
        <v>77</v>
      </c>
      <c r="AJ13" s="69" t="s">
        <v>78</v>
      </c>
      <c r="AK13" s="610"/>
      <c r="AL13" s="38" t="s">
        <v>77</v>
      </c>
      <c r="AM13" s="39" t="s">
        <v>78</v>
      </c>
      <c r="AN13" s="651"/>
      <c r="AO13" s="71" t="s">
        <v>79</v>
      </c>
      <c r="AP13" s="69" t="s">
        <v>80</v>
      </c>
      <c r="AQ13" s="71" t="s">
        <v>79</v>
      </c>
      <c r="AR13" s="69" t="s">
        <v>80</v>
      </c>
      <c r="AS13" s="71" t="s">
        <v>83</v>
      </c>
      <c r="AT13" s="69" t="s">
        <v>84</v>
      </c>
      <c r="AU13" s="69" t="s">
        <v>83</v>
      </c>
      <c r="AV13" s="69" t="s">
        <v>84</v>
      </c>
      <c r="AW13" s="69" t="s">
        <v>83</v>
      </c>
      <c r="AX13" s="69" t="s">
        <v>84</v>
      </c>
      <c r="AY13" s="69" t="s">
        <v>83</v>
      </c>
      <c r="AZ13" s="70" t="s">
        <v>84</v>
      </c>
      <c r="BA13" s="614"/>
    </row>
    <row r="14" spans="1:53" ht="8.25" hidden="1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6.9" customHeight="1">
      <c r="A15" s="105"/>
      <c r="B15" s="133" t="s">
        <v>88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1"/>
      <c r="X15" s="101"/>
      <c r="Y15" s="102"/>
      <c r="Z15" s="102"/>
      <c r="AA15" s="102"/>
      <c r="AB15" s="102"/>
      <c r="AC15" s="101"/>
      <c r="AD15" s="101"/>
      <c r="AE15" s="101"/>
      <c r="AF15" s="101"/>
      <c r="AG15" s="101"/>
      <c r="AH15" s="101"/>
      <c r="AI15" s="102"/>
      <c r="AJ15" s="102"/>
      <c r="AK15" s="102"/>
      <c r="AL15" s="102"/>
      <c r="AM15" s="102"/>
      <c r="AN15" s="102"/>
      <c r="AO15" s="101"/>
      <c r="AP15" s="101"/>
      <c r="AQ15" s="101"/>
      <c r="AR15" s="101"/>
      <c r="AS15" s="102"/>
      <c r="AT15" s="102"/>
      <c r="AU15" s="102"/>
      <c r="AV15" s="102"/>
      <c r="AW15" s="102"/>
      <c r="AX15" s="102"/>
      <c r="AY15" s="102"/>
      <c r="AZ15" s="102"/>
      <c r="BA15" s="101"/>
    </row>
    <row r="16" spans="1:53" s="2" customFormat="1" ht="24.9" customHeight="1">
      <c r="A16" s="138" t="s">
        <v>273</v>
      </c>
      <c r="B16" s="81" t="s">
        <v>274</v>
      </c>
      <c r="C16" s="42"/>
      <c r="D16" s="81">
        <v>1</v>
      </c>
      <c r="E16" s="139">
        <v>43246</v>
      </c>
      <c r="F16" s="83">
        <v>1</v>
      </c>
      <c r="G16" s="141" t="s">
        <v>275</v>
      </c>
      <c r="H16" s="83" t="s">
        <v>88</v>
      </c>
      <c r="I16" s="84" t="s">
        <v>88</v>
      </c>
      <c r="J16" s="83">
        <v>286</v>
      </c>
      <c r="K16" s="84">
        <v>286</v>
      </c>
      <c r="L16" s="85" t="s">
        <v>88</v>
      </c>
      <c r="M16" s="86" t="s">
        <v>88</v>
      </c>
      <c r="N16" s="89" t="s">
        <v>246</v>
      </c>
      <c r="O16" s="89">
        <v>-0.83</v>
      </c>
      <c r="P16" s="88"/>
      <c r="Q16" s="89">
        <v>7.0000000000000007E-2</v>
      </c>
      <c r="R16" s="90">
        <v>0.08</v>
      </c>
      <c r="S16" s="91">
        <v>0.08</v>
      </c>
      <c r="T16" s="213">
        <f>IF(Q16=" - "," - ",IF(R16=" - "," - ",IF(S16=" - ","samples?",AVERAGE(Q16:S16))))</f>
        <v>7.6666666666666675E-2</v>
      </c>
      <c r="U16" s="89">
        <v>0.18</v>
      </c>
      <c r="V16" s="90">
        <v>0.19</v>
      </c>
      <c r="W16" s="81" t="s">
        <v>276</v>
      </c>
      <c r="X16" s="215"/>
      <c r="Y16" s="85" t="s">
        <v>276</v>
      </c>
      <c r="Z16" s="87" t="s">
        <v>276</v>
      </c>
      <c r="AA16" s="92" t="s">
        <v>276</v>
      </c>
      <c r="AB16" s="93" t="s">
        <v>276</v>
      </c>
      <c r="AC16" s="85">
        <v>0</v>
      </c>
      <c r="AD16" s="92">
        <v>0</v>
      </c>
      <c r="AE16" s="85">
        <v>0</v>
      </c>
      <c r="AF16" s="92">
        <v>0</v>
      </c>
      <c r="AG16" s="85">
        <v>0</v>
      </c>
      <c r="AH16" s="92">
        <v>0</v>
      </c>
      <c r="AI16" s="85" t="s">
        <v>276</v>
      </c>
      <c r="AJ16" s="87" t="s">
        <v>276</v>
      </c>
      <c r="AK16" s="87" t="s">
        <v>276</v>
      </c>
      <c r="AL16" s="131" t="s">
        <v>276</v>
      </c>
      <c r="AM16" s="131" t="s">
        <v>276</v>
      </c>
      <c r="AN16" s="88" t="s">
        <v>252</v>
      </c>
      <c r="AO16" s="89">
        <v>69.61</v>
      </c>
      <c r="AP16" s="144">
        <v>19.23</v>
      </c>
      <c r="AQ16" s="89">
        <v>62.88</v>
      </c>
      <c r="AR16" s="144">
        <v>21.04</v>
      </c>
      <c r="AS16" s="94" t="s">
        <v>277</v>
      </c>
      <c r="AT16" s="88" t="s">
        <v>278</v>
      </c>
      <c r="AU16" s="94" t="s">
        <v>279</v>
      </c>
      <c r="AV16" s="88" t="s">
        <v>280</v>
      </c>
      <c r="AW16" s="94" t="s">
        <v>281</v>
      </c>
      <c r="AX16" s="88" t="s">
        <v>282</v>
      </c>
      <c r="AY16" s="94" t="s">
        <v>283</v>
      </c>
      <c r="AZ16" s="95" t="s">
        <v>284</v>
      </c>
      <c r="BA16" s="96" t="s">
        <v>285</v>
      </c>
    </row>
    <row r="17" spans="1:53" s="2" customFormat="1" ht="24.9" customHeight="1">
      <c r="A17" s="138" t="s">
        <v>273</v>
      </c>
      <c r="B17" s="40"/>
      <c r="C17" s="58"/>
      <c r="D17" s="40"/>
      <c r="E17" s="140"/>
      <c r="F17" s="44"/>
      <c r="G17" s="141"/>
      <c r="H17" s="44"/>
      <c r="I17" s="45"/>
      <c r="J17" s="44"/>
      <c r="K17" s="45"/>
      <c r="L17" s="46"/>
      <c r="M17" s="47"/>
      <c r="N17" s="142"/>
      <c r="O17" s="48"/>
      <c r="P17" s="49"/>
      <c r="Q17" s="50"/>
      <c r="R17" s="51"/>
      <c r="S17" s="52"/>
      <c r="T17" s="130"/>
      <c r="U17" s="50"/>
      <c r="V17" s="51"/>
      <c r="W17" s="41"/>
      <c r="X17" s="216"/>
      <c r="Y17" s="46"/>
      <c r="Z17" s="48"/>
      <c r="AA17" s="53"/>
      <c r="AB17" s="54"/>
      <c r="AC17" s="85"/>
      <c r="AD17" s="92"/>
      <c r="AE17" s="46"/>
      <c r="AF17" s="53"/>
      <c r="AG17" s="46"/>
      <c r="AH17" s="53"/>
      <c r="AI17" s="46"/>
      <c r="AJ17" s="48"/>
      <c r="AK17" s="48"/>
      <c r="AL17" s="132"/>
      <c r="AM17" s="132"/>
      <c r="AN17" s="88"/>
      <c r="AO17" s="46"/>
      <c r="AP17" s="53"/>
      <c r="AQ17" s="46"/>
      <c r="AR17" s="53"/>
      <c r="AS17" s="94"/>
      <c r="AT17" s="88"/>
      <c r="AU17" s="94"/>
      <c r="AV17" s="88"/>
      <c r="AW17" s="94"/>
      <c r="AX17" s="49"/>
      <c r="AY17" s="94"/>
      <c r="AZ17" s="56"/>
      <c r="BA17" s="57"/>
    </row>
    <row r="18" spans="1:53" s="2" customFormat="1" ht="24.9" customHeight="1">
      <c r="A18" s="138" t="s">
        <v>273</v>
      </c>
      <c r="B18" s="40"/>
      <c r="C18" s="58"/>
      <c r="D18" s="40"/>
      <c r="E18" s="139"/>
      <c r="F18" s="44"/>
      <c r="G18" s="141"/>
      <c r="H18" s="44"/>
      <c r="I18" s="45"/>
      <c r="J18" s="44"/>
      <c r="K18" s="45"/>
      <c r="L18" s="46"/>
      <c r="M18" s="47"/>
      <c r="N18" s="50"/>
      <c r="O18" s="48"/>
      <c r="P18" s="49"/>
      <c r="Q18" s="50"/>
      <c r="R18" s="51"/>
      <c r="S18" s="52"/>
      <c r="T18" s="130"/>
      <c r="U18" s="50"/>
      <c r="V18" s="51"/>
      <c r="W18" s="41"/>
      <c r="X18" s="215"/>
      <c r="Y18" s="85"/>
      <c r="Z18" s="87"/>
      <c r="AA18" s="92"/>
      <c r="AB18" s="93"/>
      <c r="AC18" s="85"/>
      <c r="AD18" s="92"/>
      <c r="AE18" s="46"/>
      <c r="AF18" s="53"/>
      <c r="AG18" s="46"/>
      <c r="AH18" s="53"/>
      <c r="AI18" s="46"/>
      <c r="AJ18" s="48"/>
      <c r="AK18" s="48"/>
      <c r="AL18" s="132"/>
      <c r="AM18" s="132"/>
      <c r="AN18" s="88"/>
      <c r="AO18" s="46"/>
      <c r="AP18" s="53"/>
      <c r="AQ18" s="46"/>
      <c r="AR18" s="53"/>
      <c r="AS18" s="94"/>
      <c r="AT18" s="88"/>
      <c r="AU18" s="94"/>
      <c r="AV18" s="88"/>
      <c r="AW18" s="94"/>
      <c r="AX18" s="88"/>
      <c r="AY18" s="94"/>
      <c r="AZ18" s="95"/>
      <c r="BA18" s="57"/>
    </row>
    <row r="19" spans="1:53" s="2" customFormat="1" ht="24.9" customHeight="1">
      <c r="A19" s="138" t="s">
        <v>273</v>
      </c>
      <c r="B19" s="40"/>
      <c r="C19" s="58"/>
      <c r="D19" s="40"/>
      <c r="E19" s="140"/>
      <c r="F19" s="44"/>
      <c r="G19" s="142"/>
      <c r="H19" s="44"/>
      <c r="I19" s="45"/>
      <c r="J19" s="44"/>
      <c r="K19" s="45"/>
      <c r="L19" s="46"/>
      <c r="M19" s="47"/>
      <c r="N19" s="50"/>
      <c r="O19" s="48"/>
      <c r="P19" s="49"/>
      <c r="Q19" s="50"/>
      <c r="R19" s="51"/>
      <c r="S19" s="52"/>
      <c r="T19" s="130"/>
      <c r="U19" s="50"/>
      <c r="V19" s="51"/>
      <c r="W19" s="41"/>
      <c r="X19" s="216"/>
      <c r="Y19" s="46"/>
      <c r="Z19" s="48"/>
      <c r="AA19" s="53"/>
      <c r="AB19" s="54"/>
      <c r="AC19" s="85"/>
      <c r="AD19" s="92"/>
      <c r="AE19" s="46"/>
      <c r="AF19" s="53"/>
      <c r="AG19" s="46"/>
      <c r="AH19" s="53"/>
      <c r="AI19" s="46"/>
      <c r="AJ19" s="48"/>
      <c r="AK19" s="48"/>
      <c r="AL19" s="132"/>
      <c r="AM19" s="132"/>
      <c r="AN19" s="88"/>
      <c r="AO19" s="46"/>
      <c r="AP19" s="53"/>
      <c r="AQ19" s="46"/>
      <c r="AR19" s="53"/>
      <c r="AS19" s="94"/>
      <c r="AT19" s="88"/>
      <c r="AU19" s="94"/>
      <c r="AV19" s="88"/>
      <c r="AW19" s="94"/>
      <c r="AX19" s="49"/>
      <c r="AY19" s="94"/>
      <c r="AZ19" s="56"/>
      <c r="BA19" s="57"/>
    </row>
    <row r="20" spans="1:53" s="2" customFormat="1" ht="24.9" customHeight="1">
      <c r="A20" s="138" t="s">
        <v>273</v>
      </c>
      <c r="B20" s="40"/>
      <c r="C20" s="58"/>
      <c r="D20" s="40"/>
      <c r="E20" s="139"/>
      <c r="F20" s="44"/>
      <c r="G20" s="141"/>
      <c r="H20" s="44"/>
      <c r="I20" s="45"/>
      <c r="J20" s="44"/>
      <c r="K20" s="45"/>
      <c r="L20" s="46"/>
      <c r="M20" s="47"/>
      <c r="N20" s="50"/>
      <c r="O20" s="48"/>
      <c r="P20" s="49"/>
      <c r="Q20" s="50"/>
      <c r="R20" s="51"/>
      <c r="S20" s="52"/>
      <c r="T20" s="130"/>
      <c r="U20" s="50"/>
      <c r="V20" s="51"/>
      <c r="W20" s="41"/>
      <c r="X20" s="215"/>
      <c r="Y20" s="85"/>
      <c r="Z20" s="87"/>
      <c r="AA20" s="92"/>
      <c r="AB20" s="93"/>
      <c r="AC20" s="85"/>
      <c r="AD20" s="92"/>
      <c r="AE20" s="46"/>
      <c r="AF20" s="53"/>
      <c r="AG20" s="46"/>
      <c r="AH20" s="53"/>
      <c r="AI20" s="46"/>
      <c r="AJ20" s="48"/>
      <c r="AK20" s="48"/>
      <c r="AL20" s="132"/>
      <c r="AM20" s="132"/>
      <c r="AN20" s="88"/>
      <c r="AO20" s="50"/>
      <c r="AP20" s="145"/>
      <c r="AQ20" s="50"/>
      <c r="AR20" s="145"/>
      <c r="AS20" s="94"/>
      <c r="AT20" s="88"/>
      <c r="AU20" s="94"/>
      <c r="AV20" s="88"/>
      <c r="AW20" s="94"/>
      <c r="AX20" s="88"/>
      <c r="AY20" s="94"/>
      <c r="AZ20" s="95"/>
      <c r="BA20" s="57"/>
    </row>
    <row r="21" spans="1:53" s="2" customFormat="1" ht="24.9" customHeight="1">
      <c r="A21" s="138" t="s">
        <v>273</v>
      </c>
      <c r="B21" s="41"/>
      <c r="C21" s="58"/>
      <c r="D21" s="41"/>
      <c r="E21" s="140"/>
      <c r="F21" s="44"/>
      <c r="G21" s="142"/>
      <c r="H21" s="44"/>
      <c r="I21" s="45"/>
      <c r="J21" s="44"/>
      <c r="K21" s="45"/>
      <c r="L21" s="85"/>
      <c r="M21" s="86"/>
      <c r="N21" s="50"/>
      <c r="O21" s="48"/>
      <c r="P21" s="49"/>
      <c r="Q21" s="50"/>
      <c r="R21" s="51"/>
      <c r="S21" s="52"/>
      <c r="T21" s="130"/>
      <c r="U21" s="50"/>
      <c r="V21" s="51"/>
      <c r="W21" s="41"/>
      <c r="X21" s="216"/>
      <c r="Y21" s="46"/>
      <c r="Z21" s="48"/>
      <c r="AA21" s="53"/>
      <c r="AB21" s="54"/>
      <c r="AC21" s="85"/>
      <c r="AD21" s="92"/>
      <c r="AE21" s="46"/>
      <c r="AF21" s="53"/>
      <c r="AG21" s="46"/>
      <c r="AH21" s="53"/>
      <c r="AI21" s="46"/>
      <c r="AJ21" s="48"/>
      <c r="AK21" s="48"/>
      <c r="AL21" s="132"/>
      <c r="AM21" s="132"/>
      <c r="AN21" s="88"/>
      <c r="AO21" s="46"/>
      <c r="AP21" s="53"/>
      <c r="AQ21" s="46"/>
      <c r="AR21" s="53"/>
      <c r="AS21" s="94"/>
      <c r="AT21" s="88"/>
      <c r="AU21" s="94"/>
      <c r="AV21" s="88"/>
      <c r="AW21" s="94"/>
      <c r="AX21" s="49"/>
      <c r="AY21" s="94"/>
      <c r="AZ21" s="56"/>
      <c r="BA21" s="57"/>
    </row>
    <row r="22" spans="1:53" s="2" customFormat="1" ht="24.9" customHeight="1">
      <c r="A22" s="138" t="s">
        <v>273</v>
      </c>
      <c r="B22" s="40"/>
      <c r="C22" s="58"/>
      <c r="D22" s="40"/>
      <c r="E22" s="139"/>
      <c r="F22" s="44"/>
      <c r="G22" s="141"/>
      <c r="H22" s="44"/>
      <c r="I22" s="45"/>
      <c r="J22" s="44"/>
      <c r="K22" s="45"/>
      <c r="L22" s="46"/>
      <c r="M22" s="47"/>
      <c r="N22" s="50"/>
      <c r="O22" s="48"/>
      <c r="P22" s="49"/>
      <c r="Q22" s="50"/>
      <c r="R22" s="51"/>
      <c r="S22" s="52"/>
      <c r="T22" s="130"/>
      <c r="U22" s="50"/>
      <c r="V22" s="51"/>
      <c r="W22" s="41"/>
      <c r="X22" s="215"/>
      <c r="Y22" s="85"/>
      <c r="Z22" s="87"/>
      <c r="AA22" s="92"/>
      <c r="AB22" s="93"/>
      <c r="AC22" s="85"/>
      <c r="AD22" s="92"/>
      <c r="AE22" s="46"/>
      <c r="AF22" s="53"/>
      <c r="AG22" s="46"/>
      <c r="AH22" s="53"/>
      <c r="AI22" s="46"/>
      <c r="AJ22" s="48"/>
      <c r="AK22" s="48"/>
      <c r="AL22" s="132"/>
      <c r="AM22" s="132"/>
      <c r="AN22" s="88"/>
      <c r="AO22" s="50"/>
      <c r="AP22" s="145"/>
      <c r="AQ22" s="50"/>
      <c r="AR22" s="145"/>
      <c r="AS22" s="94"/>
      <c r="AT22" s="88"/>
      <c r="AU22" s="94"/>
      <c r="AV22" s="88"/>
      <c r="AW22" s="94"/>
      <c r="AX22" s="88"/>
      <c r="AY22" s="94"/>
      <c r="AZ22" s="95"/>
      <c r="BA22" s="57"/>
    </row>
    <row r="23" spans="1:53" s="2" customFormat="1" ht="24.9" customHeight="1">
      <c r="A23" s="138" t="s">
        <v>273</v>
      </c>
      <c r="B23" s="40"/>
      <c r="C23" s="58"/>
      <c r="D23" s="40"/>
      <c r="E23" s="140"/>
      <c r="F23" s="44"/>
      <c r="G23" s="142"/>
      <c r="H23" s="44"/>
      <c r="I23" s="45"/>
      <c r="J23" s="44"/>
      <c r="K23" s="45"/>
      <c r="L23" s="46"/>
      <c r="M23" s="47"/>
      <c r="N23" s="50"/>
      <c r="O23" s="48"/>
      <c r="P23" s="49"/>
      <c r="Q23" s="50"/>
      <c r="R23" s="51"/>
      <c r="S23" s="52"/>
      <c r="T23" s="130"/>
      <c r="U23" s="50"/>
      <c r="V23" s="51"/>
      <c r="W23" s="41"/>
      <c r="X23" s="216"/>
      <c r="Y23" s="46"/>
      <c r="Z23" s="48"/>
      <c r="AA23" s="53"/>
      <c r="AB23" s="54"/>
      <c r="AC23" s="85"/>
      <c r="AD23" s="92"/>
      <c r="AE23" s="46"/>
      <c r="AF23" s="53"/>
      <c r="AG23" s="46"/>
      <c r="AH23" s="53"/>
      <c r="AI23" s="46"/>
      <c r="AJ23" s="48"/>
      <c r="AK23" s="48"/>
      <c r="AL23" s="132"/>
      <c r="AM23" s="132"/>
      <c r="AN23" s="88"/>
      <c r="AO23" s="46"/>
      <c r="AP23" s="53"/>
      <c r="AQ23" s="46"/>
      <c r="AR23" s="53"/>
      <c r="AS23" s="94"/>
      <c r="AT23" s="88"/>
      <c r="AU23" s="94"/>
      <c r="AV23" s="88"/>
      <c r="AW23" s="94"/>
      <c r="AX23" s="49"/>
      <c r="AY23" s="94"/>
      <c r="AZ23" s="56"/>
      <c r="BA23" s="57"/>
    </row>
    <row r="24" spans="1:53" s="2" customFormat="1" ht="24.9" customHeight="1">
      <c r="A24" s="138" t="s">
        <v>273</v>
      </c>
      <c r="B24" s="40"/>
      <c r="C24" s="58"/>
      <c r="D24" s="40"/>
      <c r="E24" s="139"/>
      <c r="F24" s="44"/>
      <c r="G24" s="141"/>
      <c r="H24" s="44"/>
      <c r="I24" s="45"/>
      <c r="J24" s="44"/>
      <c r="K24" s="45"/>
      <c r="L24" s="46"/>
      <c r="M24" s="47"/>
      <c r="N24" s="50"/>
      <c r="O24" s="48"/>
      <c r="P24" s="49"/>
      <c r="Q24" s="50"/>
      <c r="R24" s="51"/>
      <c r="S24" s="52"/>
      <c r="T24" s="130"/>
      <c r="U24" s="50"/>
      <c r="V24" s="51"/>
      <c r="W24" s="41"/>
      <c r="X24" s="215"/>
      <c r="Y24" s="85"/>
      <c r="Z24" s="87"/>
      <c r="AA24" s="92"/>
      <c r="AB24" s="93"/>
      <c r="AC24" s="85"/>
      <c r="AD24" s="92"/>
      <c r="AE24" s="46"/>
      <c r="AF24" s="53"/>
      <c r="AG24" s="46"/>
      <c r="AH24" s="53"/>
      <c r="AI24" s="46"/>
      <c r="AJ24" s="48"/>
      <c r="AK24" s="48"/>
      <c r="AL24" s="132"/>
      <c r="AM24" s="132"/>
      <c r="AN24" s="88"/>
      <c r="AO24" s="50"/>
      <c r="AP24" s="145"/>
      <c r="AQ24" s="50"/>
      <c r="AR24" s="145"/>
      <c r="AS24" s="94"/>
      <c r="AT24" s="88"/>
      <c r="AU24" s="94"/>
      <c r="AV24" s="88"/>
      <c r="AW24" s="94"/>
      <c r="AX24" s="88"/>
      <c r="AY24" s="94"/>
      <c r="AZ24" s="95"/>
      <c r="BA24" s="57"/>
    </row>
    <row r="25" spans="1:53" s="2" customFormat="1" ht="24.9" customHeight="1">
      <c r="A25" s="138" t="s">
        <v>273</v>
      </c>
      <c r="B25" s="41"/>
      <c r="C25" s="58"/>
      <c r="D25" s="41"/>
      <c r="E25" s="140"/>
      <c r="F25" s="44"/>
      <c r="G25" s="141"/>
      <c r="H25" s="44"/>
      <c r="I25" s="45"/>
      <c r="J25" s="44"/>
      <c r="K25" s="45"/>
      <c r="L25" s="46"/>
      <c r="M25" s="47"/>
      <c r="N25" s="50"/>
      <c r="O25" s="48"/>
      <c r="P25" s="49"/>
      <c r="Q25" s="50"/>
      <c r="R25" s="51"/>
      <c r="S25" s="52"/>
      <c r="T25" s="130"/>
      <c r="U25" s="50"/>
      <c r="V25" s="51"/>
      <c r="W25" s="41"/>
      <c r="X25" s="216"/>
      <c r="Y25" s="46"/>
      <c r="Z25" s="48"/>
      <c r="AA25" s="53"/>
      <c r="AB25" s="54"/>
      <c r="AC25" s="85"/>
      <c r="AD25" s="92"/>
      <c r="AE25" s="46"/>
      <c r="AF25" s="53"/>
      <c r="AG25" s="46"/>
      <c r="AH25" s="53"/>
      <c r="AI25" s="46"/>
      <c r="AJ25" s="48"/>
      <c r="AK25" s="48"/>
      <c r="AL25" s="132"/>
      <c r="AM25" s="132"/>
      <c r="AN25" s="88"/>
      <c r="AO25" s="46"/>
      <c r="AP25" s="53"/>
      <c r="AQ25" s="46"/>
      <c r="AR25" s="53"/>
      <c r="AS25" s="94"/>
      <c r="AT25" s="88"/>
      <c r="AU25" s="94"/>
      <c r="AV25" s="88"/>
      <c r="AW25" s="94"/>
      <c r="AX25" s="88"/>
      <c r="AY25" s="94"/>
      <c r="AZ25" s="56"/>
      <c r="BA25" s="57"/>
    </row>
    <row r="26" spans="1:53" s="2" customFormat="1" ht="24.9" customHeight="1">
      <c r="A26" s="138" t="s">
        <v>273</v>
      </c>
      <c r="B26" s="40"/>
      <c r="C26" s="58"/>
      <c r="D26" s="40"/>
      <c r="E26" s="140"/>
      <c r="F26" s="44"/>
      <c r="G26" s="142"/>
      <c r="H26" s="44"/>
      <c r="I26" s="45"/>
      <c r="J26" s="44"/>
      <c r="K26" s="45"/>
      <c r="L26" s="46"/>
      <c r="M26" s="47"/>
      <c r="N26" s="46"/>
      <c r="O26" s="48"/>
      <c r="P26" s="49"/>
      <c r="Q26" s="50"/>
      <c r="R26" s="51"/>
      <c r="S26" s="52"/>
      <c r="T26" s="130"/>
      <c r="U26" s="50"/>
      <c r="V26" s="51"/>
      <c r="W26" s="41"/>
      <c r="X26" s="215"/>
      <c r="Y26" s="85"/>
      <c r="Z26" s="87"/>
      <c r="AA26" s="92"/>
      <c r="AB26" s="93"/>
      <c r="AC26" s="85"/>
      <c r="AD26" s="92"/>
      <c r="AE26" s="46"/>
      <c r="AF26" s="53"/>
      <c r="AG26" s="46"/>
      <c r="AH26" s="53"/>
      <c r="AI26" s="46"/>
      <c r="AJ26" s="48"/>
      <c r="AK26" s="48"/>
      <c r="AL26" s="132"/>
      <c r="AM26" s="132"/>
      <c r="AN26" s="88"/>
      <c r="AO26" s="50"/>
      <c r="AP26" s="145"/>
      <c r="AQ26" s="50"/>
      <c r="AR26" s="145"/>
      <c r="AS26" s="94"/>
      <c r="AT26" s="88"/>
      <c r="AU26" s="94"/>
      <c r="AV26" s="88"/>
      <c r="AW26" s="94"/>
      <c r="AX26" s="49"/>
      <c r="AY26" s="94"/>
      <c r="AZ26" s="95"/>
      <c r="BA26" s="57"/>
    </row>
    <row r="27" spans="1:53" s="2" customFormat="1" ht="24.9" customHeight="1">
      <c r="A27" s="138" t="s">
        <v>273</v>
      </c>
      <c r="B27" s="40"/>
      <c r="C27" s="58"/>
      <c r="D27" s="40"/>
      <c r="E27" s="139"/>
      <c r="F27" s="44"/>
      <c r="G27" s="141"/>
      <c r="H27" s="44"/>
      <c r="I27" s="45"/>
      <c r="J27" s="44"/>
      <c r="K27" s="45"/>
      <c r="L27" s="46"/>
      <c r="M27" s="47"/>
      <c r="N27" s="46"/>
      <c r="O27" s="48"/>
      <c r="P27" s="49"/>
      <c r="Q27" s="50"/>
      <c r="R27" s="51"/>
      <c r="S27" s="52"/>
      <c r="T27" s="130"/>
      <c r="U27" s="50"/>
      <c r="V27" s="51"/>
      <c r="W27" s="41"/>
      <c r="X27" s="216"/>
      <c r="Y27" s="46"/>
      <c r="Z27" s="48"/>
      <c r="AA27" s="53"/>
      <c r="AB27" s="54"/>
      <c r="AC27" s="85"/>
      <c r="AD27" s="92"/>
      <c r="AE27" s="46"/>
      <c r="AF27" s="53"/>
      <c r="AG27" s="46"/>
      <c r="AH27" s="53"/>
      <c r="AI27" s="46"/>
      <c r="AJ27" s="48"/>
      <c r="AK27" s="48"/>
      <c r="AL27" s="132"/>
      <c r="AM27" s="132"/>
      <c r="AN27" s="88"/>
      <c r="AO27" s="46"/>
      <c r="AP27" s="53"/>
      <c r="AQ27" s="46"/>
      <c r="AR27" s="53"/>
      <c r="AS27" s="94"/>
      <c r="AT27" s="88"/>
      <c r="AU27" s="94"/>
      <c r="AV27" s="88"/>
      <c r="AW27" s="94"/>
      <c r="AX27" s="88"/>
      <c r="AY27" s="94"/>
      <c r="AZ27" s="56"/>
      <c r="BA27" s="57"/>
    </row>
    <row r="28" spans="1:53" s="2" customFormat="1" ht="24.9" customHeight="1">
      <c r="A28" s="138" t="s">
        <v>273</v>
      </c>
      <c r="B28" s="40"/>
      <c r="C28" s="58"/>
      <c r="D28" s="40"/>
      <c r="E28" s="140"/>
      <c r="F28" s="44"/>
      <c r="G28" s="142"/>
      <c r="H28" s="44"/>
      <c r="I28" s="45"/>
      <c r="J28" s="44"/>
      <c r="K28" s="45"/>
      <c r="L28" s="46"/>
      <c r="M28" s="47"/>
      <c r="N28" s="50"/>
      <c r="O28" s="48"/>
      <c r="P28" s="49"/>
      <c r="Q28" s="50"/>
      <c r="R28" s="51"/>
      <c r="S28" s="52"/>
      <c r="T28" s="130"/>
      <c r="U28" s="50"/>
      <c r="V28" s="51"/>
      <c r="W28" s="41"/>
      <c r="X28" s="215"/>
      <c r="Y28" s="85"/>
      <c r="Z28" s="87"/>
      <c r="AA28" s="92"/>
      <c r="AB28" s="93"/>
      <c r="AC28" s="46"/>
      <c r="AD28" s="53"/>
      <c r="AE28" s="46"/>
      <c r="AF28" s="53"/>
      <c r="AG28" s="46"/>
      <c r="AH28" s="53"/>
      <c r="AI28" s="46"/>
      <c r="AJ28" s="48"/>
      <c r="AK28" s="48"/>
      <c r="AL28" s="132"/>
      <c r="AM28" s="132"/>
      <c r="AN28" s="88"/>
      <c r="AO28" s="50"/>
      <c r="AP28" s="145"/>
      <c r="AQ28" s="50"/>
      <c r="AR28" s="145"/>
      <c r="AS28" s="94"/>
      <c r="AT28" s="88"/>
      <c r="AU28" s="94"/>
      <c r="AV28" s="88"/>
      <c r="AW28" s="94"/>
      <c r="AX28" s="49"/>
      <c r="AY28" s="94"/>
      <c r="AZ28" s="95"/>
      <c r="BA28" s="57"/>
    </row>
    <row r="29" spans="1:53" s="2" customFormat="1" ht="24.9" customHeight="1">
      <c r="A29" s="138" t="s">
        <v>273</v>
      </c>
      <c r="B29" s="41"/>
      <c r="C29" s="58"/>
      <c r="D29" s="41"/>
      <c r="E29" s="140"/>
      <c r="F29" s="44"/>
      <c r="G29" s="141"/>
      <c r="H29" s="44"/>
      <c r="I29" s="45"/>
      <c r="J29" s="44"/>
      <c r="K29" s="45"/>
      <c r="L29" s="46"/>
      <c r="M29" s="47"/>
      <c r="N29" s="50"/>
      <c r="O29" s="48"/>
      <c r="P29" s="49"/>
      <c r="Q29" s="50"/>
      <c r="R29" s="51"/>
      <c r="S29" s="52"/>
      <c r="T29" s="130"/>
      <c r="U29" s="50"/>
      <c r="V29" s="51"/>
      <c r="W29" s="41"/>
      <c r="X29" s="216"/>
      <c r="Y29" s="46"/>
      <c r="Z29" s="48"/>
      <c r="AA29" s="53"/>
      <c r="AB29" s="54"/>
      <c r="AC29" s="46"/>
      <c r="AD29" s="53"/>
      <c r="AE29" s="46"/>
      <c r="AF29" s="53"/>
      <c r="AG29" s="46"/>
      <c r="AH29" s="53"/>
      <c r="AI29" s="46"/>
      <c r="AJ29" s="48"/>
      <c r="AK29" s="48"/>
      <c r="AL29" s="132"/>
      <c r="AM29" s="132"/>
      <c r="AN29" s="88"/>
      <c r="AO29" s="46"/>
      <c r="AP29" s="53"/>
      <c r="AQ29" s="46"/>
      <c r="AR29" s="53"/>
      <c r="AS29" s="94"/>
      <c r="AT29" s="88"/>
      <c r="AU29" s="94"/>
      <c r="AV29" s="88"/>
      <c r="AW29" s="94"/>
      <c r="AX29" s="88"/>
      <c r="AY29" s="94"/>
      <c r="AZ29" s="56"/>
      <c r="BA29" s="57"/>
    </row>
    <row r="30" spans="1:53" s="2" customFormat="1" ht="24.9" customHeight="1">
      <c r="A30" s="138" t="s">
        <v>273</v>
      </c>
      <c r="B30" s="40"/>
      <c r="C30" s="58"/>
      <c r="D30" s="40"/>
      <c r="E30" s="140"/>
      <c r="F30" s="44"/>
      <c r="G30" s="142"/>
      <c r="H30" s="44"/>
      <c r="I30" s="45"/>
      <c r="J30" s="44"/>
      <c r="K30" s="45"/>
      <c r="L30" s="46"/>
      <c r="M30" s="47"/>
      <c r="N30" s="46"/>
      <c r="O30" s="48"/>
      <c r="P30" s="49"/>
      <c r="Q30" s="50"/>
      <c r="R30" s="51"/>
      <c r="S30" s="52"/>
      <c r="T30" s="130"/>
      <c r="U30" s="50"/>
      <c r="V30" s="51"/>
      <c r="W30" s="41"/>
      <c r="X30" s="215"/>
      <c r="Y30" s="85"/>
      <c r="Z30" s="87"/>
      <c r="AA30" s="92"/>
      <c r="AB30" s="146"/>
      <c r="AC30" s="46"/>
      <c r="AD30" s="53"/>
      <c r="AE30" s="46"/>
      <c r="AF30" s="53"/>
      <c r="AG30" s="46"/>
      <c r="AH30" s="53"/>
      <c r="AI30" s="46"/>
      <c r="AJ30" s="48"/>
      <c r="AK30" s="48"/>
      <c r="AL30" s="132"/>
      <c r="AM30" s="132"/>
      <c r="AN30" s="88"/>
      <c r="AO30" s="46"/>
      <c r="AP30" s="53"/>
      <c r="AQ30" s="46"/>
      <c r="AR30" s="53"/>
      <c r="AS30" s="94"/>
      <c r="AT30" s="88"/>
      <c r="AU30" s="94"/>
      <c r="AV30" s="88"/>
      <c r="AW30" s="94"/>
      <c r="AX30" s="49"/>
      <c r="AY30" s="94"/>
      <c r="AZ30" s="95"/>
      <c r="BA30" s="57"/>
    </row>
    <row r="31" spans="1:53" s="2" customFormat="1" ht="24.9" customHeight="1">
      <c r="A31" s="138" t="s">
        <v>273</v>
      </c>
      <c r="B31" s="40"/>
      <c r="C31" s="58"/>
      <c r="D31" s="40"/>
      <c r="E31" s="140"/>
      <c r="F31" s="44"/>
      <c r="G31" s="141"/>
      <c r="H31" s="44"/>
      <c r="I31" s="45"/>
      <c r="J31" s="44"/>
      <c r="K31" s="45"/>
      <c r="L31" s="46"/>
      <c r="M31" s="47"/>
      <c r="N31" s="46"/>
      <c r="O31" s="48"/>
      <c r="P31" s="49"/>
      <c r="Q31" s="50"/>
      <c r="R31" s="51"/>
      <c r="S31" s="52"/>
      <c r="T31" s="130"/>
      <c r="U31" s="50"/>
      <c r="V31" s="51"/>
      <c r="W31" s="41"/>
      <c r="X31" s="216"/>
      <c r="Y31" s="46"/>
      <c r="Z31" s="48"/>
      <c r="AA31" s="53"/>
      <c r="AB31" s="146"/>
      <c r="AC31" s="46"/>
      <c r="AD31" s="53"/>
      <c r="AE31" s="46"/>
      <c r="AF31" s="53"/>
      <c r="AG31" s="46"/>
      <c r="AH31" s="53"/>
      <c r="AI31" s="46"/>
      <c r="AJ31" s="48"/>
      <c r="AK31" s="48"/>
      <c r="AL31" s="132"/>
      <c r="AM31" s="132"/>
      <c r="AN31" s="88"/>
      <c r="AO31" s="46"/>
      <c r="AP31" s="53"/>
      <c r="AQ31" s="46"/>
      <c r="AR31" s="53"/>
      <c r="AS31" s="94"/>
      <c r="AT31" s="88"/>
      <c r="AU31" s="94"/>
      <c r="AV31" s="88"/>
      <c r="AW31" s="94"/>
      <c r="AX31" s="88"/>
      <c r="AY31" s="94"/>
      <c r="AZ31" s="56"/>
      <c r="BA31" s="57"/>
    </row>
    <row r="32" spans="1:53" s="2" customFormat="1" ht="24.9" customHeight="1">
      <c r="A32" s="138" t="s">
        <v>273</v>
      </c>
      <c r="B32" s="40"/>
      <c r="C32" s="59"/>
      <c r="D32" s="40"/>
      <c r="E32" s="140"/>
      <c r="F32" s="44"/>
      <c r="G32" s="44"/>
      <c r="H32" s="44"/>
      <c r="I32" s="45"/>
      <c r="J32" s="44"/>
      <c r="K32" s="45"/>
      <c r="L32" s="46"/>
      <c r="M32" s="47"/>
      <c r="N32" s="46"/>
      <c r="O32" s="48"/>
      <c r="P32" s="49"/>
      <c r="Q32" s="50"/>
      <c r="R32" s="51"/>
      <c r="S32" s="52"/>
      <c r="T32" s="130"/>
      <c r="U32" s="50"/>
      <c r="V32" s="51"/>
      <c r="W32" s="41"/>
      <c r="X32" s="216"/>
      <c r="Y32" s="46"/>
      <c r="Z32" s="48"/>
      <c r="AA32" s="53"/>
      <c r="AB32" s="54"/>
      <c r="AC32" s="46"/>
      <c r="AD32" s="53"/>
      <c r="AE32" s="46"/>
      <c r="AF32" s="53"/>
      <c r="AG32" s="46"/>
      <c r="AH32" s="53"/>
      <c r="AI32" s="46"/>
      <c r="AJ32" s="48"/>
      <c r="AK32" s="48"/>
      <c r="AL32" s="132"/>
      <c r="AM32" s="132"/>
      <c r="AN32" s="88"/>
      <c r="AO32" s="46"/>
      <c r="AP32" s="53"/>
      <c r="AQ32" s="46"/>
      <c r="AR32" s="53"/>
      <c r="AS32" s="94"/>
      <c r="AT32" s="88"/>
      <c r="AU32" s="94"/>
      <c r="AV32" s="88"/>
      <c r="AW32" s="94"/>
      <c r="AX32" s="88"/>
      <c r="AY32" s="94"/>
      <c r="AZ32" s="56"/>
      <c r="BA32" s="57"/>
    </row>
    <row r="33" spans="1:53" s="2" customFormat="1" ht="24.9" customHeight="1">
      <c r="A33" s="40"/>
      <c r="B33" s="40"/>
      <c r="C33" s="59"/>
      <c r="D33" s="40" t="s">
        <v>241</v>
      </c>
      <c r="E33" s="43"/>
      <c r="F33" s="44"/>
      <c r="G33" s="44" t="str">
        <f>IF(E33="","",_xlfn.ISOWEEKNUM(E33))</f>
        <v/>
      </c>
      <c r="H33" s="44" t="s">
        <v>6</v>
      </c>
      <c r="I33" s="45" t="s">
        <v>6</v>
      </c>
      <c r="J33" s="44" t="s">
        <v>6</v>
      </c>
      <c r="K33" s="45" t="s">
        <v>6</v>
      </c>
      <c r="L33" s="46" t="s">
        <v>6</v>
      </c>
      <c r="M33" s="47" t="s">
        <v>6</v>
      </c>
      <c r="N33" s="46" t="s">
        <v>6</v>
      </c>
      <c r="O33" s="48" t="s">
        <v>6</v>
      </c>
      <c r="P33" s="49"/>
      <c r="Q33" s="50" t="s">
        <v>6</v>
      </c>
      <c r="R33" s="51" t="s">
        <v>6</v>
      </c>
      <c r="S33" s="52" t="s">
        <v>6</v>
      </c>
      <c r="T33" s="130" t="str">
        <f>IF(Q33=" - "," - ",IF(R33=" - "," - ",IF(S33=" - ","samples?",AVERAGE(Q33:S33))))</f>
        <v xml:space="preserve"> - </v>
      </c>
      <c r="U33" s="50" t="s">
        <v>6</v>
      </c>
      <c r="V33" s="51" t="s">
        <v>6</v>
      </c>
      <c r="W33" s="41" t="s">
        <v>6</v>
      </c>
      <c r="X33" s="216"/>
      <c r="Y33" s="46" t="s">
        <v>6</v>
      </c>
      <c r="Z33" s="48" t="s">
        <v>6</v>
      </c>
      <c r="AA33" s="53" t="s">
        <v>6</v>
      </c>
      <c r="AB33" s="54" t="s">
        <v>6</v>
      </c>
      <c r="AC33" s="46" t="s">
        <v>6</v>
      </c>
      <c r="AD33" s="53" t="s">
        <v>6</v>
      </c>
      <c r="AE33" s="46" t="s">
        <v>6</v>
      </c>
      <c r="AF33" s="53" t="s">
        <v>6</v>
      </c>
      <c r="AG33" s="46" t="s">
        <v>6</v>
      </c>
      <c r="AH33" s="53" t="s">
        <v>6</v>
      </c>
      <c r="AI33" s="46" t="s">
        <v>6</v>
      </c>
      <c r="AJ33" s="48" t="s">
        <v>6</v>
      </c>
      <c r="AK33" s="48" t="s">
        <v>6</v>
      </c>
      <c r="AL33" s="132" t="str">
        <f>IF(AI33=" - "," - ",AK33/AI33)</f>
        <v xml:space="preserve"> - </v>
      </c>
      <c r="AM33" s="132" t="str">
        <f>IF(AJ33=" - "," - ",AK33/AJ33)</f>
        <v xml:space="preserve"> - </v>
      </c>
      <c r="AN33" s="49" t="s">
        <v>6</v>
      </c>
      <c r="AO33" s="46" t="s">
        <v>6</v>
      </c>
      <c r="AP33" s="53" t="s">
        <v>6</v>
      </c>
      <c r="AQ33" s="46" t="s">
        <v>6</v>
      </c>
      <c r="AR33" s="53" t="s">
        <v>6</v>
      </c>
      <c r="AS33" s="55" t="s">
        <v>6</v>
      </c>
      <c r="AT33" s="49" t="s">
        <v>6</v>
      </c>
      <c r="AU33" s="55" t="s">
        <v>6</v>
      </c>
      <c r="AV33" s="49" t="s">
        <v>6</v>
      </c>
      <c r="AW33" s="55" t="s">
        <v>6</v>
      </c>
      <c r="AX33" s="49" t="s">
        <v>6</v>
      </c>
      <c r="AY33" s="55" t="s">
        <v>6</v>
      </c>
      <c r="AZ33" s="56" t="s">
        <v>6</v>
      </c>
      <c r="BA33" s="57" t="s">
        <v>6</v>
      </c>
    </row>
    <row r="34" spans="1:53" ht="6.9" customHeight="1">
      <c r="A34" s="60" t="s">
        <v>6</v>
      </c>
      <c r="B34" s="60" t="s">
        <v>6</v>
      </c>
      <c r="C34" s="60"/>
      <c r="D34" s="60" t="s">
        <v>6</v>
      </c>
      <c r="E34" s="60" t="s">
        <v>6</v>
      </c>
      <c r="F34" s="60" t="s">
        <v>6</v>
      </c>
      <c r="G34" s="60" t="s">
        <v>6</v>
      </c>
      <c r="H34" s="60" t="s">
        <v>6</v>
      </c>
      <c r="I34" s="60" t="s">
        <v>6</v>
      </c>
      <c r="J34" s="60" t="s">
        <v>6</v>
      </c>
      <c r="K34" s="60" t="s">
        <v>6</v>
      </c>
      <c r="L34" s="60" t="s">
        <v>6</v>
      </c>
      <c r="M34" s="60" t="s">
        <v>6</v>
      </c>
      <c r="N34" s="60" t="s">
        <v>6</v>
      </c>
      <c r="O34" s="60" t="s">
        <v>6</v>
      </c>
      <c r="P34" s="60" t="s">
        <v>6</v>
      </c>
      <c r="Q34" s="60" t="s">
        <v>6</v>
      </c>
      <c r="R34" s="60" t="s">
        <v>6</v>
      </c>
      <c r="S34" s="60" t="s">
        <v>6</v>
      </c>
      <c r="T34" s="60" t="s">
        <v>6</v>
      </c>
      <c r="U34" s="60" t="s">
        <v>6</v>
      </c>
      <c r="V34" s="60" t="s">
        <v>6</v>
      </c>
      <c r="W34" s="60" t="s">
        <v>6</v>
      </c>
      <c r="X34" s="60"/>
      <c r="Y34" s="60" t="s">
        <v>6</v>
      </c>
      <c r="Z34" s="60" t="s">
        <v>6</v>
      </c>
      <c r="AA34" s="60" t="s">
        <v>6</v>
      </c>
      <c r="AB34" s="60" t="s">
        <v>6</v>
      </c>
      <c r="AC34" s="60" t="s">
        <v>6</v>
      </c>
      <c r="AD34" s="60" t="s">
        <v>6</v>
      </c>
      <c r="AE34" s="60" t="s">
        <v>6</v>
      </c>
      <c r="AF34" s="60" t="s">
        <v>6</v>
      </c>
      <c r="AG34" s="60" t="s">
        <v>6</v>
      </c>
      <c r="AH34" s="60" t="s">
        <v>6</v>
      </c>
      <c r="AI34" s="60" t="s">
        <v>6</v>
      </c>
      <c r="AJ34" s="60" t="s">
        <v>6</v>
      </c>
      <c r="AK34" s="60" t="s">
        <v>6</v>
      </c>
      <c r="AL34" s="61"/>
      <c r="AM34" s="61"/>
      <c r="AN34" s="60" t="s">
        <v>6</v>
      </c>
      <c r="AO34" s="60" t="s">
        <v>6</v>
      </c>
      <c r="AP34" s="60" t="s">
        <v>6</v>
      </c>
      <c r="AQ34" s="60" t="s">
        <v>6</v>
      </c>
      <c r="AR34" s="60" t="s">
        <v>6</v>
      </c>
      <c r="AS34" s="60" t="s">
        <v>6</v>
      </c>
      <c r="AT34" s="60" t="s">
        <v>6</v>
      </c>
      <c r="AU34" s="60" t="s">
        <v>6</v>
      </c>
      <c r="AV34" s="60" t="s">
        <v>6</v>
      </c>
      <c r="AW34" s="60" t="s">
        <v>6</v>
      </c>
      <c r="AX34" s="60" t="s">
        <v>6</v>
      </c>
      <c r="AY34" s="60" t="s">
        <v>6</v>
      </c>
      <c r="AZ34" s="60" t="s">
        <v>6</v>
      </c>
      <c r="BA34" s="60" t="s">
        <v>6</v>
      </c>
    </row>
    <row r="36" spans="1:53">
      <c r="B36" s="64" t="s">
        <v>242</v>
      </c>
      <c r="C36" s="64"/>
    </row>
    <row r="38" spans="1:53" ht="15.75" customHeight="1">
      <c r="A38" s="65" t="s">
        <v>243</v>
      </c>
      <c r="B38" s="65">
        <v>1</v>
      </c>
      <c r="C38" s="604" t="s">
        <v>244</v>
      </c>
      <c r="D38" s="593"/>
      <c r="E38" s="593"/>
    </row>
    <row r="39" spans="1:53" ht="15.65" customHeight="1">
      <c r="A39" s="65"/>
      <c r="B39" s="65">
        <v>2</v>
      </c>
      <c r="C39" s="604" t="s">
        <v>244</v>
      </c>
      <c r="D39" s="593"/>
      <c r="E39" s="593"/>
    </row>
    <row r="40" spans="1:53" ht="15.65" customHeight="1">
      <c r="A40" s="65"/>
      <c r="B40" s="65">
        <v>3</v>
      </c>
      <c r="C40" s="604" t="s">
        <v>244</v>
      </c>
      <c r="D40" s="593"/>
      <c r="E40" s="593"/>
    </row>
    <row r="41" spans="1:53" ht="15.75" customHeight="1">
      <c r="A41" s="6"/>
    </row>
    <row r="42" spans="1:53" ht="15.75" customHeight="1">
      <c r="A42" s="646" t="s">
        <v>245</v>
      </c>
      <c r="B42" s="593"/>
      <c r="C42" s="104" t="s">
        <v>246</v>
      </c>
      <c r="D42" s="66" t="s">
        <v>247</v>
      </c>
      <c r="E42" s="67"/>
    </row>
    <row r="43" spans="1:53" ht="15.65" customHeight="1">
      <c r="A43" s="68"/>
      <c r="B43" s="67"/>
      <c r="C43" s="104" t="s">
        <v>248</v>
      </c>
      <c r="D43" s="66" t="s">
        <v>249</v>
      </c>
      <c r="E43" s="67"/>
    </row>
    <row r="44" spans="1:53">
      <c r="B44" s="62"/>
      <c r="C44" s="62"/>
      <c r="D44" s="62"/>
      <c r="E44" s="62"/>
    </row>
    <row r="45" spans="1:53">
      <c r="B45" s="64"/>
      <c r="C45" s="62"/>
      <c r="D45" s="62"/>
      <c r="E45" s="62"/>
    </row>
    <row r="46" spans="1:53">
      <c r="B46" s="62"/>
      <c r="C46" s="62"/>
      <c r="D46" s="62"/>
      <c r="E46" s="62"/>
    </row>
  </sheetData>
  <mergeCells count="58">
    <mergeCell ref="B3:D3"/>
    <mergeCell ref="AI10:AN10"/>
    <mergeCell ref="H10:M10"/>
    <mergeCell ref="E8:G8"/>
    <mergeCell ref="AG11:AH12"/>
    <mergeCell ref="P11:P13"/>
    <mergeCell ref="H11:I12"/>
    <mergeCell ref="AI11:AJ12"/>
    <mergeCell ref="J11:K12"/>
    <mergeCell ref="AK11:AK13"/>
    <mergeCell ref="A9:B9"/>
    <mergeCell ref="Q8:V8"/>
    <mergeCell ref="Q11:S12"/>
    <mergeCell ref="B10:B13"/>
    <mergeCell ref="C38:E38"/>
    <mergeCell ref="AS8:AZ8"/>
    <mergeCell ref="B4:D4"/>
    <mergeCell ref="A42:B42"/>
    <mergeCell ref="Y8:AA8"/>
    <mergeCell ref="AI8:AN8"/>
    <mergeCell ref="AL11:AM12"/>
    <mergeCell ref="H8:M8"/>
    <mergeCell ref="A10:A13"/>
    <mergeCell ref="N11:N12"/>
    <mergeCell ref="AS11:AT12"/>
    <mergeCell ref="AU11:AV12"/>
    <mergeCell ref="BA10:BA13"/>
    <mergeCell ref="AO12:AP12"/>
    <mergeCell ref="N10:P10"/>
    <mergeCell ref="AQ12:AR12"/>
    <mergeCell ref="AY11:AZ12"/>
    <mergeCell ref="Y12:AA12"/>
    <mergeCell ref="AC11:AD12"/>
    <mergeCell ref="AE11:AF12"/>
    <mergeCell ref="AW11:AX12"/>
    <mergeCell ref="W10:W12"/>
    <mergeCell ref="AS10:AZ10"/>
    <mergeCell ref="E10:G12"/>
    <mergeCell ref="AB10:AB12"/>
    <mergeCell ref="C10:C13"/>
    <mergeCell ref="X10:X12"/>
    <mergeCell ref="T11:V12"/>
    <mergeCell ref="AC10:AH10"/>
    <mergeCell ref="L11:M12"/>
    <mergeCell ref="C40:E40"/>
    <mergeCell ref="AQ11:AR11"/>
    <mergeCell ref="AC8:AH8"/>
    <mergeCell ref="O11:O13"/>
    <mergeCell ref="N8:P8"/>
    <mergeCell ref="AN11:AN13"/>
    <mergeCell ref="C39:E39"/>
    <mergeCell ref="AO8:AR8"/>
    <mergeCell ref="D10:D13"/>
    <mergeCell ref="AO10:AR10"/>
    <mergeCell ref="Y11:AA11"/>
    <mergeCell ref="Q10:V10"/>
    <mergeCell ref="Y10:AA10"/>
    <mergeCell ref="AO11:AP11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30A0"/>
    <pageSetUpPr fitToPage="1"/>
  </sheetPr>
  <dimension ref="A1:BT631"/>
  <sheetViews>
    <sheetView showGridLines="0" zoomScale="70" zoomScaleNormal="70" workbookViewId="0">
      <pane xSplit="7" ySplit="11" topLeftCell="H12" activePane="bottomRight" state="frozen"/>
      <selection pane="topRight" activeCell="H1" sqref="H1"/>
      <selection pane="bottomLeft" activeCell="A16" sqref="A16"/>
      <selection pane="bottomRight" activeCell="AW12" sqref="AR12:AW12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3.3632812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12.453125" style="6" customWidth="1"/>
    <col min="17" max="17" width="11.453125" style="6" customWidth="1"/>
    <col min="18" max="18" width="8.6328125" style="6" bestFit="1" customWidth="1"/>
    <col min="19" max="23" width="8.36328125" style="6" customWidth="1"/>
    <col min="24" max="24" width="12.453125" style="6" customWidth="1"/>
    <col min="25" max="26" width="15.6328125" style="6" customWidth="1"/>
    <col min="27" max="30" width="8.36328125" style="6" customWidth="1"/>
    <col min="31" max="31" width="15.6328125" style="6" customWidth="1"/>
    <col min="32" max="32" width="9.08984375" style="6" customWidth="1"/>
    <col min="33" max="33" width="9.36328125" style="6" customWidth="1"/>
    <col min="34" max="34" width="8.6328125" style="6" customWidth="1"/>
    <col min="35" max="35" width="8.36328125" style="6" customWidth="1"/>
    <col min="36" max="36" width="9.36328125" style="6" customWidth="1"/>
    <col min="37" max="37" width="8.36328125" style="6" customWidth="1"/>
    <col min="38" max="39" width="9" style="6" customWidth="1"/>
    <col min="40" max="40" width="8.36328125" style="6" customWidth="1"/>
    <col min="41" max="41" width="5.08984375" style="63" customWidth="1"/>
    <col min="42" max="42" width="6.36328125" style="63" customWidth="1"/>
    <col min="43" max="43" width="8.36328125" style="6" customWidth="1"/>
    <col min="44" max="44" width="6.08984375" style="6" customWidth="1"/>
    <col min="45" max="45" width="5.36328125" style="6" customWidth="1"/>
    <col min="46" max="46" width="5.08984375" style="6" customWidth="1"/>
    <col min="47" max="47" width="5.6328125" style="6" customWidth="1"/>
    <col min="48" max="48" width="5.36328125" style="6" customWidth="1"/>
    <col min="49" max="49" width="5.6328125" style="6" customWidth="1"/>
    <col min="50" max="50" width="12.6328125" style="6" bestFit="1" customWidth="1"/>
    <col min="51" max="51" width="9.36328125" style="6" bestFit="1" customWidth="1"/>
    <col min="52" max="52" width="12.6328125" style="6" bestFit="1" customWidth="1"/>
    <col min="53" max="53" width="9.36328125" style="6" bestFit="1" customWidth="1"/>
    <col min="54" max="54" width="7.54296875" style="6" bestFit="1" customWidth="1"/>
    <col min="55" max="55" width="9.36328125" style="6" bestFit="1" customWidth="1"/>
    <col min="56" max="56" width="12.6328125" style="6" bestFit="1" customWidth="1"/>
    <col min="57" max="57" width="9.36328125" style="6" bestFit="1" customWidth="1"/>
    <col min="58" max="58" width="12.6328125" style="6" bestFit="1" customWidth="1"/>
    <col min="59" max="59" width="9.36328125" style="6" bestFit="1" customWidth="1"/>
    <col min="60" max="60" width="7.54296875" style="6" bestFit="1" customWidth="1"/>
    <col min="61" max="61" width="9.36328125" style="6" bestFit="1" customWidth="1"/>
    <col min="62" max="62" width="22.08984375" style="6" bestFit="1" customWidth="1"/>
    <col min="63" max="65" width="17" style="6" customWidth="1"/>
    <col min="66" max="66" width="22.36328125" style="6" bestFit="1" customWidth="1"/>
    <col min="67" max="67" width="13.36328125" style="6" bestFit="1" customWidth="1"/>
    <col min="68" max="68" width="23.08984375" style="6" bestFit="1" customWidth="1"/>
    <col min="69" max="69" width="11.36328125" style="6" bestFit="1" customWidth="1"/>
    <col min="70" max="70" width="31" style="6" bestFit="1" customWidth="1"/>
    <col min="71" max="71" width="13.36328125" style="6" bestFit="1" customWidth="1"/>
    <col min="72" max="72" width="73.08984375" style="6" customWidth="1"/>
    <col min="73" max="73" width="9.08984375" style="6" customWidth="1"/>
    <col min="74" max="16384" width="9.08984375" style="6"/>
  </cols>
  <sheetData>
    <row r="1" spans="1:72" s="1" customFormat="1" ht="22.5" customHeight="1">
      <c r="A1" s="294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8"/>
      <c r="AP1" s="108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</row>
    <row r="2" spans="1:72" s="2" customFormat="1" ht="24" customHeight="1">
      <c r="A2" s="295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</row>
    <row r="3" spans="1:72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7"/>
      <c r="R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3"/>
      <c r="AP3" s="3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</row>
    <row r="4" spans="1:72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7"/>
      <c r="R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10"/>
      <c r="AP4" s="10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</row>
    <row r="5" spans="1:72" ht="21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7"/>
      <c r="R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10"/>
      <c r="AP5" s="10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</row>
    <row r="6" spans="1:72" ht="11.25" customHeight="1">
      <c r="A6" s="638"/>
      <c r="B6" s="616"/>
      <c r="C6" s="616"/>
      <c r="D6" s="616"/>
      <c r="E6" s="616"/>
      <c r="F6" s="616"/>
      <c r="G6" s="616"/>
      <c r="H6" s="616"/>
      <c r="I6" s="616"/>
      <c r="J6" s="616"/>
      <c r="K6" s="616"/>
      <c r="L6" s="616"/>
      <c r="M6" s="616"/>
      <c r="N6" s="616"/>
      <c r="O6" s="616"/>
      <c r="P6" s="616"/>
      <c r="Q6" s="616"/>
      <c r="R6" s="616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616"/>
      <c r="AH6" s="616"/>
      <c r="AI6" s="616"/>
      <c r="AJ6" s="616"/>
      <c r="AK6" s="616"/>
      <c r="AL6" s="616"/>
      <c r="AM6" s="616"/>
      <c r="AN6" s="616"/>
      <c r="AO6" s="616"/>
      <c r="AP6" s="616"/>
      <c r="AQ6" s="616"/>
      <c r="AR6" s="616"/>
      <c r="AS6" s="616"/>
      <c r="AT6" s="616"/>
      <c r="AU6" s="616"/>
      <c r="AV6" s="616"/>
      <c r="AW6" s="616"/>
      <c r="AX6" s="616"/>
      <c r="AY6" s="616"/>
      <c r="AZ6" s="616"/>
      <c r="BA6" s="616"/>
      <c r="BB6" s="616"/>
      <c r="BC6" s="616"/>
      <c r="BD6" s="616"/>
      <c r="BE6" s="616"/>
      <c r="BF6" s="616"/>
      <c r="BG6" s="616"/>
      <c r="BH6" s="616"/>
      <c r="BI6" s="616"/>
      <c r="BJ6" s="616"/>
      <c r="BK6" s="616"/>
      <c r="BL6" s="616"/>
      <c r="BM6" s="616"/>
      <c r="BN6" s="616"/>
      <c r="BO6" s="616"/>
      <c r="BP6" s="616"/>
      <c r="BQ6" s="616"/>
      <c r="BR6" s="616"/>
      <c r="BS6" s="616"/>
      <c r="BT6" s="639"/>
    </row>
    <row r="7" spans="1:72" ht="20.399999999999999" hidden="1" customHeight="1">
      <c r="A7" s="615" t="s">
        <v>5</v>
      </c>
      <c r="B7" s="616"/>
      <c r="C7" s="18"/>
      <c r="D7" s="19"/>
      <c r="E7" s="20"/>
      <c r="F7" s="21"/>
      <c r="G7" s="22" t="s">
        <v>6</v>
      </c>
      <c r="H7" s="111"/>
      <c r="I7" s="112"/>
      <c r="J7" s="111"/>
      <c r="K7" s="112"/>
      <c r="L7" s="113"/>
      <c r="M7" s="114"/>
      <c r="N7" s="113"/>
      <c r="O7" s="115"/>
      <c r="P7" s="520"/>
      <c r="Q7" s="520"/>
      <c r="R7" s="111"/>
      <c r="S7" s="116"/>
      <c r="T7" s="117"/>
      <c r="U7" s="111"/>
      <c r="V7" s="116"/>
      <c r="W7" s="119"/>
      <c r="X7" s="118"/>
      <c r="Y7" s="120"/>
      <c r="Z7" s="214"/>
      <c r="AA7" s="121"/>
      <c r="AB7" s="122"/>
      <c r="AC7" s="123"/>
      <c r="AD7" s="504"/>
      <c r="AE7" s="120"/>
      <c r="AF7" s="111"/>
      <c r="AG7" s="112"/>
      <c r="AH7" s="111"/>
      <c r="AI7" s="112"/>
      <c r="AJ7" s="111"/>
      <c r="AK7" s="112"/>
      <c r="AL7" s="111"/>
      <c r="AM7" s="125"/>
      <c r="AN7" s="125"/>
      <c r="AO7" s="126"/>
      <c r="AP7" s="126"/>
      <c r="AQ7" s="127"/>
      <c r="AR7" s="536"/>
      <c r="AS7" s="536"/>
      <c r="AT7" s="536"/>
      <c r="AU7" s="536"/>
      <c r="AV7" s="536"/>
      <c r="AW7" s="536"/>
      <c r="AX7" s="111"/>
      <c r="AY7" s="128"/>
      <c r="AZ7" s="128"/>
      <c r="BA7" s="128"/>
      <c r="BB7" s="128"/>
      <c r="BC7" s="112"/>
      <c r="BD7" s="111"/>
      <c r="BE7" s="128"/>
      <c r="BF7" s="128"/>
      <c r="BG7" s="128"/>
      <c r="BH7" s="128"/>
      <c r="BI7" s="112"/>
      <c r="BJ7" s="111"/>
      <c r="BK7" s="112"/>
      <c r="BL7" s="128"/>
      <c r="BM7" s="128"/>
      <c r="BN7" s="111"/>
      <c r="BO7" s="112"/>
      <c r="BP7" s="111"/>
      <c r="BQ7" s="112"/>
      <c r="BR7" s="111"/>
      <c r="BS7" s="129"/>
      <c r="BT7" s="120"/>
    </row>
    <row r="8" spans="1:72" ht="38.25" customHeight="1">
      <c r="A8" s="635" t="s">
        <v>7</v>
      </c>
      <c r="B8" s="617" t="s">
        <v>8</v>
      </c>
      <c r="C8" s="640" t="s">
        <v>9</v>
      </c>
      <c r="D8" s="652" t="s">
        <v>10</v>
      </c>
      <c r="E8" s="656" t="s">
        <v>11</v>
      </c>
      <c r="F8" s="648"/>
      <c r="G8" s="606"/>
      <c r="H8" s="603" t="s">
        <v>13</v>
      </c>
      <c r="I8" s="601"/>
      <c r="J8" s="601"/>
      <c r="K8" s="601"/>
      <c r="L8" s="601"/>
      <c r="M8" s="591"/>
      <c r="N8" s="603" t="s">
        <v>14</v>
      </c>
      <c r="O8" s="591"/>
      <c r="P8" s="605" t="s">
        <v>15</v>
      </c>
      <c r="Q8" s="606"/>
      <c r="R8" s="627" t="s">
        <v>16</v>
      </c>
      <c r="S8" s="601"/>
      <c r="T8" s="601"/>
      <c r="U8" s="601"/>
      <c r="V8" s="601"/>
      <c r="W8" s="601"/>
      <c r="X8" s="612" t="s">
        <v>286</v>
      </c>
      <c r="Y8" s="612" t="s">
        <v>17</v>
      </c>
      <c r="Z8" s="659" t="s">
        <v>18</v>
      </c>
      <c r="AA8" s="647" t="s">
        <v>19</v>
      </c>
      <c r="AB8" s="648"/>
      <c r="AC8" s="648"/>
      <c r="AD8" s="606"/>
      <c r="AE8" s="612" t="s">
        <v>20</v>
      </c>
      <c r="AF8" s="660" t="s">
        <v>21</v>
      </c>
      <c r="AG8" s="601"/>
      <c r="AH8" s="601"/>
      <c r="AI8" s="601"/>
      <c r="AJ8" s="601"/>
      <c r="AK8" s="591"/>
      <c r="AL8" s="603" t="s">
        <v>22</v>
      </c>
      <c r="AM8" s="601"/>
      <c r="AN8" s="601"/>
      <c r="AO8" s="601"/>
      <c r="AP8" s="601"/>
      <c r="AQ8" s="591"/>
      <c r="AR8" s="612" t="s">
        <v>23</v>
      </c>
      <c r="AS8" s="633"/>
      <c r="AT8" s="633"/>
      <c r="AU8" s="633"/>
      <c r="AV8" s="633"/>
      <c r="AW8" s="666"/>
      <c r="AX8" s="632" t="s">
        <v>24</v>
      </c>
      <c r="AY8" s="633"/>
      <c r="AZ8" s="633"/>
      <c r="BA8" s="633"/>
      <c r="BB8" s="633"/>
      <c r="BC8" s="633"/>
      <c r="BD8" s="633"/>
      <c r="BE8" s="633"/>
      <c r="BF8" s="633"/>
      <c r="BG8" s="633"/>
      <c r="BH8" s="633"/>
      <c r="BI8" s="633"/>
      <c r="BJ8" s="624" t="s">
        <v>25</v>
      </c>
      <c r="BK8" s="601"/>
      <c r="BL8" s="601"/>
      <c r="BM8" s="601"/>
      <c r="BN8" s="601"/>
      <c r="BO8" s="601"/>
      <c r="BP8" s="601"/>
      <c r="BQ8" s="601"/>
      <c r="BR8" s="601"/>
      <c r="BS8" s="591"/>
      <c r="BT8" s="645" t="s">
        <v>26</v>
      </c>
    </row>
    <row r="9" spans="1:72" ht="29.25" customHeight="1">
      <c r="A9" s="636"/>
      <c r="B9" s="618"/>
      <c r="C9" s="641"/>
      <c r="D9" s="653"/>
      <c r="E9" s="657"/>
      <c r="F9" s="593"/>
      <c r="G9" s="594"/>
      <c r="H9" s="599" t="s">
        <v>27</v>
      </c>
      <c r="I9" s="589"/>
      <c r="J9" s="608" t="s">
        <v>28</v>
      </c>
      <c r="K9" s="589"/>
      <c r="L9" s="634" t="s">
        <v>256</v>
      </c>
      <c r="M9" s="622"/>
      <c r="N9" s="599" t="s">
        <v>30</v>
      </c>
      <c r="O9" s="608" t="s">
        <v>31</v>
      </c>
      <c r="P9" s="599" t="s">
        <v>32</v>
      </c>
      <c r="Q9" s="599" t="s">
        <v>33</v>
      </c>
      <c r="R9" s="602" t="s">
        <v>287</v>
      </c>
      <c r="S9" s="600"/>
      <c r="T9" s="600"/>
      <c r="U9" s="665" t="s">
        <v>288</v>
      </c>
      <c r="V9" s="600"/>
      <c r="W9" s="600"/>
      <c r="X9" s="613"/>
      <c r="Y9" s="613"/>
      <c r="Z9" s="618"/>
      <c r="AA9" s="592" t="s">
        <v>36</v>
      </c>
      <c r="AB9" s="593"/>
      <c r="AC9" s="593"/>
      <c r="AD9" s="594"/>
      <c r="AE9" s="613"/>
      <c r="AF9" s="588" t="s">
        <v>37</v>
      </c>
      <c r="AG9" s="589"/>
      <c r="AH9" s="630" t="s">
        <v>38</v>
      </c>
      <c r="AI9" s="589"/>
      <c r="AJ9" s="631" t="s">
        <v>39</v>
      </c>
      <c r="AK9" s="622"/>
      <c r="AL9" s="599" t="s">
        <v>40</v>
      </c>
      <c r="AM9" s="589"/>
      <c r="AN9" s="608" t="s">
        <v>41</v>
      </c>
      <c r="AO9" s="698" t="s">
        <v>289</v>
      </c>
      <c r="AP9" s="589"/>
      <c r="AQ9" s="634" t="s">
        <v>43</v>
      </c>
      <c r="AR9" s="649" t="s">
        <v>44</v>
      </c>
      <c r="AS9" s="600"/>
      <c r="AT9" s="600"/>
      <c r="AU9" s="600"/>
      <c r="AV9" s="600"/>
      <c r="AW9" s="600"/>
      <c r="AX9" s="704" t="s">
        <v>45</v>
      </c>
      <c r="AY9" s="626"/>
      <c r="AZ9" s="626"/>
      <c r="BA9" s="626"/>
      <c r="BB9" s="626"/>
      <c r="BC9" s="626"/>
      <c r="BD9" s="625" t="s">
        <v>46</v>
      </c>
      <c r="BE9" s="626"/>
      <c r="BF9" s="626"/>
      <c r="BG9" s="626"/>
      <c r="BH9" s="626"/>
      <c r="BI9" s="626"/>
      <c r="BJ9" s="655" t="s">
        <v>47</v>
      </c>
      <c r="BK9" s="589"/>
      <c r="BL9" s="619" t="s">
        <v>48</v>
      </c>
      <c r="BM9" s="589"/>
      <c r="BN9" s="619" t="s">
        <v>49</v>
      </c>
      <c r="BO9" s="589"/>
      <c r="BP9" s="629" t="s">
        <v>50</v>
      </c>
      <c r="BQ9" s="589"/>
      <c r="BR9" s="621" t="s">
        <v>51</v>
      </c>
      <c r="BS9" s="622"/>
      <c r="BT9" s="613"/>
    </row>
    <row r="10" spans="1:72" ht="29.25" customHeight="1">
      <c r="A10" s="636"/>
      <c r="B10" s="618"/>
      <c r="C10" s="641"/>
      <c r="D10" s="653"/>
      <c r="E10" s="658"/>
      <c r="F10" s="601"/>
      <c r="G10" s="623"/>
      <c r="H10" s="590"/>
      <c r="I10" s="591"/>
      <c r="J10" s="620"/>
      <c r="K10" s="591"/>
      <c r="L10" s="620"/>
      <c r="M10" s="623"/>
      <c r="N10" s="607"/>
      <c r="O10" s="609"/>
      <c r="P10" s="607"/>
      <c r="Q10" s="607"/>
      <c r="R10" s="590"/>
      <c r="S10" s="601"/>
      <c r="T10" s="601"/>
      <c r="U10" s="620"/>
      <c r="V10" s="601"/>
      <c r="W10" s="601"/>
      <c r="X10" s="614"/>
      <c r="Y10" s="614"/>
      <c r="Z10" s="590"/>
      <c r="AA10" s="661" t="s">
        <v>52</v>
      </c>
      <c r="AB10" s="593"/>
      <c r="AC10" s="593"/>
      <c r="AD10" s="594"/>
      <c r="AE10" s="614"/>
      <c r="AF10" s="590"/>
      <c r="AG10" s="591"/>
      <c r="AH10" s="620"/>
      <c r="AI10" s="591"/>
      <c r="AJ10" s="620"/>
      <c r="AK10" s="623"/>
      <c r="AL10" s="590"/>
      <c r="AM10" s="591"/>
      <c r="AN10" s="609"/>
      <c r="AO10" s="590"/>
      <c r="AP10" s="591"/>
      <c r="AQ10" s="650"/>
      <c r="AR10" s="590"/>
      <c r="AS10" s="601"/>
      <c r="AT10" s="601"/>
      <c r="AU10" s="601"/>
      <c r="AV10" s="601"/>
      <c r="AW10" s="601"/>
      <c r="AX10" s="597" t="s">
        <v>53</v>
      </c>
      <c r="AY10" s="598"/>
      <c r="AZ10" s="643" t="s">
        <v>54</v>
      </c>
      <c r="BA10" s="644"/>
      <c r="BB10" s="595" t="s">
        <v>55</v>
      </c>
      <c r="BC10" s="596"/>
      <c r="BD10" s="597" t="s">
        <v>53</v>
      </c>
      <c r="BE10" s="598"/>
      <c r="BF10" s="643" t="s">
        <v>54</v>
      </c>
      <c r="BG10" s="644"/>
      <c r="BH10" s="595" t="s">
        <v>55</v>
      </c>
      <c r="BI10" s="596"/>
      <c r="BJ10" s="590"/>
      <c r="BK10" s="591"/>
      <c r="BL10" s="620"/>
      <c r="BM10" s="591"/>
      <c r="BN10" s="620"/>
      <c r="BO10" s="591"/>
      <c r="BP10" s="620"/>
      <c r="BQ10" s="591"/>
      <c r="BR10" s="620"/>
      <c r="BS10" s="623"/>
      <c r="BT10" s="613"/>
    </row>
    <row r="11" spans="1:72" ht="33" customHeight="1">
      <c r="A11" s="637"/>
      <c r="B11" s="590"/>
      <c r="C11" s="641"/>
      <c r="D11" s="654"/>
      <c r="E11" s="326" t="s">
        <v>56</v>
      </c>
      <c r="F11" s="327" t="s">
        <v>57</v>
      </c>
      <c r="G11" s="328" t="s">
        <v>58</v>
      </c>
      <c r="H11" s="314" t="s">
        <v>60</v>
      </c>
      <c r="I11" s="312" t="s">
        <v>61</v>
      </c>
      <c r="J11" s="314" t="s">
        <v>63</v>
      </c>
      <c r="K11" s="312" t="s">
        <v>64</v>
      </c>
      <c r="L11" s="312" t="s">
        <v>65</v>
      </c>
      <c r="M11" s="312" t="s">
        <v>66</v>
      </c>
      <c r="N11" s="312" t="s">
        <v>67</v>
      </c>
      <c r="O11" s="610"/>
      <c r="P11" s="311" t="s">
        <v>68</v>
      </c>
      <c r="Q11" s="311" t="s">
        <v>69</v>
      </c>
      <c r="R11" s="329" t="s">
        <v>70</v>
      </c>
      <c r="S11" s="330" t="s">
        <v>71</v>
      </c>
      <c r="T11" s="331" t="s">
        <v>72</v>
      </c>
      <c r="U11" s="332" t="s">
        <v>70</v>
      </c>
      <c r="V11" s="330" t="s">
        <v>71</v>
      </c>
      <c r="W11" s="333" t="s">
        <v>72</v>
      </c>
      <c r="X11" s="526" t="s">
        <v>290</v>
      </c>
      <c r="Y11" s="310" t="s">
        <v>73</v>
      </c>
      <c r="Z11" s="310" t="s">
        <v>73</v>
      </c>
      <c r="AA11" s="334" t="s">
        <v>70</v>
      </c>
      <c r="AB11" s="335" t="s">
        <v>71</v>
      </c>
      <c r="AC11" s="336" t="s">
        <v>72</v>
      </c>
      <c r="AD11" s="336" t="s">
        <v>74</v>
      </c>
      <c r="AE11" s="337" t="s">
        <v>75</v>
      </c>
      <c r="AF11" s="338" t="s">
        <v>53</v>
      </c>
      <c r="AG11" s="339" t="s">
        <v>76</v>
      </c>
      <c r="AH11" s="339" t="s">
        <v>53</v>
      </c>
      <c r="AI11" s="339" t="s">
        <v>76</v>
      </c>
      <c r="AJ11" s="339" t="s">
        <v>53</v>
      </c>
      <c r="AK11" s="340" t="s">
        <v>76</v>
      </c>
      <c r="AL11" s="314" t="s">
        <v>291</v>
      </c>
      <c r="AM11" s="312" t="s">
        <v>292</v>
      </c>
      <c r="AN11" s="610"/>
      <c r="AO11" s="341" t="s">
        <v>293</v>
      </c>
      <c r="AP11" s="342" t="s">
        <v>294</v>
      </c>
      <c r="AQ11" s="651"/>
      <c r="AR11" s="341">
        <v>1</v>
      </c>
      <c r="AS11" s="341">
        <v>2</v>
      </c>
      <c r="AT11" s="341">
        <v>3</v>
      </c>
      <c r="AU11" s="341">
        <v>4</v>
      </c>
      <c r="AV11" s="341">
        <v>5</v>
      </c>
      <c r="AW11" s="341" t="s">
        <v>74</v>
      </c>
      <c r="AX11" s="300" t="s">
        <v>79</v>
      </c>
      <c r="AY11" s="301" t="s">
        <v>80</v>
      </c>
      <c r="AZ11" s="302" t="s">
        <v>81</v>
      </c>
      <c r="BA11" s="303" t="s">
        <v>82</v>
      </c>
      <c r="BB11" s="300" t="s">
        <v>295</v>
      </c>
      <c r="BC11" s="300" t="s">
        <v>296</v>
      </c>
      <c r="BD11" s="300" t="s">
        <v>79</v>
      </c>
      <c r="BE11" s="301" t="s">
        <v>80</v>
      </c>
      <c r="BF11" s="302" t="s">
        <v>81</v>
      </c>
      <c r="BG11" s="303" t="s">
        <v>82</v>
      </c>
      <c r="BH11" s="300" t="s">
        <v>295</v>
      </c>
      <c r="BI11" s="300" t="s">
        <v>296</v>
      </c>
      <c r="BJ11" s="314" t="s">
        <v>83</v>
      </c>
      <c r="BK11" s="312" t="s">
        <v>84</v>
      </c>
      <c r="BL11" s="312" t="s">
        <v>83</v>
      </c>
      <c r="BM11" s="312" t="s">
        <v>84</v>
      </c>
      <c r="BN11" s="312" t="s">
        <v>83</v>
      </c>
      <c r="BO11" s="312" t="s">
        <v>84</v>
      </c>
      <c r="BP11" s="312" t="s">
        <v>83</v>
      </c>
      <c r="BQ11" s="312" t="s">
        <v>84</v>
      </c>
      <c r="BR11" s="312" t="s">
        <v>83</v>
      </c>
      <c r="BS11" s="313" t="s">
        <v>84</v>
      </c>
      <c r="BT11" s="614"/>
    </row>
    <row r="12" spans="1:72" s="2" customFormat="1" ht="24.9" customHeight="1">
      <c r="A12" s="401" t="s">
        <v>297</v>
      </c>
      <c r="B12" s="354" t="s">
        <v>298</v>
      </c>
      <c r="C12" s="402"/>
      <c r="D12" s="354" t="s">
        <v>276</v>
      </c>
      <c r="E12" s="363">
        <v>46205</v>
      </c>
      <c r="F12" s="403">
        <v>2</v>
      </c>
      <c r="G12" s="404" t="s">
        <v>87</v>
      </c>
      <c r="H12" s="403" t="s">
        <v>276</v>
      </c>
      <c r="I12" s="403" t="s">
        <v>276</v>
      </c>
      <c r="J12" s="403" t="s">
        <v>276</v>
      </c>
      <c r="K12" s="403" t="s">
        <v>276</v>
      </c>
      <c r="L12" s="405" t="s">
        <v>276</v>
      </c>
      <c r="M12" s="405" t="s">
        <v>276</v>
      </c>
      <c r="N12" s="406" t="s">
        <v>276</v>
      </c>
      <c r="O12" s="403" t="s">
        <v>276</v>
      </c>
      <c r="P12" s="525" t="s">
        <v>101</v>
      </c>
      <c r="Q12" s="525" t="s">
        <v>101</v>
      </c>
      <c r="R12" s="537">
        <v>3.2000000000000001E-2</v>
      </c>
      <c r="S12" s="537">
        <v>3.3000000000000002E-2</v>
      </c>
      <c r="T12" s="537">
        <v>4.1000000000000002E-2</v>
      </c>
      <c r="U12" s="537">
        <v>6.6000000000000003E-2</v>
      </c>
      <c r="V12" s="537">
        <v>6.4000000000000001E-2</v>
      </c>
      <c r="W12" s="537">
        <v>7.0000000000000007E-2</v>
      </c>
      <c r="X12" s="501" t="s">
        <v>299</v>
      </c>
      <c r="Y12" s="500">
        <f>(786+906+905+905+905)/5</f>
        <v>881.4</v>
      </c>
      <c r="Z12" s="500">
        <f>(24.948+24.752+23.172+24.598+22.837)/5</f>
        <v>24.061399999999999</v>
      </c>
      <c r="AA12" s="501">
        <v>2.2200000000000002</v>
      </c>
      <c r="AB12" s="501">
        <v>1.79</v>
      </c>
      <c r="AC12" s="501">
        <v>1.93</v>
      </c>
      <c r="AD12" s="501">
        <f>AVERAGE(AA12:AC12)</f>
        <v>1.9799999999999998</v>
      </c>
      <c r="AE12" s="405" t="s">
        <v>276</v>
      </c>
      <c r="AF12" s="499" t="s">
        <v>99</v>
      </c>
      <c r="AG12" s="499" t="s">
        <v>99</v>
      </c>
      <c r="AH12" s="499" t="s">
        <v>99</v>
      </c>
      <c r="AI12" s="499" t="s">
        <v>99</v>
      </c>
      <c r="AJ12" s="499" t="s">
        <v>99</v>
      </c>
      <c r="AK12" s="499" t="s">
        <v>99</v>
      </c>
      <c r="AL12" s="403" t="s">
        <v>276</v>
      </c>
      <c r="AM12" s="403" t="s">
        <v>276</v>
      </c>
      <c r="AN12" s="403" t="s">
        <v>276</v>
      </c>
      <c r="AO12" s="403" t="s">
        <v>276</v>
      </c>
      <c r="AP12" s="403" t="s">
        <v>276</v>
      </c>
      <c r="AQ12" s="403" t="s">
        <v>276</v>
      </c>
      <c r="AR12" s="499">
        <v>64.099999999999994</v>
      </c>
      <c r="AS12" s="499">
        <v>63.7</v>
      </c>
      <c r="AT12" s="499">
        <v>62.7</v>
      </c>
      <c r="AU12" s="499">
        <v>62.6</v>
      </c>
      <c r="AV12" s="499">
        <v>63.8</v>
      </c>
      <c r="AW12" s="499">
        <f>AVERAGE(AR12:AV12)</f>
        <v>63.379999999999995</v>
      </c>
      <c r="AX12" s="305" t="s">
        <v>88</v>
      </c>
      <c r="AY12" s="305" t="s">
        <v>88</v>
      </c>
      <c r="AZ12" s="305" t="s">
        <v>88</v>
      </c>
      <c r="BA12" s="305" t="s">
        <v>88</v>
      </c>
      <c r="BB12" s="305" t="s">
        <v>88</v>
      </c>
      <c r="BC12" s="305" t="s">
        <v>88</v>
      </c>
      <c r="BD12" s="305" t="s">
        <v>88</v>
      </c>
      <c r="BE12" s="305" t="s">
        <v>88</v>
      </c>
      <c r="BF12" s="305" t="s">
        <v>88</v>
      </c>
      <c r="BG12" s="305" t="s">
        <v>88</v>
      </c>
      <c r="BH12" s="305" t="s">
        <v>88</v>
      </c>
      <c r="BI12" s="305" t="s">
        <v>88</v>
      </c>
      <c r="BJ12" s="407" t="s">
        <v>89</v>
      </c>
      <c r="BK12" s="354" t="s">
        <v>90</v>
      </c>
      <c r="BL12" s="407" t="s">
        <v>91</v>
      </c>
      <c r="BM12" s="354">
        <v>225876</v>
      </c>
      <c r="BN12" s="407" t="s">
        <v>92</v>
      </c>
      <c r="BO12" s="354" t="s">
        <v>93</v>
      </c>
      <c r="BP12" s="407" t="s">
        <v>94</v>
      </c>
      <c r="BQ12" s="354">
        <v>6325012</v>
      </c>
      <c r="BR12" s="407" t="s">
        <v>95</v>
      </c>
      <c r="BS12" s="354" t="s">
        <v>96</v>
      </c>
      <c r="BT12" s="96"/>
    </row>
    <row r="13" spans="1:72" s="2" customFormat="1" ht="24.9" customHeight="1">
      <c r="A13" s="401" t="s">
        <v>297</v>
      </c>
      <c r="B13" s="356" t="s">
        <v>300</v>
      </c>
      <c r="C13" s="355"/>
      <c r="D13" s="356" t="s">
        <v>276</v>
      </c>
      <c r="E13" s="357">
        <v>46205</v>
      </c>
      <c r="F13" s="358">
        <v>2</v>
      </c>
      <c r="G13" s="359" t="s">
        <v>301</v>
      </c>
      <c r="H13" s="403" t="s">
        <v>276</v>
      </c>
      <c r="I13" s="403" t="s">
        <v>276</v>
      </c>
      <c r="J13" s="403" t="s">
        <v>276</v>
      </c>
      <c r="K13" s="403" t="s">
        <v>276</v>
      </c>
      <c r="L13" s="405" t="s">
        <v>276</v>
      </c>
      <c r="M13" s="405" t="s">
        <v>276</v>
      </c>
      <c r="N13" s="509" t="s">
        <v>302</v>
      </c>
      <c r="O13" s="403" t="s">
        <v>276</v>
      </c>
      <c r="P13" s="403" t="s">
        <v>276</v>
      </c>
      <c r="Q13" s="403" t="s">
        <v>276</v>
      </c>
      <c r="R13" s="403" t="s">
        <v>276</v>
      </c>
      <c r="S13" s="403" t="s">
        <v>276</v>
      </c>
      <c r="T13" s="403" t="s">
        <v>276</v>
      </c>
      <c r="U13" s="403" t="s">
        <v>276</v>
      </c>
      <c r="V13" s="403" t="s">
        <v>276</v>
      </c>
      <c r="W13" s="403" t="s">
        <v>276</v>
      </c>
      <c r="X13" s="403" t="s">
        <v>276</v>
      </c>
      <c r="Y13" s="500">
        <f>(703+756+805+845+769)/5</f>
        <v>775.6</v>
      </c>
      <c r="Z13" s="500">
        <f>(26.977+28.609+26.721+26.92+26.374)/5</f>
        <v>27.120200000000001</v>
      </c>
      <c r="AA13" s="403" t="s">
        <v>276</v>
      </c>
      <c r="AB13" s="403" t="s">
        <v>276</v>
      </c>
      <c r="AC13" s="403" t="s">
        <v>276</v>
      </c>
      <c r="AD13" s="403" t="s">
        <v>276</v>
      </c>
      <c r="AE13" s="501">
        <v>6.11</v>
      </c>
      <c r="AF13" s="403" t="s">
        <v>276</v>
      </c>
      <c r="AG13" s="403" t="s">
        <v>276</v>
      </c>
      <c r="AH13" s="403" t="s">
        <v>276</v>
      </c>
      <c r="AI13" s="403" t="s">
        <v>276</v>
      </c>
      <c r="AJ13" s="403" t="s">
        <v>276</v>
      </c>
      <c r="AK13" s="403" t="s">
        <v>276</v>
      </c>
      <c r="AL13" s="403" t="s">
        <v>276</v>
      </c>
      <c r="AM13" s="403" t="s">
        <v>276</v>
      </c>
      <c r="AN13" s="403" t="s">
        <v>276</v>
      </c>
      <c r="AO13" s="403" t="s">
        <v>276</v>
      </c>
      <c r="AP13" s="403" t="s">
        <v>276</v>
      </c>
      <c r="AQ13" s="403" t="s">
        <v>276</v>
      </c>
      <c r="AR13" s="403" t="s">
        <v>276</v>
      </c>
      <c r="AS13" s="403" t="s">
        <v>276</v>
      </c>
      <c r="AT13" s="403" t="s">
        <v>276</v>
      </c>
      <c r="AU13" s="403" t="s">
        <v>276</v>
      </c>
      <c r="AV13" s="403" t="s">
        <v>276</v>
      </c>
      <c r="AW13" s="403" t="s">
        <v>276</v>
      </c>
      <c r="AX13" s="305" t="s">
        <v>88</v>
      </c>
      <c r="AY13" s="305" t="s">
        <v>88</v>
      </c>
      <c r="AZ13" s="305" t="s">
        <v>88</v>
      </c>
      <c r="BA13" s="305" t="s">
        <v>88</v>
      </c>
      <c r="BB13" s="305" t="s">
        <v>88</v>
      </c>
      <c r="BC13" s="305" t="s">
        <v>88</v>
      </c>
      <c r="BD13" s="305" t="s">
        <v>88</v>
      </c>
      <c r="BE13" s="305" t="s">
        <v>88</v>
      </c>
      <c r="BF13" s="305" t="s">
        <v>88</v>
      </c>
      <c r="BG13" s="305" t="s">
        <v>88</v>
      </c>
      <c r="BH13" s="305" t="s">
        <v>88</v>
      </c>
      <c r="BI13" s="305" t="s">
        <v>88</v>
      </c>
      <c r="BJ13" s="407" t="s">
        <v>89</v>
      </c>
      <c r="BK13" s="354" t="s">
        <v>90</v>
      </c>
      <c r="BL13" s="407" t="s">
        <v>91</v>
      </c>
      <c r="BM13" s="354">
        <v>225877</v>
      </c>
      <c r="BN13" s="407" t="s">
        <v>92</v>
      </c>
      <c r="BO13" s="354" t="s">
        <v>93</v>
      </c>
      <c r="BP13" s="407" t="s">
        <v>94</v>
      </c>
      <c r="BQ13" s="354">
        <v>6325012</v>
      </c>
      <c r="BR13" s="407" t="s">
        <v>95</v>
      </c>
      <c r="BS13" s="354" t="s">
        <v>96</v>
      </c>
      <c r="BT13" s="172"/>
    </row>
    <row r="14" spans="1:72" s="2" customFormat="1" ht="24.9" customHeight="1">
      <c r="A14" s="401" t="s">
        <v>297</v>
      </c>
      <c r="B14" s="356" t="s">
        <v>303</v>
      </c>
      <c r="C14" s="355"/>
      <c r="D14" s="12">
        <v>1</v>
      </c>
      <c r="E14" s="357">
        <v>46205</v>
      </c>
      <c r="F14" s="358">
        <v>3</v>
      </c>
      <c r="G14" s="359" t="s">
        <v>87</v>
      </c>
      <c r="H14" s="403" t="s">
        <v>276</v>
      </c>
      <c r="I14" s="403" t="s">
        <v>276</v>
      </c>
      <c r="J14" s="403" t="s">
        <v>276</v>
      </c>
      <c r="K14" s="403" t="s">
        <v>276</v>
      </c>
      <c r="L14" s="403" t="s">
        <v>276</v>
      </c>
      <c r="M14" s="403" t="s">
        <v>276</v>
      </c>
      <c r="N14" s="403" t="s">
        <v>276</v>
      </c>
      <c r="O14" s="403" t="s">
        <v>276</v>
      </c>
      <c r="P14" s="403" t="s">
        <v>276</v>
      </c>
      <c r="Q14" s="403" t="s">
        <v>276</v>
      </c>
      <c r="R14" s="403" t="s">
        <v>276</v>
      </c>
      <c r="S14" s="403" t="s">
        <v>276</v>
      </c>
      <c r="T14" s="403" t="s">
        <v>276</v>
      </c>
      <c r="U14" s="403" t="s">
        <v>276</v>
      </c>
      <c r="V14" s="403" t="s">
        <v>276</v>
      </c>
      <c r="W14" s="403" t="s">
        <v>276</v>
      </c>
      <c r="X14" s="403" t="s">
        <v>276</v>
      </c>
      <c r="Y14" s="403" t="s">
        <v>276</v>
      </c>
      <c r="Z14" s="403" t="s">
        <v>276</v>
      </c>
      <c r="AA14" s="403" t="s">
        <v>276</v>
      </c>
      <c r="AB14" s="403" t="s">
        <v>276</v>
      </c>
      <c r="AC14" s="403" t="s">
        <v>276</v>
      </c>
      <c r="AD14" s="403" t="s">
        <v>276</v>
      </c>
      <c r="AE14" s="403" t="s">
        <v>276</v>
      </c>
      <c r="AF14" s="403" t="s">
        <v>276</v>
      </c>
      <c r="AG14" s="403" t="s">
        <v>276</v>
      </c>
      <c r="AH14" s="403" t="s">
        <v>276</v>
      </c>
      <c r="AI14" s="403" t="s">
        <v>276</v>
      </c>
      <c r="AJ14" s="403" t="s">
        <v>276</v>
      </c>
      <c r="AK14" s="403" t="s">
        <v>276</v>
      </c>
      <c r="AL14" s="403" t="s">
        <v>276</v>
      </c>
      <c r="AM14" s="499">
        <v>5.3</v>
      </c>
      <c r="AN14" s="499">
        <v>53.53</v>
      </c>
      <c r="AO14" s="502">
        <v>1.01</v>
      </c>
      <c r="AP14" s="503">
        <v>21.4</v>
      </c>
      <c r="AQ14" s="500">
        <v>25</v>
      </c>
      <c r="AR14" s="403" t="s">
        <v>276</v>
      </c>
      <c r="AS14" s="403" t="s">
        <v>276</v>
      </c>
      <c r="AT14" s="403" t="s">
        <v>276</v>
      </c>
      <c r="AU14" s="403" t="s">
        <v>276</v>
      </c>
      <c r="AV14" s="403" t="s">
        <v>276</v>
      </c>
      <c r="AW14" s="403" t="s">
        <v>276</v>
      </c>
      <c r="AX14" s="501">
        <v>64.430000000000007</v>
      </c>
      <c r="AY14" s="501">
        <v>33.92</v>
      </c>
      <c r="AZ14" s="501">
        <v>50.62</v>
      </c>
      <c r="BA14" s="501">
        <v>29.82</v>
      </c>
      <c r="BB14" s="306" t="s">
        <v>88</v>
      </c>
      <c r="BC14" s="306" t="s">
        <v>88</v>
      </c>
      <c r="BD14" s="501">
        <v>72.17</v>
      </c>
      <c r="BE14" s="501">
        <v>45.21</v>
      </c>
      <c r="BF14" s="501">
        <v>49.83</v>
      </c>
      <c r="BG14" s="501">
        <v>32.18</v>
      </c>
      <c r="BH14" s="306" t="s">
        <v>88</v>
      </c>
      <c r="BI14" s="306" t="s">
        <v>88</v>
      </c>
      <c r="BJ14" s="407" t="s">
        <v>89</v>
      </c>
      <c r="BK14" s="354" t="s">
        <v>90</v>
      </c>
      <c r="BL14" s="407" t="s">
        <v>91</v>
      </c>
      <c r="BM14" s="354">
        <v>225878</v>
      </c>
      <c r="BN14" s="407" t="s">
        <v>92</v>
      </c>
      <c r="BO14" s="354" t="s">
        <v>93</v>
      </c>
      <c r="BP14" s="407" t="s">
        <v>94</v>
      </c>
      <c r="BQ14" s="354">
        <v>6325012</v>
      </c>
      <c r="BR14" s="407" t="s">
        <v>95</v>
      </c>
      <c r="BS14" s="354" t="s">
        <v>96</v>
      </c>
      <c r="BT14" s="431"/>
    </row>
    <row r="15" spans="1:72" s="2" customFormat="1" ht="24.9" customHeight="1">
      <c r="A15" s="401" t="s">
        <v>297</v>
      </c>
      <c r="B15" s="356" t="s">
        <v>304</v>
      </c>
      <c r="C15" s="355"/>
      <c r="D15" s="356" t="s">
        <v>276</v>
      </c>
      <c r="E15" s="357">
        <v>46205</v>
      </c>
      <c r="F15" s="358">
        <v>3</v>
      </c>
      <c r="G15" s="359" t="s">
        <v>87</v>
      </c>
      <c r="H15" s="403" t="s">
        <v>276</v>
      </c>
      <c r="I15" s="403" t="s">
        <v>276</v>
      </c>
      <c r="J15" s="403" t="s">
        <v>276</v>
      </c>
      <c r="K15" s="403" t="s">
        <v>276</v>
      </c>
      <c r="L15" s="403" t="s">
        <v>276</v>
      </c>
      <c r="M15" s="403" t="s">
        <v>276</v>
      </c>
      <c r="N15" s="403" t="s">
        <v>276</v>
      </c>
      <c r="O15" s="403" t="s">
        <v>276</v>
      </c>
      <c r="P15" s="403" t="s">
        <v>276</v>
      </c>
      <c r="Q15" s="403" t="s">
        <v>276</v>
      </c>
      <c r="R15" s="403" t="s">
        <v>276</v>
      </c>
      <c r="S15" s="403" t="s">
        <v>276</v>
      </c>
      <c r="T15" s="403" t="s">
        <v>276</v>
      </c>
      <c r="U15" s="403" t="s">
        <v>276</v>
      </c>
      <c r="V15" s="403" t="s">
        <v>276</v>
      </c>
      <c r="W15" s="403" t="s">
        <v>276</v>
      </c>
      <c r="X15" s="403" t="s">
        <v>276</v>
      </c>
      <c r="Y15" s="403" t="s">
        <v>276</v>
      </c>
      <c r="Z15" s="403" t="s">
        <v>276</v>
      </c>
      <c r="AA15" s="403" t="s">
        <v>276</v>
      </c>
      <c r="AB15" s="403" t="s">
        <v>276</v>
      </c>
      <c r="AC15" s="403" t="s">
        <v>276</v>
      </c>
      <c r="AD15" s="403"/>
      <c r="AE15" s="403" t="s">
        <v>276</v>
      </c>
      <c r="AF15" s="403" t="s">
        <v>276</v>
      </c>
      <c r="AG15" s="403" t="s">
        <v>276</v>
      </c>
      <c r="AH15" s="403" t="s">
        <v>276</v>
      </c>
      <c r="AI15" s="403" t="s">
        <v>276</v>
      </c>
      <c r="AJ15" s="403" t="s">
        <v>276</v>
      </c>
      <c r="AK15" s="403" t="s">
        <v>276</v>
      </c>
      <c r="AL15" s="403" t="s">
        <v>276</v>
      </c>
      <c r="AM15" s="499">
        <v>5.4</v>
      </c>
      <c r="AN15" s="499">
        <v>54.54</v>
      </c>
      <c r="AO15" s="502">
        <v>1.1200000000000001</v>
      </c>
      <c r="AP15" s="503">
        <v>22.6</v>
      </c>
      <c r="AQ15" s="500">
        <v>25</v>
      </c>
      <c r="AR15" s="403" t="s">
        <v>276</v>
      </c>
      <c r="AS15" s="403" t="s">
        <v>276</v>
      </c>
      <c r="AT15" s="403" t="s">
        <v>276</v>
      </c>
      <c r="AU15" s="403" t="s">
        <v>276</v>
      </c>
      <c r="AV15" s="403" t="s">
        <v>276</v>
      </c>
      <c r="AW15" s="403" t="s">
        <v>276</v>
      </c>
      <c r="AX15" s="501">
        <v>64.94</v>
      </c>
      <c r="AY15" s="501">
        <v>33.35</v>
      </c>
      <c r="AZ15" s="501">
        <v>34.409999999999997</v>
      </c>
      <c r="BA15" s="501">
        <v>19.23</v>
      </c>
      <c r="BB15" s="306" t="s">
        <v>88</v>
      </c>
      <c r="BC15" s="306" t="s">
        <v>88</v>
      </c>
      <c r="BD15" s="501">
        <v>67.069999999999993</v>
      </c>
      <c r="BE15" s="501">
        <v>36.65</v>
      </c>
      <c r="BF15" s="501">
        <v>60.43</v>
      </c>
      <c r="BG15" s="501">
        <v>30.21</v>
      </c>
      <c r="BH15" s="306" t="s">
        <v>88</v>
      </c>
      <c r="BI15" s="306" t="s">
        <v>88</v>
      </c>
      <c r="BJ15" s="407" t="s">
        <v>89</v>
      </c>
      <c r="BK15" s="354" t="s">
        <v>90</v>
      </c>
      <c r="BL15" s="407" t="s">
        <v>91</v>
      </c>
      <c r="BM15" s="354">
        <v>225879</v>
      </c>
      <c r="BN15" s="407" t="s">
        <v>92</v>
      </c>
      <c r="BO15" s="354" t="s">
        <v>93</v>
      </c>
      <c r="BP15" s="407" t="s">
        <v>94</v>
      </c>
      <c r="BQ15" s="354">
        <v>6325012</v>
      </c>
      <c r="BR15" s="407" t="s">
        <v>95</v>
      </c>
      <c r="BS15" s="354" t="s">
        <v>96</v>
      </c>
      <c r="BT15" s="432"/>
    </row>
    <row r="16" spans="1:72" s="2" customFormat="1" ht="24.9" customHeight="1">
      <c r="A16" s="401" t="s">
        <v>297</v>
      </c>
      <c r="B16" s="356" t="s">
        <v>305</v>
      </c>
      <c r="C16" s="355"/>
      <c r="D16" s="356" t="s">
        <v>276</v>
      </c>
      <c r="E16" s="357">
        <v>46206</v>
      </c>
      <c r="F16" s="358">
        <v>1</v>
      </c>
      <c r="G16" s="359" t="s">
        <v>87</v>
      </c>
      <c r="H16" s="403" t="s">
        <v>276</v>
      </c>
      <c r="I16" s="403" t="s">
        <v>276</v>
      </c>
      <c r="J16" s="403" t="s">
        <v>276</v>
      </c>
      <c r="K16" s="403" t="s">
        <v>276</v>
      </c>
      <c r="L16" s="403" t="s">
        <v>276</v>
      </c>
      <c r="M16" s="403" t="s">
        <v>276</v>
      </c>
      <c r="N16" s="403" t="s">
        <v>276</v>
      </c>
      <c r="O16" s="403" t="s">
        <v>276</v>
      </c>
      <c r="P16" s="403" t="s">
        <v>276</v>
      </c>
      <c r="Q16" s="403" t="s">
        <v>276</v>
      </c>
      <c r="R16" s="403" t="s">
        <v>276</v>
      </c>
      <c r="S16" s="403" t="s">
        <v>276</v>
      </c>
      <c r="T16" s="403" t="s">
        <v>276</v>
      </c>
      <c r="U16" s="403" t="s">
        <v>276</v>
      </c>
      <c r="V16" s="403" t="s">
        <v>276</v>
      </c>
      <c r="W16" s="403" t="s">
        <v>276</v>
      </c>
      <c r="X16" s="403" t="s">
        <v>276</v>
      </c>
      <c r="Y16" s="403" t="s">
        <v>276</v>
      </c>
      <c r="Z16" s="403" t="s">
        <v>276</v>
      </c>
      <c r="AA16" s="403" t="s">
        <v>276</v>
      </c>
      <c r="AB16" s="403" t="s">
        <v>276</v>
      </c>
      <c r="AC16" s="403" t="s">
        <v>276</v>
      </c>
      <c r="AD16" s="403"/>
      <c r="AE16" s="403" t="s">
        <v>276</v>
      </c>
      <c r="AF16" s="403" t="s">
        <v>276</v>
      </c>
      <c r="AG16" s="403" t="s">
        <v>276</v>
      </c>
      <c r="AH16" s="403" t="s">
        <v>276</v>
      </c>
      <c r="AI16" s="403" t="s">
        <v>276</v>
      </c>
      <c r="AJ16" s="403" t="s">
        <v>276</v>
      </c>
      <c r="AK16" s="403" t="s">
        <v>276</v>
      </c>
      <c r="AL16" s="403" t="s">
        <v>276</v>
      </c>
      <c r="AM16" s="499">
        <v>5.4</v>
      </c>
      <c r="AN16" s="501">
        <v>54.54</v>
      </c>
      <c r="AO16" s="502">
        <v>1.1200000000000001</v>
      </c>
      <c r="AP16" s="503">
        <v>23.7</v>
      </c>
      <c r="AQ16" s="500">
        <v>25</v>
      </c>
      <c r="AR16" s="403" t="s">
        <v>276</v>
      </c>
      <c r="AS16" s="403" t="s">
        <v>276</v>
      </c>
      <c r="AT16" s="403" t="s">
        <v>276</v>
      </c>
      <c r="AU16" s="403" t="s">
        <v>276</v>
      </c>
      <c r="AV16" s="403" t="s">
        <v>276</v>
      </c>
      <c r="AW16" s="403" t="s">
        <v>276</v>
      </c>
      <c r="AX16" s="501">
        <v>80.37</v>
      </c>
      <c r="AY16" s="501">
        <v>41.41</v>
      </c>
      <c r="AZ16" s="501">
        <v>65.92</v>
      </c>
      <c r="BA16" s="501">
        <v>36.49</v>
      </c>
      <c r="BB16" s="306" t="s">
        <v>88</v>
      </c>
      <c r="BC16" s="306" t="s">
        <v>88</v>
      </c>
      <c r="BD16" s="501">
        <v>56.13</v>
      </c>
      <c r="BE16" s="501">
        <v>35.67</v>
      </c>
      <c r="BF16" s="501">
        <v>38.85</v>
      </c>
      <c r="BG16" s="501">
        <v>32.18</v>
      </c>
      <c r="BH16" s="307" t="s">
        <v>88</v>
      </c>
      <c r="BI16" s="307" t="s">
        <v>88</v>
      </c>
      <c r="BJ16" s="407" t="s">
        <v>89</v>
      </c>
      <c r="BK16" s="354" t="s">
        <v>90</v>
      </c>
      <c r="BL16" s="407" t="s">
        <v>91</v>
      </c>
      <c r="BM16" s="354">
        <v>225880</v>
      </c>
      <c r="BN16" s="407" t="s">
        <v>92</v>
      </c>
      <c r="BO16" s="354" t="s">
        <v>93</v>
      </c>
      <c r="BP16" s="407" t="s">
        <v>94</v>
      </c>
      <c r="BQ16" s="354">
        <v>6325012</v>
      </c>
      <c r="BR16" s="407" t="s">
        <v>95</v>
      </c>
      <c r="BS16" s="354" t="s">
        <v>96</v>
      </c>
      <c r="BT16" s="432" t="s">
        <v>306</v>
      </c>
    </row>
    <row r="17" spans="1:72" s="2" customFormat="1" ht="24.9" customHeight="1">
      <c r="A17" s="401"/>
      <c r="B17" s="356"/>
      <c r="C17" s="355"/>
      <c r="D17" s="356"/>
      <c r="E17" s="357"/>
      <c r="F17" s="358"/>
      <c r="G17" s="359"/>
      <c r="H17" s="358"/>
      <c r="I17" s="358"/>
      <c r="J17" s="358"/>
      <c r="K17" s="358"/>
      <c r="L17" s="306"/>
      <c r="M17" s="306"/>
      <c r="N17" s="307"/>
      <c r="O17" s="306"/>
      <c r="P17" s="306"/>
      <c r="Q17" s="306"/>
      <c r="R17" s="307"/>
      <c r="S17" s="307"/>
      <c r="T17" s="307"/>
      <c r="U17" s="307"/>
      <c r="V17" s="307"/>
      <c r="W17" s="307"/>
      <c r="X17" s="307"/>
      <c r="Y17" s="364"/>
      <c r="Z17" s="364"/>
      <c r="AA17" s="306"/>
      <c r="AB17" s="306"/>
      <c r="AC17" s="306"/>
      <c r="AD17" s="306"/>
      <c r="AE17" s="306"/>
      <c r="AF17" s="306"/>
      <c r="AG17" s="306"/>
      <c r="AH17" s="306"/>
      <c r="AI17" s="306"/>
      <c r="AJ17" s="306"/>
      <c r="AK17" s="306"/>
      <c r="AL17" s="306"/>
      <c r="AM17" s="306"/>
      <c r="AN17" s="306"/>
      <c r="AO17" s="365"/>
      <c r="AP17" s="365"/>
      <c r="AQ17" s="364"/>
      <c r="AR17" s="364"/>
      <c r="AS17" s="364"/>
      <c r="AT17" s="364"/>
      <c r="AU17" s="364"/>
      <c r="AV17" s="364"/>
      <c r="AW17" s="364"/>
      <c r="AX17" s="306"/>
      <c r="AY17" s="306"/>
      <c r="AZ17" s="306"/>
      <c r="BA17" s="306"/>
      <c r="BB17" s="306"/>
      <c r="BC17" s="306"/>
      <c r="BD17" s="306"/>
      <c r="BE17" s="306"/>
      <c r="BF17" s="306"/>
      <c r="BG17" s="306"/>
      <c r="BH17" s="306"/>
      <c r="BI17" s="306"/>
      <c r="BJ17" s="408"/>
      <c r="BK17" s="364"/>
      <c r="BL17" s="364"/>
      <c r="BM17" s="364"/>
      <c r="BN17" s="408"/>
      <c r="BO17" s="364"/>
      <c r="BP17" s="408"/>
      <c r="BQ17" s="364"/>
      <c r="BR17" s="408"/>
      <c r="BS17" s="364"/>
      <c r="BT17" s="315"/>
    </row>
    <row r="18" spans="1:72" s="2" customFormat="1" ht="24.9" customHeight="1">
      <c r="A18" s="401"/>
      <c r="B18" s="356"/>
      <c r="C18" s="355"/>
      <c r="D18" s="356"/>
      <c r="E18" s="357"/>
      <c r="F18" s="358"/>
      <c r="G18" s="359"/>
      <c r="H18" s="358"/>
      <c r="I18" s="358"/>
      <c r="J18" s="358"/>
      <c r="K18" s="358"/>
      <c r="L18" s="306"/>
      <c r="M18" s="306"/>
      <c r="N18" s="307"/>
      <c r="O18" s="317"/>
      <c r="P18" s="317"/>
      <c r="Q18" s="317"/>
      <c r="R18" s="307"/>
      <c r="S18" s="307"/>
      <c r="T18" s="307"/>
      <c r="U18" s="307"/>
      <c r="V18" s="307"/>
      <c r="W18" s="307"/>
      <c r="X18" s="307"/>
      <c r="Y18" s="364"/>
      <c r="Z18" s="364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65"/>
      <c r="AP18" s="365"/>
      <c r="AQ18" s="364"/>
      <c r="AR18" s="364"/>
      <c r="AS18" s="364"/>
      <c r="AT18" s="364"/>
      <c r="AU18" s="364"/>
      <c r="AV18" s="364"/>
      <c r="AW18" s="364"/>
      <c r="AX18" s="307"/>
      <c r="AY18" s="307"/>
      <c r="AZ18" s="307"/>
      <c r="BA18" s="307"/>
      <c r="BB18" s="307"/>
      <c r="BC18" s="307"/>
      <c r="BD18" s="307"/>
      <c r="BE18" s="307"/>
      <c r="BF18" s="307"/>
      <c r="BG18" s="307"/>
      <c r="BH18" s="307"/>
      <c r="BI18" s="307"/>
      <c r="BJ18" s="408"/>
      <c r="BK18" s="364"/>
      <c r="BL18" s="364"/>
      <c r="BM18" s="364"/>
      <c r="BN18" s="408"/>
      <c r="BO18" s="364"/>
      <c r="BP18" s="408"/>
      <c r="BQ18" s="364"/>
      <c r="BR18" s="408"/>
      <c r="BS18" s="364"/>
      <c r="BT18" s="706"/>
    </row>
    <row r="19" spans="1:72" s="2" customFormat="1" ht="24.9" customHeight="1">
      <c r="A19" s="401"/>
      <c r="B19" s="364"/>
      <c r="C19" s="355"/>
      <c r="D19" s="364"/>
      <c r="E19" s="357"/>
      <c r="F19" s="358"/>
      <c r="G19" s="359"/>
      <c r="H19" s="358"/>
      <c r="I19" s="358"/>
      <c r="J19" s="358"/>
      <c r="K19" s="358"/>
      <c r="L19" s="306"/>
      <c r="M19" s="306"/>
      <c r="N19" s="307"/>
      <c r="O19" s="317"/>
      <c r="P19" s="317"/>
      <c r="Q19" s="317"/>
      <c r="R19" s="307"/>
      <c r="S19" s="307"/>
      <c r="T19" s="307"/>
      <c r="U19" s="307"/>
      <c r="V19" s="307"/>
      <c r="W19" s="307"/>
      <c r="X19" s="307"/>
      <c r="Y19" s="364"/>
      <c r="Z19" s="364"/>
      <c r="AA19" s="306"/>
      <c r="AB19" s="306"/>
      <c r="AC19" s="306"/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65"/>
      <c r="AP19" s="365"/>
      <c r="AQ19" s="364"/>
      <c r="AR19" s="364"/>
      <c r="AS19" s="364"/>
      <c r="AT19" s="364"/>
      <c r="AU19" s="364"/>
      <c r="AV19" s="364"/>
      <c r="AW19" s="364"/>
      <c r="AX19" s="306"/>
      <c r="AY19" s="306"/>
      <c r="AZ19" s="306"/>
      <c r="BA19" s="306"/>
      <c r="BB19" s="306"/>
      <c r="BC19" s="306"/>
      <c r="BD19" s="306"/>
      <c r="BE19" s="306"/>
      <c r="BF19" s="306"/>
      <c r="BG19" s="306"/>
      <c r="BH19" s="306"/>
      <c r="BI19" s="306"/>
      <c r="BJ19" s="408"/>
      <c r="BK19" s="364"/>
      <c r="BL19" s="364"/>
      <c r="BM19" s="364"/>
      <c r="BN19" s="408"/>
      <c r="BO19" s="364"/>
      <c r="BP19" s="408"/>
      <c r="BQ19" s="364"/>
      <c r="BR19" s="408"/>
      <c r="BS19" s="364"/>
      <c r="BT19" s="707"/>
    </row>
    <row r="20" spans="1:72" s="2" customFormat="1" ht="24.9" customHeight="1">
      <c r="A20" s="401"/>
      <c r="B20" s="356"/>
      <c r="C20" s="367"/>
      <c r="D20" s="356"/>
      <c r="E20" s="357"/>
      <c r="F20" s="358"/>
      <c r="G20" s="359"/>
      <c r="H20" s="358"/>
      <c r="I20" s="358"/>
      <c r="J20" s="358"/>
      <c r="K20" s="358"/>
      <c r="L20" s="306"/>
      <c r="M20" s="306"/>
      <c r="N20" s="368"/>
      <c r="O20" s="317"/>
      <c r="P20" s="317"/>
      <c r="Q20" s="317"/>
      <c r="R20" s="307"/>
      <c r="S20" s="307"/>
      <c r="T20" s="307"/>
      <c r="U20" s="307"/>
      <c r="V20" s="307"/>
      <c r="W20" s="307"/>
      <c r="X20" s="307"/>
      <c r="Y20" s="364"/>
      <c r="Z20" s="364"/>
      <c r="AA20" s="306"/>
      <c r="AB20" s="306"/>
      <c r="AC20" s="306"/>
      <c r="AD20" s="306"/>
      <c r="AE20" s="306"/>
      <c r="AF20" s="306"/>
      <c r="AG20" s="306"/>
      <c r="AH20" s="306"/>
      <c r="AI20" s="306"/>
      <c r="AJ20" s="306"/>
      <c r="AK20" s="306"/>
      <c r="AL20" s="306"/>
      <c r="AM20" s="306"/>
      <c r="AN20" s="306"/>
      <c r="AO20" s="365"/>
      <c r="AP20" s="365"/>
      <c r="AQ20" s="364"/>
      <c r="AR20" s="364"/>
      <c r="AS20" s="364"/>
      <c r="AT20" s="364"/>
      <c r="AU20" s="364"/>
      <c r="AV20" s="364"/>
      <c r="AW20" s="364"/>
      <c r="AX20" s="307"/>
      <c r="AY20" s="307"/>
      <c r="AZ20" s="307"/>
      <c r="BA20" s="307"/>
      <c r="BB20" s="307"/>
      <c r="BC20" s="307"/>
      <c r="BD20" s="307"/>
      <c r="BE20" s="307"/>
      <c r="BF20" s="307"/>
      <c r="BG20" s="307"/>
      <c r="BH20" s="307"/>
      <c r="BI20" s="307"/>
      <c r="BJ20" s="408"/>
      <c r="BK20" s="364"/>
      <c r="BL20" s="364"/>
      <c r="BM20" s="364"/>
      <c r="BN20" s="408"/>
      <c r="BO20" s="364"/>
      <c r="BP20" s="408"/>
      <c r="BQ20" s="364"/>
      <c r="BR20" s="408"/>
      <c r="BS20" s="364"/>
      <c r="BT20" s="706"/>
    </row>
    <row r="21" spans="1:72" s="2" customFormat="1" ht="24.9" customHeight="1">
      <c r="A21" s="401"/>
      <c r="B21" s="356"/>
      <c r="C21" s="367"/>
      <c r="D21" s="356"/>
      <c r="E21" s="357"/>
      <c r="F21" s="358"/>
      <c r="G21" s="359"/>
      <c r="H21" s="358"/>
      <c r="I21" s="358"/>
      <c r="J21" s="358"/>
      <c r="K21" s="358"/>
      <c r="L21" s="306"/>
      <c r="M21" s="306"/>
      <c r="N21" s="368"/>
      <c r="O21" s="317"/>
      <c r="P21" s="317"/>
      <c r="Q21" s="317"/>
      <c r="R21" s="307"/>
      <c r="S21" s="307"/>
      <c r="T21" s="307"/>
      <c r="U21" s="307"/>
      <c r="V21" s="307"/>
      <c r="W21" s="307"/>
      <c r="X21" s="307"/>
      <c r="Y21" s="364"/>
      <c r="Z21" s="364"/>
      <c r="AA21" s="306"/>
      <c r="AB21" s="306"/>
      <c r="AC21" s="306"/>
      <c r="AD21" s="306"/>
      <c r="AE21" s="306"/>
      <c r="AF21" s="306"/>
      <c r="AG21" s="306"/>
      <c r="AH21" s="306"/>
      <c r="AI21" s="306"/>
      <c r="AJ21" s="306"/>
      <c r="AK21" s="306"/>
      <c r="AL21" s="306"/>
      <c r="AM21" s="306"/>
      <c r="AN21" s="306"/>
      <c r="AO21" s="365"/>
      <c r="AP21" s="365"/>
      <c r="AQ21" s="364"/>
      <c r="AR21" s="364"/>
      <c r="AS21" s="364"/>
      <c r="AT21" s="364"/>
      <c r="AU21" s="364"/>
      <c r="AV21" s="364"/>
      <c r="AW21" s="364"/>
      <c r="AX21" s="306"/>
      <c r="AY21" s="306"/>
      <c r="AZ21" s="306"/>
      <c r="BA21" s="306"/>
      <c r="BB21" s="306"/>
      <c r="BC21" s="306"/>
      <c r="BD21" s="306"/>
      <c r="BE21" s="306"/>
      <c r="BF21" s="306"/>
      <c r="BG21" s="306"/>
      <c r="BH21" s="306"/>
      <c r="BI21" s="306"/>
      <c r="BJ21" s="408"/>
      <c r="BK21" s="364"/>
      <c r="BL21" s="364"/>
      <c r="BM21" s="364"/>
      <c r="BN21" s="408"/>
      <c r="BO21" s="364"/>
      <c r="BP21" s="408"/>
      <c r="BQ21" s="364"/>
      <c r="BR21" s="408"/>
      <c r="BS21" s="364"/>
      <c r="BT21" s="708"/>
    </row>
    <row r="22" spans="1:72" s="2" customFormat="1" ht="24.9" customHeight="1">
      <c r="A22" s="401"/>
      <c r="B22" s="356"/>
      <c r="C22" s="367"/>
      <c r="D22" s="356"/>
      <c r="E22" s="357"/>
      <c r="F22" s="358"/>
      <c r="G22" s="359"/>
      <c r="H22" s="358"/>
      <c r="I22" s="358"/>
      <c r="J22" s="358"/>
      <c r="K22" s="358"/>
      <c r="L22" s="306"/>
      <c r="M22" s="306"/>
      <c r="N22" s="307"/>
      <c r="O22" s="317"/>
      <c r="P22" s="317"/>
      <c r="Q22" s="317"/>
      <c r="R22" s="307"/>
      <c r="S22" s="307"/>
      <c r="T22" s="307"/>
      <c r="U22" s="307"/>
      <c r="V22" s="307"/>
      <c r="W22" s="307"/>
      <c r="X22" s="307"/>
      <c r="Y22" s="364"/>
      <c r="Z22" s="364"/>
      <c r="AA22" s="307"/>
      <c r="AB22" s="307"/>
      <c r="AC22" s="307"/>
      <c r="AD22" s="307"/>
      <c r="AE22" s="306"/>
      <c r="AF22" s="306"/>
      <c r="AG22" s="306"/>
      <c r="AH22" s="306"/>
      <c r="AI22" s="306"/>
      <c r="AJ22" s="306"/>
      <c r="AK22" s="306"/>
      <c r="AL22" s="306"/>
      <c r="AM22" s="306"/>
      <c r="AN22" s="306"/>
      <c r="AO22" s="365"/>
      <c r="AP22" s="365"/>
      <c r="AQ22" s="364"/>
      <c r="AR22" s="364"/>
      <c r="AS22" s="364"/>
      <c r="AT22" s="364"/>
      <c r="AU22" s="364"/>
      <c r="AV22" s="364"/>
      <c r="AW22" s="364"/>
      <c r="AX22" s="307"/>
      <c r="AY22" s="307"/>
      <c r="AZ22" s="307"/>
      <c r="BA22" s="307"/>
      <c r="BB22" s="307"/>
      <c r="BC22" s="307"/>
      <c r="BD22" s="307"/>
      <c r="BE22" s="307"/>
      <c r="BF22" s="307"/>
      <c r="BG22" s="307"/>
      <c r="BH22" s="307"/>
      <c r="BI22" s="307"/>
      <c r="BJ22" s="408"/>
      <c r="BK22" s="364"/>
      <c r="BL22" s="364"/>
      <c r="BM22" s="364"/>
      <c r="BN22" s="408"/>
      <c r="BO22" s="364"/>
      <c r="BP22" s="408"/>
      <c r="BQ22" s="364"/>
      <c r="BR22" s="408"/>
      <c r="BS22" s="364"/>
      <c r="BT22" s="708"/>
    </row>
    <row r="23" spans="1:72" s="2" customFormat="1" ht="24.9" customHeight="1">
      <c r="A23" s="401"/>
      <c r="B23" s="364"/>
      <c r="C23" s="367"/>
      <c r="D23" s="364"/>
      <c r="E23" s="357"/>
      <c r="F23" s="358"/>
      <c r="G23" s="359"/>
      <c r="H23" s="358"/>
      <c r="I23" s="358"/>
      <c r="J23" s="358"/>
      <c r="K23" s="358"/>
      <c r="L23" s="306"/>
      <c r="M23" s="306"/>
      <c r="N23" s="307"/>
      <c r="O23" s="317"/>
      <c r="P23" s="317"/>
      <c r="Q23" s="317"/>
      <c r="R23" s="307"/>
      <c r="S23" s="307"/>
      <c r="T23" s="307"/>
      <c r="U23" s="307"/>
      <c r="V23" s="307"/>
      <c r="W23" s="307"/>
      <c r="X23" s="307"/>
      <c r="Y23" s="364"/>
      <c r="Z23" s="364"/>
      <c r="AA23" s="306"/>
      <c r="AB23" s="306"/>
      <c r="AC23" s="306"/>
      <c r="AD23" s="306"/>
      <c r="AE23" s="306"/>
      <c r="AF23" s="306"/>
      <c r="AG23" s="306"/>
      <c r="AH23" s="306"/>
      <c r="AI23" s="306"/>
      <c r="AJ23" s="306"/>
      <c r="AK23" s="306"/>
      <c r="AL23" s="306"/>
      <c r="AM23" s="306"/>
      <c r="AN23" s="306"/>
      <c r="AO23" s="365"/>
      <c r="AP23" s="365"/>
      <c r="AQ23" s="364"/>
      <c r="AR23" s="364"/>
      <c r="AS23" s="364"/>
      <c r="AT23" s="364"/>
      <c r="AU23" s="364"/>
      <c r="AV23" s="364"/>
      <c r="AW23" s="364"/>
      <c r="AX23" s="306"/>
      <c r="AY23" s="306"/>
      <c r="AZ23" s="306"/>
      <c r="BA23" s="306"/>
      <c r="BB23" s="306"/>
      <c r="BC23" s="306"/>
      <c r="BD23" s="306"/>
      <c r="BE23" s="306"/>
      <c r="BF23" s="306"/>
      <c r="BG23" s="306"/>
      <c r="BH23" s="306"/>
      <c r="BI23" s="306"/>
      <c r="BJ23" s="408"/>
      <c r="BK23" s="364"/>
      <c r="BL23" s="364"/>
      <c r="BM23" s="364"/>
      <c r="BN23" s="408"/>
      <c r="BO23" s="364"/>
      <c r="BP23" s="408"/>
      <c r="BQ23" s="364"/>
      <c r="BR23" s="408"/>
      <c r="BS23" s="364"/>
      <c r="BT23" s="708"/>
    </row>
    <row r="24" spans="1:72" s="2" customFormat="1" ht="24.9" customHeight="1">
      <c r="A24" s="401"/>
      <c r="B24" s="356"/>
      <c r="C24" s="367"/>
      <c r="D24" s="356"/>
      <c r="E24" s="357"/>
      <c r="F24" s="358"/>
      <c r="G24" s="359"/>
      <c r="H24" s="358"/>
      <c r="I24" s="358"/>
      <c r="J24" s="358"/>
      <c r="K24" s="358"/>
      <c r="L24" s="306"/>
      <c r="M24" s="306"/>
      <c r="N24" s="306"/>
      <c r="O24" s="317"/>
      <c r="P24" s="317"/>
      <c r="Q24" s="317"/>
      <c r="R24" s="307"/>
      <c r="S24" s="307"/>
      <c r="T24" s="307"/>
      <c r="U24" s="307"/>
      <c r="V24" s="307"/>
      <c r="W24" s="307"/>
      <c r="X24" s="307"/>
      <c r="Y24" s="364"/>
      <c r="Z24" s="364"/>
      <c r="AA24" s="306"/>
      <c r="AB24" s="306"/>
      <c r="AC24" s="306"/>
      <c r="AD24" s="306"/>
      <c r="AE24" s="307"/>
      <c r="AF24" s="306"/>
      <c r="AG24" s="306"/>
      <c r="AH24" s="306"/>
      <c r="AI24" s="306"/>
      <c r="AJ24" s="306"/>
      <c r="AK24" s="306"/>
      <c r="AL24" s="306"/>
      <c r="AM24" s="306"/>
      <c r="AN24" s="306"/>
      <c r="AO24" s="365"/>
      <c r="AP24" s="365"/>
      <c r="AQ24" s="364"/>
      <c r="AR24" s="364"/>
      <c r="AS24" s="364"/>
      <c r="AT24" s="364"/>
      <c r="AU24" s="364"/>
      <c r="AV24" s="364"/>
      <c r="AW24" s="364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408"/>
      <c r="BK24" s="364"/>
      <c r="BL24" s="364"/>
      <c r="BM24" s="364"/>
      <c r="BN24" s="408"/>
      <c r="BO24" s="364"/>
      <c r="BP24" s="408"/>
      <c r="BQ24" s="364"/>
      <c r="BR24" s="408"/>
      <c r="BS24" s="364"/>
      <c r="BT24" s="708"/>
    </row>
    <row r="25" spans="1:72" s="2" customFormat="1" ht="24.9" customHeight="1">
      <c r="A25" s="401"/>
      <c r="B25" s="356"/>
      <c r="C25" s="367"/>
      <c r="D25" s="356"/>
      <c r="E25" s="357"/>
      <c r="F25" s="358"/>
      <c r="G25" s="359"/>
      <c r="H25" s="358"/>
      <c r="I25" s="358"/>
      <c r="J25" s="358"/>
      <c r="K25" s="358"/>
      <c r="L25" s="306"/>
      <c r="M25" s="306"/>
      <c r="N25" s="306"/>
      <c r="O25" s="317"/>
      <c r="P25" s="317"/>
      <c r="Q25" s="317"/>
      <c r="R25" s="307"/>
      <c r="S25" s="307"/>
      <c r="T25" s="307"/>
      <c r="U25" s="307"/>
      <c r="V25" s="307"/>
      <c r="W25" s="307"/>
      <c r="X25" s="307"/>
      <c r="Y25" s="364"/>
      <c r="Z25" s="364"/>
      <c r="AA25" s="306"/>
      <c r="AB25" s="306"/>
      <c r="AC25" s="306"/>
      <c r="AD25" s="306"/>
      <c r="AE25" s="307"/>
      <c r="AF25" s="306"/>
      <c r="AG25" s="306"/>
      <c r="AH25" s="306"/>
      <c r="AI25" s="306"/>
      <c r="AJ25" s="306"/>
      <c r="AK25" s="306"/>
      <c r="AL25" s="306"/>
      <c r="AM25" s="306"/>
      <c r="AN25" s="306"/>
      <c r="AO25" s="365"/>
      <c r="AP25" s="365"/>
      <c r="AQ25" s="364"/>
      <c r="AR25" s="364"/>
      <c r="AS25" s="364"/>
      <c r="AT25" s="364"/>
      <c r="AU25" s="364"/>
      <c r="AV25" s="364"/>
      <c r="AW25" s="364"/>
      <c r="AX25" s="306"/>
      <c r="AY25" s="306"/>
      <c r="AZ25" s="306"/>
      <c r="BA25" s="306"/>
      <c r="BB25" s="306"/>
      <c r="BC25" s="306"/>
      <c r="BD25" s="306"/>
      <c r="BE25" s="306"/>
      <c r="BF25" s="306"/>
      <c r="BG25" s="306"/>
      <c r="BH25" s="306"/>
      <c r="BI25" s="306"/>
      <c r="BJ25" s="408"/>
      <c r="BK25" s="364"/>
      <c r="BL25" s="364"/>
      <c r="BM25" s="364"/>
      <c r="BN25" s="408"/>
      <c r="BO25" s="364"/>
      <c r="BP25" s="408"/>
      <c r="BQ25" s="364"/>
      <c r="BR25" s="408"/>
      <c r="BS25" s="364"/>
      <c r="BT25" s="708"/>
    </row>
    <row r="26" spans="1:72" s="2" customFormat="1" ht="24.9" customHeight="1">
      <c r="A26" s="401"/>
      <c r="B26" s="364"/>
      <c r="C26" s="355"/>
      <c r="D26" s="364"/>
      <c r="E26" s="357"/>
      <c r="F26" s="358"/>
      <c r="G26" s="359"/>
      <c r="H26" s="358"/>
      <c r="I26" s="358"/>
      <c r="J26" s="358"/>
      <c r="K26" s="358"/>
      <c r="L26" s="306"/>
      <c r="M26" s="306"/>
      <c r="N26" s="306"/>
      <c r="O26" s="317"/>
      <c r="P26" s="317"/>
      <c r="Q26" s="317"/>
      <c r="R26" s="307"/>
      <c r="S26" s="307"/>
      <c r="T26" s="307"/>
      <c r="U26" s="307"/>
      <c r="V26" s="307"/>
      <c r="W26" s="307"/>
      <c r="X26" s="307"/>
      <c r="Y26" s="364"/>
      <c r="Z26" s="364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M26" s="306"/>
      <c r="AN26" s="306"/>
      <c r="AO26" s="365"/>
      <c r="AP26" s="365"/>
      <c r="AQ26" s="364"/>
      <c r="AR26" s="364"/>
      <c r="AS26" s="364"/>
      <c r="AT26" s="364"/>
      <c r="AU26" s="364"/>
      <c r="AV26" s="364"/>
      <c r="AW26" s="364"/>
      <c r="AX26" s="306"/>
      <c r="AY26" s="306"/>
      <c r="AZ26" s="306"/>
      <c r="BA26" s="306"/>
      <c r="BB26" s="306"/>
      <c r="BC26" s="306"/>
      <c r="BD26" s="306"/>
      <c r="BE26" s="306"/>
      <c r="BF26" s="306"/>
      <c r="BG26" s="306"/>
      <c r="BH26" s="306"/>
      <c r="BI26" s="306"/>
      <c r="BJ26" s="408"/>
      <c r="BK26" s="364"/>
      <c r="BL26" s="364"/>
      <c r="BM26" s="364"/>
      <c r="BN26" s="408"/>
      <c r="BO26" s="364"/>
      <c r="BP26" s="408"/>
      <c r="BQ26" s="364"/>
      <c r="BR26" s="408"/>
      <c r="BS26" s="364"/>
      <c r="BT26" s="708"/>
    </row>
    <row r="27" spans="1:72" s="2" customFormat="1" ht="24.9" customHeight="1">
      <c r="A27" s="401"/>
      <c r="B27" s="364"/>
      <c r="C27" s="355"/>
      <c r="D27" s="364"/>
      <c r="E27" s="357"/>
      <c r="F27" s="358"/>
      <c r="G27" s="359"/>
      <c r="H27" s="358"/>
      <c r="I27" s="358"/>
      <c r="J27" s="358"/>
      <c r="K27" s="358"/>
      <c r="L27" s="306"/>
      <c r="M27" s="306"/>
      <c r="N27" s="306"/>
      <c r="O27" s="306"/>
      <c r="P27" s="306"/>
      <c r="Q27" s="306"/>
      <c r="R27" s="307"/>
      <c r="S27" s="307"/>
      <c r="T27" s="307"/>
      <c r="U27" s="307"/>
      <c r="V27" s="307"/>
      <c r="W27" s="307"/>
      <c r="X27" s="307"/>
      <c r="Y27" s="364"/>
      <c r="Z27" s="364"/>
      <c r="AA27" s="306"/>
      <c r="AB27" s="306"/>
      <c r="AC27" s="306"/>
      <c r="AD27" s="306"/>
      <c r="AE27" s="359"/>
      <c r="AF27" s="306"/>
      <c r="AG27" s="306"/>
      <c r="AH27" s="306"/>
      <c r="AI27" s="306"/>
      <c r="AJ27" s="306"/>
      <c r="AK27" s="306"/>
      <c r="AL27" s="306"/>
      <c r="AM27" s="306"/>
      <c r="AN27" s="306"/>
      <c r="AO27" s="365"/>
      <c r="AP27" s="365"/>
      <c r="AQ27" s="364"/>
      <c r="AR27" s="364"/>
      <c r="AS27" s="364"/>
      <c r="AT27" s="364"/>
      <c r="AU27" s="364"/>
      <c r="AV27" s="364"/>
      <c r="AW27" s="364"/>
      <c r="AX27" s="306"/>
      <c r="AY27" s="306"/>
      <c r="AZ27" s="306"/>
      <c r="BA27" s="306"/>
      <c r="BB27" s="306"/>
      <c r="BC27" s="306"/>
      <c r="BD27" s="306"/>
      <c r="BE27" s="306"/>
      <c r="BF27" s="306"/>
      <c r="BG27" s="306"/>
      <c r="BH27" s="306"/>
      <c r="BI27" s="306"/>
      <c r="BJ27" s="408"/>
      <c r="BK27" s="364"/>
      <c r="BL27" s="364"/>
      <c r="BM27" s="364"/>
      <c r="BN27" s="408"/>
      <c r="BO27" s="364"/>
      <c r="BP27" s="408"/>
      <c r="BQ27" s="364"/>
      <c r="BR27" s="408"/>
      <c r="BS27" s="364"/>
      <c r="BT27" s="707"/>
    </row>
    <row r="28" spans="1:72" s="2" customFormat="1" ht="24.9" customHeight="1">
      <c r="A28" s="401"/>
      <c r="B28" s="356"/>
      <c r="C28" s="369"/>
      <c r="D28" s="356"/>
      <c r="E28" s="357"/>
      <c r="F28" s="358"/>
      <c r="G28" s="359"/>
      <c r="H28" s="358"/>
      <c r="I28" s="358"/>
      <c r="J28" s="358"/>
      <c r="K28" s="358"/>
      <c r="L28" s="306"/>
      <c r="M28" s="306"/>
      <c r="N28" s="306"/>
      <c r="O28" s="317"/>
      <c r="P28" s="317"/>
      <c r="Q28" s="317"/>
      <c r="R28" s="307"/>
      <c r="S28" s="307"/>
      <c r="T28" s="307"/>
      <c r="U28" s="307"/>
      <c r="V28" s="307"/>
      <c r="W28" s="307"/>
      <c r="X28" s="307"/>
      <c r="Y28" s="364"/>
      <c r="Z28" s="364"/>
      <c r="AA28" s="306"/>
      <c r="AB28" s="306"/>
      <c r="AC28" s="306"/>
      <c r="AD28" s="306"/>
      <c r="AE28" s="306"/>
      <c r="AF28" s="306"/>
      <c r="AG28" s="306"/>
      <c r="AH28" s="306"/>
      <c r="AI28" s="306"/>
      <c r="AJ28" s="306"/>
      <c r="AK28" s="306"/>
      <c r="AL28" s="306"/>
      <c r="AM28" s="306"/>
      <c r="AN28" s="306"/>
      <c r="AO28" s="365"/>
      <c r="AP28" s="365"/>
      <c r="AQ28" s="364"/>
      <c r="AR28" s="364"/>
      <c r="AS28" s="364"/>
      <c r="AT28" s="364"/>
      <c r="AU28" s="364"/>
      <c r="AV28" s="364"/>
      <c r="AW28" s="364"/>
      <c r="AX28" s="306"/>
      <c r="AY28" s="306"/>
      <c r="AZ28" s="306"/>
      <c r="BA28" s="306"/>
      <c r="BB28" s="306"/>
      <c r="BC28" s="306"/>
      <c r="BD28" s="306"/>
      <c r="BE28" s="306"/>
      <c r="BF28" s="306"/>
      <c r="BG28" s="306"/>
      <c r="BH28" s="306"/>
      <c r="BI28" s="306"/>
      <c r="BJ28" s="408"/>
      <c r="BK28" s="364"/>
      <c r="BL28" s="364"/>
      <c r="BM28" s="364"/>
      <c r="BN28" s="408"/>
      <c r="BO28" s="364"/>
      <c r="BP28" s="408"/>
      <c r="BQ28" s="364"/>
      <c r="BR28" s="408"/>
      <c r="BS28" s="364"/>
      <c r="BT28" s="706"/>
    </row>
    <row r="29" spans="1:72" s="2" customFormat="1" ht="24.9" customHeight="1">
      <c r="A29" s="401"/>
      <c r="B29" s="356"/>
      <c r="C29" s="369"/>
      <c r="D29" s="356"/>
      <c r="E29" s="357"/>
      <c r="F29" s="358"/>
      <c r="G29" s="359"/>
      <c r="H29" s="358"/>
      <c r="I29" s="358"/>
      <c r="J29" s="358"/>
      <c r="K29" s="358"/>
      <c r="L29" s="306"/>
      <c r="M29" s="306"/>
      <c r="N29" s="306"/>
      <c r="O29" s="317"/>
      <c r="P29" s="317"/>
      <c r="Q29" s="317"/>
      <c r="R29" s="307"/>
      <c r="S29" s="307"/>
      <c r="T29" s="307"/>
      <c r="U29" s="307"/>
      <c r="V29" s="307"/>
      <c r="W29" s="307"/>
      <c r="X29" s="307"/>
      <c r="Y29" s="364"/>
      <c r="Z29" s="364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65"/>
      <c r="AP29" s="365"/>
      <c r="AQ29" s="364"/>
      <c r="AR29" s="364"/>
      <c r="AS29" s="364"/>
      <c r="AT29" s="364"/>
      <c r="AU29" s="364"/>
      <c r="AV29" s="364"/>
      <c r="AW29" s="364"/>
      <c r="AX29" s="306"/>
      <c r="AY29" s="306"/>
      <c r="AZ29" s="306"/>
      <c r="BA29" s="306"/>
      <c r="BB29" s="306"/>
      <c r="BC29" s="306"/>
      <c r="BD29" s="306"/>
      <c r="BE29" s="306"/>
      <c r="BF29" s="306"/>
      <c r="BG29" s="306"/>
      <c r="BH29" s="306"/>
      <c r="BI29" s="306"/>
      <c r="BJ29" s="408"/>
      <c r="BK29" s="364"/>
      <c r="BL29" s="364"/>
      <c r="BM29" s="364"/>
      <c r="BN29" s="408"/>
      <c r="BO29" s="364"/>
      <c r="BP29" s="408"/>
      <c r="BQ29" s="364"/>
      <c r="BR29" s="408"/>
      <c r="BS29" s="364"/>
      <c r="BT29" s="707"/>
    </row>
    <row r="30" spans="1:72" s="2" customFormat="1" ht="24.9" customHeight="1">
      <c r="A30" s="401"/>
      <c r="B30" s="356"/>
      <c r="C30" s="369"/>
      <c r="D30" s="356"/>
      <c r="E30" s="357"/>
      <c r="F30" s="358"/>
      <c r="G30" s="359"/>
      <c r="H30" s="358"/>
      <c r="I30" s="358"/>
      <c r="J30" s="358"/>
      <c r="K30" s="358"/>
      <c r="L30" s="306"/>
      <c r="M30" s="306"/>
      <c r="N30" s="306"/>
      <c r="O30" s="317"/>
      <c r="P30" s="317"/>
      <c r="Q30" s="317"/>
      <c r="R30" s="307"/>
      <c r="S30" s="307"/>
      <c r="T30" s="307"/>
      <c r="U30" s="307"/>
      <c r="V30" s="307"/>
      <c r="W30" s="307"/>
      <c r="X30" s="307"/>
      <c r="Y30" s="364"/>
      <c r="Z30" s="364"/>
      <c r="AA30" s="306"/>
      <c r="AB30" s="306"/>
      <c r="AC30" s="306"/>
      <c r="AD30" s="306"/>
      <c r="AE30" s="359"/>
      <c r="AF30" s="306"/>
      <c r="AG30" s="306"/>
      <c r="AH30" s="306"/>
      <c r="AI30" s="306"/>
      <c r="AJ30" s="306"/>
      <c r="AK30" s="306"/>
      <c r="AL30" s="306"/>
      <c r="AM30" s="306"/>
      <c r="AN30" s="306"/>
      <c r="AO30" s="365"/>
      <c r="AP30" s="365"/>
      <c r="AQ30" s="364"/>
      <c r="AR30" s="364"/>
      <c r="AS30" s="364"/>
      <c r="AT30" s="364"/>
      <c r="AU30" s="364"/>
      <c r="AV30" s="364"/>
      <c r="AW30" s="364"/>
      <c r="AX30" s="306"/>
      <c r="AY30" s="306"/>
      <c r="AZ30" s="306"/>
      <c r="BA30" s="306"/>
      <c r="BB30" s="306"/>
      <c r="BC30" s="306"/>
      <c r="BD30" s="306"/>
      <c r="BE30" s="306"/>
      <c r="BF30" s="306"/>
      <c r="BG30" s="306"/>
      <c r="BH30" s="306"/>
      <c r="BI30" s="306"/>
      <c r="BJ30" s="408"/>
      <c r="BK30" s="364"/>
      <c r="BL30" s="364"/>
      <c r="BM30" s="364"/>
      <c r="BN30" s="408"/>
      <c r="BO30" s="364"/>
      <c r="BP30" s="408"/>
      <c r="BQ30" s="364"/>
      <c r="BR30" s="408"/>
      <c r="BS30" s="364"/>
      <c r="BT30" s="706"/>
    </row>
    <row r="31" spans="1:72" s="2" customFormat="1" ht="24.9" customHeight="1">
      <c r="A31" s="401"/>
      <c r="B31" s="356"/>
      <c r="C31" s="369"/>
      <c r="D31" s="356"/>
      <c r="E31" s="357"/>
      <c r="F31" s="358"/>
      <c r="G31" s="359"/>
      <c r="H31" s="358"/>
      <c r="I31" s="358"/>
      <c r="J31" s="358"/>
      <c r="K31" s="358"/>
      <c r="L31" s="306"/>
      <c r="M31" s="306"/>
      <c r="N31" s="306"/>
      <c r="O31" s="317"/>
      <c r="P31" s="317"/>
      <c r="Q31" s="317"/>
      <c r="R31" s="307"/>
      <c r="S31" s="307"/>
      <c r="T31" s="307"/>
      <c r="U31" s="307"/>
      <c r="V31" s="307"/>
      <c r="W31" s="307"/>
      <c r="X31" s="307"/>
      <c r="Y31" s="364"/>
      <c r="Z31" s="364"/>
      <c r="AA31" s="306"/>
      <c r="AB31" s="306"/>
      <c r="AC31" s="306"/>
      <c r="AD31" s="306"/>
      <c r="AE31" s="306"/>
      <c r="AF31" s="306"/>
      <c r="AG31" s="306"/>
      <c r="AH31" s="306"/>
      <c r="AI31" s="306"/>
      <c r="AJ31" s="306"/>
      <c r="AK31" s="306"/>
      <c r="AL31" s="306"/>
      <c r="AM31" s="306"/>
      <c r="AN31" s="306"/>
      <c r="AO31" s="365"/>
      <c r="AP31" s="365"/>
      <c r="AQ31" s="364"/>
      <c r="AR31" s="364"/>
      <c r="AS31" s="364"/>
      <c r="AT31" s="364"/>
      <c r="AU31" s="364"/>
      <c r="AV31" s="364"/>
      <c r="AW31" s="364"/>
      <c r="AX31" s="306"/>
      <c r="AY31" s="306"/>
      <c r="AZ31" s="306"/>
      <c r="BA31" s="306"/>
      <c r="BB31" s="306"/>
      <c r="BC31" s="306"/>
      <c r="BD31" s="306"/>
      <c r="BE31" s="306"/>
      <c r="BF31" s="306"/>
      <c r="BG31" s="306"/>
      <c r="BH31" s="306"/>
      <c r="BI31" s="306"/>
      <c r="BJ31" s="408"/>
      <c r="BK31" s="364"/>
      <c r="BL31" s="364"/>
      <c r="BM31" s="364"/>
      <c r="BN31" s="408"/>
      <c r="BO31" s="364"/>
      <c r="BP31" s="408"/>
      <c r="BQ31" s="364"/>
      <c r="BR31" s="408"/>
      <c r="BS31" s="364"/>
      <c r="BT31" s="707"/>
    </row>
    <row r="32" spans="1:72" s="2" customFormat="1" ht="24.9" customHeight="1">
      <c r="A32" s="401"/>
      <c r="B32" s="356"/>
      <c r="C32" s="369"/>
      <c r="D32" s="356"/>
      <c r="E32" s="357"/>
      <c r="F32" s="358"/>
      <c r="G32" s="358"/>
      <c r="H32" s="358"/>
      <c r="I32" s="358"/>
      <c r="J32" s="358"/>
      <c r="K32" s="358"/>
      <c r="L32" s="306"/>
      <c r="M32" s="306"/>
      <c r="N32" s="359"/>
      <c r="O32" s="317"/>
      <c r="P32" s="317"/>
      <c r="Q32" s="317"/>
      <c r="R32" s="307"/>
      <c r="S32" s="307"/>
      <c r="T32" s="307"/>
      <c r="U32" s="307"/>
      <c r="V32" s="307"/>
      <c r="W32" s="307"/>
      <c r="X32" s="307"/>
      <c r="Y32" s="364"/>
      <c r="Z32" s="364"/>
      <c r="AA32" s="306"/>
      <c r="AB32" s="306"/>
      <c r="AC32" s="306"/>
      <c r="AD32" s="306"/>
      <c r="AE32" s="306"/>
      <c r="AF32" s="306"/>
      <c r="AG32" s="306"/>
      <c r="AH32" s="306"/>
      <c r="AI32" s="306"/>
      <c r="AJ32" s="306"/>
      <c r="AK32" s="306"/>
      <c r="AL32" s="306"/>
      <c r="AM32" s="306"/>
      <c r="AN32" s="306"/>
      <c r="AO32" s="365"/>
      <c r="AP32" s="365"/>
      <c r="AQ32" s="364"/>
      <c r="AR32" s="364"/>
      <c r="AS32" s="364"/>
      <c r="AT32" s="364"/>
      <c r="AU32" s="364"/>
      <c r="AV32" s="364"/>
      <c r="AW32" s="364"/>
      <c r="AX32" s="306"/>
      <c r="AY32" s="306"/>
      <c r="AZ32" s="306"/>
      <c r="BA32" s="306"/>
      <c r="BB32" s="306"/>
      <c r="BC32" s="306"/>
      <c r="BD32" s="306"/>
      <c r="BE32" s="306"/>
      <c r="BF32" s="306"/>
      <c r="BG32" s="306"/>
      <c r="BH32" s="306"/>
      <c r="BI32" s="306"/>
      <c r="BJ32" s="408"/>
      <c r="BK32" s="364"/>
      <c r="BL32" s="364"/>
      <c r="BM32" s="364"/>
      <c r="BN32" s="408"/>
      <c r="BO32" s="364"/>
      <c r="BP32" s="408"/>
      <c r="BQ32" s="364"/>
      <c r="BR32" s="408"/>
      <c r="BS32" s="364"/>
      <c r="BT32" s="706"/>
    </row>
    <row r="33" spans="1:72" s="2" customFormat="1" ht="24.9" customHeight="1">
      <c r="A33" s="401"/>
      <c r="B33" s="356"/>
      <c r="C33" s="369"/>
      <c r="D33" s="356"/>
      <c r="E33" s="357"/>
      <c r="F33" s="358"/>
      <c r="G33" s="358"/>
      <c r="H33" s="358"/>
      <c r="I33" s="358"/>
      <c r="J33" s="358"/>
      <c r="K33" s="358"/>
      <c r="L33" s="306"/>
      <c r="M33" s="306"/>
      <c r="N33" s="306"/>
      <c r="O33" s="317"/>
      <c r="P33" s="317"/>
      <c r="Q33" s="317"/>
      <c r="R33" s="307"/>
      <c r="S33" s="307"/>
      <c r="T33" s="307"/>
      <c r="U33" s="307"/>
      <c r="V33" s="307"/>
      <c r="W33" s="307"/>
      <c r="X33" s="307"/>
      <c r="Y33" s="364"/>
      <c r="Z33" s="364"/>
      <c r="AA33" s="306"/>
      <c r="AB33" s="306"/>
      <c r="AC33" s="306"/>
      <c r="AD33" s="306"/>
      <c r="AE33" s="306"/>
      <c r="AF33" s="306"/>
      <c r="AG33" s="306"/>
      <c r="AH33" s="306"/>
      <c r="AI33" s="306"/>
      <c r="AJ33" s="306"/>
      <c r="AK33" s="306"/>
      <c r="AL33" s="306"/>
      <c r="AM33" s="306"/>
      <c r="AN33" s="306"/>
      <c r="AO33" s="365"/>
      <c r="AP33" s="365"/>
      <c r="AQ33" s="364"/>
      <c r="AR33" s="364"/>
      <c r="AS33" s="364"/>
      <c r="AT33" s="364"/>
      <c r="AU33" s="364"/>
      <c r="AV33" s="364"/>
      <c r="AW33" s="364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408"/>
      <c r="BK33" s="364"/>
      <c r="BL33" s="364"/>
      <c r="BM33" s="364"/>
      <c r="BN33" s="408"/>
      <c r="BO33" s="364"/>
      <c r="BP33" s="408"/>
      <c r="BQ33" s="364"/>
      <c r="BR33" s="408"/>
      <c r="BS33" s="364"/>
      <c r="BT33" s="708"/>
    </row>
    <row r="34" spans="1:72" s="2" customFormat="1" ht="24.9" customHeight="1">
      <c r="A34" s="401"/>
      <c r="B34" s="356"/>
      <c r="C34" s="369"/>
      <c r="D34" s="356"/>
      <c r="E34" s="357"/>
      <c r="F34" s="358"/>
      <c r="G34" s="358"/>
      <c r="H34" s="358"/>
      <c r="I34" s="358"/>
      <c r="J34" s="358"/>
      <c r="K34" s="358"/>
      <c r="L34" s="306"/>
      <c r="M34" s="306"/>
      <c r="N34" s="306"/>
      <c r="O34" s="306"/>
      <c r="P34" s="306"/>
      <c r="Q34" s="306"/>
      <c r="R34" s="307"/>
      <c r="S34" s="307"/>
      <c r="T34" s="307"/>
      <c r="U34" s="307"/>
      <c r="V34" s="307"/>
      <c r="W34" s="307"/>
      <c r="X34" s="307"/>
      <c r="Y34" s="364"/>
      <c r="Z34" s="364"/>
      <c r="AA34" s="306"/>
      <c r="AB34" s="306"/>
      <c r="AC34" s="306"/>
      <c r="AD34" s="306"/>
      <c r="AE34" s="359"/>
      <c r="AF34" s="306"/>
      <c r="AG34" s="306"/>
      <c r="AH34" s="306"/>
      <c r="AI34" s="306"/>
      <c r="AJ34" s="306"/>
      <c r="AK34" s="306"/>
      <c r="AL34" s="306"/>
      <c r="AM34" s="306"/>
      <c r="AN34" s="306"/>
      <c r="AO34" s="365"/>
      <c r="AP34" s="365"/>
      <c r="AQ34" s="364"/>
      <c r="AR34" s="364"/>
      <c r="AS34" s="364"/>
      <c r="AT34" s="364"/>
      <c r="AU34" s="364"/>
      <c r="AV34" s="364"/>
      <c r="AW34" s="364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408"/>
      <c r="BK34" s="364"/>
      <c r="BL34" s="364"/>
      <c r="BM34" s="364"/>
      <c r="BN34" s="408"/>
      <c r="BO34" s="364"/>
      <c r="BP34" s="408"/>
      <c r="BQ34" s="364"/>
      <c r="BR34" s="408"/>
      <c r="BS34" s="364"/>
      <c r="BT34" s="708"/>
    </row>
    <row r="35" spans="1:72" s="2" customFormat="1" ht="24.9" customHeight="1">
      <c r="A35" s="401"/>
      <c r="B35" s="356"/>
      <c r="C35" s="369"/>
      <c r="D35" s="356"/>
      <c r="E35" s="357"/>
      <c r="F35" s="358"/>
      <c r="G35" s="358"/>
      <c r="H35" s="358"/>
      <c r="I35" s="358"/>
      <c r="J35" s="358"/>
      <c r="K35" s="358"/>
      <c r="L35" s="306"/>
      <c r="M35" s="306"/>
      <c r="N35" s="306"/>
      <c r="O35" s="306"/>
      <c r="P35" s="306"/>
      <c r="Q35" s="306"/>
      <c r="R35" s="307"/>
      <c r="S35" s="307"/>
      <c r="T35" s="307"/>
      <c r="U35" s="307"/>
      <c r="V35" s="307"/>
      <c r="W35" s="307"/>
      <c r="X35" s="307"/>
      <c r="Y35" s="364"/>
      <c r="Z35" s="364"/>
      <c r="AA35" s="306"/>
      <c r="AB35" s="306"/>
      <c r="AC35" s="306"/>
      <c r="AD35" s="306"/>
      <c r="AE35" s="306"/>
      <c r="AF35" s="306"/>
      <c r="AG35" s="306"/>
      <c r="AH35" s="306"/>
      <c r="AI35" s="306"/>
      <c r="AJ35" s="306"/>
      <c r="AK35" s="306"/>
      <c r="AL35" s="306"/>
      <c r="AM35" s="306"/>
      <c r="AN35" s="306"/>
      <c r="AO35" s="365"/>
      <c r="AP35" s="365"/>
      <c r="AQ35" s="364"/>
      <c r="AR35" s="364"/>
      <c r="AS35" s="364"/>
      <c r="AT35" s="364"/>
      <c r="AU35" s="364"/>
      <c r="AV35" s="364"/>
      <c r="AW35" s="364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408"/>
      <c r="BK35" s="364"/>
      <c r="BL35" s="364"/>
      <c r="BM35" s="364"/>
      <c r="BN35" s="408"/>
      <c r="BO35" s="364"/>
      <c r="BP35" s="408"/>
      <c r="BQ35" s="364"/>
      <c r="BR35" s="408"/>
      <c r="BS35" s="364"/>
      <c r="BT35" s="707"/>
    </row>
    <row r="36" spans="1:72" s="2" customFormat="1" ht="24.9" customHeight="1">
      <c r="A36" s="401"/>
      <c r="B36" s="356"/>
      <c r="C36" s="369"/>
      <c r="D36" s="356"/>
      <c r="E36" s="357"/>
      <c r="F36" s="358"/>
      <c r="G36" s="358"/>
      <c r="H36" s="358"/>
      <c r="I36" s="358"/>
      <c r="J36" s="358"/>
      <c r="K36" s="358"/>
      <c r="L36" s="306"/>
      <c r="M36" s="306"/>
      <c r="N36" s="306"/>
      <c r="O36" s="317"/>
      <c r="P36" s="317"/>
      <c r="Q36" s="317"/>
      <c r="R36" s="307"/>
      <c r="S36" s="307"/>
      <c r="T36" s="307"/>
      <c r="U36" s="307"/>
      <c r="V36" s="307"/>
      <c r="W36" s="307"/>
      <c r="X36" s="307"/>
      <c r="Y36" s="364"/>
      <c r="Z36" s="364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65"/>
      <c r="AP36" s="365"/>
      <c r="AQ36" s="364"/>
      <c r="AR36" s="364"/>
      <c r="AS36" s="364"/>
      <c r="AT36" s="364"/>
      <c r="AU36" s="364"/>
      <c r="AV36" s="364"/>
      <c r="AW36" s="364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408"/>
      <c r="BK36" s="364"/>
      <c r="BL36" s="364"/>
      <c r="BM36" s="364"/>
      <c r="BN36" s="408"/>
      <c r="BO36" s="364"/>
      <c r="BP36" s="408"/>
      <c r="BQ36" s="364"/>
      <c r="BR36" s="408"/>
      <c r="BS36" s="364"/>
      <c r="BT36" s="706"/>
    </row>
    <row r="37" spans="1:72" s="2" customFormat="1" ht="24.9" customHeight="1">
      <c r="A37" s="401"/>
      <c r="B37" s="356"/>
      <c r="C37" s="369"/>
      <c r="D37" s="356"/>
      <c r="E37" s="357"/>
      <c r="F37" s="358"/>
      <c r="G37" s="358"/>
      <c r="H37" s="358"/>
      <c r="I37" s="358"/>
      <c r="J37" s="358"/>
      <c r="K37" s="358"/>
      <c r="L37" s="306"/>
      <c r="M37" s="306"/>
      <c r="N37" s="306"/>
      <c r="O37" s="317"/>
      <c r="P37" s="317"/>
      <c r="Q37" s="317"/>
      <c r="R37" s="307"/>
      <c r="S37" s="307"/>
      <c r="T37" s="307"/>
      <c r="U37" s="307"/>
      <c r="V37" s="307"/>
      <c r="W37" s="307"/>
      <c r="X37" s="307"/>
      <c r="Y37" s="364"/>
      <c r="Z37" s="364"/>
      <c r="AA37" s="306"/>
      <c r="AB37" s="306"/>
      <c r="AC37" s="306"/>
      <c r="AD37" s="306"/>
      <c r="AE37" s="306"/>
      <c r="AF37" s="306"/>
      <c r="AG37" s="306"/>
      <c r="AH37" s="306"/>
      <c r="AI37" s="306"/>
      <c r="AJ37" s="306"/>
      <c r="AK37" s="306"/>
      <c r="AL37" s="306"/>
      <c r="AM37" s="306"/>
      <c r="AN37" s="306"/>
      <c r="AO37" s="365"/>
      <c r="AP37" s="365"/>
      <c r="AQ37" s="364"/>
      <c r="AR37" s="364"/>
      <c r="AS37" s="364"/>
      <c r="AT37" s="364"/>
      <c r="AU37" s="364"/>
      <c r="AV37" s="364"/>
      <c r="AW37" s="364"/>
      <c r="AX37" s="306"/>
      <c r="AY37" s="306"/>
      <c r="AZ37" s="306"/>
      <c r="BA37" s="306"/>
      <c r="BB37" s="306"/>
      <c r="BC37" s="306"/>
      <c r="BD37" s="306"/>
      <c r="BE37" s="306"/>
      <c r="BF37" s="306"/>
      <c r="BG37" s="306"/>
      <c r="BH37" s="306"/>
      <c r="BI37" s="306"/>
      <c r="BJ37" s="408"/>
      <c r="BK37" s="364"/>
      <c r="BL37" s="364"/>
      <c r="BM37" s="364"/>
      <c r="BN37" s="408"/>
      <c r="BO37" s="364"/>
      <c r="BP37" s="408"/>
      <c r="BQ37" s="364"/>
      <c r="BR37" s="408"/>
      <c r="BS37" s="364"/>
      <c r="BT37" s="708"/>
    </row>
    <row r="38" spans="1:72" s="2" customFormat="1" ht="24.9" customHeight="1">
      <c r="A38" s="401"/>
      <c r="B38" s="356"/>
      <c r="C38" s="369"/>
      <c r="D38" s="356"/>
      <c r="E38" s="357"/>
      <c r="F38" s="358"/>
      <c r="G38" s="358"/>
      <c r="H38" s="358"/>
      <c r="I38" s="358"/>
      <c r="J38" s="358"/>
      <c r="K38" s="358"/>
      <c r="L38" s="306"/>
      <c r="M38" s="306"/>
      <c r="N38" s="306"/>
      <c r="O38" s="306"/>
      <c r="P38" s="306"/>
      <c r="Q38" s="306"/>
      <c r="R38" s="307"/>
      <c r="S38" s="307"/>
      <c r="T38" s="307"/>
      <c r="U38" s="307"/>
      <c r="V38" s="307"/>
      <c r="W38" s="307"/>
      <c r="X38" s="307"/>
      <c r="Y38" s="364"/>
      <c r="Z38" s="364"/>
      <c r="AA38" s="306"/>
      <c r="AB38" s="306"/>
      <c r="AC38" s="306"/>
      <c r="AD38" s="306"/>
      <c r="AE38" s="359"/>
      <c r="AF38" s="306"/>
      <c r="AG38" s="306"/>
      <c r="AH38" s="306"/>
      <c r="AI38" s="306"/>
      <c r="AJ38" s="306"/>
      <c r="AK38" s="306"/>
      <c r="AL38" s="306"/>
      <c r="AM38" s="306"/>
      <c r="AN38" s="306"/>
      <c r="AO38" s="365"/>
      <c r="AP38" s="365"/>
      <c r="AQ38" s="364"/>
      <c r="AR38" s="364"/>
      <c r="AS38" s="364"/>
      <c r="AT38" s="364"/>
      <c r="AU38" s="364"/>
      <c r="AV38" s="364"/>
      <c r="AW38" s="364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06"/>
      <c r="BI38" s="306"/>
      <c r="BJ38" s="408"/>
      <c r="BK38" s="364"/>
      <c r="BL38" s="364"/>
      <c r="BM38" s="364"/>
      <c r="BN38" s="408"/>
      <c r="BO38" s="364"/>
      <c r="BP38" s="408"/>
      <c r="BQ38" s="364"/>
      <c r="BR38" s="408"/>
      <c r="BS38" s="364"/>
      <c r="BT38" s="707"/>
    </row>
    <row r="39" spans="1:72" s="2" customFormat="1" ht="24.9" customHeight="1">
      <c r="A39" s="401"/>
      <c r="B39" s="356"/>
      <c r="C39" s="369"/>
      <c r="D39" s="356"/>
      <c r="E39" s="357"/>
      <c r="F39" s="358"/>
      <c r="G39" s="358"/>
      <c r="H39" s="358"/>
      <c r="I39" s="358"/>
      <c r="J39" s="358"/>
      <c r="K39" s="358"/>
      <c r="L39" s="306"/>
      <c r="M39" s="306"/>
      <c r="N39" s="306"/>
      <c r="O39" s="317"/>
      <c r="P39" s="317"/>
      <c r="Q39" s="317"/>
      <c r="R39" s="307"/>
      <c r="S39" s="307"/>
      <c r="T39" s="307"/>
      <c r="U39" s="307"/>
      <c r="V39" s="307"/>
      <c r="W39" s="307"/>
      <c r="X39" s="307"/>
      <c r="Y39" s="364"/>
      <c r="Z39" s="364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65"/>
      <c r="AP39" s="365"/>
      <c r="AQ39" s="364"/>
      <c r="AR39" s="364"/>
      <c r="AS39" s="364"/>
      <c r="AT39" s="364"/>
      <c r="AU39" s="364"/>
      <c r="AV39" s="364"/>
      <c r="AW39" s="364"/>
      <c r="AX39" s="306"/>
      <c r="AY39" s="306"/>
      <c r="AZ39" s="306"/>
      <c r="BA39" s="306"/>
      <c r="BB39" s="306"/>
      <c r="BC39" s="306"/>
      <c r="BD39" s="306"/>
      <c r="BE39" s="306"/>
      <c r="BF39" s="306"/>
      <c r="BG39" s="306"/>
      <c r="BH39" s="306"/>
      <c r="BI39" s="306"/>
      <c r="BJ39" s="408"/>
      <c r="BK39" s="364"/>
      <c r="BL39" s="364"/>
      <c r="BM39" s="364"/>
      <c r="BN39" s="408"/>
      <c r="BO39" s="364"/>
      <c r="BP39" s="408"/>
      <c r="BQ39" s="364"/>
      <c r="BR39" s="408"/>
      <c r="BS39" s="364"/>
      <c r="BT39" s="706"/>
    </row>
    <row r="40" spans="1:72" s="2" customFormat="1" ht="24.9" customHeight="1">
      <c r="A40" s="401"/>
      <c r="B40" s="356"/>
      <c r="C40" s="369"/>
      <c r="D40" s="356"/>
      <c r="E40" s="357"/>
      <c r="F40" s="358"/>
      <c r="G40" s="358"/>
      <c r="H40" s="358"/>
      <c r="I40" s="358"/>
      <c r="J40" s="358"/>
      <c r="K40" s="358"/>
      <c r="L40" s="306"/>
      <c r="M40" s="306"/>
      <c r="N40" s="306"/>
      <c r="O40" s="317"/>
      <c r="P40" s="317"/>
      <c r="Q40" s="317"/>
      <c r="R40" s="307"/>
      <c r="S40" s="307"/>
      <c r="T40" s="307"/>
      <c r="U40" s="307"/>
      <c r="V40" s="307"/>
      <c r="W40" s="307"/>
      <c r="X40" s="307"/>
      <c r="Y40" s="364"/>
      <c r="Z40" s="364"/>
      <c r="AA40" s="306"/>
      <c r="AB40" s="306"/>
      <c r="AC40" s="306"/>
      <c r="AD40" s="306"/>
      <c r="AE40" s="306"/>
      <c r="AF40" s="306"/>
      <c r="AG40" s="306"/>
      <c r="AH40" s="306"/>
      <c r="AI40" s="306"/>
      <c r="AJ40" s="306"/>
      <c r="AK40" s="306"/>
      <c r="AL40" s="306"/>
      <c r="AM40" s="306"/>
      <c r="AN40" s="306"/>
      <c r="AO40" s="365"/>
      <c r="AP40" s="365"/>
      <c r="AQ40" s="364"/>
      <c r="AR40" s="364"/>
      <c r="AS40" s="364"/>
      <c r="AT40" s="364"/>
      <c r="AU40" s="364"/>
      <c r="AV40" s="364"/>
      <c r="AW40" s="364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06"/>
      <c r="BI40" s="306"/>
      <c r="BJ40" s="408"/>
      <c r="BK40" s="364"/>
      <c r="BL40" s="364"/>
      <c r="BM40" s="364"/>
      <c r="BN40" s="408"/>
      <c r="BO40" s="364"/>
      <c r="BP40" s="408"/>
      <c r="BQ40" s="364"/>
      <c r="BR40" s="408"/>
      <c r="BS40" s="364"/>
      <c r="BT40" s="708"/>
    </row>
    <row r="41" spans="1:72" s="2" customFormat="1" ht="24.9" customHeight="1">
      <c r="A41" s="401"/>
      <c r="B41" s="356"/>
      <c r="C41" s="369"/>
      <c r="D41" s="356"/>
      <c r="E41" s="357"/>
      <c r="F41" s="358"/>
      <c r="G41" s="358"/>
      <c r="H41" s="358"/>
      <c r="I41" s="358"/>
      <c r="J41" s="358"/>
      <c r="K41" s="358"/>
      <c r="L41" s="306"/>
      <c r="M41" s="306"/>
      <c r="N41" s="306"/>
      <c r="O41" s="306"/>
      <c r="P41" s="306"/>
      <c r="Q41" s="306"/>
      <c r="R41" s="307"/>
      <c r="S41" s="307"/>
      <c r="T41" s="307"/>
      <c r="U41" s="307"/>
      <c r="V41" s="307"/>
      <c r="W41" s="307"/>
      <c r="X41" s="307"/>
      <c r="Y41" s="364"/>
      <c r="Z41" s="364"/>
      <c r="AA41" s="306"/>
      <c r="AB41" s="306"/>
      <c r="AC41" s="306"/>
      <c r="AD41" s="306"/>
      <c r="AE41" s="306"/>
      <c r="AF41" s="306"/>
      <c r="AG41" s="306"/>
      <c r="AH41" s="306"/>
      <c r="AI41" s="306"/>
      <c r="AJ41" s="306"/>
      <c r="AK41" s="306"/>
      <c r="AL41" s="306"/>
      <c r="AM41" s="306"/>
      <c r="AN41" s="306"/>
      <c r="AO41" s="365"/>
      <c r="AP41" s="365"/>
      <c r="AQ41" s="364"/>
      <c r="AR41" s="364"/>
      <c r="AS41" s="364"/>
      <c r="AT41" s="364"/>
      <c r="AU41" s="364"/>
      <c r="AV41" s="364"/>
      <c r="AW41" s="364"/>
      <c r="AX41" s="306"/>
      <c r="AY41" s="306"/>
      <c r="AZ41" s="306"/>
      <c r="BA41" s="306"/>
      <c r="BB41" s="306"/>
      <c r="BC41" s="306"/>
      <c r="BD41" s="306"/>
      <c r="BE41" s="306"/>
      <c r="BF41" s="306"/>
      <c r="BG41" s="306"/>
      <c r="BH41" s="306"/>
      <c r="BI41" s="306"/>
      <c r="BJ41" s="408"/>
      <c r="BK41" s="364"/>
      <c r="BL41" s="364"/>
      <c r="BM41" s="364"/>
      <c r="BN41" s="408"/>
      <c r="BO41" s="364"/>
      <c r="BP41" s="408"/>
      <c r="BQ41" s="364"/>
      <c r="BR41" s="408"/>
      <c r="BS41" s="364"/>
      <c r="BT41" s="707"/>
    </row>
    <row r="42" spans="1:72" s="2" customFormat="1" ht="24.9" customHeight="1">
      <c r="A42" s="401"/>
      <c r="B42" s="356"/>
      <c r="C42" s="369"/>
      <c r="D42" s="356"/>
      <c r="E42" s="357"/>
      <c r="F42" s="358"/>
      <c r="G42" s="358"/>
      <c r="H42" s="358"/>
      <c r="I42" s="358"/>
      <c r="J42" s="358"/>
      <c r="K42" s="358"/>
      <c r="L42" s="306"/>
      <c r="M42" s="306"/>
      <c r="N42" s="306"/>
      <c r="O42" s="317"/>
      <c r="P42" s="317"/>
      <c r="Q42" s="317"/>
      <c r="R42" s="307"/>
      <c r="S42" s="307"/>
      <c r="T42" s="307"/>
      <c r="U42" s="307"/>
      <c r="V42" s="307"/>
      <c r="W42" s="307"/>
      <c r="X42" s="307"/>
      <c r="Y42" s="364"/>
      <c r="Z42" s="364"/>
      <c r="AA42" s="306"/>
      <c r="AB42" s="306"/>
      <c r="AC42" s="306"/>
      <c r="AD42" s="306"/>
      <c r="AE42" s="306"/>
      <c r="AF42" s="306"/>
      <c r="AG42" s="306"/>
      <c r="AH42" s="306"/>
      <c r="AI42" s="306"/>
      <c r="AJ42" s="306"/>
      <c r="AK42" s="306"/>
      <c r="AL42" s="306"/>
      <c r="AM42" s="306"/>
      <c r="AN42" s="306"/>
      <c r="AO42" s="365"/>
      <c r="AP42" s="365"/>
      <c r="AQ42" s="364"/>
      <c r="AR42" s="364"/>
      <c r="AS42" s="364"/>
      <c r="AT42" s="364"/>
      <c r="AU42" s="364"/>
      <c r="AV42" s="364"/>
      <c r="AW42" s="364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06"/>
      <c r="BI42" s="306"/>
      <c r="BJ42" s="408"/>
      <c r="BK42" s="364"/>
      <c r="BL42" s="364"/>
      <c r="BM42" s="364"/>
      <c r="BN42" s="408"/>
      <c r="BO42" s="364"/>
      <c r="BP42" s="408"/>
      <c r="BQ42" s="364"/>
      <c r="BR42" s="408"/>
      <c r="BS42" s="364"/>
      <c r="BT42" s="706"/>
    </row>
    <row r="43" spans="1:72" s="2" customFormat="1" ht="24.9" customHeight="1">
      <c r="A43" s="401"/>
      <c r="B43" s="356"/>
      <c r="C43" s="369"/>
      <c r="D43" s="356"/>
      <c r="E43" s="357"/>
      <c r="F43" s="358"/>
      <c r="G43" s="358"/>
      <c r="H43" s="358"/>
      <c r="I43" s="358"/>
      <c r="J43" s="358"/>
      <c r="K43" s="358"/>
      <c r="L43" s="306"/>
      <c r="M43" s="306"/>
      <c r="N43" s="306"/>
      <c r="O43" s="317"/>
      <c r="P43" s="317"/>
      <c r="Q43" s="317"/>
      <c r="R43" s="307"/>
      <c r="S43" s="307"/>
      <c r="T43" s="307"/>
      <c r="U43" s="307"/>
      <c r="V43" s="307"/>
      <c r="W43" s="307"/>
      <c r="X43" s="307"/>
      <c r="Y43" s="364"/>
      <c r="Z43" s="364"/>
      <c r="AA43" s="306"/>
      <c r="AB43" s="306"/>
      <c r="AC43" s="306"/>
      <c r="AD43" s="306"/>
      <c r="AE43" s="306"/>
      <c r="AF43" s="306"/>
      <c r="AG43" s="306"/>
      <c r="AH43" s="306"/>
      <c r="AI43" s="306"/>
      <c r="AJ43" s="306"/>
      <c r="AK43" s="306"/>
      <c r="AL43" s="306"/>
      <c r="AM43" s="306"/>
      <c r="AN43" s="306"/>
      <c r="AO43" s="365"/>
      <c r="AP43" s="365"/>
      <c r="AQ43" s="364"/>
      <c r="AR43" s="364"/>
      <c r="AS43" s="364"/>
      <c r="AT43" s="364"/>
      <c r="AU43" s="364"/>
      <c r="AV43" s="364"/>
      <c r="AW43" s="364"/>
      <c r="AX43" s="306"/>
      <c r="AY43" s="306"/>
      <c r="AZ43" s="306"/>
      <c r="BA43" s="306"/>
      <c r="BB43" s="306"/>
      <c r="BC43" s="306"/>
      <c r="BD43" s="306"/>
      <c r="BE43" s="306"/>
      <c r="BF43" s="306"/>
      <c r="BG43" s="306"/>
      <c r="BH43" s="306"/>
      <c r="BI43" s="306"/>
      <c r="BJ43" s="408"/>
      <c r="BK43" s="364"/>
      <c r="BL43" s="364"/>
      <c r="BM43" s="364"/>
      <c r="BN43" s="408"/>
      <c r="BO43" s="364"/>
      <c r="BP43" s="408"/>
      <c r="BQ43" s="364"/>
      <c r="BR43" s="408"/>
      <c r="BS43" s="364"/>
      <c r="BT43" s="708"/>
    </row>
    <row r="44" spans="1:72" s="2" customFormat="1" ht="24.9" customHeight="1">
      <c r="A44" s="401"/>
      <c r="B44" s="356"/>
      <c r="C44" s="369"/>
      <c r="D44" s="356"/>
      <c r="E44" s="357"/>
      <c r="F44" s="358"/>
      <c r="G44" s="358"/>
      <c r="H44" s="358"/>
      <c r="I44" s="358"/>
      <c r="J44" s="358"/>
      <c r="K44" s="358"/>
      <c r="L44" s="306"/>
      <c r="M44" s="306"/>
      <c r="N44" s="306"/>
      <c r="O44" s="306"/>
      <c r="P44" s="306"/>
      <c r="Q44" s="306"/>
      <c r="R44" s="307"/>
      <c r="S44" s="307"/>
      <c r="T44" s="307"/>
      <c r="U44" s="307"/>
      <c r="V44" s="307"/>
      <c r="W44" s="307"/>
      <c r="X44" s="307"/>
      <c r="Y44" s="364"/>
      <c r="Z44" s="364"/>
      <c r="AA44" s="306"/>
      <c r="AB44" s="306"/>
      <c r="AC44" s="306"/>
      <c r="AD44" s="306"/>
      <c r="AE44" s="306"/>
      <c r="AF44" s="306"/>
      <c r="AG44" s="306"/>
      <c r="AH44" s="306"/>
      <c r="AI44" s="306"/>
      <c r="AJ44" s="306"/>
      <c r="AK44" s="306"/>
      <c r="AL44" s="306"/>
      <c r="AM44" s="306"/>
      <c r="AN44" s="306"/>
      <c r="AO44" s="365"/>
      <c r="AP44" s="365"/>
      <c r="AQ44" s="364"/>
      <c r="AR44" s="364"/>
      <c r="AS44" s="364"/>
      <c r="AT44" s="364"/>
      <c r="AU44" s="364"/>
      <c r="AV44" s="364"/>
      <c r="AW44" s="364"/>
      <c r="AX44" s="306"/>
      <c r="AY44" s="306"/>
      <c r="AZ44" s="306"/>
      <c r="BA44" s="306"/>
      <c r="BB44" s="306"/>
      <c r="BC44" s="306"/>
      <c r="BD44" s="306"/>
      <c r="BE44" s="306"/>
      <c r="BF44" s="306"/>
      <c r="BG44" s="306"/>
      <c r="BH44" s="306"/>
      <c r="BI44" s="306"/>
      <c r="BJ44" s="408"/>
      <c r="BK44" s="364"/>
      <c r="BL44" s="364"/>
      <c r="BM44" s="364"/>
      <c r="BN44" s="408"/>
      <c r="BO44" s="364"/>
      <c r="BP44" s="408"/>
      <c r="BQ44" s="364"/>
      <c r="BR44" s="408"/>
      <c r="BS44" s="364"/>
      <c r="BT44" s="708"/>
    </row>
    <row r="45" spans="1:72" s="2" customFormat="1" ht="24.9" customHeight="1">
      <c r="A45" s="401"/>
      <c r="B45" s="356"/>
      <c r="C45" s="369"/>
      <c r="D45" s="356"/>
      <c r="E45" s="357"/>
      <c r="F45" s="358"/>
      <c r="G45" s="358"/>
      <c r="H45" s="358"/>
      <c r="I45" s="358"/>
      <c r="J45" s="358"/>
      <c r="K45" s="358"/>
      <c r="L45" s="306"/>
      <c r="M45" s="306"/>
      <c r="N45" s="306"/>
      <c r="O45" s="306"/>
      <c r="P45" s="306"/>
      <c r="Q45" s="306"/>
      <c r="R45" s="307"/>
      <c r="S45" s="307"/>
      <c r="T45" s="307"/>
      <c r="U45" s="307"/>
      <c r="V45" s="307"/>
      <c r="W45" s="307"/>
      <c r="X45" s="307"/>
      <c r="Y45" s="364"/>
      <c r="Z45" s="364"/>
      <c r="AA45" s="306"/>
      <c r="AB45" s="306"/>
      <c r="AC45" s="306"/>
      <c r="AD45" s="306"/>
      <c r="AE45" s="306"/>
      <c r="AF45" s="306"/>
      <c r="AG45" s="306"/>
      <c r="AH45" s="306"/>
      <c r="AI45" s="306"/>
      <c r="AJ45" s="306"/>
      <c r="AK45" s="306"/>
      <c r="AL45" s="306"/>
      <c r="AM45" s="306"/>
      <c r="AN45" s="306"/>
      <c r="AO45" s="365"/>
      <c r="AP45" s="365"/>
      <c r="AQ45" s="364"/>
      <c r="AR45" s="364"/>
      <c r="AS45" s="364"/>
      <c r="AT45" s="364"/>
      <c r="AU45" s="364"/>
      <c r="AV45" s="364"/>
      <c r="AW45" s="364"/>
      <c r="AX45" s="306"/>
      <c r="AY45" s="306"/>
      <c r="AZ45" s="306"/>
      <c r="BA45" s="306"/>
      <c r="BB45" s="306"/>
      <c r="BC45" s="306"/>
      <c r="BD45" s="306"/>
      <c r="BE45" s="306"/>
      <c r="BF45" s="306"/>
      <c r="BG45" s="306"/>
      <c r="BH45" s="306"/>
      <c r="BI45" s="306"/>
      <c r="BJ45" s="408"/>
      <c r="BK45" s="364"/>
      <c r="BL45" s="364"/>
      <c r="BM45" s="364"/>
      <c r="BN45" s="408"/>
      <c r="BO45" s="364"/>
      <c r="BP45" s="408"/>
      <c r="BQ45" s="364"/>
      <c r="BR45" s="408"/>
      <c r="BS45" s="364"/>
      <c r="BT45" s="707"/>
    </row>
    <row r="46" spans="1:72" s="2" customFormat="1" ht="24.9" customHeight="1">
      <c r="A46" s="401"/>
      <c r="B46" s="356"/>
      <c r="C46" s="369"/>
      <c r="D46" s="356"/>
      <c r="E46" s="357"/>
      <c r="F46" s="358"/>
      <c r="G46" s="358"/>
      <c r="H46" s="358"/>
      <c r="I46" s="358"/>
      <c r="J46" s="358"/>
      <c r="K46" s="358"/>
      <c r="L46" s="306"/>
      <c r="M46" s="306"/>
      <c r="N46" s="306"/>
      <c r="O46" s="317"/>
      <c r="P46" s="317"/>
      <c r="Q46" s="317"/>
      <c r="R46" s="307"/>
      <c r="S46" s="307"/>
      <c r="T46" s="307"/>
      <c r="U46" s="307"/>
      <c r="V46" s="307"/>
      <c r="W46" s="307"/>
      <c r="X46" s="307"/>
      <c r="Y46" s="364"/>
      <c r="Z46" s="364"/>
      <c r="AA46" s="306"/>
      <c r="AB46" s="306"/>
      <c r="AC46" s="306"/>
      <c r="AD46" s="306"/>
      <c r="AE46" s="306"/>
      <c r="AF46" s="306"/>
      <c r="AG46" s="306"/>
      <c r="AH46" s="306"/>
      <c r="AI46" s="306"/>
      <c r="AJ46" s="306"/>
      <c r="AK46" s="306"/>
      <c r="AL46" s="306"/>
      <c r="AM46" s="306"/>
      <c r="AN46" s="306"/>
      <c r="AO46" s="365"/>
      <c r="AP46" s="365"/>
      <c r="AQ46" s="364"/>
      <c r="AR46" s="364"/>
      <c r="AS46" s="364"/>
      <c r="AT46" s="364"/>
      <c r="AU46" s="364"/>
      <c r="AV46" s="364"/>
      <c r="AW46" s="364"/>
      <c r="AX46" s="306"/>
      <c r="AY46" s="306"/>
      <c r="AZ46" s="306"/>
      <c r="BA46" s="306"/>
      <c r="BB46" s="306"/>
      <c r="BC46" s="306"/>
      <c r="BD46" s="306"/>
      <c r="BE46" s="306"/>
      <c r="BF46" s="306"/>
      <c r="BG46" s="306"/>
      <c r="BH46" s="306"/>
      <c r="BI46" s="306"/>
      <c r="BJ46" s="408"/>
      <c r="BK46" s="364"/>
      <c r="BL46" s="364"/>
      <c r="BM46" s="364"/>
      <c r="BN46" s="408"/>
      <c r="BO46" s="364"/>
      <c r="BP46" s="408"/>
      <c r="BQ46" s="364"/>
      <c r="BR46" s="408"/>
      <c r="BS46" s="364"/>
      <c r="BT46" s="706"/>
    </row>
    <row r="47" spans="1:72" s="2" customFormat="1" ht="24.9" customHeight="1">
      <c r="A47" s="401"/>
      <c r="B47" s="356"/>
      <c r="C47" s="369"/>
      <c r="D47" s="356"/>
      <c r="E47" s="357"/>
      <c r="F47" s="358"/>
      <c r="G47" s="358"/>
      <c r="H47" s="358"/>
      <c r="I47" s="358"/>
      <c r="J47" s="358"/>
      <c r="K47" s="358"/>
      <c r="L47" s="306"/>
      <c r="M47" s="306"/>
      <c r="N47" s="306"/>
      <c r="O47" s="317"/>
      <c r="P47" s="317"/>
      <c r="Q47" s="317"/>
      <c r="R47" s="307"/>
      <c r="S47" s="307"/>
      <c r="T47" s="307"/>
      <c r="U47" s="307"/>
      <c r="V47" s="307"/>
      <c r="W47" s="307"/>
      <c r="X47" s="307"/>
      <c r="Y47" s="364"/>
      <c r="Z47" s="364"/>
      <c r="AA47" s="306"/>
      <c r="AB47" s="306"/>
      <c r="AC47" s="306"/>
      <c r="AD47" s="306"/>
      <c r="AE47" s="306"/>
      <c r="AF47" s="306"/>
      <c r="AG47" s="306"/>
      <c r="AH47" s="306"/>
      <c r="AI47" s="306"/>
      <c r="AJ47" s="306"/>
      <c r="AK47" s="306"/>
      <c r="AL47" s="306"/>
      <c r="AM47" s="306"/>
      <c r="AN47" s="306"/>
      <c r="AO47" s="365"/>
      <c r="AP47" s="365"/>
      <c r="AQ47" s="364"/>
      <c r="AR47" s="364"/>
      <c r="AS47" s="364"/>
      <c r="AT47" s="364"/>
      <c r="AU47" s="364"/>
      <c r="AV47" s="364"/>
      <c r="AW47" s="364"/>
      <c r="AX47" s="306"/>
      <c r="AY47" s="306"/>
      <c r="AZ47" s="306"/>
      <c r="BA47" s="306"/>
      <c r="BB47" s="306"/>
      <c r="BC47" s="306"/>
      <c r="BD47" s="306"/>
      <c r="BE47" s="306"/>
      <c r="BF47" s="306"/>
      <c r="BG47" s="306"/>
      <c r="BH47" s="306"/>
      <c r="BI47" s="306"/>
      <c r="BJ47" s="408"/>
      <c r="BK47" s="364"/>
      <c r="BL47" s="364"/>
      <c r="BM47" s="364"/>
      <c r="BN47" s="408"/>
      <c r="BO47" s="364"/>
      <c r="BP47" s="408"/>
      <c r="BQ47" s="364"/>
      <c r="BR47" s="408"/>
      <c r="BS47" s="364"/>
      <c r="BT47" s="707"/>
    </row>
    <row r="48" spans="1:72" s="2" customFormat="1" ht="24.9" customHeight="1">
      <c r="A48" s="401"/>
      <c r="B48" s="356"/>
      <c r="C48" s="369"/>
      <c r="D48" s="356"/>
      <c r="E48" s="357"/>
      <c r="F48" s="358"/>
      <c r="G48" s="358"/>
      <c r="H48" s="358"/>
      <c r="I48" s="358"/>
      <c r="J48" s="358"/>
      <c r="K48" s="358"/>
      <c r="L48" s="306"/>
      <c r="M48" s="306"/>
      <c r="N48" s="306"/>
      <c r="O48" s="317"/>
      <c r="P48" s="317"/>
      <c r="Q48" s="317"/>
      <c r="R48" s="307"/>
      <c r="S48" s="307"/>
      <c r="T48" s="307"/>
      <c r="U48" s="307"/>
      <c r="V48" s="307"/>
      <c r="W48" s="307"/>
      <c r="X48" s="307"/>
      <c r="Y48" s="364"/>
      <c r="Z48" s="364"/>
      <c r="AA48" s="306"/>
      <c r="AB48" s="306"/>
      <c r="AC48" s="306"/>
      <c r="AD48" s="306"/>
      <c r="AE48" s="359"/>
      <c r="AF48" s="306"/>
      <c r="AG48" s="306"/>
      <c r="AH48" s="306"/>
      <c r="AI48" s="306"/>
      <c r="AJ48" s="306"/>
      <c r="AK48" s="306"/>
      <c r="AL48" s="306"/>
      <c r="AM48" s="306"/>
      <c r="AN48" s="306"/>
      <c r="AO48" s="365"/>
      <c r="AP48" s="365"/>
      <c r="AQ48" s="364"/>
      <c r="AR48" s="364"/>
      <c r="AS48" s="364"/>
      <c r="AT48" s="364"/>
      <c r="AU48" s="364"/>
      <c r="AV48" s="364"/>
      <c r="AW48" s="364"/>
      <c r="AX48" s="306"/>
      <c r="AY48" s="306"/>
      <c r="AZ48" s="306"/>
      <c r="BA48" s="306"/>
      <c r="BB48" s="306"/>
      <c r="BC48" s="306"/>
      <c r="BD48" s="306"/>
      <c r="BE48" s="306"/>
      <c r="BF48" s="306"/>
      <c r="BG48" s="306"/>
      <c r="BH48" s="306"/>
      <c r="BI48" s="306"/>
      <c r="BJ48" s="408"/>
      <c r="BK48" s="364"/>
      <c r="BL48" s="364"/>
      <c r="BM48" s="364"/>
      <c r="BN48" s="408"/>
      <c r="BO48" s="364"/>
      <c r="BP48" s="408"/>
      <c r="BQ48" s="364"/>
      <c r="BR48" s="408"/>
      <c r="BS48" s="364"/>
      <c r="BT48" s="706"/>
    </row>
    <row r="49" spans="1:72" s="2" customFormat="1" ht="24.9" customHeight="1">
      <c r="A49" s="401"/>
      <c r="B49" s="356"/>
      <c r="C49" s="369"/>
      <c r="D49" s="356"/>
      <c r="E49" s="357"/>
      <c r="F49" s="358"/>
      <c r="G49" s="358"/>
      <c r="H49" s="358"/>
      <c r="I49" s="358"/>
      <c r="J49" s="358"/>
      <c r="K49" s="358"/>
      <c r="L49" s="306"/>
      <c r="M49" s="306"/>
      <c r="N49" s="306"/>
      <c r="O49" s="317"/>
      <c r="P49" s="317"/>
      <c r="Q49" s="317"/>
      <c r="R49" s="307"/>
      <c r="S49" s="307"/>
      <c r="T49" s="307"/>
      <c r="U49" s="307"/>
      <c r="V49" s="307"/>
      <c r="W49" s="307"/>
      <c r="X49" s="307"/>
      <c r="Y49" s="364"/>
      <c r="Z49" s="364"/>
      <c r="AA49" s="306"/>
      <c r="AB49" s="306"/>
      <c r="AC49" s="306"/>
      <c r="AD49" s="306"/>
      <c r="AE49" s="306"/>
      <c r="AF49" s="306"/>
      <c r="AG49" s="306"/>
      <c r="AH49" s="306"/>
      <c r="AI49" s="306"/>
      <c r="AJ49" s="306"/>
      <c r="AK49" s="306"/>
      <c r="AL49" s="306"/>
      <c r="AM49" s="306"/>
      <c r="AN49" s="306"/>
      <c r="AO49" s="365"/>
      <c r="AP49" s="365"/>
      <c r="AQ49" s="364"/>
      <c r="AR49" s="364"/>
      <c r="AS49" s="364"/>
      <c r="AT49" s="364"/>
      <c r="AU49" s="364"/>
      <c r="AV49" s="364"/>
      <c r="AW49" s="364"/>
      <c r="AX49" s="306"/>
      <c r="AY49" s="306"/>
      <c r="AZ49" s="306"/>
      <c r="BA49" s="306"/>
      <c r="BB49" s="306"/>
      <c r="BC49" s="306"/>
      <c r="BD49" s="306"/>
      <c r="BE49" s="306"/>
      <c r="BF49" s="306"/>
      <c r="BG49" s="306"/>
      <c r="BH49" s="306"/>
      <c r="BI49" s="306"/>
      <c r="BJ49" s="408"/>
      <c r="BK49" s="364"/>
      <c r="BL49" s="364"/>
      <c r="BM49" s="364"/>
      <c r="BN49" s="408"/>
      <c r="BO49" s="364"/>
      <c r="BP49" s="408"/>
      <c r="BQ49" s="364"/>
      <c r="BR49" s="408"/>
      <c r="BS49" s="364"/>
      <c r="BT49" s="707"/>
    </row>
    <row r="50" spans="1:72" s="2" customFormat="1" ht="24.9" customHeight="1">
      <c r="A50" s="401"/>
      <c r="B50" s="356"/>
      <c r="C50" s="369"/>
      <c r="D50" s="356"/>
      <c r="E50" s="357"/>
      <c r="F50" s="358"/>
      <c r="G50" s="358"/>
      <c r="H50" s="358"/>
      <c r="I50" s="358"/>
      <c r="J50" s="358"/>
      <c r="K50" s="358"/>
      <c r="L50" s="306"/>
      <c r="M50" s="306"/>
      <c r="N50" s="359"/>
      <c r="O50" s="317"/>
      <c r="P50" s="317"/>
      <c r="Q50" s="317"/>
      <c r="R50" s="307"/>
      <c r="S50" s="307"/>
      <c r="T50" s="307"/>
      <c r="U50" s="307"/>
      <c r="V50" s="307"/>
      <c r="W50" s="307"/>
      <c r="X50" s="307"/>
      <c r="Y50" s="364"/>
      <c r="Z50" s="364"/>
      <c r="AA50" s="306"/>
      <c r="AB50" s="306"/>
      <c r="AC50" s="306"/>
      <c r="AD50" s="306"/>
      <c r="AE50" s="306"/>
      <c r="AF50" s="306"/>
      <c r="AG50" s="306"/>
      <c r="AH50" s="306"/>
      <c r="AI50" s="306"/>
      <c r="AJ50" s="306"/>
      <c r="AK50" s="306"/>
      <c r="AL50" s="306"/>
      <c r="AM50" s="306"/>
      <c r="AN50" s="306"/>
      <c r="AO50" s="365"/>
      <c r="AP50" s="365"/>
      <c r="AQ50" s="364"/>
      <c r="AR50" s="364"/>
      <c r="AS50" s="364"/>
      <c r="AT50" s="364"/>
      <c r="AU50" s="364"/>
      <c r="AV50" s="364"/>
      <c r="AW50" s="364"/>
      <c r="AX50" s="306"/>
      <c r="AY50" s="306"/>
      <c r="AZ50" s="306"/>
      <c r="BA50" s="306"/>
      <c r="BB50" s="306"/>
      <c r="BC50" s="306"/>
      <c r="BD50" s="306"/>
      <c r="BE50" s="306"/>
      <c r="BF50" s="306"/>
      <c r="BG50" s="306"/>
      <c r="BH50" s="306"/>
      <c r="BI50" s="306"/>
      <c r="BJ50" s="408"/>
      <c r="BK50" s="364"/>
      <c r="BL50" s="364"/>
      <c r="BM50" s="364"/>
      <c r="BN50" s="408"/>
      <c r="BO50" s="364"/>
      <c r="BP50" s="408"/>
      <c r="BQ50" s="364"/>
      <c r="BR50" s="408"/>
      <c r="BS50" s="364"/>
      <c r="BT50" s="706"/>
    </row>
    <row r="51" spans="1:72" s="2" customFormat="1" ht="24.9" customHeight="1">
      <c r="A51" s="401"/>
      <c r="B51" s="356"/>
      <c r="C51" s="369"/>
      <c r="D51" s="356"/>
      <c r="E51" s="357"/>
      <c r="F51" s="358"/>
      <c r="G51" s="358"/>
      <c r="H51" s="358"/>
      <c r="I51" s="358"/>
      <c r="J51" s="358"/>
      <c r="K51" s="358"/>
      <c r="L51" s="306"/>
      <c r="M51" s="306"/>
      <c r="N51" s="306"/>
      <c r="O51" s="317"/>
      <c r="P51" s="317"/>
      <c r="Q51" s="317"/>
      <c r="R51" s="307"/>
      <c r="S51" s="307"/>
      <c r="T51" s="307"/>
      <c r="U51" s="307"/>
      <c r="V51" s="307"/>
      <c r="W51" s="307"/>
      <c r="X51" s="307"/>
      <c r="Y51" s="364"/>
      <c r="Z51" s="364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65"/>
      <c r="AP51" s="365"/>
      <c r="AQ51" s="364"/>
      <c r="AR51" s="364"/>
      <c r="AS51" s="364"/>
      <c r="AT51" s="364"/>
      <c r="AU51" s="364"/>
      <c r="AV51" s="364"/>
      <c r="AW51" s="364"/>
      <c r="AX51" s="306"/>
      <c r="AY51" s="306"/>
      <c r="AZ51" s="306"/>
      <c r="BA51" s="306"/>
      <c r="BB51" s="306"/>
      <c r="BC51" s="306"/>
      <c r="BD51" s="306"/>
      <c r="BE51" s="306"/>
      <c r="BF51" s="306"/>
      <c r="BG51" s="306"/>
      <c r="BH51" s="306"/>
      <c r="BI51" s="306"/>
      <c r="BJ51" s="408"/>
      <c r="BK51" s="364"/>
      <c r="BL51" s="364"/>
      <c r="BM51" s="364"/>
      <c r="BN51" s="408"/>
      <c r="BO51" s="364"/>
      <c r="BP51" s="408"/>
      <c r="BQ51" s="364"/>
      <c r="BR51" s="408"/>
      <c r="BS51" s="364"/>
      <c r="BT51" s="708"/>
    </row>
    <row r="52" spans="1:72" s="2" customFormat="1" ht="24.9" customHeight="1">
      <c r="A52" s="401"/>
      <c r="B52" s="356"/>
      <c r="C52" s="369"/>
      <c r="D52" s="356"/>
      <c r="E52" s="357"/>
      <c r="F52" s="358"/>
      <c r="G52" s="358"/>
      <c r="H52" s="358"/>
      <c r="I52" s="358"/>
      <c r="J52" s="358"/>
      <c r="K52" s="358"/>
      <c r="L52" s="306"/>
      <c r="M52" s="306"/>
      <c r="N52" s="306"/>
      <c r="O52" s="306"/>
      <c r="P52" s="306"/>
      <c r="Q52" s="306"/>
      <c r="R52" s="307"/>
      <c r="S52" s="307"/>
      <c r="T52" s="307"/>
      <c r="U52" s="307"/>
      <c r="V52" s="307"/>
      <c r="W52" s="307"/>
      <c r="X52" s="307"/>
      <c r="Y52" s="364"/>
      <c r="Z52" s="364"/>
      <c r="AA52" s="306"/>
      <c r="AB52" s="306"/>
      <c r="AC52" s="306"/>
      <c r="AD52" s="306"/>
      <c r="AE52" s="306"/>
      <c r="AF52" s="306"/>
      <c r="AG52" s="306"/>
      <c r="AH52" s="306"/>
      <c r="AI52" s="306"/>
      <c r="AJ52" s="306"/>
      <c r="AK52" s="306"/>
      <c r="AL52" s="306"/>
      <c r="AM52" s="306"/>
      <c r="AN52" s="306"/>
      <c r="AO52" s="365"/>
      <c r="AP52" s="365"/>
      <c r="AQ52" s="364"/>
      <c r="AR52" s="364"/>
      <c r="AS52" s="364"/>
      <c r="AT52" s="364"/>
      <c r="AU52" s="364"/>
      <c r="AV52" s="364"/>
      <c r="AW52" s="364"/>
      <c r="AX52" s="306"/>
      <c r="AY52" s="306"/>
      <c r="AZ52" s="306"/>
      <c r="BA52" s="306"/>
      <c r="BB52" s="306"/>
      <c r="BC52" s="306"/>
      <c r="BD52" s="306"/>
      <c r="BE52" s="306"/>
      <c r="BF52" s="306"/>
      <c r="BG52" s="306"/>
      <c r="BH52" s="306"/>
      <c r="BI52" s="306"/>
      <c r="BJ52" s="408"/>
      <c r="BK52" s="364"/>
      <c r="BL52" s="364"/>
      <c r="BM52" s="364"/>
      <c r="BN52" s="408"/>
      <c r="BO52" s="364"/>
      <c r="BP52" s="408"/>
      <c r="BQ52" s="364"/>
      <c r="BR52" s="408"/>
      <c r="BS52" s="364"/>
      <c r="BT52" s="708"/>
    </row>
    <row r="53" spans="1:72" s="2" customFormat="1" ht="24.9" customHeight="1">
      <c r="A53" s="401"/>
      <c r="B53" s="356"/>
      <c r="C53" s="369"/>
      <c r="D53" s="356"/>
      <c r="E53" s="357"/>
      <c r="F53" s="358"/>
      <c r="G53" s="358"/>
      <c r="H53" s="358"/>
      <c r="I53" s="358"/>
      <c r="J53" s="358"/>
      <c r="K53" s="358"/>
      <c r="L53" s="306"/>
      <c r="M53" s="306"/>
      <c r="N53" s="306"/>
      <c r="O53" s="306"/>
      <c r="P53" s="306"/>
      <c r="Q53" s="306"/>
      <c r="R53" s="307"/>
      <c r="S53" s="307"/>
      <c r="T53" s="307"/>
      <c r="U53" s="307"/>
      <c r="V53" s="307"/>
      <c r="W53" s="307"/>
      <c r="X53" s="307"/>
      <c r="Y53" s="364"/>
      <c r="Z53" s="364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65"/>
      <c r="AP53" s="365"/>
      <c r="AQ53" s="364"/>
      <c r="AR53" s="364"/>
      <c r="AS53" s="364"/>
      <c r="AT53" s="364"/>
      <c r="AU53" s="364"/>
      <c r="AV53" s="364"/>
      <c r="AW53" s="364"/>
      <c r="AX53" s="306"/>
      <c r="AY53" s="306"/>
      <c r="AZ53" s="306"/>
      <c r="BA53" s="306"/>
      <c r="BB53" s="306"/>
      <c r="BC53" s="306"/>
      <c r="BD53" s="306"/>
      <c r="BE53" s="306"/>
      <c r="BF53" s="306"/>
      <c r="BG53" s="306"/>
      <c r="BH53" s="306"/>
      <c r="BI53" s="306"/>
      <c r="BJ53" s="408"/>
      <c r="BK53" s="364"/>
      <c r="BL53" s="364"/>
      <c r="BM53" s="364"/>
      <c r="BN53" s="408"/>
      <c r="BO53" s="364"/>
      <c r="BP53" s="408"/>
      <c r="BQ53" s="364"/>
      <c r="BR53" s="408"/>
      <c r="BS53" s="364"/>
      <c r="BT53" s="708"/>
    </row>
    <row r="54" spans="1:72" s="2" customFormat="1" ht="24.9" customHeight="1">
      <c r="A54" s="401"/>
      <c r="B54" s="356"/>
      <c r="C54" s="369"/>
      <c r="D54" s="356"/>
      <c r="E54" s="357"/>
      <c r="F54" s="358"/>
      <c r="G54" s="358"/>
      <c r="H54" s="358"/>
      <c r="I54" s="358"/>
      <c r="J54" s="358"/>
      <c r="K54" s="358"/>
      <c r="L54" s="306"/>
      <c r="M54" s="306"/>
      <c r="N54" s="306"/>
      <c r="O54" s="306"/>
      <c r="P54" s="306"/>
      <c r="Q54" s="306"/>
      <c r="R54" s="307"/>
      <c r="S54" s="307"/>
      <c r="T54" s="307"/>
      <c r="U54" s="307"/>
      <c r="V54" s="307"/>
      <c r="W54" s="307"/>
      <c r="X54" s="307"/>
      <c r="Y54" s="364"/>
      <c r="Z54" s="364"/>
      <c r="AA54" s="306"/>
      <c r="AB54" s="306"/>
      <c r="AC54" s="306"/>
      <c r="AD54" s="306"/>
      <c r="AE54" s="306"/>
      <c r="AF54" s="306"/>
      <c r="AG54" s="306"/>
      <c r="AH54" s="306"/>
      <c r="AI54" s="306"/>
      <c r="AJ54" s="306"/>
      <c r="AK54" s="306"/>
      <c r="AL54" s="306"/>
      <c r="AM54" s="306"/>
      <c r="AN54" s="306"/>
      <c r="AO54" s="365"/>
      <c r="AP54" s="365"/>
      <c r="AQ54" s="364"/>
      <c r="AR54" s="364"/>
      <c r="AS54" s="364"/>
      <c r="AT54" s="364"/>
      <c r="AU54" s="364"/>
      <c r="AV54" s="364"/>
      <c r="AW54" s="364"/>
      <c r="AX54" s="306"/>
      <c r="AY54" s="306"/>
      <c r="AZ54" s="306"/>
      <c r="BA54" s="306"/>
      <c r="BB54" s="306"/>
      <c r="BC54" s="306"/>
      <c r="BD54" s="306"/>
      <c r="BE54" s="306"/>
      <c r="BF54" s="306"/>
      <c r="BG54" s="306"/>
      <c r="BH54" s="306"/>
      <c r="BI54" s="306"/>
      <c r="BJ54" s="408"/>
      <c r="BK54" s="364"/>
      <c r="BL54" s="364"/>
      <c r="BM54" s="364"/>
      <c r="BN54" s="408"/>
      <c r="BO54" s="364"/>
      <c r="BP54" s="408"/>
      <c r="BQ54" s="364"/>
      <c r="BR54" s="408"/>
      <c r="BS54" s="364"/>
      <c r="BT54" s="707"/>
    </row>
    <row r="55" spans="1:72" s="2" customFormat="1" ht="24.9" customHeight="1">
      <c r="A55" s="401"/>
      <c r="B55" s="356"/>
      <c r="C55" s="369"/>
      <c r="D55" s="356"/>
      <c r="E55" s="357"/>
      <c r="F55" s="358"/>
      <c r="G55" s="358"/>
      <c r="H55" s="358"/>
      <c r="I55" s="358"/>
      <c r="J55" s="358"/>
      <c r="K55" s="358"/>
      <c r="L55" s="306"/>
      <c r="M55" s="306"/>
      <c r="N55" s="306"/>
      <c r="O55" s="317"/>
      <c r="P55" s="317"/>
      <c r="Q55" s="317"/>
      <c r="R55" s="307"/>
      <c r="S55" s="307"/>
      <c r="T55" s="307"/>
      <c r="U55" s="307"/>
      <c r="V55" s="307"/>
      <c r="W55" s="307"/>
      <c r="X55" s="307"/>
      <c r="Y55" s="364"/>
      <c r="Z55" s="364"/>
      <c r="AA55" s="306"/>
      <c r="AB55" s="306"/>
      <c r="AC55" s="306"/>
      <c r="AD55" s="306"/>
      <c r="AE55" s="359"/>
      <c r="AF55" s="306"/>
      <c r="AG55" s="306"/>
      <c r="AH55" s="306"/>
      <c r="AI55" s="306"/>
      <c r="AJ55" s="306"/>
      <c r="AK55" s="306"/>
      <c r="AL55" s="306"/>
      <c r="AM55" s="306"/>
      <c r="AN55" s="306"/>
      <c r="AO55" s="365"/>
      <c r="AP55" s="365"/>
      <c r="AQ55" s="364"/>
      <c r="AR55" s="364"/>
      <c r="AS55" s="364"/>
      <c r="AT55" s="364"/>
      <c r="AU55" s="364"/>
      <c r="AV55" s="364"/>
      <c r="AW55" s="364"/>
      <c r="AX55" s="306"/>
      <c r="AY55" s="306"/>
      <c r="AZ55" s="306"/>
      <c r="BA55" s="306"/>
      <c r="BB55" s="306"/>
      <c r="BC55" s="306"/>
      <c r="BD55" s="306"/>
      <c r="BE55" s="306"/>
      <c r="BF55" s="306"/>
      <c r="BG55" s="306"/>
      <c r="BH55" s="306"/>
      <c r="BI55" s="306"/>
      <c r="BJ55" s="408"/>
      <c r="BK55" s="364"/>
      <c r="BL55" s="364"/>
      <c r="BM55" s="364"/>
      <c r="BN55" s="408"/>
      <c r="BO55" s="364"/>
      <c r="BP55" s="408"/>
      <c r="BQ55" s="364"/>
      <c r="BR55" s="408"/>
      <c r="BS55" s="364"/>
      <c r="BT55" s="706"/>
    </row>
    <row r="56" spans="1:72" s="2" customFormat="1" ht="24.9" customHeight="1">
      <c r="A56" s="401"/>
      <c r="B56" s="356"/>
      <c r="C56" s="369"/>
      <c r="D56" s="356"/>
      <c r="E56" s="357"/>
      <c r="F56" s="358"/>
      <c r="G56" s="358"/>
      <c r="H56" s="358"/>
      <c r="I56" s="358"/>
      <c r="J56" s="358"/>
      <c r="K56" s="358"/>
      <c r="L56" s="306"/>
      <c r="M56" s="306"/>
      <c r="N56" s="359"/>
      <c r="O56" s="317"/>
      <c r="P56" s="317"/>
      <c r="Q56" s="317"/>
      <c r="R56" s="307"/>
      <c r="S56" s="307"/>
      <c r="T56" s="307"/>
      <c r="U56" s="307"/>
      <c r="V56" s="307"/>
      <c r="W56" s="307"/>
      <c r="X56" s="307"/>
      <c r="Y56" s="364"/>
      <c r="Z56" s="364"/>
      <c r="AA56" s="306"/>
      <c r="AB56" s="306"/>
      <c r="AC56" s="306"/>
      <c r="AD56" s="306"/>
      <c r="AE56" s="306"/>
      <c r="AF56" s="306"/>
      <c r="AG56" s="306"/>
      <c r="AH56" s="306"/>
      <c r="AI56" s="306"/>
      <c r="AJ56" s="306"/>
      <c r="AK56" s="306"/>
      <c r="AL56" s="306"/>
      <c r="AM56" s="306"/>
      <c r="AN56" s="306"/>
      <c r="AO56" s="365"/>
      <c r="AP56" s="365"/>
      <c r="AQ56" s="364"/>
      <c r="AR56" s="364"/>
      <c r="AS56" s="364"/>
      <c r="AT56" s="364"/>
      <c r="AU56" s="364"/>
      <c r="AV56" s="364"/>
      <c r="AW56" s="364"/>
      <c r="AX56" s="306"/>
      <c r="AY56" s="306"/>
      <c r="AZ56" s="306"/>
      <c r="BA56" s="306"/>
      <c r="BB56" s="306"/>
      <c r="BC56" s="306"/>
      <c r="BD56" s="306"/>
      <c r="BE56" s="306"/>
      <c r="BF56" s="306"/>
      <c r="BG56" s="306"/>
      <c r="BH56" s="306"/>
      <c r="BI56" s="306"/>
      <c r="BJ56" s="408"/>
      <c r="BK56" s="364"/>
      <c r="BL56" s="364"/>
      <c r="BM56" s="364"/>
      <c r="BN56" s="408"/>
      <c r="BO56" s="364"/>
      <c r="BP56" s="408"/>
      <c r="BQ56" s="364"/>
      <c r="BR56" s="408"/>
      <c r="BS56" s="364"/>
      <c r="BT56" s="707"/>
    </row>
    <row r="57" spans="1:72" s="2" customFormat="1" ht="24.9" customHeight="1">
      <c r="A57" s="401"/>
      <c r="B57" s="356"/>
      <c r="C57" s="369"/>
      <c r="D57" s="356"/>
      <c r="E57" s="357"/>
      <c r="F57" s="358"/>
      <c r="G57" s="358"/>
      <c r="H57" s="358"/>
      <c r="I57" s="358"/>
      <c r="J57" s="358"/>
      <c r="K57" s="358"/>
      <c r="L57" s="306"/>
      <c r="M57" s="306"/>
      <c r="N57" s="306"/>
      <c r="O57" s="317"/>
      <c r="P57" s="317"/>
      <c r="Q57" s="317"/>
      <c r="R57" s="307"/>
      <c r="S57" s="307"/>
      <c r="T57" s="307"/>
      <c r="U57" s="307"/>
      <c r="V57" s="307"/>
      <c r="W57" s="307"/>
      <c r="X57" s="307"/>
      <c r="Y57" s="364"/>
      <c r="Z57" s="364"/>
      <c r="AA57" s="306"/>
      <c r="AB57" s="306"/>
      <c r="AC57" s="306"/>
      <c r="AD57" s="306"/>
      <c r="AE57" s="306"/>
      <c r="AF57" s="306"/>
      <c r="AG57" s="306"/>
      <c r="AH57" s="306"/>
      <c r="AI57" s="306"/>
      <c r="AJ57" s="306"/>
      <c r="AK57" s="306"/>
      <c r="AL57" s="306"/>
      <c r="AM57" s="306"/>
      <c r="AN57" s="306"/>
      <c r="AO57" s="365"/>
      <c r="AP57" s="365"/>
      <c r="AQ57" s="364"/>
      <c r="AR57" s="364"/>
      <c r="AS57" s="364"/>
      <c r="AT57" s="364"/>
      <c r="AU57" s="364"/>
      <c r="AV57" s="364"/>
      <c r="AW57" s="364"/>
      <c r="AX57" s="306"/>
      <c r="AY57" s="306"/>
      <c r="AZ57" s="306"/>
      <c r="BA57" s="306"/>
      <c r="BB57" s="306"/>
      <c r="BC57" s="306"/>
      <c r="BD57" s="306"/>
      <c r="BE57" s="306"/>
      <c r="BF57" s="306"/>
      <c r="BG57" s="306"/>
      <c r="BH57" s="306"/>
      <c r="BI57" s="306"/>
      <c r="BJ57" s="408"/>
      <c r="BK57" s="364"/>
      <c r="BL57" s="364"/>
      <c r="BM57" s="364"/>
      <c r="BN57" s="408"/>
      <c r="BO57" s="364"/>
      <c r="BP57" s="408"/>
      <c r="BQ57" s="364"/>
      <c r="BR57" s="408"/>
      <c r="BS57" s="364"/>
      <c r="BT57" s="706"/>
    </row>
    <row r="58" spans="1:72" s="2" customFormat="1" ht="24.9" customHeight="1">
      <c r="A58" s="401"/>
      <c r="B58" s="356"/>
      <c r="C58" s="369"/>
      <c r="D58" s="356"/>
      <c r="E58" s="357"/>
      <c r="F58" s="358"/>
      <c r="G58" s="358"/>
      <c r="H58" s="358"/>
      <c r="I58" s="358"/>
      <c r="J58" s="358"/>
      <c r="K58" s="358"/>
      <c r="L58" s="306"/>
      <c r="M58" s="306"/>
      <c r="N58" s="306"/>
      <c r="O58" s="317"/>
      <c r="P58" s="317"/>
      <c r="Q58" s="317"/>
      <c r="R58" s="307"/>
      <c r="S58" s="307"/>
      <c r="T58" s="307"/>
      <c r="U58" s="307"/>
      <c r="V58" s="307"/>
      <c r="W58" s="307"/>
      <c r="X58" s="307"/>
      <c r="Y58" s="364"/>
      <c r="Z58" s="364"/>
      <c r="AA58" s="306"/>
      <c r="AB58" s="306"/>
      <c r="AC58" s="306"/>
      <c r="AD58" s="306"/>
      <c r="AE58" s="306"/>
      <c r="AF58" s="306"/>
      <c r="AG58" s="306"/>
      <c r="AH58" s="306"/>
      <c r="AI58" s="306"/>
      <c r="AJ58" s="306"/>
      <c r="AK58" s="306"/>
      <c r="AL58" s="306"/>
      <c r="AM58" s="306"/>
      <c r="AN58" s="306"/>
      <c r="AO58" s="365"/>
      <c r="AP58" s="365"/>
      <c r="AQ58" s="364"/>
      <c r="AR58" s="364"/>
      <c r="AS58" s="364"/>
      <c r="AT58" s="364"/>
      <c r="AU58" s="364"/>
      <c r="AV58" s="364"/>
      <c r="AW58" s="364"/>
      <c r="AX58" s="306"/>
      <c r="AY58" s="306"/>
      <c r="AZ58" s="306"/>
      <c r="BA58" s="306"/>
      <c r="BB58" s="306"/>
      <c r="BC58" s="306"/>
      <c r="BD58" s="306"/>
      <c r="BE58" s="306"/>
      <c r="BF58" s="306"/>
      <c r="BG58" s="306"/>
      <c r="BH58" s="306"/>
      <c r="BI58" s="306"/>
      <c r="BJ58" s="408"/>
      <c r="BK58" s="364"/>
      <c r="BL58" s="364"/>
      <c r="BM58" s="364"/>
      <c r="BN58" s="408"/>
      <c r="BO58" s="364"/>
      <c r="BP58" s="408"/>
      <c r="BQ58" s="364"/>
      <c r="BR58" s="408"/>
      <c r="BS58" s="364"/>
      <c r="BT58" s="707"/>
    </row>
    <row r="59" spans="1:72" s="2" customFormat="1" ht="24.9" customHeight="1">
      <c r="A59" s="401"/>
      <c r="B59" s="356"/>
      <c r="C59" s="369"/>
      <c r="D59" s="356"/>
      <c r="E59" s="357"/>
      <c r="F59" s="358"/>
      <c r="G59" s="358"/>
      <c r="H59" s="358"/>
      <c r="I59" s="358"/>
      <c r="J59" s="358"/>
      <c r="K59" s="358"/>
      <c r="L59" s="306"/>
      <c r="M59" s="306"/>
      <c r="N59" s="306"/>
      <c r="O59" s="317"/>
      <c r="P59" s="317"/>
      <c r="Q59" s="317"/>
      <c r="R59" s="307"/>
      <c r="S59" s="307"/>
      <c r="T59" s="307"/>
      <c r="U59" s="307"/>
      <c r="V59" s="307"/>
      <c r="W59" s="307"/>
      <c r="X59" s="307"/>
      <c r="Y59" s="364"/>
      <c r="Z59" s="364"/>
      <c r="AA59" s="306"/>
      <c r="AB59" s="306"/>
      <c r="AC59" s="306"/>
      <c r="AD59" s="306"/>
      <c r="AE59" s="306"/>
      <c r="AF59" s="306"/>
      <c r="AG59" s="306"/>
      <c r="AH59" s="306"/>
      <c r="AI59" s="306"/>
      <c r="AJ59" s="306"/>
      <c r="AK59" s="306"/>
      <c r="AL59" s="306"/>
      <c r="AM59" s="306"/>
      <c r="AN59" s="306"/>
      <c r="AO59" s="365"/>
      <c r="AP59" s="365"/>
      <c r="AQ59" s="364"/>
      <c r="AR59" s="364"/>
      <c r="AS59" s="364"/>
      <c r="AT59" s="364"/>
      <c r="AU59" s="364"/>
      <c r="AV59" s="364"/>
      <c r="AW59" s="364"/>
      <c r="AX59" s="306"/>
      <c r="AY59" s="306"/>
      <c r="AZ59" s="306"/>
      <c r="BA59" s="306"/>
      <c r="BB59" s="306"/>
      <c r="BC59" s="306"/>
      <c r="BD59" s="306"/>
      <c r="BE59" s="306"/>
      <c r="BF59" s="306"/>
      <c r="BG59" s="306"/>
      <c r="BH59" s="306"/>
      <c r="BI59" s="306"/>
      <c r="BJ59" s="408"/>
      <c r="BK59" s="364"/>
      <c r="BL59" s="364"/>
      <c r="BM59" s="364"/>
      <c r="BN59" s="408"/>
      <c r="BO59" s="364"/>
      <c r="BP59" s="408"/>
      <c r="BQ59" s="364"/>
      <c r="BR59" s="408"/>
      <c r="BS59" s="364"/>
      <c r="BT59" s="706"/>
    </row>
    <row r="60" spans="1:72" s="2" customFormat="1" ht="24.9" customHeight="1">
      <c r="A60" s="401"/>
      <c r="B60" s="356"/>
      <c r="C60" s="369"/>
      <c r="D60" s="356"/>
      <c r="E60" s="357"/>
      <c r="F60" s="358"/>
      <c r="G60" s="358"/>
      <c r="H60" s="358"/>
      <c r="I60" s="358"/>
      <c r="J60" s="358"/>
      <c r="K60" s="358"/>
      <c r="L60" s="306"/>
      <c r="M60" s="306"/>
      <c r="N60" s="306"/>
      <c r="O60" s="317"/>
      <c r="P60" s="317"/>
      <c r="Q60" s="317"/>
      <c r="R60" s="307"/>
      <c r="S60" s="307"/>
      <c r="T60" s="307"/>
      <c r="U60" s="307"/>
      <c r="V60" s="307"/>
      <c r="W60" s="307"/>
      <c r="X60" s="307"/>
      <c r="Y60" s="364"/>
      <c r="Z60" s="364"/>
      <c r="AA60" s="306"/>
      <c r="AB60" s="306"/>
      <c r="AC60" s="306"/>
      <c r="AD60" s="306"/>
      <c r="AE60" s="306"/>
      <c r="AF60" s="306"/>
      <c r="AG60" s="306"/>
      <c r="AH60" s="306"/>
      <c r="AI60" s="306"/>
      <c r="AJ60" s="306"/>
      <c r="AK60" s="306"/>
      <c r="AL60" s="306"/>
      <c r="AM60" s="306"/>
      <c r="AN60" s="306"/>
      <c r="AO60" s="365"/>
      <c r="AP60" s="365"/>
      <c r="AQ60" s="364"/>
      <c r="AR60" s="364"/>
      <c r="AS60" s="364"/>
      <c r="AT60" s="364"/>
      <c r="AU60" s="364"/>
      <c r="AV60" s="364"/>
      <c r="AW60" s="364"/>
      <c r="AX60" s="306"/>
      <c r="AY60" s="306"/>
      <c r="AZ60" s="306"/>
      <c r="BA60" s="306"/>
      <c r="BB60" s="306"/>
      <c r="BC60" s="306"/>
      <c r="BD60" s="306"/>
      <c r="BE60" s="306"/>
      <c r="BF60" s="306"/>
      <c r="BG60" s="306"/>
      <c r="BH60" s="306"/>
      <c r="BI60" s="306"/>
      <c r="BJ60" s="408"/>
      <c r="BK60" s="364"/>
      <c r="BL60" s="364"/>
      <c r="BM60" s="364"/>
      <c r="BN60" s="408"/>
      <c r="BO60" s="364"/>
      <c r="BP60" s="408"/>
      <c r="BQ60" s="364"/>
      <c r="BR60" s="408"/>
      <c r="BS60" s="364"/>
      <c r="BT60" s="708"/>
    </row>
    <row r="61" spans="1:72" s="2" customFormat="1" ht="24.9" customHeight="1">
      <c r="A61" s="401"/>
      <c r="B61" s="356"/>
      <c r="C61" s="369"/>
      <c r="D61" s="356"/>
      <c r="E61" s="357"/>
      <c r="F61" s="358"/>
      <c r="G61" s="358"/>
      <c r="H61" s="358"/>
      <c r="I61" s="358"/>
      <c r="J61" s="358"/>
      <c r="K61" s="358"/>
      <c r="L61" s="306"/>
      <c r="M61" s="306"/>
      <c r="N61" s="306"/>
      <c r="O61" s="306"/>
      <c r="P61" s="306"/>
      <c r="Q61" s="306"/>
      <c r="R61" s="307"/>
      <c r="S61" s="307"/>
      <c r="T61" s="307"/>
      <c r="U61" s="307"/>
      <c r="V61" s="307"/>
      <c r="W61" s="307"/>
      <c r="X61" s="307"/>
      <c r="Y61" s="364"/>
      <c r="Z61" s="364"/>
      <c r="AA61" s="306"/>
      <c r="AB61" s="306"/>
      <c r="AC61" s="306"/>
      <c r="AD61" s="306"/>
      <c r="AE61" s="306"/>
      <c r="AF61" s="306"/>
      <c r="AG61" s="306"/>
      <c r="AH61" s="306"/>
      <c r="AI61" s="306"/>
      <c r="AJ61" s="306"/>
      <c r="AK61" s="306"/>
      <c r="AL61" s="306"/>
      <c r="AM61" s="306"/>
      <c r="AN61" s="306"/>
      <c r="AO61" s="365"/>
      <c r="AP61" s="365"/>
      <c r="AQ61" s="364"/>
      <c r="AR61" s="364"/>
      <c r="AS61" s="364"/>
      <c r="AT61" s="364"/>
      <c r="AU61" s="364"/>
      <c r="AV61" s="364"/>
      <c r="AW61" s="364"/>
      <c r="AX61" s="306"/>
      <c r="AY61" s="306"/>
      <c r="AZ61" s="306"/>
      <c r="BA61" s="306"/>
      <c r="BB61" s="306"/>
      <c r="BC61" s="306"/>
      <c r="BD61" s="306"/>
      <c r="BE61" s="306"/>
      <c r="BF61" s="306"/>
      <c r="BG61" s="306"/>
      <c r="BH61" s="306"/>
      <c r="BI61" s="306"/>
      <c r="BJ61" s="408"/>
      <c r="BK61" s="364"/>
      <c r="BL61" s="364"/>
      <c r="BM61" s="364"/>
      <c r="BN61" s="408"/>
      <c r="BO61" s="364"/>
      <c r="BP61" s="408"/>
      <c r="BQ61" s="364"/>
      <c r="BR61" s="408"/>
      <c r="BS61" s="364"/>
      <c r="BT61" s="707"/>
    </row>
    <row r="62" spans="1:72" s="2" customFormat="1" ht="24.9" customHeight="1">
      <c r="A62" s="401"/>
      <c r="B62" s="356"/>
      <c r="C62" s="369"/>
      <c r="D62" s="356"/>
      <c r="E62" s="357"/>
      <c r="F62" s="358"/>
      <c r="G62" s="358"/>
      <c r="H62" s="358"/>
      <c r="I62" s="358"/>
      <c r="J62" s="358"/>
      <c r="K62" s="358"/>
      <c r="L62" s="306"/>
      <c r="M62" s="306"/>
      <c r="N62" s="306"/>
      <c r="O62" s="317"/>
      <c r="P62" s="317"/>
      <c r="Q62" s="317"/>
      <c r="R62" s="307"/>
      <c r="S62" s="307"/>
      <c r="T62" s="307"/>
      <c r="U62" s="307"/>
      <c r="V62" s="307"/>
      <c r="W62" s="307"/>
      <c r="X62" s="307"/>
      <c r="Y62" s="364"/>
      <c r="Z62" s="364"/>
      <c r="AA62" s="306"/>
      <c r="AB62" s="306"/>
      <c r="AC62" s="306"/>
      <c r="AD62" s="306"/>
      <c r="AE62" s="306"/>
      <c r="AF62" s="306"/>
      <c r="AG62" s="306"/>
      <c r="AH62" s="306"/>
      <c r="AI62" s="306"/>
      <c r="AJ62" s="306"/>
      <c r="AK62" s="306"/>
      <c r="AL62" s="306"/>
      <c r="AM62" s="306"/>
      <c r="AN62" s="306"/>
      <c r="AO62" s="365"/>
      <c r="AP62" s="365"/>
      <c r="AQ62" s="364"/>
      <c r="AR62" s="364"/>
      <c r="AS62" s="364"/>
      <c r="AT62" s="364"/>
      <c r="AU62" s="364"/>
      <c r="AV62" s="364"/>
      <c r="AW62" s="364"/>
      <c r="AX62" s="306"/>
      <c r="AY62" s="306"/>
      <c r="AZ62" s="306"/>
      <c r="BA62" s="306"/>
      <c r="BB62" s="306"/>
      <c r="BC62" s="306"/>
      <c r="BD62" s="306"/>
      <c r="BE62" s="306"/>
      <c r="BF62" s="306"/>
      <c r="BG62" s="306"/>
      <c r="BH62" s="306"/>
      <c r="BI62" s="306"/>
      <c r="BJ62" s="408"/>
      <c r="BK62" s="364"/>
      <c r="BL62" s="364"/>
      <c r="BM62" s="364"/>
      <c r="BN62" s="408"/>
      <c r="BO62" s="364"/>
      <c r="BP62" s="408"/>
      <c r="BQ62" s="364"/>
      <c r="BR62" s="408"/>
      <c r="BS62" s="364"/>
      <c r="BT62" s="706"/>
    </row>
    <row r="63" spans="1:72" s="2" customFormat="1" ht="24.9" customHeight="1">
      <c r="A63" s="401"/>
      <c r="B63" s="356"/>
      <c r="C63" s="369"/>
      <c r="D63" s="356"/>
      <c r="E63" s="357"/>
      <c r="F63" s="358"/>
      <c r="G63" s="358"/>
      <c r="H63" s="358"/>
      <c r="I63" s="358"/>
      <c r="J63" s="358"/>
      <c r="K63" s="358"/>
      <c r="L63" s="306"/>
      <c r="M63" s="306"/>
      <c r="N63" s="306"/>
      <c r="O63" s="317"/>
      <c r="P63" s="317"/>
      <c r="Q63" s="317"/>
      <c r="R63" s="307"/>
      <c r="S63" s="307"/>
      <c r="T63" s="307"/>
      <c r="U63" s="307"/>
      <c r="V63" s="307"/>
      <c r="W63" s="307"/>
      <c r="X63" s="307"/>
      <c r="Y63" s="364"/>
      <c r="Z63" s="364"/>
      <c r="AA63" s="306"/>
      <c r="AB63" s="306"/>
      <c r="AC63" s="306"/>
      <c r="AD63" s="306"/>
      <c r="AE63" s="306"/>
      <c r="AF63" s="306"/>
      <c r="AG63" s="306"/>
      <c r="AH63" s="306"/>
      <c r="AI63" s="306"/>
      <c r="AJ63" s="306"/>
      <c r="AK63" s="306"/>
      <c r="AL63" s="306"/>
      <c r="AM63" s="306"/>
      <c r="AN63" s="306"/>
      <c r="AO63" s="365"/>
      <c r="AP63" s="365"/>
      <c r="AQ63" s="364"/>
      <c r="AR63" s="364"/>
      <c r="AS63" s="364"/>
      <c r="AT63" s="364"/>
      <c r="AU63" s="364"/>
      <c r="AV63" s="364"/>
      <c r="AW63" s="364"/>
      <c r="AX63" s="306"/>
      <c r="AY63" s="306"/>
      <c r="AZ63" s="306"/>
      <c r="BA63" s="306"/>
      <c r="BB63" s="306"/>
      <c r="BC63" s="306"/>
      <c r="BD63" s="306"/>
      <c r="BE63" s="306"/>
      <c r="BF63" s="306"/>
      <c r="BG63" s="306"/>
      <c r="BH63" s="306"/>
      <c r="BI63" s="306"/>
      <c r="BJ63" s="408"/>
      <c r="BK63" s="364"/>
      <c r="BL63" s="364"/>
      <c r="BM63" s="364"/>
      <c r="BN63" s="408"/>
      <c r="BO63" s="364"/>
      <c r="BP63" s="408"/>
      <c r="BQ63" s="364"/>
      <c r="BR63" s="408"/>
      <c r="BS63" s="364"/>
      <c r="BT63" s="708"/>
    </row>
    <row r="64" spans="1:72" s="2" customFormat="1" ht="24.9" customHeight="1">
      <c r="A64" s="401"/>
      <c r="B64" s="356"/>
      <c r="C64" s="369"/>
      <c r="D64" s="356"/>
      <c r="E64" s="357"/>
      <c r="F64" s="358"/>
      <c r="G64" s="358"/>
      <c r="H64" s="358"/>
      <c r="I64" s="358"/>
      <c r="J64" s="358"/>
      <c r="K64" s="358"/>
      <c r="L64" s="306"/>
      <c r="M64" s="306"/>
      <c r="N64" s="306"/>
      <c r="O64" s="317"/>
      <c r="P64" s="317"/>
      <c r="Q64" s="317"/>
      <c r="R64" s="307"/>
      <c r="S64" s="307"/>
      <c r="T64" s="307"/>
      <c r="U64" s="307"/>
      <c r="V64" s="307"/>
      <c r="W64" s="307"/>
      <c r="X64" s="307"/>
      <c r="Y64" s="364"/>
      <c r="Z64" s="364"/>
      <c r="AA64" s="306"/>
      <c r="AB64" s="306"/>
      <c r="AC64" s="306"/>
      <c r="AD64" s="306"/>
      <c r="AE64" s="306"/>
      <c r="AF64" s="306"/>
      <c r="AG64" s="306"/>
      <c r="AH64" s="306"/>
      <c r="AI64" s="306"/>
      <c r="AJ64" s="306"/>
      <c r="AK64" s="306"/>
      <c r="AL64" s="306"/>
      <c r="AM64" s="306"/>
      <c r="AN64" s="306"/>
      <c r="AO64" s="365"/>
      <c r="AP64" s="365"/>
      <c r="AQ64" s="364"/>
      <c r="AR64" s="364"/>
      <c r="AS64" s="364"/>
      <c r="AT64" s="364"/>
      <c r="AU64" s="364"/>
      <c r="AV64" s="364"/>
      <c r="AW64" s="364"/>
      <c r="AX64" s="306"/>
      <c r="AY64" s="306"/>
      <c r="AZ64" s="306"/>
      <c r="BA64" s="306"/>
      <c r="BB64" s="306"/>
      <c r="BC64" s="306"/>
      <c r="BD64" s="306"/>
      <c r="BE64" s="306"/>
      <c r="BF64" s="306"/>
      <c r="BG64" s="306"/>
      <c r="BH64" s="306"/>
      <c r="BI64" s="306"/>
      <c r="BJ64" s="408"/>
      <c r="BK64" s="364"/>
      <c r="BL64" s="364"/>
      <c r="BM64" s="364"/>
      <c r="BN64" s="408"/>
      <c r="BO64" s="364"/>
      <c r="BP64" s="408"/>
      <c r="BQ64" s="364"/>
      <c r="BR64" s="408"/>
      <c r="BS64" s="364"/>
      <c r="BT64" s="707"/>
    </row>
    <row r="65" spans="1:72" s="2" customFormat="1" ht="24.9" customHeight="1">
      <c r="A65" s="401"/>
      <c r="B65" s="356"/>
      <c r="C65" s="369"/>
      <c r="D65" s="356"/>
      <c r="E65" s="357"/>
      <c r="F65" s="358"/>
      <c r="G65" s="358"/>
      <c r="H65" s="358"/>
      <c r="I65" s="358"/>
      <c r="J65" s="358"/>
      <c r="K65" s="358"/>
      <c r="L65" s="306"/>
      <c r="M65" s="306"/>
      <c r="N65" s="306"/>
      <c r="O65" s="317"/>
      <c r="P65" s="317"/>
      <c r="Q65" s="317"/>
      <c r="R65" s="307"/>
      <c r="S65" s="307"/>
      <c r="T65" s="307"/>
      <c r="U65" s="307"/>
      <c r="V65" s="307"/>
      <c r="W65" s="307"/>
      <c r="X65" s="307"/>
      <c r="Y65" s="364"/>
      <c r="Z65" s="364"/>
      <c r="AA65" s="306"/>
      <c r="AB65" s="306"/>
      <c r="AC65" s="306"/>
      <c r="AD65" s="306"/>
      <c r="AE65" s="306"/>
      <c r="AF65" s="306"/>
      <c r="AG65" s="306"/>
      <c r="AH65" s="306"/>
      <c r="AI65" s="306"/>
      <c r="AJ65" s="306"/>
      <c r="AK65" s="306"/>
      <c r="AL65" s="306"/>
      <c r="AM65" s="306"/>
      <c r="AN65" s="306"/>
      <c r="AO65" s="365"/>
      <c r="AP65" s="365"/>
      <c r="AQ65" s="364"/>
      <c r="AR65" s="364"/>
      <c r="AS65" s="364"/>
      <c r="AT65" s="364"/>
      <c r="AU65" s="364"/>
      <c r="AV65" s="364"/>
      <c r="AW65" s="364"/>
      <c r="AX65" s="306"/>
      <c r="AY65" s="306"/>
      <c r="AZ65" s="306"/>
      <c r="BA65" s="306"/>
      <c r="BB65" s="306"/>
      <c r="BC65" s="306"/>
      <c r="BD65" s="306"/>
      <c r="BE65" s="306"/>
      <c r="BF65" s="306"/>
      <c r="BG65" s="306"/>
      <c r="BH65" s="306"/>
      <c r="BI65" s="306"/>
      <c r="BJ65" s="408"/>
      <c r="BK65" s="364"/>
      <c r="BL65" s="364"/>
      <c r="BM65" s="364"/>
      <c r="BN65" s="408"/>
      <c r="BO65" s="364"/>
      <c r="BP65" s="408"/>
      <c r="BQ65" s="364"/>
      <c r="BR65" s="408"/>
      <c r="BS65" s="364"/>
      <c r="BT65" s="706"/>
    </row>
    <row r="66" spans="1:72" s="2" customFormat="1" ht="24.9" customHeight="1">
      <c r="A66" s="401"/>
      <c r="B66" s="356"/>
      <c r="C66" s="369"/>
      <c r="D66" s="356"/>
      <c r="E66" s="357"/>
      <c r="F66" s="358"/>
      <c r="G66" s="358"/>
      <c r="H66" s="358"/>
      <c r="I66" s="358"/>
      <c r="J66" s="358"/>
      <c r="K66" s="358"/>
      <c r="L66" s="306"/>
      <c r="M66" s="306"/>
      <c r="N66" s="359"/>
      <c r="O66" s="317"/>
      <c r="P66" s="317"/>
      <c r="Q66" s="317"/>
      <c r="R66" s="307"/>
      <c r="S66" s="307"/>
      <c r="T66" s="307"/>
      <c r="U66" s="307"/>
      <c r="V66" s="307"/>
      <c r="W66" s="307"/>
      <c r="X66" s="307"/>
      <c r="Y66" s="364"/>
      <c r="Z66" s="364"/>
      <c r="AA66" s="306"/>
      <c r="AB66" s="306"/>
      <c r="AC66" s="306"/>
      <c r="AD66" s="306"/>
      <c r="AE66" s="306"/>
      <c r="AF66" s="306"/>
      <c r="AG66" s="306"/>
      <c r="AH66" s="306"/>
      <c r="AI66" s="306"/>
      <c r="AJ66" s="306"/>
      <c r="AK66" s="306"/>
      <c r="AL66" s="306"/>
      <c r="AM66" s="306"/>
      <c r="AN66" s="306"/>
      <c r="AO66" s="365"/>
      <c r="AP66" s="365"/>
      <c r="AQ66" s="364"/>
      <c r="AR66" s="364"/>
      <c r="AS66" s="364"/>
      <c r="AT66" s="364"/>
      <c r="AU66" s="364"/>
      <c r="AV66" s="364"/>
      <c r="AW66" s="364"/>
      <c r="AX66" s="306"/>
      <c r="AY66" s="306"/>
      <c r="AZ66" s="306"/>
      <c r="BA66" s="306"/>
      <c r="BB66" s="306"/>
      <c r="BC66" s="306"/>
      <c r="BD66" s="306"/>
      <c r="BE66" s="306"/>
      <c r="BF66" s="306"/>
      <c r="BG66" s="306"/>
      <c r="BH66" s="306"/>
      <c r="BI66" s="306"/>
      <c r="BJ66" s="408"/>
      <c r="BK66" s="364"/>
      <c r="BL66" s="364"/>
      <c r="BM66" s="364"/>
      <c r="BN66" s="408"/>
      <c r="BO66" s="364"/>
      <c r="BP66" s="408"/>
      <c r="BQ66" s="364"/>
      <c r="BR66" s="408"/>
      <c r="BS66" s="364"/>
      <c r="BT66" s="707"/>
    </row>
    <row r="67" spans="1:72" s="2" customFormat="1" ht="24.9" customHeight="1">
      <c r="A67" s="401"/>
      <c r="B67" s="356"/>
      <c r="C67" s="369"/>
      <c r="D67" s="356"/>
      <c r="E67" s="357"/>
      <c r="F67" s="358"/>
      <c r="G67" s="358"/>
      <c r="H67" s="358"/>
      <c r="I67" s="358"/>
      <c r="J67" s="358"/>
      <c r="K67" s="358"/>
      <c r="L67" s="306"/>
      <c r="M67" s="306"/>
      <c r="N67" s="306"/>
      <c r="O67" s="317"/>
      <c r="P67" s="317"/>
      <c r="Q67" s="317"/>
      <c r="R67" s="307"/>
      <c r="S67" s="307"/>
      <c r="T67" s="307"/>
      <c r="U67" s="307"/>
      <c r="V67" s="307"/>
      <c r="W67" s="307"/>
      <c r="X67" s="307"/>
      <c r="Y67" s="364"/>
      <c r="Z67" s="364"/>
      <c r="AA67" s="306"/>
      <c r="AB67" s="306"/>
      <c r="AC67" s="306"/>
      <c r="AD67" s="306"/>
      <c r="AE67" s="306"/>
      <c r="AF67" s="306"/>
      <c r="AG67" s="306"/>
      <c r="AH67" s="306"/>
      <c r="AI67" s="306"/>
      <c r="AJ67" s="306"/>
      <c r="AK67" s="306"/>
      <c r="AL67" s="306"/>
      <c r="AM67" s="306"/>
      <c r="AN67" s="306"/>
      <c r="AO67" s="365"/>
      <c r="AP67" s="365"/>
      <c r="AQ67" s="364"/>
      <c r="AR67" s="364"/>
      <c r="AS67" s="364"/>
      <c r="AT67" s="364"/>
      <c r="AU67" s="364"/>
      <c r="AV67" s="364"/>
      <c r="AW67" s="364"/>
      <c r="AX67" s="306"/>
      <c r="AY67" s="306"/>
      <c r="AZ67" s="306"/>
      <c r="BA67" s="306"/>
      <c r="BB67" s="306"/>
      <c r="BC67" s="306"/>
      <c r="BD67" s="306"/>
      <c r="BE67" s="306"/>
      <c r="BF67" s="306"/>
      <c r="BG67" s="306"/>
      <c r="BH67" s="306"/>
      <c r="BI67" s="306"/>
      <c r="BJ67" s="408"/>
      <c r="BK67" s="364"/>
      <c r="BL67" s="364"/>
      <c r="BM67" s="364"/>
      <c r="BN67" s="408"/>
      <c r="BO67" s="364"/>
      <c r="BP67" s="408"/>
      <c r="BQ67" s="364"/>
      <c r="BR67" s="408"/>
      <c r="BS67" s="364"/>
      <c r="BT67" s="706"/>
    </row>
    <row r="68" spans="1:72" s="2" customFormat="1" ht="24.9" customHeight="1">
      <c r="A68" s="401"/>
      <c r="B68" s="356"/>
      <c r="C68" s="369"/>
      <c r="D68" s="356"/>
      <c r="E68" s="357"/>
      <c r="F68" s="358"/>
      <c r="G68" s="358"/>
      <c r="H68" s="358"/>
      <c r="I68" s="358"/>
      <c r="J68" s="358"/>
      <c r="K68" s="358"/>
      <c r="L68" s="306"/>
      <c r="M68" s="306"/>
      <c r="N68" s="359"/>
      <c r="O68" s="317"/>
      <c r="P68" s="317"/>
      <c r="Q68" s="317"/>
      <c r="R68" s="307"/>
      <c r="S68" s="307"/>
      <c r="T68" s="307"/>
      <c r="U68" s="307"/>
      <c r="V68" s="307"/>
      <c r="W68" s="307"/>
      <c r="X68" s="307"/>
      <c r="Y68" s="364"/>
      <c r="Z68" s="364"/>
      <c r="AA68" s="306"/>
      <c r="AB68" s="306"/>
      <c r="AC68" s="306"/>
      <c r="AD68" s="306"/>
      <c r="AE68" s="306"/>
      <c r="AF68" s="306"/>
      <c r="AG68" s="306"/>
      <c r="AH68" s="306"/>
      <c r="AI68" s="306"/>
      <c r="AJ68" s="306"/>
      <c r="AK68" s="306"/>
      <c r="AL68" s="306"/>
      <c r="AM68" s="306"/>
      <c r="AN68" s="306"/>
      <c r="AO68" s="365"/>
      <c r="AP68" s="365"/>
      <c r="AQ68" s="364"/>
      <c r="AR68" s="364"/>
      <c r="AS68" s="364"/>
      <c r="AT68" s="364"/>
      <c r="AU68" s="364"/>
      <c r="AV68" s="364"/>
      <c r="AW68" s="364"/>
      <c r="AX68" s="306"/>
      <c r="AY68" s="306"/>
      <c r="AZ68" s="306"/>
      <c r="BA68" s="306"/>
      <c r="BB68" s="306"/>
      <c r="BC68" s="306"/>
      <c r="BD68" s="306"/>
      <c r="BE68" s="306"/>
      <c r="BF68" s="306"/>
      <c r="BG68" s="306"/>
      <c r="BH68" s="306"/>
      <c r="BI68" s="306"/>
      <c r="BJ68" s="408"/>
      <c r="BK68" s="364"/>
      <c r="BL68" s="364"/>
      <c r="BM68" s="364"/>
      <c r="BN68" s="408"/>
      <c r="BO68" s="364"/>
      <c r="BP68" s="408"/>
      <c r="BQ68" s="364"/>
      <c r="BR68" s="408"/>
      <c r="BS68" s="364"/>
      <c r="BT68" s="708"/>
    </row>
    <row r="69" spans="1:72" s="2" customFormat="1" ht="24.9" customHeight="1">
      <c r="A69" s="401"/>
      <c r="B69" s="356"/>
      <c r="C69" s="369"/>
      <c r="D69" s="356"/>
      <c r="E69" s="357"/>
      <c r="F69" s="358"/>
      <c r="G69" s="358"/>
      <c r="H69" s="358"/>
      <c r="I69" s="358"/>
      <c r="J69" s="358"/>
      <c r="K69" s="358"/>
      <c r="L69" s="306"/>
      <c r="M69" s="306"/>
      <c r="N69" s="306"/>
      <c r="O69" s="306"/>
      <c r="P69" s="306"/>
      <c r="Q69" s="306"/>
      <c r="R69" s="307"/>
      <c r="S69" s="307"/>
      <c r="T69" s="307"/>
      <c r="U69" s="307"/>
      <c r="V69" s="307"/>
      <c r="W69" s="307"/>
      <c r="X69" s="307"/>
      <c r="Y69" s="364"/>
      <c r="Z69" s="364"/>
      <c r="AA69" s="306"/>
      <c r="AB69" s="306"/>
      <c r="AC69" s="306"/>
      <c r="AD69" s="306"/>
      <c r="AE69" s="306"/>
      <c r="AF69" s="306"/>
      <c r="AG69" s="306"/>
      <c r="AH69" s="306"/>
      <c r="AI69" s="306"/>
      <c r="AJ69" s="306"/>
      <c r="AK69" s="306"/>
      <c r="AL69" s="306"/>
      <c r="AM69" s="306"/>
      <c r="AN69" s="306"/>
      <c r="AO69" s="365"/>
      <c r="AP69" s="365"/>
      <c r="AQ69" s="364"/>
      <c r="AR69" s="364"/>
      <c r="AS69" s="364"/>
      <c r="AT69" s="364"/>
      <c r="AU69" s="364"/>
      <c r="AV69" s="364"/>
      <c r="AW69" s="364"/>
      <c r="AX69" s="306"/>
      <c r="AY69" s="306"/>
      <c r="AZ69" s="306"/>
      <c r="BA69" s="306"/>
      <c r="BB69" s="306"/>
      <c r="BC69" s="306"/>
      <c r="BD69" s="306"/>
      <c r="BE69" s="306"/>
      <c r="BF69" s="306"/>
      <c r="BG69" s="306"/>
      <c r="BH69" s="306"/>
      <c r="BI69" s="306"/>
      <c r="BJ69" s="408"/>
      <c r="BK69" s="364"/>
      <c r="BL69" s="364"/>
      <c r="BM69" s="364"/>
      <c r="BN69" s="408"/>
      <c r="BO69" s="364"/>
      <c r="BP69" s="408"/>
      <c r="BQ69" s="364"/>
      <c r="BR69" s="408"/>
      <c r="BS69" s="364"/>
      <c r="BT69" s="707"/>
    </row>
    <row r="70" spans="1:72" s="2" customFormat="1" ht="24.9" customHeight="1">
      <c r="A70" s="401"/>
      <c r="B70" s="356"/>
      <c r="C70" s="369"/>
      <c r="D70" s="356"/>
      <c r="E70" s="357"/>
      <c r="F70" s="358"/>
      <c r="G70" s="358"/>
      <c r="H70" s="358"/>
      <c r="I70" s="358"/>
      <c r="J70" s="358"/>
      <c r="K70" s="358"/>
      <c r="L70" s="306"/>
      <c r="M70" s="306"/>
      <c r="N70" s="306"/>
      <c r="O70" s="317"/>
      <c r="P70" s="317"/>
      <c r="Q70" s="317"/>
      <c r="R70" s="307"/>
      <c r="S70" s="307"/>
      <c r="T70" s="307"/>
      <c r="U70" s="307"/>
      <c r="V70" s="307"/>
      <c r="W70" s="307"/>
      <c r="X70" s="307"/>
      <c r="Y70" s="364"/>
      <c r="Z70" s="364"/>
      <c r="AA70" s="306"/>
      <c r="AB70" s="306"/>
      <c r="AC70" s="306"/>
      <c r="AD70" s="306"/>
      <c r="AE70" s="306"/>
      <c r="AF70" s="306"/>
      <c r="AG70" s="306"/>
      <c r="AH70" s="306"/>
      <c r="AI70" s="306"/>
      <c r="AJ70" s="306"/>
      <c r="AK70" s="306"/>
      <c r="AL70" s="306"/>
      <c r="AM70" s="306"/>
      <c r="AN70" s="306"/>
      <c r="AO70" s="365"/>
      <c r="AP70" s="365"/>
      <c r="AQ70" s="364"/>
      <c r="AR70" s="364"/>
      <c r="AS70" s="364"/>
      <c r="AT70" s="364"/>
      <c r="AU70" s="364"/>
      <c r="AV70" s="364"/>
      <c r="AW70" s="364"/>
      <c r="AX70" s="306"/>
      <c r="AY70" s="306"/>
      <c r="AZ70" s="306"/>
      <c r="BA70" s="306"/>
      <c r="BB70" s="306"/>
      <c r="BC70" s="306"/>
      <c r="BD70" s="306"/>
      <c r="BE70" s="306"/>
      <c r="BF70" s="306"/>
      <c r="BG70" s="306"/>
      <c r="BH70" s="306"/>
      <c r="BI70" s="306"/>
      <c r="BJ70" s="408"/>
      <c r="BK70" s="364"/>
      <c r="BL70" s="364"/>
      <c r="BM70" s="364"/>
      <c r="BN70" s="408"/>
      <c r="BO70" s="364"/>
      <c r="BP70" s="408"/>
      <c r="BQ70" s="364"/>
      <c r="BR70" s="408"/>
      <c r="BS70" s="364"/>
      <c r="BT70" s="706"/>
    </row>
    <row r="71" spans="1:72" s="2" customFormat="1" ht="24.9" customHeight="1">
      <c r="A71" s="401"/>
      <c r="B71" s="356"/>
      <c r="C71" s="369"/>
      <c r="D71" s="356"/>
      <c r="E71" s="357"/>
      <c r="F71" s="358"/>
      <c r="G71" s="358"/>
      <c r="H71" s="358"/>
      <c r="I71" s="358"/>
      <c r="J71" s="358"/>
      <c r="K71" s="358"/>
      <c r="L71" s="306"/>
      <c r="M71" s="306"/>
      <c r="N71" s="359"/>
      <c r="O71" s="317"/>
      <c r="P71" s="317"/>
      <c r="Q71" s="317"/>
      <c r="R71" s="307"/>
      <c r="S71" s="307"/>
      <c r="T71" s="307"/>
      <c r="U71" s="307"/>
      <c r="V71" s="307"/>
      <c r="W71" s="307"/>
      <c r="X71" s="307"/>
      <c r="Y71" s="364"/>
      <c r="Z71" s="364"/>
      <c r="AA71" s="306"/>
      <c r="AB71" s="306"/>
      <c r="AC71" s="306"/>
      <c r="AD71" s="306"/>
      <c r="AE71" s="306"/>
      <c r="AF71" s="306"/>
      <c r="AG71" s="306"/>
      <c r="AH71" s="306"/>
      <c r="AI71" s="306"/>
      <c r="AJ71" s="306"/>
      <c r="AK71" s="306"/>
      <c r="AL71" s="306"/>
      <c r="AM71" s="306"/>
      <c r="AN71" s="306"/>
      <c r="AO71" s="365"/>
      <c r="AP71" s="365"/>
      <c r="AQ71" s="364"/>
      <c r="AR71" s="364"/>
      <c r="AS71" s="364"/>
      <c r="AT71" s="364"/>
      <c r="AU71" s="364"/>
      <c r="AV71" s="364"/>
      <c r="AW71" s="364"/>
      <c r="AX71" s="306"/>
      <c r="AY71" s="306"/>
      <c r="AZ71" s="306"/>
      <c r="BA71" s="306"/>
      <c r="BB71" s="306"/>
      <c r="BC71" s="306"/>
      <c r="BD71" s="306"/>
      <c r="BE71" s="306"/>
      <c r="BF71" s="306"/>
      <c r="BG71" s="306"/>
      <c r="BH71" s="306"/>
      <c r="BI71" s="306"/>
      <c r="BJ71" s="408"/>
      <c r="BK71" s="364"/>
      <c r="BL71" s="364"/>
      <c r="BM71" s="364"/>
      <c r="BN71" s="408"/>
      <c r="BO71" s="364"/>
      <c r="BP71" s="408"/>
      <c r="BQ71" s="364"/>
      <c r="BR71" s="408"/>
      <c r="BS71" s="364"/>
      <c r="BT71" s="708"/>
    </row>
    <row r="72" spans="1:72" s="2" customFormat="1" ht="24.9" customHeight="1">
      <c r="A72" s="401"/>
      <c r="B72" s="356"/>
      <c r="C72" s="369"/>
      <c r="D72" s="356"/>
      <c r="E72" s="357"/>
      <c r="F72" s="358"/>
      <c r="G72" s="358"/>
      <c r="H72" s="358"/>
      <c r="I72" s="358"/>
      <c r="J72" s="358"/>
      <c r="K72" s="358"/>
      <c r="L72" s="306"/>
      <c r="M72" s="306"/>
      <c r="N72" s="306"/>
      <c r="O72" s="306"/>
      <c r="P72" s="306"/>
      <c r="Q72" s="306"/>
      <c r="R72" s="307"/>
      <c r="S72" s="307"/>
      <c r="T72" s="307"/>
      <c r="U72" s="307"/>
      <c r="V72" s="307"/>
      <c r="W72" s="307"/>
      <c r="X72" s="307"/>
      <c r="Y72" s="364"/>
      <c r="Z72" s="364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65"/>
      <c r="AP72" s="365"/>
      <c r="AQ72" s="364"/>
      <c r="AR72" s="364"/>
      <c r="AS72" s="364"/>
      <c r="AT72" s="364"/>
      <c r="AU72" s="364"/>
      <c r="AV72" s="364"/>
      <c r="AW72" s="364"/>
      <c r="AX72" s="306"/>
      <c r="AY72" s="306"/>
      <c r="AZ72" s="306"/>
      <c r="BA72" s="306"/>
      <c r="BB72" s="306"/>
      <c r="BC72" s="306"/>
      <c r="BD72" s="306"/>
      <c r="BE72" s="306"/>
      <c r="BF72" s="306"/>
      <c r="BG72" s="306"/>
      <c r="BH72" s="306"/>
      <c r="BI72" s="306"/>
      <c r="BJ72" s="408"/>
      <c r="BK72" s="364"/>
      <c r="BL72" s="364"/>
      <c r="BM72" s="364"/>
      <c r="BN72" s="408"/>
      <c r="BO72" s="364"/>
      <c r="BP72" s="408"/>
      <c r="BQ72" s="364"/>
      <c r="BR72" s="408"/>
      <c r="BS72" s="364"/>
      <c r="BT72" s="707"/>
    </row>
    <row r="73" spans="1:72" s="2" customFormat="1" ht="24.9" customHeight="1">
      <c r="A73" s="401"/>
      <c r="B73" s="356"/>
      <c r="C73" s="369"/>
      <c r="D73" s="356"/>
      <c r="E73" s="357"/>
      <c r="F73" s="358"/>
      <c r="G73" s="358"/>
      <c r="H73" s="358"/>
      <c r="I73" s="358"/>
      <c r="J73" s="358"/>
      <c r="K73" s="358"/>
      <c r="L73" s="306"/>
      <c r="M73" s="306"/>
      <c r="N73" s="306"/>
      <c r="O73" s="317"/>
      <c r="P73" s="317"/>
      <c r="Q73" s="317"/>
      <c r="R73" s="307"/>
      <c r="S73" s="307"/>
      <c r="T73" s="307"/>
      <c r="U73" s="307"/>
      <c r="V73" s="307"/>
      <c r="W73" s="307"/>
      <c r="X73" s="307"/>
      <c r="Y73" s="364"/>
      <c r="Z73" s="364"/>
      <c r="AA73" s="306"/>
      <c r="AB73" s="306"/>
      <c r="AC73" s="306"/>
      <c r="AD73" s="306"/>
      <c r="AE73" s="306"/>
      <c r="AF73" s="306"/>
      <c r="AG73" s="306"/>
      <c r="AH73" s="306"/>
      <c r="AI73" s="306"/>
      <c r="AJ73" s="306"/>
      <c r="AK73" s="306"/>
      <c r="AL73" s="306"/>
      <c r="AM73" s="306"/>
      <c r="AN73" s="306"/>
      <c r="AO73" s="365"/>
      <c r="AP73" s="365"/>
      <c r="AQ73" s="364"/>
      <c r="AR73" s="364"/>
      <c r="AS73" s="364"/>
      <c r="AT73" s="364"/>
      <c r="AU73" s="364"/>
      <c r="AV73" s="364"/>
      <c r="AW73" s="364"/>
      <c r="AX73" s="306"/>
      <c r="AY73" s="306"/>
      <c r="AZ73" s="306"/>
      <c r="BA73" s="306"/>
      <c r="BB73" s="306"/>
      <c r="BC73" s="306"/>
      <c r="BD73" s="306"/>
      <c r="BE73" s="306"/>
      <c r="BF73" s="306"/>
      <c r="BG73" s="306"/>
      <c r="BH73" s="306"/>
      <c r="BI73" s="306"/>
      <c r="BJ73" s="408"/>
      <c r="BK73" s="364"/>
      <c r="BL73" s="364"/>
      <c r="BM73" s="364"/>
      <c r="BN73" s="408"/>
      <c r="BO73" s="364"/>
      <c r="BP73" s="408"/>
      <c r="BQ73" s="364"/>
      <c r="BR73" s="408"/>
      <c r="BS73" s="364"/>
      <c r="BT73" s="706"/>
    </row>
    <row r="74" spans="1:72" s="2" customFormat="1" ht="24.9" customHeight="1">
      <c r="A74" s="401"/>
      <c r="B74" s="356"/>
      <c r="C74" s="369"/>
      <c r="D74" s="356"/>
      <c r="E74" s="357"/>
      <c r="F74" s="358"/>
      <c r="G74" s="358"/>
      <c r="H74" s="358"/>
      <c r="I74" s="358"/>
      <c r="J74" s="358"/>
      <c r="K74" s="358"/>
      <c r="L74" s="306"/>
      <c r="M74" s="306"/>
      <c r="N74" s="306"/>
      <c r="O74" s="317"/>
      <c r="P74" s="317"/>
      <c r="Q74" s="317"/>
      <c r="R74" s="307"/>
      <c r="S74" s="307"/>
      <c r="T74" s="307"/>
      <c r="U74" s="307"/>
      <c r="V74" s="307"/>
      <c r="W74" s="307"/>
      <c r="X74" s="307"/>
      <c r="Y74" s="364"/>
      <c r="Z74" s="364"/>
      <c r="AA74" s="306"/>
      <c r="AB74" s="306"/>
      <c r="AC74" s="306"/>
      <c r="AD74" s="306"/>
      <c r="AE74" s="306"/>
      <c r="AF74" s="306"/>
      <c r="AG74" s="306"/>
      <c r="AH74" s="306"/>
      <c r="AI74" s="306"/>
      <c r="AJ74" s="306"/>
      <c r="AK74" s="306"/>
      <c r="AL74" s="306"/>
      <c r="AM74" s="306"/>
      <c r="AN74" s="306"/>
      <c r="AO74" s="365"/>
      <c r="AP74" s="365"/>
      <c r="AQ74" s="364"/>
      <c r="AR74" s="364"/>
      <c r="AS74" s="364"/>
      <c r="AT74" s="364"/>
      <c r="AU74" s="364"/>
      <c r="AV74" s="364"/>
      <c r="AW74" s="364"/>
      <c r="AX74" s="306"/>
      <c r="AY74" s="306"/>
      <c r="AZ74" s="306"/>
      <c r="BA74" s="306"/>
      <c r="BB74" s="306"/>
      <c r="BC74" s="306"/>
      <c r="BD74" s="306"/>
      <c r="BE74" s="306"/>
      <c r="BF74" s="306"/>
      <c r="BG74" s="306"/>
      <c r="BH74" s="306"/>
      <c r="BI74" s="306"/>
      <c r="BJ74" s="408"/>
      <c r="BK74" s="364"/>
      <c r="BL74" s="364"/>
      <c r="BM74" s="364"/>
      <c r="BN74" s="408"/>
      <c r="BO74" s="364"/>
      <c r="BP74" s="408"/>
      <c r="BQ74" s="364"/>
      <c r="BR74" s="408"/>
      <c r="BS74" s="364"/>
      <c r="BT74" s="707"/>
    </row>
    <row r="75" spans="1:72" s="2" customFormat="1" ht="24.9" customHeight="1">
      <c r="A75" s="401"/>
      <c r="B75" s="356"/>
      <c r="C75" s="369"/>
      <c r="D75" s="356"/>
      <c r="E75" s="357"/>
      <c r="F75" s="358"/>
      <c r="G75" s="358"/>
      <c r="H75" s="358"/>
      <c r="I75" s="358"/>
      <c r="J75" s="358"/>
      <c r="K75" s="358"/>
      <c r="L75" s="306"/>
      <c r="M75" s="306"/>
      <c r="N75" s="306"/>
      <c r="O75" s="317"/>
      <c r="P75" s="317"/>
      <c r="Q75" s="317"/>
      <c r="R75" s="307"/>
      <c r="S75" s="307"/>
      <c r="T75" s="307"/>
      <c r="U75" s="307"/>
      <c r="V75" s="307"/>
      <c r="W75" s="307"/>
      <c r="X75" s="307"/>
      <c r="Y75" s="364"/>
      <c r="Z75" s="364"/>
      <c r="AA75" s="306"/>
      <c r="AB75" s="306"/>
      <c r="AC75" s="306"/>
      <c r="AD75" s="306"/>
      <c r="AE75" s="306"/>
      <c r="AF75" s="306"/>
      <c r="AG75" s="306"/>
      <c r="AH75" s="306"/>
      <c r="AI75" s="306"/>
      <c r="AJ75" s="306"/>
      <c r="AK75" s="306"/>
      <c r="AL75" s="306"/>
      <c r="AM75" s="306"/>
      <c r="AN75" s="306"/>
      <c r="AO75" s="365"/>
      <c r="AP75" s="365"/>
      <c r="AQ75" s="364"/>
      <c r="AR75" s="364"/>
      <c r="AS75" s="364"/>
      <c r="AT75" s="364"/>
      <c r="AU75" s="364"/>
      <c r="AV75" s="364"/>
      <c r="AW75" s="364"/>
      <c r="AX75" s="306"/>
      <c r="AY75" s="306"/>
      <c r="AZ75" s="306"/>
      <c r="BA75" s="306"/>
      <c r="BB75" s="306"/>
      <c r="BC75" s="306"/>
      <c r="BD75" s="306"/>
      <c r="BE75" s="306"/>
      <c r="BF75" s="306"/>
      <c r="BG75" s="306"/>
      <c r="BH75" s="306"/>
      <c r="BI75" s="306"/>
      <c r="BJ75" s="408"/>
      <c r="BK75" s="364"/>
      <c r="BL75" s="364"/>
      <c r="BM75" s="364"/>
      <c r="BN75" s="408"/>
      <c r="BO75" s="364"/>
      <c r="BP75" s="408"/>
      <c r="BQ75" s="364"/>
      <c r="BR75" s="408"/>
      <c r="BS75" s="364"/>
      <c r="BT75" s="706"/>
    </row>
    <row r="76" spans="1:72" s="2" customFormat="1" ht="24.9" customHeight="1">
      <c r="A76" s="147"/>
      <c r="B76" s="343"/>
      <c r="C76" s="344"/>
      <c r="D76" s="343"/>
      <c r="E76" s="173"/>
      <c r="F76" s="345"/>
      <c r="G76" s="345"/>
      <c r="H76" s="345"/>
      <c r="I76" s="346"/>
      <c r="J76" s="345"/>
      <c r="K76" s="346"/>
      <c r="L76" s="167"/>
      <c r="M76" s="347"/>
      <c r="N76" s="167"/>
      <c r="O76" s="348"/>
      <c r="P76" s="521"/>
      <c r="Q76" s="521"/>
      <c r="R76" s="308"/>
      <c r="S76" s="349"/>
      <c r="T76" s="350"/>
      <c r="U76" s="308"/>
      <c r="V76" s="349"/>
      <c r="W76" s="349"/>
      <c r="X76" s="417"/>
      <c r="Y76" s="351"/>
      <c r="Z76" s="352"/>
      <c r="AA76" s="167"/>
      <c r="AB76" s="165"/>
      <c r="AC76" s="168"/>
      <c r="AD76" s="505"/>
      <c r="AE76" s="175"/>
      <c r="AF76" s="167"/>
      <c r="AG76" s="168"/>
      <c r="AH76" s="167"/>
      <c r="AI76" s="168"/>
      <c r="AJ76" s="167"/>
      <c r="AK76" s="168"/>
      <c r="AL76" s="167"/>
      <c r="AM76" s="165"/>
      <c r="AN76" s="165"/>
      <c r="AO76" s="353"/>
      <c r="AP76" s="353"/>
      <c r="AQ76" s="149"/>
      <c r="AR76" s="324"/>
      <c r="AS76" s="324"/>
      <c r="AT76" s="324"/>
      <c r="AU76" s="324"/>
      <c r="AV76" s="324"/>
      <c r="AW76" s="324"/>
      <c r="AX76" s="167"/>
      <c r="AY76" s="304"/>
      <c r="AZ76" s="304"/>
      <c r="BA76" s="304"/>
      <c r="BB76" s="304"/>
      <c r="BC76" s="168"/>
      <c r="BD76" s="167"/>
      <c r="BE76" s="304"/>
      <c r="BF76" s="304"/>
      <c r="BG76" s="304"/>
      <c r="BH76" s="304"/>
      <c r="BI76" s="168"/>
      <c r="BJ76" s="170"/>
      <c r="BK76" s="149"/>
      <c r="BL76" s="324"/>
      <c r="BM76" s="324"/>
      <c r="BN76" s="170"/>
      <c r="BO76" s="149"/>
      <c r="BP76" s="170"/>
      <c r="BQ76" s="149"/>
      <c r="BR76" s="170"/>
      <c r="BS76" s="176"/>
      <c r="BT76" s="708"/>
    </row>
    <row r="77" spans="1:72" s="2" customFormat="1" ht="24.9" customHeight="1">
      <c r="A77" s="147"/>
      <c r="B77" s="158"/>
      <c r="C77" s="179"/>
      <c r="D77" s="158"/>
      <c r="E77" s="160"/>
      <c r="F77" s="161"/>
      <c r="G77" s="161"/>
      <c r="H77" s="161"/>
      <c r="I77" s="163"/>
      <c r="J77" s="161"/>
      <c r="K77" s="163"/>
      <c r="L77" s="150"/>
      <c r="M77" s="164"/>
      <c r="N77" s="150"/>
      <c r="O77" s="151"/>
      <c r="P77" s="522"/>
      <c r="Q77" s="522"/>
      <c r="R77" s="154"/>
      <c r="S77" s="155"/>
      <c r="T77" s="156"/>
      <c r="U77" s="154"/>
      <c r="V77" s="155"/>
      <c r="W77" s="155"/>
      <c r="X77" s="419"/>
      <c r="Y77" s="157"/>
      <c r="Z77" s="217"/>
      <c r="AA77" s="150"/>
      <c r="AB77" s="151"/>
      <c r="AC77" s="152"/>
      <c r="AD77" s="506"/>
      <c r="AE77" s="166"/>
      <c r="AF77" s="150"/>
      <c r="AG77" s="152"/>
      <c r="AH77" s="150"/>
      <c r="AI77" s="152"/>
      <c r="AJ77" s="150"/>
      <c r="AK77" s="152"/>
      <c r="AL77" s="150"/>
      <c r="AM77" s="151"/>
      <c r="AN77" s="151"/>
      <c r="AO77" s="169"/>
      <c r="AP77" s="169"/>
      <c r="AQ77" s="149"/>
      <c r="AR77" s="324"/>
      <c r="AS77" s="324"/>
      <c r="AT77" s="324"/>
      <c r="AU77" s="324"/>
      <c r="AV77" s="324"/>
      <c r="AW77" s="324"/>
      <c r="AX77" s="150"/>
      <c r="AY77" s="297"/>
      <c r="AZ77" s="297"/>
      <c r="BA77" s="297"/>
      <c r="BB77" s="297"/>
      <c r="BC77" s="152"/>
      <c r="BD77" s="150"/>
      <c r="BE77" s="297"/>
      <c r="BF77" s="297"/>
      <c r="BG77" s="297"/>
      <c r="BH77" s="297"/>
      <c r="BI77" s="152"/>
      <c r="BJ77" s="170"/>
      <c r="BK77" s="148"/>
      <c r="BL77" s="324"/>
      <c r="BM77" s="324"/>
      <c r="BN77" s="170"/>
      <c r="BO77" s="149"/>
      <c r="BP77" s="170"/>
      <c r="BQ77" s="149"/>
      <c r="BR77" s="170"/>
      <c r="BS77" s="171"/>
      <c r="BT77" s="707"/>
    </row>
    <row r="78" spans="1:72" s="2" customFormat="1" ht="24.9" customHeight="1">
      <c r="A78" s="147"/>
      <c r="B78" s="158"/>
      <c r="C78" s="179"/>
      <c r="D78" s="158"/>
      <c r="E78" s="160"/>
      <c r="F78" s="161"/>
      <c r="G78" s="161"/>
      <c r="H78" s="161"/>
      <c r="I78" s="163"/>
      <c r="J78" s="161"/>
      <c r="K78" s="163"/>
      <c r="L78" s="150"/>
      <c r="M78" s="164"/>
      <c r="N78" s="150"/>
      <c r="O78" s="174"/>
      <c r="P78" s="523"/>
      <c r="Q78" s="523"/>
      <c r="R78" s="154"/>
      <c r="S78" s="155"/>
      <c r="T78" s="156"/>
      <c r="U78" s="154"/>
      <c r="V78" s="155"/>
      <c r="W78" s="155"/>
      <c r="X78" s="419"/>
      <c r="Y78" s="157"/>
      <c r="Z78" s="217"/>
      <c r="AA78" s="150"/>
      <c r="AB78" s="151"/>
      <c r="AC78" s="152"/>
      <c r="AD78" s="506"/>
      <c r="AE78" s="166"/>
      <c r="AF78" s="150"/>
      <c r="AG78" s="152"/>
      <c r="AH78" s="150"/>
      <c r="AI78" s="152"/>
      <c r="AJ78" s="150"/>
      <c r="AK78" s="152"/>
      <c r="AL78" s="150"/>
      <c r="AM78" s="151"/>
      <c r="AN78" s="151"/>
      <c r="AO78" s="169"/>
      <c r="AP78" s="169"/>
      <c r="AQ78" s="149"/>
      <c r="AR78" s="324"/>
      <c r="AS78" s="324"/>
      <c r="AT78" s="324"/>
      <c r="AU78" s="324"/>
      <c r="AV78" s="324"/>
      <c r="AW78" s="324"/>
      <c r="AX78" s="150"/>
      <c r="AY78" s="297"/>
      <c r="AZ78" s="297"/>
      <c r="BA78" s="297"/>
      <c r="BB78" s="297"/>
      <c r="BC78" s="152"/>
      <c r="BD78" s="150"/>
      <c r="BE78" s="297"/>
      <c r="BF78" s="297"/>
      <c r="BG78" s="297"/>
      <c r="BH78" s="297"/>
      <c r="BI78" s="152"/>
      <c r="BJ78" s="170"/>
      <c r="BK78" s="148"/>
      <c r="BL78" s="324"/>
      <c r="BM78" s="324"/>
      <c r="BN78" s="170"/>
      <c r="BO78" s="149"/>
      <c r="BP78" s="170"/>
      <c r="BQ78" s="149"/>
      <c r="BR78" s="170"/>
      <c r="BS78" s="171"/>
      <c r="BT78" s="709"/>
    </row>
    <row r="79" spans="1:72" s="2" customFormat="1" ht="24.9" customHeight="1">
      <c r="A79" s="147"/>
      <c r="B79" s="158"/>
      <c r="C79" s="179"/>
      <c r="D79" s="158"/>
      <c r="E79" s="160"/>
      <c r="F79" s="161"/>
      <c r="G79" s="161"/>
      <c r="H79" s="161"/>
      <c r="I79" s="163"/>
      <c r="J79" s="161"/>
      <c r="K79" s="163"/>
      <c r="L79" s="150"/>
      <c r="M79" s="164"/>
      <c r="N79" s="150"/>
      <c r="O79" s="174"/>
      <c r="P79" s="523"/>
      <c r="Q79" s="523"/>
      <c r="R79" s="154"/>
      <c r="S79" s="155"/>
      <c r="T79" s="156"/>
      <c r="U79" s="154"/>
      <c r="V79" s="155"/>
      <c r="W79" s="155"/>
      <c r="X79" s="419"/>
      <c r="Y79" s="157"/>
      <c r="Z79" s="217"/>
      <c r="AA79" s="150"/>
      <c r="AB79" s="151"/>
      <c r="AC79" s="152"/>
      <c r="AD79" s="506"/>
      <c r="AE79" s="166"/>
      <c r="AF79" s="150"/>
      <c r="AG79" s="152"/>
      <c r="AH79" s="150"/>
      <c r="AI79" s="152"/>
      <c r="AJ79" s="150"/>
      <c r="AK79" s="152"/>
      <c r="AL79" s="150"/>
      <c r="AM79" s="151"/>
      <c r="AN79" s="151"/>
      <c r="AO79" s="169"/>
      <c r="AP79" s="169"/>
      <c r="AQ79" s="149"/>
      <c r="AR79" s="324"/>
      <c r="AS79" s="324"/>
      <c r="AT79" s="324"/>
      <c r="AU79" s="324"/>
      <c r="AV79" s="324"/>
      <c r="AW79" s="324"/>
      <c r="AX79" s="150"/>
      <c r="AY79" s="297"/>
      <c r="AZ79" s="297"/>
      <c r="BA79" s="297"/>
      <c r="BB79" s="297"/>
      <c r="BC79" s="152"/>
      <c r="BD79" s="150"/>
      <c r="BE79" s="297"/>
      <c r="BF79" s="297"/>
      <c r="BG79" s="297"/>
      <c r="BH79" s="297"/>
      <c r="BI79" s="152"/>
      <c r="BJ79" s="170"/>
      <c r="BK79" s="148"/>
      <c r="BL79" s="324"/>
      <c r="BM79" s="324"/>
      <c r="BN79" s="170"/>
      <c r="BO79" s="149"/>
      <c r="BP79" s="170"/>
      <c r="BQ79" s="149"/>
      <c r="BR79" s="170"/>
      <c r="BS79" s="171"/>
      <c r="BT79" s="707"/>
    </row>
    <row r="80" spans="1:72" s="2" customFormat="1" ht="24.9" customHeight="1">
      <c r="A80" s="147"/>
      <c r="B80" s="158"/>
      <c r="C80" s="179"/>
      <c r="D80" s="158"/>
      <c r="E80" s="160"/>
      <c r="F80" s="161"/>
      <c r="G80" s="161"/>
      <c r="H80" s="161"/>
      <c r="I80" s="163"/>
      <c r="J80" s="161"/>
      <c r="K80" s="163"/>
      <c r="L80" s="150"/>
      <c r="M80" s="164"/>
      <c r="N80" s="150"/>
      <c r="O80" s="174"/>
      <c r="P80" s="523"/>
      <c r="Q80" s="523"/>
      <c r="R80" s="154"/>
      <c r="S80" s="155"/>
      <c r="T80" s="156"/>
      <c r="U80" s="154"/>
      <c r="V80" s="155"/>
      <c r="W80" s="155"/>
      <c r="X80" s="419"/>
      <c r="Y80" s="157"/>
      <c r="Z80" s="217"/>
      <c r="AA80" s="150"/>
      <c r="AB80" s="151"/>
      <c r="AC80" s="152"/>
      <c r="AD80" s="506"/>
      <c r="AE80" s="166"/>
      <c r="AF80" s="150"/>
      <c r="AG80" s="152"/>
      <c r="AH80" s="150"/>
      <c r="AI80" s="152"/>
      <c r="AJ80" s="150"/>
      <c r="AK80" s="152"/>
      <c r="AL80" s="150"/>
      <c r="AM80" s="151"/>
      <c r="AN80" s="151"/>
      <c r="AO80" s="169"/>
      <c r="AP80" s="169"/>
      <c r="AQ80" s="149"/>
      <c r="AR80" s="324"/>
      <c r="AS80" s="324"/>
      <c r="AT80" s="324"/>
      <c r="AU80" s="324"/>
      <c r="AV80" s="324"/>
      <c r="AW80" s="324"/>
      <c r="AX80" s="150"/>
      <c r="AY80" s="297"/>
      <c r="AZ80" s="297"/>
      <c r="BA80" s="297"/>
      <c r="BB80" s="297"/>
      <c r="BC80" s="152"/>
      <c r="BD80" s="150"/>
      <c r="BE80" s="297"/>
      <c r="BF80" s="297"/>
      <c r="BG80" s="297"/>
      <c r="BH80" s="297"/>
      <c r="BI80" s="152"/>
      <c r="BJ80" s="170"/>
      <c r="BK80" s="148"/>
      <c r="BL80" s="324"/>
      <c r="BM80" s="324"/>
      <c r="BN80" s="170"/>
      <c r="BO80" s="149"/>
      <c r="BP80" s="170"/>
      <c r="BQ80" s="149"/>
      <c r="BR80" s="170"/>
      <c r="BS80" s="171"/>
      <c r="BT80" s="706"/>
    </row>
    <row r="81" spans="1:72" s="2" customFormat="1" ht="24.9" customHeight="1">
      <c r="A81" s="147"/>
      <c r="B81" s="158"/>
      <c r="C81" s="179"/>
      <c r="D81" s="158"/>
      <c r="E81" s="160"/>
      <c r="F81" s="161"/>
      <c r="G81" s="161"/>
      <c r="H81" s="161"/>
      <c r="I81" s="163"/>
      <c r="J81" s="161"/>
      <c r="K81" s="163"/>
      <c r="L81" s="150"/>
      <c r="M81" s="164"/>
      <c r="N81" s="150"/>
      <c r="O81" s="174"/>
      <c r="P81" s="523"/>
      <c r="Q81" s="523"/>
      <c r="R81" s="154"/>
      <c r="S81" s="155"/>
      <c r="T81" s="156"/>
      <c r="U81" s="154"/>
      <c r="V81" s="155"/>
      <c r="W81" s="155"/>
      <c r="X81" s="419"/>
      <c r="Y81" s="157"/>
      <c r="Z81" s="217"/>
      <c r="AA81" s="150"/>
      <c r="AB81" s="151"/>
      <c r="AC81" s="152"/>
      <c r="AD81" s="506"/>
      <c r="AE81" s="166"/>
      <c r="AF81" s="150"/>
      <c r="AG81" s="152"/>
      <c r="AH81" s="150"/>
      <c r="AI81" s="152"/>
      <c r="AJ81" s="150"/>
      <c r="AK81" s="152"/>
      <c r="AL81" s="150"/>
      <c r="AM81" s="151"/>
      <c r="AN81" s="151"/>
      <c r="AO81" s="169"/>
      <c r="AP81" s="169"/>
      <c r="AQ81" s="149"/>
      <c r="AR81" s="324"/>
      <c r="AS81" s="324"/>
      <c r="AT81" s="324"/>
      <c r="AU81" s="324"/>
      <c r="AV81" s="324"/>
      <c r="AW81" s="324"/>
      <c r="AX81" s="150"/>
      <c r="AY81" s="297"/>
      <c r="AZ81" s="297"/>
      <c r="BA81" s="297"/>
      <c r="BB81" s="297"/>
      <c r="BC81" s="152"/>
      <c r="BD81" s="150"/>
      <c r="BE81" s="297"/>
      <c r="BF81" s="297"/>
      <c r="BG81" s="297"/>
      <c r="BH81" s="297"/>
      <c r="BI81" s="152"/>
      <c r="BJ81" s="170"/>
      <c r="BK81" s="148"/>
      <c r="BL81" s="324"/>
      <c r="BM81" s="324"/>
      <c r="BN81" s="170"/>
      <c r="BO81" s="149"/>
      <c r="BP81" s="170"/>
      <c r="BQ81" s="149"/>
      <c r="BR81" s="170"/>
      <c r="BS81" s="171"/>
      <c r="BT81" s="707"/>
    </row>
    <row r="82" spans="1:72" s="2" customFormat="1" ht="24.9" customHeight="1">
      <c r="A82" s="147"/>
      <c r="B82" s="158"/>
      <c r="C82" s="179"/>
      <c r="D82" s="158"/>
      <c r="E82" s="160"/>
      <c r="F82" s="161"/>
      <c r="G82" s="161"/>
      <c r="H82" s="161"/>
      <c r="I82" s="163"/>
      <c r="J82" s="161"/>
      <c r="K82" s="163"/>
      <c r="L82" s="150"/>
      <c r="M82" s="164"/>
      <c r="N82" s="150"/>
      <c r="O82" s="174"/>
      <c r="P82" s="523"/>
      <c r="Q82" s="523"/>
      <c r="R82" s="154"/>
      <c r="S82" s="155"/>
      <c r="T82" s="156"/>
      <c r="U82" s="154"/>
      <c r="V82" s="155"/>
      <c r="W82" s="155"/>
      <c r="X82" s="419"/>
      <c r="Y82" s="157"/>
      <c r="Z82" s="217"/>
      <c r="AA82" s="150"/>
      <c r="AB82" s="151"/>
      <c r="AC82" s="152"/>
      <c r="AD82" s="506"/>
      <c r="AE82" s="166"/>
      <c r="AF82" s="150"/>
      <c r="AG82" s="152"/>
      <c r="AH82" s="150"/>
      <c r="AI82" s="152"/>
      <c r="AJ82" s="150"/>
      <c r="AK82" s="152"/>
      <c r="AL82" s="150"/>
      <c r="AM82" s="151"/>
      <c r="AN82" s="151"/>
      <c r="AO82" s="169"/>
      <c r="AP82" s="169"/>
      <c r="AQ82" s="149"/>
      <c r="AR82" s="324"/>
      <c r="AS82" s="324"/>
      <c r="AT82" s="324"/>
      <c r="AU82" s="324"/>
      <c r="AV82" s="324"/>
      <c r="AW82" s="324"/>
      <c r="AX82" s="150"/>
      <c r="AY82" s="297"/>
      <c r="AZ82" s="297"/>
      <c r="BA82" s="297"/>
      <c r="BB82" s="297"/>
      <c r="BC82" s="152"/>
      <c r="BD82" s="150"/>
      <c r="BE82" s="297"/>
      <c r="BF82" s="297"/>
      <c r="BG82" s="297"/>
      <c r="BH82" s="297"/>
      <c r="BI82" s="152"/>
      <c r="BJ82" s="170"/>
      <c r="BK82" s="148"/>
      <c r="BL82" s="324"/>
      <c r="BM82" s="324"/>
      <c r="BN82" s="170"/>
      <c r="BO82" s="149"/>
      <c r="BP82" s="170"/>
      <c r="BQ82" s="149"/>
      <c r="BR82" s="170"/>
      <c r="BS82" s="171"/>
      <c r="BT82" s="706"/>
    </row>
    <row r="83" spans="1:72" s="2" customFormat="1" ht="24.9" customHeight="1">
      <c r="A83" s="147"/>
      <c r="B83" s="158"/>
      <c r="C83" s="179"/>
      <c r="D83" s="158"/>
      <c r="E83" s="160"/>
      <c r="F83" s="161"/>
      <c r="G83" s="161"/>
      <c r="H83" s="161"/>
      <c r="I83" s="163"/>
      <c r="J83" s="161"/>
      <c r="K83" s="163"/>
      <c r="L83" s="150"/>
      <c r="M83" s="164"/>
      <c r="N83" s="150"/>
      <c r="O83" s="174"/>
      <c r="P83" s="523"/>
      <c r="Q83" s="523"/>
      <c r="R83" s="154"/>
      <c r="S83" s="155"/>
      <c r="T83" s="156"/>
      <c r="U83" s="154"/>
      <c r="V83" s="155"/>
      <c r="W83" s="155"/>
      <c r="X83" s="419"/>
      <c r="Y83" s="157"/>
      <c r="Z83" s="217"/>
      <c r="AA83" s="150"/>
      <c r="AB83" s="151"/>
      <c r="AC83" s="152"/>
      <c r="AD83" s="506"/>
      <c r="AE83" s="166"/>
      <c r="AF83" s="150"/>
      <c r="AG83" s="152"/>
      <c r="AH83" s="150"/>
      <c r="AI83" s="152"/>
      <c r="AJ83" s="150"/>
      <c r="AK83" s="152"/>
      <c r="AL83" s="150"/>
      <c r="AM83" s="151"/>
      <c r="AN83" s="151"/>
      <c r="AO83" s="169"/>
      <c r="AP83" s="169"/>
      <c r="AQ83" s="149"/>
      <c r="AR83" s="324"/>
      <c r="AS83" s="324"/>
      <c r="AT83" s="324"/>
      <c r="AU83" s="324"/>
      <c r="AV83" s="324"/>
      <c r="AW83" s="324"/>
      <c r="AX83" s="150"/>
      <c r="AY83" s="297"/>
      <c r="AZ83" s="297"/>
      <c r="BA83" s="297"/>
      <c r="BB83" s="297"/>
      <c r="BC83" s="152"/>
      <c r="BD83" s="150"/>
      <c r="BE83" s="297"/>
      <c r="BF83" s="297"/>
      <c r="BG83" s="297"/>
      <c r="BH83" s="297"/>
      <c r="BI83" s="152"/>
      <c r="BJ83" s="170"/>
      <c r="BK83" s="148"/>
      <c r="BL83" s="324"/>
      <c r="BM83" s="324"/>
      <c r="BN83" s="170"/>
      <c r="BO83" s="149"/>
      <c r="BP83" s="170"/>
      <c r="BQ83" s="149"/>
      <c r="BR83" s="170"/>
      <c r="BS83" s="171"/>
      <c r="BT83" s="708"/>
    </row>
    <row r="84" spans="1:72" s="2" customFormat="1" ht="24.9" customHeight="1">
      <c r="A84" s="147"/>
      <c r="B84" s="158"/>
      <c r="C84" s="179"/>
      <c r="D84" s="158"/>
      <c r="E84" s="160"/>
      <c r="F84" s="161"/>
      <c r="G84" s="161"/>
      <c r="H84" s="161"/>
      <c r="I84" s="163"/>
      <c r="J84" s="161"/>
      <c r="K84" s="163"/>
      <c r="L84" s="150"/>
      <c r="M84" s="164"/>
      <c r="N84" s="150"/>
      <c r="O84" s="151"/>
      <c r="P84" s="522"/>
      <c r="Q84" s="522"/>
      <c r="R84" s="154"/>
      <c r="S84" s="155"/>
      <c r="T84" s="156"/>
      <c r="U84" s="154"/>
      <c r="V84" s="155"/>
      <c r="W84" s="155"/>
      <c r="X84" s="419"/>
      <c r="Y84" s="157"/>
      <c r="Z84" s="217"/>
      <c r="AA84" s="150"/>
      <c r="AB84" s="151"/>
      <c r="AC84" s="152"/>
      <c r="AD84" s="506"/>
      <c r="AE84" s="166"/>
      <c r="AF84" s="150"/>
      <c r="AG84" s="152"/>
      <c r="AH84" s="150"/>
      <c r="AI84" s="152"/>
      <c r="AJ84" s="150"/>
      <c r="AK84" s="152"/>
      <c r="AL84" s="150"/>
      <c r="AM84" s="151"/>
      <c r="AN84" s="151"/>
      <c r="AO84" s="169"/>
      <c r="AP84" s="169"/>
      <c r="AQ84" s="149"/>
      <c r="AR84" s="324"/>
      <c r="AS84" s="324"/>
      <c r="AT84" s="324"/>
      <c r="AU84" s="324"/>
      <c r="AV84" s="324"/>
      <c r="AW84" s="324"/>
      <c r="AX84" s="150"/>
      <c r="AY84" s="297"/>
      <c r="AZ84" s="297"/>
      <c r="BA84" s="297"/>
      <c r="BB84" s="297"/>
      <c r="BC84" s="152"/>
      <c r="BD84" s="150"/>
      <c r="BE84" s="297"/>
      <c r="BF84" s="297"/>
      <c r="BG84" s="297"/>
      <c r="BH84" s="297"/>
      <c r="BI84" s="152"/>
      <c r="BJ84" s="170"/>
      <c r="BK84" s="148"/>
      <c r="BL84" s="324"/>
      <c r="BM84" s="324"/>
      <c r="BN84" s="170"/>
      <c r="BO84" s="149"/>
      <c r="BP84" s="170"/>
      <c r="BQ84" s="149"/>
      <c r="BR84" s="170"/>
      <c r="BS84" s="171"/>
      <c r="BT84" s="707"/>
    </row>
    <row r="85" spans="1:72" s="2" customFormat="1" ht="24.9" customHeight="1">
      <c r="A85" s="147"/>
      <c r="B85" s="158"/>
      <c r="C85" s="179"/>
      <c r="D85" s="158"/>
      <c r="E85" s="160"/>
      <c r="F85" s="161"/>
      <c r="G85" s="161"/>
      <c r="H85" s="161"/>
      <c r="I85" s="163"/>
      <c r="J85" s="161"/>
      <c r="K85" s="163"/>
      <c r="L85" s="150"/>
      <c r="M85" s="164"/>
      <c r="N85" s="150"/>
      <c r="O85" s="174"/>
      <c r="P85" s="523"/>
      <c r="Q85" s="523"/>
      <c r="R85" s="154"/>
      <c r="S85" s="155"/>
      <c r="T85" s="156"/>
      <c r="U85" s="154"/>
      <c r="V85" s="155"/>
      <c r="W85" s="155"/>
      <c r="X85" s="419"/>
      <c r="Y85" s="157"/>
      <c r="Z85" s="217"/>
      <c r="AA85" s="150"/>
      <c r="AB85" s="151"/>
      <c r="AC85" s="152"/>
      <c r="AD85" s="506"/>
      <c r="AE85" s="166"/>
      <c r="AF85" s="150"/>
      <c r="AG85" s="152"/>
      <c r="AH85" s="150"/>
      <c r="AI85" s="152"/>
      <c r="AJ85" s="150"/>
      <c r="AK85" s="152"/>
      <c r="AL85" s="150"/>
      <c r="AM85" s="151"/>
      <c r="AN85" s="151"/>
      <c r="AO85" s="169"/>
      <c r="AP85" s="169"/>
      <c r="AQ85" s="149"/>
      <c r="AR85" s="324"/>
      <c r="AS85" s="324"/>
      <c r="AT85" s="324"/>
      <c r="AU85" s="324"/>
      <c r="AV85" s="324"/>
      <c r="AW85" s="324"/>
      <c r="AX85" s="150"/>
      <c r="AY85" s="297"/>
      <c r="AZ85" s="297"/>
      <c r="BA85" s="297"/>
      <c r="BB85" s="297"/>
      <c r="BC85" s="152"/>
      <c r="BD85" s="150"/>
      <c r="BE85" s="297"/>
      <c r="BF85" s="297"/>
      <c r="BG85" s="297"/>
      <c r="BH85" s="297"/>
      <c r="BI85" s="152"/>
      <c r="BJ85" s="170"/>
      <c r="BK85" s="148"/>
      <c r="BL85" s="324"/>
      <c r="BM85" s="324"/>
      <c r="BN85" s="170"/>
      <c r="BO85" s="149"/>
      <c r="BP85" s="170"/>
      <c r="BQ85" s="149"/>
      <c r="BR85" s="170"/>
      <c r="BS85" s="171"/>
      <c r="BT85" s="706"/>
    </row>
    <row r="86" spans="1:72" s="2" customFormat="1" ht="24.9" customHeight="1">
      <c r="A86" s="147"/>
      <c r="B86" s="158"/>
      <c r="C86" s="179"/>
      <c r="D86" s="158"/>
      <c r="E86" s="160"/>
      <c r="F86" s="161"/>
      <c r="G86" s="161"/>
      <c r="H86" s="161"/>
      <c r="I86" s="163"/>
      <c r="J86" s="161"/>
      <c r="K86" s="163"/>
      <c r="L86" s="150"/>
      <c r="M86" s="164"/>
      <c r="N86" s="150"/>
      <c r="O86" s="174"/>
      <c r="P86" s="523"/>
      <c r="Q86" s="523"/>
      <c r="R86" s="154"/>
      <c r="S86" s="155"/>
      <c r="T86" s="156"/>
      <c r="U86" s="154"/>
      <c r="V86" s="155"/>
      <c r="W86" s="155"/>
      <c r="X86" s="419"/>
      <c r="Y86" s="157"/>
      <c r="Z86" s="217"/>
      <c r="AA86" s="150"/>
      <c r="AB86" s="151"/>
      <c r="AC86" s="152"/>
      <c r="AD86" s="506"/>
      <c r="AE86" s="166"/>
      <c r="AF86" s="150"/>
      <c r="AG86" s="152"/>
      <c r="AH86" s="150"/>
      <c r="AI86" s="152"/>
      <c r="AJ86" s="150"/>
      <c r="AK86" s="152"/>
      <c r="AL86" s="150"/>
      <c r="AM86" s="151"/>
      <c r="AN86" s="151"/>
      <c r="AO86" s="169"/>
      <c r="AP86" s="169"/>
      <c r="AQ86" s="149"/>
      <c r="AR86" s="324"/>
      <c r="AS86" s="324"/>
      <c r="AT86" s="324"/>
      <c r="AU86" s="324"/>
      <c r="AV86" s="324"/>
      <c r="AW86" s="324"/>
      <c r="AX86" s="150"/>
      <c r="AY86" s="297"/>
      <c r="AZ86" s="297"/>
      <c r="BA86" s="297"/>
      <c r="BB86" s="297"/>
      <c r="BC86" s="152"/>
      <c r="BD86" s="150"/>
      <c r="BE86" s="297"/>
      <c r="BF86" s="297"/>
      <c r="BG86" s="297"/>
      <c r="BH86" s="297"/>
      <c r="BI86" s="152"/>
      <c r="BJ86" s="170"/>
      <c r="BK86" s="148"/>
      <c r="BL86" s="324"/>
      <c r="BM86" s="324"/>
      <c r="BN86" s="170"/>
      <c r="BO86" s="149"/>
      <c r="BP86" s="170"/>
      <c r="BQ86" s="149"/>
      <c r="BR86" s="170"/>
      <c r="BS86" s="171"/>
      <c r="BT86" s="707"/>
    </row>
    <row r="87" spans="1:72" s="2" customFormat="1" ht="24.9" customHeight="1">
      <c r="A87" s="147"/>
      <c r="B87" s="158"/>
      <c r="C87" s="179"/>
      <c r="D87" s="158"/>
      <c r="E87" s="160"/>
      <c r="F87" s="161"/>
      <c r="G87" s="161"/>
      <c r="H87" s="161"/>
      <c r="I87" s="163"/>
      <c r="J87" s="161"/>
      <c r="K87" s="163"/>
      <c r="L87" s="150"/>
      <c r="M87" s="164"/>
      <c r="N87" s="150"/>
      <c r="O87" s="174"/>
      <c r="P87" s="523"/>
      <c r="Q87" s="523"/>
      <c r="R87" s="154"/>
      <c r="S87" s="155"/>
      <c r="T87" s="156"/>
      <c r="U87" s="154"/>
      <c r="V87" s="155"/>
      <c r="W87" s="155"/>
      <c r="X87" s="419"/>
      <c r="Y87" s="157"/>
      <c r="Z87" s="217"/>
      <c r="AA87" s="150"/>
      <c r="AB87" s="151"/>
      <c r="AC87" s="152"/>
      <c r="AD87" s="506"/>
      <c r="AE87" s="166"/>
      <c r="AF87" s="150"/>
      <c r="AG87" s="152"/>
      <c r="AH87" s="150"/>
      <c r="AI87" s="152"/>
      <c r="AJ87" s="150"/>
      <c r="AK87" s="152"/>
      <c r="AL87" s="150"/>
      <c r="AM87" s="151"/>
      <c r="AN87" s="151"/>
      <c r="AO87" s="169"/>
      <c r="AP87" s="169"/>
      <c r="AQ87" s="149"/>
      <c r="AR87" s="324"/>
      <c r="AS87" s="324"/>
      <c r="AT87" s="324"/>
      <c r="AU87" s="324"/>
      <c r="AV87" s="324"/>
      <c r="AW87" s="324"/>
      <c r="AX87" s="150"/>
      <c r="AY87" s="297"/>
      <c r="AZ87" s="297"/>
      <c r="BA87" s="297"/>
      <c r="BB87" s="297"/>
      <c r="BC87" s="152"/>
      <c r="BD87" s="150"/>
      <c r="BE87" s="297"/>
      <c r="BF87" s="297"/>
      <c r="BG87" s="297"/>
      <c r="BH87" s="297"/>
      <c r="BI87" s="152"/>
      <c r="BJ87" s="170"/>
      <c r="BK87" s="148"/>
      <c r="BL87" s="324"/>
      <c r="BM87" s="324"/>
      <c r="BN87" s="170"/>
      <c r="BO87" s="149"/>
      <c r="BP87" s="170"/>
      <c r="BQ87" s="149"/>
      <c r="BR87" s="170"/>
      <c r="BS87" s="171"/>
      <c r="BT87" s="706"/>
    </row>
    <row r="88" spans="1:72" s="2" customFormat="1" ht="24.9" customHeight="1">
      <c r="A88" s="147"/>
      <c r="B88" s="158"/>
      <c r="C88" s="179"/>
      <c r="D88" s="158"/>
      <c r="E88" s="160"/>
      <c r="F88" s="161"/>
      <c r="G88" s="161"/>
      <c r="H88" s="161"/>
      <c r="I88" s="163"/>
      <c r="J88" s="161"/>
      <c r="K88" s="163"/>
      <c r="L88" s="150"/>
      <c r="M88" s="164"/>
      <c r="N88" s="150"/>
      <c r="O88" s="174"/>
      <c r="P88" s="523"/>
      <c r="Q88" s="523"/>
      <c r="R88" s="154"/>
      <c r="S88" s="155"/>
      <c r="T88" s="156"/>
      <c r="U88" s="154"/>
      <c r="V88" s="155"/>
      <c r="W88" s="155"/>
      <c r="X88" s="419"/>
      <c r="Y88" s="157"/>
      <c r="Z88" s="217"/>
      <c r="AA88" s="150"/>
      <c r="AB88" s="151"/>
      <c r="AC88" s="152"/>
      <c r="AD88" s="506"/>
      <c r="AE88" s="166"/>
      <c r="AF88" s="150"/>
      <c r="AG88" s="152"/>
      <c r="AH88" s="150"/>
      <c r="AI88" s="152"/>
      <c r="AJ88" s="150"/>
      <c r="AK88" s="152"/>
      <c r="AL88" s="150"/>
      <c r="AM88" s="151"/>
      <c r="AN88" s="151"/>
      <c r="AO88" s="169"/>
      <c r="AP88" s="169"/>
      <c r="AQ88" s="149"/>
      <c r="AR88" s="324"/>
      <c r="AS88" s="324"/>
      <c r="AT88" s="324"/>
      <c r="AU88" s="324"/>
      <c r="AV88" s="324"/>
      <c r="AW88" s="324"/>
      <c r="AX88" s="150"/>
      <c r="AY88" s="297"/>
      <c r="AZ88" s="297"/>
      <c r="BA88" s="297"/>
      <c r="BB88" s="297"/>
      <c r="BC88" s="152"/>
      <c r="BD88" s="150"/>
      <c r="BE88" s="297"/>
      <c r="BF88" s="297"/>
      <c r="BG88" s="297"/>
      <c r="BH88" s="297"/>
      <c r="BI88" s="152"/>
      <c r="BJ88" s="170"/>
      <c r="BK88" s="148"/>
      <c r="BL88" s="324"/>
      <c r="BM88" s="324"/>
      <c r="BN88" s="170"/>
      <c r="BO88" s="149"/>
      <c r="BP88" s="170"/>
      <c r="BQ88" s="149"/>
      <c r="BR88" s="170"/>
      <c r="BS88" s="171"/>
      <c r="BT88" s="707"/>
    </row>
    <row r="89" spans="1:72" s="2" customFormat="1" ht="24.9" customHeight="1">
      <c r="A89" s="147"/>
      <c r="B89" s="158"/>
      <c r="C89" s="179"/>
      <c r="D89" s="158"/>
      <c r="E89" s="160"/>
      <c r="F89" s="161"/>
      <c r="G89" s="161"/>
      <c r="H89" s="161"/>
      <c r="I89" s="163"/>
      <c r="J89" s="161"/>
      <c r="K89" s="163"/>
      <c r="L89" s="150"/>
      <c r="M89" s="164"/>
      <c r="N89" s="150"/>
      <c r="O89" s="174"/>
      <c r="P89" s="523"/>
      <c r="Q89" s="523"/>
      <c r="R89" s="154"/>
      <c r="S89" s="155"/>
      <c r="T89" s="156"/>
      <c r="U89" s="154"/>
      <c r="V89" s="155"/>
      <c r="W89" s="155"/>
      <c r="X89" s="419"/>
      <c r="Y89" s="157"/>
      <c r="Z89" s="217"/>
      <c r="AA89" s="150"/>
      <c r="AB89" s="151"/>
      <c r="AC89" s="152"/>
      <c r="AD89" s="506"/>
      <c r="AE89" s="166"/>
      <c r="AF89" s="150"/>
      <c r="AG89" s="152"/>
      <c r="AH89" s="150"/>
      <c r="AI89" s="152"/>
      <c r="AJ89" s="150"/>
      <c r="AK89" s="152"/>
      <c r="AL89" s="150"/>
      <c r="AM89" s="151"/>
      <c r="AN89" s="151"/>
      <c r="AO89" s="169"/>
      <c r="AP89" s="169"/>
      <c r="AQ89" s="149"/>
      <c r="AR89" s="324"/>
      <c r="AS89" s="324"/>
      <c r="AT89" s="324"/>
      <c r="AU89" s="324"/>
      <c r="AV89" s="324"/>
      <c r="AW89" s="324"/>
      <c r="AX89" s="150"/>
      <c r="AY89" s="297"/>
      <c r="AZ89" s="297"/>
      <c r="BA89" s="297"/>
      <c r="BB89" s="297"/>
      <c r="BC89" s="152"/>
      <c r="BD89" s="150"/>
      <c r="BE89" s="297"/>
      <c r="BF89" s="297"/>
      <c r="BG89" s="297"/>
      <c r="BH89" s="297"/>
      <c r="BI89" s="152"/>
      <c r="BJ89" s="170"/>
      <c r="BK89" s="148"/>
      <c r="BL89" s="324"/>
      <c r="BM89" s="324"/>
      <c r="BN89" s="170"/>
      <c r="BO89" s="149"/>
      <c r="BP89" s="170"/>
      <c r="BQ89" s="149"/>
      <c r="BR89" s="170"/>
      <c r="BS89" s="171"/>
      <c r="BT89" s="706"/>
    </row>
    <row r="90" spans="1:72" s="2" customFormat="1" ht="24.9" customHeight="1">
      <c r="A90" s="147"/>
      <c r="B90" s="158"/>
      <c r="C90" s="179"/>
      <c r="D90" s="158"/>
      <c r="E90" s="160"/>
      <c r="F90" s="161"/>
      <c r="G90" s="161"/>
      <c r="H90" s="161"/>
      <c r="I90" s="163"/>
      <c r="J90" s="161"/>
      <c r="K90" s="163"/>
      <c r="L90" s="150"/>
      <c r="M90" s="164"/>
      <c r="N90" s="150"/>
      <c r="O90" s="174"/>
      <c r="P90" s="523"/>
      <c r="Q90" s="523"/>
      <c r="R90" s="154"/>
      <c r="S90" s="155"/>
      <c r="T90" s="156"/>
      <c r="U90" s="154"/>
      <c r="V90" s="155"/>
      <c r="W90" s="155"/>
      <c r="X90" s="419"/>
      <c r="Y90" s="157"/>
      <c r="Z90" s="217"/>
      <c r="AA90" s="150"/>
      <c r="AB90" s="151"/>
      <c r="AC90" s="152"/>
      <c r="AD90" s="506"/>
      <c r="AE90" s="166"/>
      <c r="AF90" s="150"/>
      <c r="AG90" s="152"/>
      <c r="AH90" s="150"/>
      <c r="AI90" s="152"/>
      <c r="AJ90" s="150"/>
      <c r="AK90" s="152"/>
      <c r="AL90" s="150"/>
      <c r="AM90" s="151"/>
      <c r="AN90" s="151"/>
      <c r="AO90" s="169"/>
      <c r="AP90" s="169"/>
      <c r="AQ90" s="149"/>
      <c r="AR90" s="324"/>
      <c r="AS90" s="324"/>
      <c r="AT90" s="324"/>
      <c r="AU90" s="324"/>
      <c r="AV90" s="324"/>
      <c r="AW90" s="324"/>
      <c r="AX90" s="150"/>
      <c r="AY90" s="297"/>
      <c r="AZ90" s="297"/>
      <c r="BA90" s="297"/>
      <c r="BB90" s="297"/>
      <c r="BC90" s="152"/>
      <c r="BD90" s="150"/>
      <c r="BE90" s="297"/>
      <c r="BF90" s="297"/>
      <c r="BG90" s="297"/>
      <c r="BH90" s="297"/>
      <c r="BI90" s="152"/>
      <c r="BJ90" s="170"/>
      <c r="BK90" s="148"/>
      <c r="BL90" s="324"/>
      <c r="BM90" s="324"/>
      <c r="BN90" s="170"/>
      <c r="BO90" s="149"/>
      <c r="BP90" s="170"/>
      <c r="BQ90" s="149"/>
      <c r="BR90" s="170"/>
      <c r="BS90" s="171"/>
      <c r="BT90" s="707"/>
    </row>
    <row r="91" spans="1:72" s="2" customFormat="1" ht="24.9" customHeight="1">
      <c r="A91" s="147"/>
      <c r="B91" s="158"/>
      <c r="C91" s="179"/>
      <c r="D91" s="158"/>
      <c r="E91" s="160"/>
      <c r="F91" s="161"/>
      <c r="G91" s="161"/>
      <c r="H91" s="161"/>
      <c r="I91" s="163"/>
      <c r="J91" s="161"/>
      <c r="K91" s="163"/>
      <c r="L91" s="150"/>
      <c r="M91" s="164"/>
      <c r="N91" s="150"/>
      <c r="O91" s="174"/>
      <c r="P91" s="523"/>
      <c r="Q91" s="523"/>
      <c r="R91" s="154"/>
      <c r="S91" s="155"/>
      <c r="T91" s="156"/>
      <c r="U91" s="154"/>
      <c r="V91" s="155"/>
      <c r="W91" s="155"/>
      <c r="X91" s="419"/>
      <c r="Y91" s="157"/>
      <c r="Z91" s="217"/>
      <c r="AA91" s="150"/>
      <c r="AB91" s="151"/>
      <c r="AC91" s="152"/>
      <c r="AD91" s="506"/>
      <c r="AE91" s="166"/>
      <c r="AF91" s="150"/>
      <c r="AG91" s="152"/>
      <c r="AH91" s="150"/>
      <c r="AI91" s="152"/>
      <c r="AJ91" s="150"/>
      <c r="AK91" s="152"/>
      <c r="AL91" s="150"/>
      <c r="AM91" s="151"/>
      <c r="AN91" s="151"/>
      <c r="AO91" s="169"/>
      <c r="AP91" s="169"/>
      <c r="AQ91" s="149"/>
      <c r="AR91" s="324"/>
      <c r="AS91" s="324"/>
      <c r="AT91" s="324"/>
      <c r="AU91" s="324"/>
      <c r="AV91" s="324"/>
      <c r="AW91" s="324"/>
      <c r="AX91" s="150"/>
      <c r="AY91" s="297"/>
      <c r="AZ91" s="297"/>
      <c r="BA91" s="297"/>
      <c r="BB91" s="297"/>
      <c r="BC91" s="152"/>
      <c r="BD91" s="150"/>
      <c r="BE91" s="297"/>
      <c r="BF91" s="297"/>
      <c r="BG91" s="297"/>
      <c r="BH91" s="297"/>
      <c r="BI91" s="152"/>
      <c r="BJ91" s="170"/>
      <c r="BK91" s="148"/>
      <c r="BL91" s="324"/>
      <c r="BM91" s="324"/>
      <c r="BN91" s="170"/>
      <c r="BO91" s="149"/>
      <c r="BP91" s="170"/>
      <c r="BQ91" s="149"/>
      <c r="BR91" s="170"/>
      <c r="BS91" s="171"/>
      <c r="BT91" s="706"/>
    </row>
    <row r="92" spans="1:72" s="2" customFormat="1" ht="24.9" customHeight="1">
      <c r="A92" s="147"/>
      <c r="B92" s="158"/>
      <c r="C92" s="179"/>
      <c r="D92" s="158"/>
      <c r="E92" s="160"/>
      <c r="F92" s="161"/>
      <c r="G92" s="161"/>
      <c r="H92" s="161"/>
      <c r="I92" s="163"/>
      <c r="J92" s="161"/>
      <c r="K92" s="163"/>
      <c r="L92" s="150"/>
      <c r="M92" s="164"/>
      <c r="N92" s="150"/>
      <c r="O92" s="174"/>
      <c r="P92" s="523"/>
      <c r="Q92" s="523"/>
      <c r="R92" s="154"/>
      <c r="S92" s="155"/>
      <c r="T92" s="156"/>
      <c r="U92" s="154"/>
      <c r="V92" s="155"/>
      <c r="W92" s="155"/>
      <c r="X92" s="419"/>
      <c r="Y92" s="157"/>
      <c r="Z92" s="217"/>
      <c r="AA92" s="150"/>
      <c r="AB92" s="151"/>
      <c r="AC92" s="152"/>
      <c r="AD92" s="506"/>
      <c r="AE92" s="166"/>
      <c r="AF92" s="150"/>
      <c r="AG92" s="152"/>
      <c r="AH92" s="150"/>
      <c r="AI92" s="152"/>
      <c r="AJ92" s="150"/>
      <c r="AK92" s="152"/>
      <c r="AL92" s="150"/>
      <c r="AM92" s="151"/>
      <c r="AN92" s="151"/>
      <c r="AO92" s="169"/>
      <c r="AP92" s="169"/>
      <c r="AQ92" s="149"/>
      <c r="AR92" s="324"/>
      <c r="AS92" s="324"/>
      <c r="AT92" s="324"/>
      <c r="AU92" s="324"/>
      <c r="AV92" s="324"/>
      <c r="AW92" s="324"/>
      <c r="AX92" s="150"/>
      <c r="AY92" s="297"/>
      <c r="AZ92" s="297"/>
      <c r="BA92" s="297"/>
      <c r="BB92" s="297"/>
      <c r="BC92" s="152"/>
      <c r="BD92" s="150"/>
      <c r="BE92" s="297"/>
      <c r="BF92" s="297"/>
      <c r="BG92" s="297"/>
      <c r="BH92" s="297"/>
      <c r="BI92" s="152"/>
      <c r="BJ92" s="170"/>
      <c r="BK92" s="148"/>
      <c r="BL92" s="324"/>
      <c r="BM92" s="324"/>
      <c r="BN92" s="170"/>
      <c r="BO92" s="149"/>
      <c r="BP92" s="170"/>
      <c r="BQ92" s="149"/>
      <c r="BR92" s="170"/>
      <c r="BS92" s="171"/>
      <c r="BT92" s="708"/>
    </row>
    <row r="93" spans="1:72" s="2" customFormat="1" ht="24.9" customHeight="1">
      <c r="A93" s="147"/>
      <c r="B93" s="158"/>
      <c r="C93" s="179"/>
      <c r="D93" s="158"/>
      <c r="E93" s="160"/>
      <c r="F93" s="161"/>
      <c r="G93" s="161"/>
      <c r="H93" s="161"/>
      <c r="I93" s="163"/>
      <c r="J93" s="161"/>
      <c r="K93" s="163"/>
      <c r="L93" s="150"/>
      <c r="M93" s="164"/>
      <c r="N93" s="150"/>
      <c r="O93" s="174"/>
      <c r="P93" s="523"/>
      <c r="Q93" s="523"/>
      <c r="R93" s="154"/>
      <c r="S93" s="155"/>
      <c r="T93" s="156"/>
      <c r="U93" s="154"/>
      <c r="V93" s="155"/>
      <c r="W93" s="155"/>
      <c r="X93" s="419"/>
      <c r="Y93" s="157"/>
      <c r="Z93" s="217"/>
      <c r="AA93" s="150"/>
      <c r="AB93" s="151"/>
      <c r="AC93" s="152"/>
      <c r="AD93" s="506"/>
      <c r="AE93" s="166"/>
      <c r="AF93" s="150"/>
      <c r="AG93" s="152"/>
      <c r="AH93" s="150"/>
      <c r="AI93" s="152"/>
      <c r="AJ93" s="150"/>
      <c r="AK93" s="152"/>
      <c r="AL93" s="150"/>
      <c r="AM93" s="151"/>
      <c r="AN93" s="151"/>
      <c r="AO93" s="169"/>
      <c r="AP93" s="169"/>
      <c r="AQ93" s="149"/>
      <c r="AR93" s="324"/>
      <c r="AS93" s="324"/>
      <c r="AT93" s="324"/>
      <c r="AU93" s="324"/>
      <c r="AV93" s="324"/>
      <c r="AW93" s="324"/>
      <c r="AX93" s="150"/>
      <c r="AY93" s="297"/>
      <c r="AZ93" s="297"/>
      <c r="BA93" s="297"/>
      <c r="BB93" s="297"/>
      <c r="BC93" s="152"/>
      <c r="BD93" s="150"/>
      <c r="BE93" s="297"/>
      <c r="BF93" s="297"/>
      <c r="BG93" s="297"/>
      <c r="BH93" s="297"/>
      <c r="BI93" s="152"/>
      <c r="BJ93" s="170"/>
      <c r="BK93" s="148"/>
      <c r="BL93" s="324"/>
      <c r="BM93" s="324"/>
      <c r="BN93" s="170"/>
      <c r="BO93" s="149"/>
      <c r="BP93" s="170"/>
      <c r="BQ93" s="149"/>
      <c r="BR93" s="170"/>
      <c r="BS93" s="171"/>
      <c r="BT93" s="708"/>
    </row>
    <row r="94" spans="1:72" s="2" customFormat="1" ht="24.9" customHeight="1">
      <c r="A94" s="147"/>
      <c r="B94" s="158"/>
      <c r="C94" s="179"/>
      <c r="D94" s="158"/>
      <c r="E94" s="160"/>
      <c r="F94" s="161"/>
      <c r="G94" s="161"/>
      <c r="H94" s="161"/>
      <c r="I94" s="163"/>
      <c r="J94" s="161"/>
      <c r="K94" s="163"/>
      <c r="L94" s="150"/>
      <c r="M94" s="164"/>
      <c r="N94" s="150"/>
      <c r="O94" s="174"/>
      <c r="P94" s="523"/>
      <c r="Q94" s="523"/>
      <c r="R94" s="154"/>
      <c r="S94" s="155"/>
      <c r="T94" s="156"/>
      <c r="U94" s="154"/>
      <c r="V94" s="155"/>
      <c r="W94" s="155"/>
      <c r="X94" s="419"/>
      <c r="Y94" s="157"/>
      <c r="Z94" s="217"/>
      <c r="AA94" s="150"/>
      <c r="AB94" s="151"/>
      <c r="AC94" s="152"/>
      <c r="AD94" s="506"/>
      <c r="AE94" s="166"/>
      <c r="AF94" s="150"/>
      <c r="AG94" s="152"/>
      <c r="AH94" s="150"/>
      <c r="AI94" s="152"/>
      <c r="AJ94" s="150"/>
      <c r="AK94" s="152"/>
      <c r="AL94" s="150"/>
      <c r="AM94" s="151"/>
      <c r="AN94" s="151"/>
      <c r="AO94" s="169"/>
      <c r="AP94" s="169"/>
      <c r="AQ94" s="149"/>
      <c r="AR94" s="324"/>
      <c r="AS94" s="324"/>
      <c r="AT94" s="324"/>
      <c r="AU94" s="324"/>
      <c r="AV94" s="324"/>
      <c r="AW94" s="324"/>
      <c r="AX94" s="150"/>
      <c r="AY94" s="297"/>
      <c r="AZ94" s="297"/>
      <c r="BA94" s="297"/>
      <c r="BB94" s="297"/>
      <c r="BC94" s="152"/>
      <c r="BD94" s="150"/>
      <c r="BE94" s="297"/>
      <c r="BF94" s="297"/>
      <c r="BG94" s="297"/>
      <c r="BH94" s="297"/>
      <c r="BI94" s="152"/>
      <c r="BJ94" s="170"/>
      <c r="BK94" s="148"/>
      <c r="BL94" s="324"/>
      <c r="BM94" s="324"/>
      <c r="BN94" s="170"/>
      <c r="BO94" s="149"/>
      <c r="BP94" s="170"/>
      <c r="BQ94" s="149"/>
      <c r="BR94" s="170"/>
      <c r="BS94" s="171"/>
      <c r="BT94" s="707"/>
    </row>
    <row r="95" spans="1:72" s="2" customFormat="1" ht="24.9" customHeight="1">
      <c r="A95" s="147"/>
      <c r="B95" s="158"/>
      <c r="C95" s="179"/>
      <c r="D95" s="158"/>
      <c r="E95" s="160"/>
      <c r="F95" s="161"/>
      <c r="G95" s="161"/>
      <c r="H95" s="161"/>
      <c r="I95" s="163"/>
      <c r="J95" s="161"/>
      <c r="K95" s="163"/>
      <c r="L95" s="150"/>
      <c r="M95" s="164"/>
      <c r="N95" s="150"/>
      <c r="O95" s="174"/>
      <c r="P95" s="523"/>
      <c r="Q95" s="523"/>
      <c r="R95" s="154"/>
      <c r="S95" s="155"/>
      <c r="T95" s="156"/>
      <c r="U95" s="154"/>
      <c r="V95" s="155"/>
      <c r="W95" s="155"/>
      <c r="X95" s="419"/>
      <c r="Y95" s="157"/>
      <c r="Z95" s="217"/>
      <c r="AA95" s="150"/>
      <c r="AB95" s="151"/>
      <c r="AC95" s="152"/>
      <c r="AD95" s="506"/>
      <c r="AE95" s="166"/>
      <c r="AF95" s="150"/>
      <c r="AG95" s="152"/>
      <c r="AH95" s="150"/>
      <c r="AI95" s="152"/>
      <c r="AJ95" s="150"/>
      <c r="AK95" s="152"/>
      <c r="AL95" s="150"/>
      <c r="AM95" s="151"/>
      <c r="AN95" s="151"/>
      <c r="AO95" s="169"/>
      <c r="AP95" s="169"/>
      <c r="AQ95" s="149"/>
      <c r="AR95" s="324"/>
      <c r="AS95" s="324"/>
      <c r="AT95" s="324"/>
      <c r="AU95" s="324"/>
      <c r="AV95" s="324"/>
      <c r="AW95" s="324"/>
      <c r="AX95" s="150"/>
      <c r="AY95" s="297"/>
      <c r="AZ95" s="297"/>
      <c r="BA95" s="297"/>
      <c r="BB95" s="297"/>
      <c r="BC95" s="152"/>
      <c r="BD95" s="150"/>
      <c r="BE95" s="297"/>
      <c r="BF95" s="297"/>
      <c r="BG95" s="297"/>
      <c r="BH95" s="297"/>
      <c r="BI95" s="152"/>
      <c r="BJ95" s="170"/>
      <c r="BK95" s="148"/>
      <c r="BL95" s="324"/>
      <c r="BM95" s="324"/>
      <c r="BN95" s="170"/>
      <c r="BO95" s="149"/>
      <c r="BP95" s="170"/>
      <c r="BQ95" s="149"/>
      <c r="BR95" s="170"/>
      <c r="BS95" s="171"/>
      <c r="BT95" s="706"/>
    </row>
    <row r="96" spans="1:72" s="2" customFormat="1" ht="24.9" customHeight="1">
      <c r="A96" s="147"/>
      <c r="B96" s="158"/>
      <c r="C96" s="179"/>
      <c r="D96" s="158"/>
      <c r="E96" s="160"/>
      <c r="F96" s="161"/>
      <c r="G96" s="161"/>
      <c r="H96" s="161"/>
      <c r="I96" s="163"/>
      <c r="J96" s="161"/>
      <c r="K96" s="163"/>
      <c r="L96" s="150"/>
      <c r="M96" s="164"/>
      <c r="N96" s="150"/>
      <c r="O96" s="174"/>
      <c r="P96" s="523"/>
      <c r="Q96" s="523"/>
      <c r="R96" s="154"/>
      <c r="S96" s="155"/>
      <c r="T96" s="156"/>
      <c r="U96" s="154"/>
      <c r="V96" s="155"/>
      <c r="W96" s="155"/>
      <c r="X96" s="419"/>
      <c r="Y96" s="157"/>
      <c r="Z96" s="217"/>
      <c r="AA96" s="150"/>
      <c r="AB96" s="151"/>
      <c r="AC96" s="152"/>
      <c r="AD96" s="506"/>
      <c r="AE96" s="166"/>
      <c r="AF96" s="150"/>
      <c r="AG96" s="152"/>
      <c r="AH96" s="150"/>
      <c r="AI96" s="152"/>
      <c r="AJ96" s="150"/>
      <c r="AK96" s="152"/>
      <c r="AL96" s="150"/>
      <c r="AM96" s="151"/>
      <c r="AN96" s="151"/>
      <c r="AO96" s="169"/>
      <c r="AP96" s="169"/>
      <c r="AQ96" s="149"/>
      <c r="AR96" s="324"/>
      <c r="AS96" s="324"/>
      <c r="AT96" s="324"/>
      <c r="AU96" s="324"/>
      <c r="AV96" s="324"/>
      <c r="AW96" s="324"/>
      <c r="AX96" s="150"/>
      <c r="AY96" s="297"/>
      <c r="AZ96" s="297"/>
      <c r="BA96" s="297"/>
      <c r="BB96" s="297"/>
      <c r="BC96" s="152"/>
      <c r="BD96" s="150"/>
      <c r="BE96" s="297"/>
      <c r="BF96" s="297"/>
      <c r="BG96" s="297"/>
      <c r="BH96" s="297"/>
      <c r="BI96" s="152"/>
      <c r="BJ96" s="170"/>
      <c r="BK96" s="148"/>
      <c r="BL96" s="324"/>
      <c r="BM96" s="324"/>
      <c r="BN96" s="170"/>
      <c r="BO96" s="149"/>
      <c r="BP96" s="170"/>
      <c r="BQ96" s="149"/>
      <c r="BR96" s="170"/>
      <c r="BS96" s="171"/>
      <c r="BT96" s="707"/>
    </row>
    <row r="97" spans="1:72" s="2" customFormat="1" ht="24.9" customHeight="1">
      <c r="A97" s="147"/>
      <c r="B97" s="158"/>
      <c r="C97" s="179"/>
      <c r="D97" s="158"/>
      <c r="E97" s="160"/>
      <c r="F97" s="161"/>
      <c r="G97" s="161"/>
      <c r="H97" s="161"/>
      <c r="I97" s="163"/>
      <c r="J97" s="161"/>
      <c r="K97" s="163"/>
      <c r="L97" s="150"/>
      <c r="M97" s="164"/>
      <c r="N97" s="150"/>
      <c r="O97" s="174"/>
      <c r="P97" s="523"/>
      <c r="Q97" s="523"/>
      <c r="R97" s="154"/>
      <c r="S97" s="155"/>
      <c r="T97" s="156"/>
      <c r="U97" s="154"/>
      <c r="V97" s="155"/>
      <c r="W97" s="155"/>
      <c r="X97" s="419"/>
      <c r="Y97" s="157"/>
      <c r="Z97" s="217"/>
      <c r="AA97" s="150"/>
      <c r="AB97" s="151"/>
      <c r="AC97" s="152"/>
      <c r="AD97" s="506"/>
      <c r="AE97" s="166"/>
      <c r="AF97" s="150"/>
      <c r="AG97" s="152"/>
      <c r="AH97" s="150"/>
      <c r="AI97" s="152"/>
      <c r="AJ97" s="150"/>
      <c r="AK97" s="152"/>
      <c r="AL97" s="150"/>
      <c r="AM97" s="151"/>
      <c r="AN97" s="151"/>
      <c r="AO97" s="169"/>
      <c r="AP97" s="169"/>
      <c r="AQ97" s="149"/>
      <c r="AR97" s="324"/>
      <c r="AS97" s="324"/>
      <c r="AT97" s="324"/>
      <c r="AU97" s="324"/>
      <c r="AV97" s="324"/>
      <c r="AW97" s="324"/>
      <c r="AX97" s="150"/>
      <c r="AY97" s="297"/>
      <c r="AZ97" s="297"/>
      <c r="BA97" s="297"/>
      <c r="BB97" s="297"/>
      <c r="BC97" s="152"/>
      <c r="BD97" s="150"/>
      <c r="BE97" s="297"/>
      <c r="BF97" s="297"/>
      <c r="BG97" s="297"/>
      <c r="BH97" s="297"/>
      <c r="BI97" s="152"/>
      <c r="BJ97" s="170"/>
      <c r="BK97" s="148"/>
      <c r="BL97" s="324"/>
      <c r="BM97" s="324"/>
      <c r="BN97" s="170"/>
      <c r="BO97" s="149"/>
      <c r="BP97" s="170"/>
      <c r="BQ97" s="149"/>
      <c r="BR97" s="170"/>
      <c r="BS97" s="171"/>
      <c r="BT97" s="706"/>
    </row>
    <row r="98" spans="1:72" s="2" customFormat="1" ht="24.9" customHeight="1">
      <c r="A98" s="147"/>
      <c r="B98" s="158"/>
      <c r="C98" s="179"/>
      <c r="D98" s="158"/>
      <c r="E98" s="160"/>
      <c r="F98" s="161"/>
      <c r="G98" s="161"/>
      <c r="H98" s="161"/>
      <c r="I98" s="163"/>
      <c r="J98" s="161"/>
      <c r="K98" s="163"/>
      <c r="L98" s="150"/>
      <c r="M98" s="164"/>
      <c r="N98" s="150"/>
      <c r="O98" s="174"/>
      <c r="P98" s="523"/>
      <c r="Q98" s="523"/>
      <c r="R98" s="154"/>
      <c r="S98" s="155"/>
      <c r="T98" s="156"/>
      <c r="U98" s="154"/>
      <c r="V98" s="155"/>
      <c r="W98" s="155"/>
      <c r="X98" s="419"/>
      <c r="Y98" s="157"/>
      <c r="Z98" s="217"/>
      <c r="AA98" s="150"/>
      <c r="AB98" s="151"/>
      <c r="AC98" s="152"/>
      <c r="AD98" s="506"/>
      <c r="AE98" s="166"/>
      <c r="AF98" s="150"/>
      <c r="AG98" s="152"/>
      <c r="AH98" s="150"/>
      <c r="AI98" s="152"/>
      <c r="AJ98" s="150"/>
      <c r="AK98" s="152"/>
      <c r="AL98" s="150"/>
      <c r="AM98" s="151"/>
      <c r="AN98" s="151"/>
      <c r="AO98" s="169"/>
      <c r="AP98" s="169"/>
      <c r="AQ98" s="149"/>
      <c r="AR98" s="324"/>
      <c r="AS98" s="324"/>
      <c r="AT98" s="324"/>
      <c r="AU98" s="324"/>
      <c r="AV98" s="324"/>
      <c r="AW98" s="324"/>
      <c r="AX98" s="150"/>
      <c r="AY98" s="297"/>
      <c r="AZ98" s="297"/>
      <c r="BA98" s="297"/>
      <c r="BB98" s="297"/>
      <c r="BC98" s="152"/>
      <c r="BD98" s="150"/>
      <c r="BE98" s="297"/>
      <c r="BF98" s="297"/>
      <c r="BG98" s="297"/>
      <c r="BH98" s="297"/>
      <c r="BI98" s="152"/>
      <c r="BJ98" s="170"/>
      <c r="BK98" s="148"/>
      <c r="BL98" s="324"/>
      <c r="BM98" s="324"/>
      <c r="BN98" s="170"/>
      <c r="BO98" s="149"/>
      <c r="BP98" s="170"/>
      <c r="BQ98" s="149"/>
      <c r="BR98" s="170"/>
      <c r="BS98" s="171"/>
      <c r="BT98" s="708"/>
    </row>
    <row r="99" spans="1:72" s="2" customFormat="1" ht="24.9" customHeight="1">
      <c r="A99" s="147"/>
      <c r="B99" s="158"/>
      <c r="C99" s="179"/>
      <c r="D99" s="158"/>
      <c r="E99" s="160"/>
      <c r="F99" s="161"/>
      <c r="G99" s="161"/>
      <c r="H99" s="161"/>
      <c r="I99" s="163"/>
      <c r="J99" s="161"/>
      <c r="K99" s="163"/>
      <c r="L99" s="150"/>
      <c r="M99" s="164"/>
      <c r="N99" s="150"/>
      <c r="O99" s="174"/>
      <c r="P99" s="523"/>
      <c r="Q99" s="523"/>
      <c r="R99" s="154"/>
      <c r="S99" s="155"/>
      <c r="T99" s="156"/>
      <c r="U99" s="154"/>
      <c r="V99" s="155"/>
      <c r="W99" s="155"/>
      <c r="X99" s="419"/>
      <c r="Y99" s="157"/>
      <c r="Z99" s="217"/>
      <c r="AA99" s="150"/>
      <c r="AB99" s="151"/>
      <c r="AC99" s="152"/>
      <c r="AD99" s="506"/>
      <c r="AE99" s="166"/>
      <c r="AF99" s="150"/>
      <c r="AG99" s="152"/>
      <c r="AH99" s="150"/>
      <c r="AI99" s="152"/>
      <c r="AJ99" s="150"/>
      <c r="AK99" s="152"/>
      <c r="AL99" s="150"/>
      <c r="AM99" s="151"/>
      <c r="AN99" s="151"/>
      <c r="AO99" s="169"/>
      <c r="AP99" s="169"/>
      <c r="AQ99" s="149"/>
      <c r="AR99" s="324"/>
      <c r="AS99" s="324"/>
      <c r="AT99" s="324"/>
      <c r="AU99" s="324"/>
      <c r="AV99" s="324"/>
      <c r="AW99" s="324"/>
      <c r="AX99" s="150"/>
      <c r="AY99" s="297"/>
      <c r="AZ99" s="297"/>
      <c r="BA99" s="297"/>
      <c r="BB99" s="297"/>
      <c r="BC99" s="152"/>
      <c r="BD99" s="150"/>
      <c r="BE99" s="297"/>
      <c r="BF99" s="297"/>
      <c r="BG99" s="297"/>
      <c r="BH99" s="297"/>
      <c r="BI99" s="152"/>
      <c r="BJ99" s="170"/>
      <c r="BK99" s="148"/>
      <c r="BL99" s="324"/>
      <c r="BM99" s="324"/>
      <c r="BN99" s="170"/>
      <c r="BO99" s="149"/>
      <c r="BP99" s="170"/>
      <c r="BQ99" s="149"/>
      <c r="BR99" s="170"/>
      <c r="BS99" s="171"/>
      <c r="BT99" s="707"/>
    </row>
    <row r="100" spans="1:72" s="2" customFormat="1" ht="24.9" customHeight="1">
      <c r="A100" s="147"/>
      <c r="B100" s="158"/>
      <c r="C100" s="179"/>
      <c r="D100" s="158"/>
      <c r="E100" s="160"/>
      <c r="F100" s="161"/>
      <c r="G100" s="161"/>
      <c r="H100" s="161"/>
      <c r="I100" s="163"/>
      <c r="J100" s="161"/>
      <c r="K100" s="163"/>
      <c r="L100" s="150"/>
      <c r="M100" s="164"/>
      <c r="N100" s="150"/>
      <c r="O100" s="174"/>
      <c r="P100" s="523"/>
      <c r="Q100" s="523"/>
      <c r="R100" s="154"/>
      <c r="S100" s="155"/>
      <c r="T100" s="156"/>
      <c r="U100" s="154"/>
      <c r="V100" s="155"/>
      <c r="W100" s="155"/>
      <c r="X100" s="419"/>
      <c r="Y100" s="157"/>
      <c r="Z100" s="217"/>
      <c r="AA100" s="150"/>
      <c r="AB100" s="151"/>
      <c r="AC100" s="152"/>
      <c r="AD100" s="506"/>
      <c r="AE100" s="166"/>
      <c r="AF100" s="150"/>
      <c r="AG100" s="152"/>
      <c r="AH100" s="150"/>
      <c r="AI100" s="152"/>
      <c r="AJ100" s="150"/>
      <c r="AK100" s="152"/>
      <c r="AL100" s="150"/>
      <c r="AM100" s="151"/>
      <c r="AN100" s="151"/>
      <c r="AO100" s="169"/>
      <c r="AP100" s="169"/>
      <c r="AQ100" s="149"/>
      <c r="AR100" s="324"/>
      <c r="AS100" s="324"/>
      <c r="AT100" s="324"/>
      <c r="AU100" s="324"/>
      <c r="AV100" s="324"/>
      <c r="AW100" s="324"/>
      <c r="AX100" s="150"/>
      <c r="AY100" s="297"/>
      <c r="AZ100" s="297"/>
      <c r="BA100" s="297"/>
      <c r="BB100" s="297"/>
      <c r="BC100" s="152"/>
      <c r="BD100" s="150"/>
      <c r="BE100" s="297"/>
      <c r="BF100" s="297"/>
      <c r="BG100" s="297"/>
      <c r="BH100" s="297"/>
      <c r="BI100" s="152"/>
      <c r="BJ100" s="170"/>
      <c r="BK100" s="148"/>
      <c r="BL100" s="324"/>
      <c r="BM100" s="324"/>
      <c r="BN100" s="170"/>
      <c r="BO100" s="149"/>
      <c r="BP100" s="170"/>
      <c r="BQ100" s="149"/>
      <c r="BR100" s="170"/>
      <c r="BS100" s="171"/>
      <c r="BT100" s="706"/>
    </row>
    <row r="101" spans="1:72" s="2" customFormat="1" ht="24.9" customHeight="1">
      <c r="A101" s="147"/>
      <c r="B101" s="158"/>
      <c r="C101" s="179"/>
      <c r="D101" s="158"/>
      <c r="E101" s="160"/>
      <c r="F101" s="161"/>
      <c r="G101" s="161"/>
      <c r="H101" s="161"/>
      <c r="I101" s="163"/>
      <c r="J101" s="161"/>
      <c r="K101" s="163"/>
      <c r="L101" s="150"/>
      <c r="M101" s="164"/>
      <c r="N101" s="150"/>
      <c r="O101" s="174"/>
      <c r="P101" s="523"/>
      <c r="Q101" s="523"/>
      <c r="R101" s="154"/>
      <c r="S101" s="155"/>
      <c r="T101" s="156"/>
      <c r="U101" s="154"/>
      <c r="V101" s="155"/>
      <c r="W101" s="155"/>
      <c r="X101" s="419"/>
      <c r="Y101" s="157"/>
      <c r="Z101" s="217"/>
      <c r="AA101" s="150"/>
      <c r="AB101" s="151"/>
      <c r="AC101" s="152"/>
      <c r="AD101" s="506"/>
      <c r="AE101" s="166"/>
      <c r="AF101" s="150"/>
      <c r="AG101" s="152"/>
      <c r="AH101" s="150"/>
      <c r="AI101" s="152"/>
      <c r="AJ101" s="150"/>
      <c r="AK101" s="152"/>
      <c r="AL101" s="150"/>
      <c r="AM101" s="151"/>
      <c r="AN101" s="151"/>
      <c r="AO101" s="169"/>
      <c r="AP101" s="169"/>
      <c r="AQ101" s="149"/>
      <c r="AR101" s="324"/>
      <c r="AS101" s="324"/>
      <c r="AT101" s="324"/>
      <c r="AU101" s="324"/>
      <c r="AV101" s="324"/>
      <c r="AW101" s="324"/>
      <c r="AX101" s="150"/>
      <c r="AY101" s="297"/>
      <c r="AZ101" s="297"/>
      <c r="BA101" s="297"/>
      <c r="BB101" s="297"/>
      <c r="BC101" s="152"/>
      <c r="BD101" s="150"/>
      <c r="BE101" s="297"/>
      <c r="BF101" s="297"/>
      <c r="BG101" s="297"/>
      <c r="BH101" s="297"/>
      <c r="BI101" s="152"/>
      <c r="BJ101" s="170"/>
      <c r="BK101" s="148"/>
      <c r="BL101" s="324"/>
      <c r="BM101" s="324"/>
      <c r="BN101" s="170"/>
      <c r="BO101" s="149"/>
      <c r="BP101" s="170"/>
      <c r="BQ101" s="149"/>
      <c r="BR101" s="170"/>
      <c r="BS101" s="171"/>
      <c r="BT101" s="707"/>
    </row>
    <row r="102" spans="1:72" s="2" customFormat="1" ht="24.9" customHeight="1">
      <c r="A102" s="147"/>
      <c r="B102" s="158"/>
      <c r="C102" s="179"/>
      <c r="D102" s="158"/>
      <c r="E102" s="160"/>
      <c r="F102" s="161"/>
      <c r="G102" s="161"/>
      <c r="H102" s="161"/>
      <c r="I102" s="163"/>
      <c r="J102" s="161"/>
      <c r="K102" s="163"/>
      <c r="L102" s="150"/>
      <c r="M102" s="164"/>
      <c r="N102" s="150"/>
      <c r="O102" s="174"/>
      <c r="P102" s="523"/>
      <c r="Q102" s="523"/>
      <c r="R102" s="154"/>
      <c r="S102" s="155"/>
      <c r="T102" s="156"/>
      <c r="U102" s="154"/>
      <c r="V102" s="155"/>
      <c r="W102" s="155"/>
      <c r="X102" s="419"/>
      <c r="Y102" s="157"/>
      <c r="Z102" s="217"/>
      <c r="AA102" s="150"/>
      <c r="AB102" s="151"/>
      <c r="AC102" s="152"/>
      <c r="AD102" s="506"/>
      <c r="AE102" s="166"/>
      <c r="AF102" s="150"/>
      <c r="AG102" s="152"/>
      <c r="AH102" s="150"/>
      <c r="AI102" s="152"/>
      <c r="AJ102" s="150"/>
      <c r="AK102" s="152"/>
      <c r="AL102" s="150"/>
      <c r="AM102" s="151"/>
      <c r="AN102" s="151"/>
      <c r="AO102" s="169"/>
      <c r="AP102" s="169"/>
      <c r="AQ102" s="149"/>
      <c r="AR102" s="324"/>
      <c r="AS102" s="324"/>
      <c r="AT102" s="324"/>
      <c r="AU102" s="324"/>
      <c r="AV102" s="324"/>
      <c r="AW102" s="324"/>
      <c r="AX102" s="150"/>
      <c r="AY102" s="297"/>
      <c r="AZ102" s="297"/>
      <c r="BA102" s="297"/>
      <c r="BB102" s="297"/>
      <c r="BC102" s="152"/>
      <c r="BD102" s="150"/>
      <c r="BE102" s="297"/>
      <c r="BF102" s="297"/>
      <c r="BG102" s="297"/>
      <c r="BH102" s="297"/>
      <c r="BI102" s="152"/>
      <c r="BJ102" s="170"/>
      <c r="BK102" s="148"/>
      <c r="BL102" s="324"/>
      <c r="BM102" s="324"/>
      <c r="BN102" s="170"/>
      <c r="BO102" s="149"/>
      <c r="BP102" s="170"/>
      <c r="BQ102" s="149"/>
      <c r="BR102" s="170"/>
      <c r="BS102" s="171"/>
      <c r="BT102" s="706"/>
    </row>
    <row r="103" spans="1:72" s="2" customFormat="1" ht="24.9" customHeight="1">
      <c r="A103" s="147"/>
      <c r="B103" s="158"/>
      <c r="C103" s="179"/>
      <c r="D103" s="158"/>
      <c r="E103" s="160"/>
      <c r="F103" s="161"/>
      <c r="G103" s="161"/>
      <c r="H103" s="161"/>
      <c r="I103" s="163"/>
      <c r="J103" s="161"/>
      <c r="K103" s="163"/>
      <c r="L103" s="150"/>
      <c r="M103" s="164"/>
      <c r="N103" s="150"/>
      <c r="O103" s="174"/>
      <c r="P103" s="523"/>
      <c r="Q103" s="523"/>
      <c r="R103" s="154"/>
      <c r="S103" s="155"/>
      <c r="T103" s="156"/>
      <c r="U103" s="154"/>
      <c r="V103" s="155"/>
      <c r="W103" s="155"/>
      <c r="X103" s="419"/>
      <c r="Y103" s="157"/>
      <c r="Z103" s="217"/>
      <c r="AA103" s="150"/>
      <c r="AB103" s="151"/>
      <c r="AC103" s="152"/>
      <c r="AD103" s="506"/>
      <c r="AE103" s="166"/>
      <c r="AF103" s="150"/>
      <c r="AG103" s="152"/>
      <c r="AH103" s="150"/>
      <c r="AI103" s="152"/>
      <c r="AJ103" s="150"/>
      <c r="AK103" s="152"/>
      <c r="AL103" s="150"/>
      <c r="AM103" s="151"/>
      <c r="AN103" s="151"/>
      <c r="AO103" s="169"/>
      <c r="AP103" s="169"/>
      <c r="AQ103" s="149"/>
      <c r="AR103" s="324"/>
      <c r="AS103" s="324"/>
      <c r="AT103" s="324"/>
      <c r="AU103" s="324"/>
      <c r="AV103" s="324"/>
      <c r="AW103" s="324"/>
      <c r="AX103" s="150"/>
      <c r="AY103" s="297"/>
      <c r="AZ103" s="297"/>
      <c r="BA103" s="297"/>
      <c r="BB103" s="297"/>
      <c r="BC103" s="152"/>
      <c r="BD103" s="150"/>
      <c r="BE103" s="297"/>
      <c r="BF103" s="297"/>
      <c r="BG103" s="297"/>
      <c r="BH103" s="297"/>
      <c r="BI103" s="152"/>
      <c r="BJ103" s="170"/>
      <c r="BK103" s="148"/>
      <c r="BL103" s="324"/>
      <c r="BM103" s="324"/>
      <c r="BN103" s="170"/>
      <c r="BO103" s="149"/>
      <c r="BP103" s="170"/>
      <c r="BQ103" s="149"/>
      <c r="BR103" s="170"/>
      <c r="BS103" s="171"/>
      <c r="BT103" s="707"/>
    </row>
    <row r="104" spans="1:72" s="2" customFormat="1" ht="24.9" customHeight="1">
      <c r="A104" s="147"/>
      <c r="B104" s="158"/>
      <c r="C104" s="179"/>
      <c r="D104" s="158"/>
      <c r="E104" s="160"/>
      <c r="F104" s="161"/>
      <c r="G104" s="161"/>
      <c r="H104" s="161"/>
      <c r="I104" s="163"/>
      <c r="J104" s="161"/>
      <c r="K104" s="163"/>
      <c r="L104" s="150"/>
      <c r="M104" s="164"/>
      <c r="N104" s="150"/>
      <c r="O104" s="174"/>
      <c r="P104" s="523"/>
      <c r="Q104" s="523"/>
      <c r="R104" s="154"/>
      <c r="S104" s="155"/>
      <c r="T104" s="156"/>
      <c r="U104" s="154"/>
      <c r="V104" s="155"/>
      <c r="W104" s="155"/>
      <c r="X104" s="419"/>
      <c r="Y104" s="157"/>
      <c r="Z104" s="217"/>
      <c r="AA104" s="150"/>
      <c r="AB104" s="151"/>
      <c r="AC104" s="152"/>
      <c r="AD104" s="506"/>
      <c r="AE104" s="166"/>
      <c r="AF104" s="150"/>
      <c r="AG104" s="152"/>
      <c r="AH104" s="150"/>
      <c r="AI104" s="152"/>
      <c r="AJ104" s="150"/>
      <c r="AK104" s="152"/>
      <c r="AL104" s="150"/>
      <c r="AM104" s="151"/>
      <c r="AN104" s="151"/>
      <c r="AO104" s="169"/>
      <c r="AP104" s="169"/>
      <c r="AQ104" s="149"/>
      <c r="AR104" s="324"/>
      <c r="AS104" s="324"/>
      <c r="AT104" s="324"/>
      <c r="AU104" s="324"/>
      <c r="AV104" s="324"/>
      <c r="AW104" s="324"/>
      <c r="AX104" s="150"/>
      <c r="AY104" s="297"/>
      <c r="AZ104" s="297"/>
      <c r="BA104" s="297"/>
      <c r="BB104" s="297"/>
      <c r="BC104" s="152"/>
      <c r="BD104" s="150"/>
      <c r="BE104" s="297"/>
      <c r="BF104" s="297"/>
      <c r="BG104" s="297"/>
      <c r="BH104" s="297"/>
      <c r="BI104" s="152"/>
      <c r="BJ104" s="170"/>
      <c r="BK104" s="148"/>
      <c r="BL104" s="324"/>
      <c r="BM104" s="324"/>
      <c r="BN104" s="170"/>
      <c r="BO104" s="149"/>
      <c r="BP104" s="170"/>
      <c r="BQ104" s="149"/>
      <c r="BR104" s="170"/>
      <c r="BS104" s="171"/>
      <c r="BT104" s="706"/>
    </row>
    <row r="105" spans="1:72" s="2" customFormat="1" ht="24.9" customHeight="1">
      <c r="A105" s="147"/>
      <c r="B105" s="158"/>
      <c r="C105" s="179"/>
      <c r="D105" s="158"/>
      <c r="E105" s="160"/>
      <c r="F105" s="161"/>
      <c r="G105" s="161"/>
      <c r="H105" s="161"/>
      <c r="I105" s="163"/>
      <c r="J105" s="161"/>
      <c r="K105" s="163"/>
      <c r="L105" s="150"/>
      <c r="M105" s="164"/>
      <c r="N105" s="150"/>
      <c r="O105" s="174"/>
      <c r="P105" s="523"/>
      <c r="Q105" s="523"/>
      <c r="R105" s="154"/>
      <c r="S105" s="155"/>
      <c r="T105" s="156"/>
      <c r="U105" s="154"/>
      <c r="V105" s="155"/>
      <c r="W105" s="155"/>
      <c r="X105" s="419"/>
      <c r="Y105" s="157"/>
      <c r="Z105" s="217"/>
      <c r="AA105" s="150"/>
      <c r="AB105" s="151"/>
      <c r="AC105" s="152"/>
      <c r="AD105" s="506"/>
      <c r="AE105" s="166"/>
      <c r="AF105" s="150"/>
      <c r="AG105" s="152"/>
      <c r="AH105" s="150"/>
      <c r="AI105" s="152"/>
      <c r="AJ105" s="150"/>
      <c r="AK105" s="152"/>
      <c r="AL105" s="150"/>
      <c r="AM105" s="151"/>
      <c r="AN105" s="151"/>
      <c r="AO105" s="169"/>
      <c r="AP105" s="169"/>
      <c r="AQ105" s="149"/>
      <c r="AR105" s="324"/>
      <c r="AS105" s="324"/>
      <c r="AT105" s="324"/>
      <c r="AU105" s="324"/>
      <c r="AV105" s="324"/>
      <c r="AW105" s="324"/>
      <c r="AX105" s="150"/>
      <c r="AY105" s="297"/>
      <c r="AZ105" s="297"/>
      <c r="BA105" s="297"/>
      <c r="BB105" s="297"/>
      <c r="BC105" s="152"/>
      <c r="BD105" s="150"/>
      <c r="BE105" s="297"/>
      <c r="BF105" s="297"/>
      <c r="BG105" s="297"/>
      <c r="BH105" s="297"/>
      <c r="BI105" s="152"/>
      <c r="BJ105" s="170"/>
      <c r="BK105" s="148"/>
      <c r="BL105" s="324"/>
      <c r="BM105" s="324"/>
      <c r="BN105" s="170"/>
      <c r="BO105" s="149"/>
      <c r="BP105" s="170"/>
      <c r="BQ105" s="149"/>
      <c r="BR105" s="170"/>
      <c r="BS105" s="171"/>
      <c r="BT105" s="708"/>
    </row>
    <row r="106" spans="1:72" s="2" customFormat="1" ht="24.9" customHeight="1">
      <c r="A106" s="147"/>
      <c r="B106" s="158"/>
      <c r="C106" s="179"/>
      <c r="D106" s="158"/>
      <c r="E106" s="160"/>
      <c r="F106" s="161"/>
      <c r="G106" s="161"/>
      <c r="H106" s="161"/>
      <c r="I106" s="163"/>
      <c r="J106" s="161"/>
      <c r="K106" s="163"/>
      <c r="L106" s="150"/>
      <c r="M106" s="164"/>
      <c r="N106" s="150"/>
      <c r="O106" s="151"/>
      <c r="P106" s="522"/>
      <c r="Q106" s="522"/>
      <c r="R106" s="154"/>
      <c r="S106" s="155"/>
      <c r="T106" s="156"/>
      <c r="U106" s="154"/>
      <c r="V106" s="155"/>
      <c r="W106" s="155"/>
      <c r="X106" s="419"/>
      <c r="Y106" s="157"/>
      <c r="Z106" s="217"/>
      <c r="AA106" s="150"/>
      <c r="AB106" s="151"/>
      <c r="AC106" s="152"/>
      <c r="AD106" s="506"/>
      <c r="AE106" s="166"/>
      <c r="AF106" s="150"/>
      <c r="AG106" s="152"/>
      <c r="AH106" s="150"/>
      <c r="AI106" s="152"/>
      <c r="AJ106" s="150"/>
      <c r="AK106" s="152"/>
      <c r="AL106" s="150"/>
      <c r="AM106" s="151"/>
      <c r="AN106" s="151"/>
      <c r="AO106" s="169"/>
      <c r="AP106" s="169"/>
      <c r="AQ106" s="149"/>
      <c r="AR106" s="324"/>
      <c r="AS106" s="324"/>
      <c r="AT106" s="324"/>
      <c r="AU106" s="324"/>
      <c r="AV106" s="324"/>
      <c r="AW106" s="324"/>
      <c r="AX106" s="150"/>
      <c r="AY106" s="297"/>
      <c r="AZ106" s="297"/>
      <c r="BA106" s="297"/>
      <c r="BB106" s="297"/>
      <c r="BC106" s="152"/>
      <c r="BD106" s="150"/>
      <c r="BE106" s="297"/>
      <c r="BF106" s="297"/>
      <c r="BG106" s="297"/>
      <c r="BH106" s="297"/>
      <c r="BI106" s="152"/>
      <c r="BJ106" s="170"/>
      <c r="BK106" s="148"/>
      <c r="BL106" s="324"/>
      <c r="BM106" s="324"/>
      <c r="BN106" s="170"/>
      <c r="BO106" s="149"/>
      <c r="BP106" s="170"/>
      <c r="BQ106" s="149"/>
      <c r="BR106" s="170"/>
      <c r="BS106" s="171"/>
      <c r="BT106" s="707"/>
    </row>
    <row r="107" spans="1:72" s="2" customFormat="1" ht="24.9" customHeight="1">
      <c r="A107" s="147"/>
      <c r="B107" s="158"/>
      <c r="C107" s="179"/>
      <c r="D107" s="158"/>
      <c r="E107" s="160"/>
      <c r="F107" s="161"/>
      <c r="G107" s="161"/>
      <c r="H107" s="161"/>
      <c r="I107" s="163"/>
      <c r="J107" s="161"/>
      <c r="K107" s="163"/>
      <c r="L107" s="150"/>
      <c r="M107" s="164"/>
      <c r="N107" s="150"/>
      <c r="O107" s="174"/>
      <c r="P107" s="523"/>
      <c r="Q107" s="523"/>
      <c r="R107" s="154"/>
      <c r="S107" s="155"/>
      <c r="T107" s="156"/>
      <c r="U107" s="154"/>
      <c r="V107" s="155"/>
      <c r="W107" s="155"/>
      <c r="X107" s="419"/>
      <c r="Y107" s="157"/>
      <c r="Z107" s="217"/>
      <c r="AA107" s="150"/>
      <c r="AB107" s="151"/>
      <c r="AC107" s="152"/>
      <c r="AD107" s="506"/>
      <c r="AE107" s="166"/>
      <c r="AF107" s="150"/>
      <c r="AG107" s="152"/>
      <c r="AH107" s="150"/>
      <c r="AI107" s="152"/>
      <c r="AJ107" s="150"/>
      <c r="AK107" s="152"/>
      <c r="AL107" s="150"/>
      <c r="AM107" s="151"/>
      <c r="AN107" s="151"/>
      <c r="AO107" s="169"/>
      <c r="AP107" s="169"/>
      <c r="AQ107" s="149"/>
      <c r="AR107" s="324"/>
      <c r="AS107" s="324"/>
      <c r="AT107" s="324"/>
      <c r="AU107" s="324"/>
      <c r="AV107" s="324"/>
      <c r="AW107" s="324"/>
      <c r="AX107" s="150"/>
      <c r="AY107" s="297"/>
      <c r="AZ107" s="297"/>
      <c r="BA107" s="297"/>
      <c r="BB107" s="297"/>
      <c r="BC107" s="152"/>
      <c r="BD107" s="150"/>
      <c r="BE107" s="297"/>
      <c r="BF107" s="297"/>
      <c r="BG107" s="297"/>
      <c r="BH107" s="297"/>
      <c r="BI107" s="152"/>
      <c r="BJ107" s="170"/>
      <c r="BK107" s="148"/>
      <c r="BL107" s="324"/>
      <c r="BM107" s="324"/>
      <c r="BN107" s="170"/>
      <c r="BO107" s="149"/>
      <c r="BP107" s="170"/>
      <c r="BQ107" s="149"/>
      <c r="BR107" s="170"/>
      <c r="BS107" s="171"/>
      <c r="BT107" s="706"/>
    </row>
    <row r="108" spans="1:72" s="2" customFormat="1" ht="24.9" customHeight="1">
      <c r="A108" s="147"/>
      <c r="B108" s="158"/>
      <c r="C108" s="179"/>
      <c r="D108" s="158"/>
      <c r="E108" s="160"/>
      <c r="F108" s="161"/>
      <c r="G108" s="161"/>
      <c r="H108" s="161"/>
      <c r="I108" s="163"/>
      <c r="J108" s="161"/>
      <c r="K108" s="163"/>
      <c r="L108" s="150"/>
      <c r="M108" s="164"/>
      <c r="N108" s="150"/>
      <c r="O108" s="174"/>
      <c r="P108" s="523"/>
      <c r="Q108" s="523"/>
      <c r="R108" s="154"/>
      <c r="S108" s="155"/>
      <c r="T108" s="156"/>
      <c r="U108" s="154"/>
      <c r="V108" s="155"/>
      <c r="W108" s="155"/>
      <c r="X108" s="419"/>
      <c r="Y108" s="157"/>
      <c r="Z108" s="217"/>
      <c r="AA108" s="150"/>
      <c r="AB108" s="151"/>
      <c r="AC108" s="152"/>
      <c r="AD108" s="506"/>
      <c r="AE108" s="166"/>
      <c r="AF108" s="150"/>
      <c r="AG108" s="152"/>
      <c r="AH108" s="150"/>
      <c r="AI108" s="152"/>
      <c r="AJ108" s="150"/>
      <c r="AK108" s="152"/>
      <c r="AL108" s="150"/>
      <c r="AM108" s="151"/>
      <c r="AN108" s="151"/>
      <c r="AO108" s="169"/>
      <c r="AP108" s="169"/>
      <c r="AQ108" s="149"/>
      <c r="AR108" s="324"/>
      <c r="AS108" s="324"/>
      <c r="AT108" s="324"/>
      <c r="AU108" s="324"/>
      <c r="AV108" s="324"/>
      <c r="AW108" s="324"/>
      <c r="AX108" s="150"/>
      <c r="AY108" s="297"/>
      <c r="AZ108" s="297"/>
      <c r="BA108" s="297"/>
      <c r="BB108" s="297"/>
      <c r="BC108" s="152"/>
      <c r="BD108" s="150"/>
      <c r="BE108" s="297"/>
      <c r="BF108" s="297"/>
      <c r="BG108" s="297"/>
      <c r="BH108" s="297"/>
      <c r="BI108" s="152"/>
      <c r="BJ108" s="170"/>
      <c r="BK108" s="148"/>
      <c r="BL108" s="324"/>
      <c r="BM108" s="324"/>
      <c r="BN108" s="170"/>
      <c r="BO108" s="149"/>
      <c r="BP108" s="170"/>
      <c r="BQ108" s="149"/>
      <c r="BR108" s="170"/>
      <c r="BS108" s="171"/>
      <c r="BT108" s="707"/>
    </row>
    <row r="109" spans="1:72" s="2" customFormat="1" ht="24.9" customHeight="1">
      <c r="A109" s="147"/>
      <c r="B109" s="158"/>
      <c r="C109" s="179"/>
      <c r="D109" s="158"/>
      <c r="E109" s="160"/>
      <c r="F109" s="161"/>
      <c r="G109" s="161"/>
      <c r="H109" s="161"/>
      <c r="I109" s="163"/>
      <c r="J109" s="161"/>
      <c r="K109" s="163"/>
      <c r="L109" s="150"/>
      <c r="M109" s="164"/>
      <c r="N109" s="150"/>
      <c r="O109" s="174"/>
      <c r="P109" s="523"/>
      <c r="Q109" s="523"/>
      <c r="R109" s="154"/>
      <c r="S109" s="155"/>
      <c r="T109" s="156"/>
      <c r="U109" s="154"/>
      <c r="V109" s="155"/>
      <c r="W109" s="155"/>
      <c r="X109" s="419"/>
      <c r="Y109" s="157"/>
      <c r="Z109" s="217"/>
      <c r="AA109" s="150"/>
      <c r="AB109" s="151"/>
      <c r="AC109" s="152"/>
      <c r="AD109" s="506"/>
      <c r="AE109" s="166"/>
      <c r="AF109" s="150"/>
      <c r="AG109" s="152"/>
      <c r="AH109" s="150"/>
      <c r="AI109" s="152"/>
      <c r="AJ109" s="150"/>
      <c r="AK109" s="152"/>
      <c r="AL109" s="150"/>
      <c r="AM109" s="151"/>
      <c r="AN109" s="151"/>
      <c r="AO109" s="169"/>
      <c r="AP109" s="169"/>
      <c r="AQ109" s="149"/>
      <c r="AR109" s="324"/>
      <c r="AS109" s="324"/>
      <c r="AT109" s="324"/>
      <c r="AU109" s="324"/>
      <c r="AV109" s="324"/>
      <c r="AW109" s="324"/>
      <c r="AX109" s="150"/>
      <c r="AY109" s="297"/>
      <c r="AZ109" s="297"/>
      <c r="BA109" s="297"/>
      <c r="BB109" s="297"/>
      <c r="BC109" s="152"/>
      <c r="BD109" s="150"/>
      <c r="BE109" s="297"/>
      <c r="BF109" s="297"/>
      <c r="BG109" s="297"/>
      <c r="BH109" s="297"/>
      <c r="BI109" s="152"/>
      <c r="BJ109" s="170"/>
      <c r="BK109" s="148"/>
      <c r="BL109" s="324"/>
      <c r="BM109" s="324"/>
      <c r="BN109" s="170"/>
      <c r="BO109" s="149"/>
      <c r="BP109" s="170"/>
      <c r="BQ109" s="149"/>
      <c r="BR109" s="170"/>
      <c r="BS109" s="171"/>
      <c r="BT109" s="706"/>
    </row>
    <row r="110" spans="1:72" s="2" customFormat="1" ht="24.9" customHeight="1">
      <c r="A110" s="147"/>
      <c r="B110" s="158"/>
      <c r="C110" s="179"/>
      <c r="D110" s="158"/>
      <c r="E110" s="160"/>
      <c r="F110" s="161"/>
      <c r="G110" s="161"/>
      <c r="H110" s="161"/>
      <c r="I110" s="163"/>
      <c r="J110" s="161"/>
      <c r="K110" s="163"/>
      <c r="L110" s="150"/>
      <c r="M110" s="164"/>
      <c r="N110" s="150"/>
      <c r="O110" s="174"/>
      <c r="P110" s="523"/>
      <c r="Q110" s="523"/>
      <c r="R110" s="154"/>
      <c r="S110" s="155"/>
      <c r="T110" s="156"/>
      <c r="U110" s="154"/>
      <c r="V110" s="155"/>
      <c r="W110" s="155"/>
      <c r="X110" s="419"/>
      <c r="Y110" s="157"/>
      <c r="Z110" s="217"/>
      <c r="AA110" s="150"/>
      <c r="AB110" s="151"/>
      <c r="AC110" s="152"/>
      <c r="AD110" s="506"/>
      <c r="AE110" s="166"/>
      <c r="AF110" s="150"/>
      <c r="AG110" s="152"/>
      <c r="AH110" s="150"/>
      <c r="AI110" s="152"/>
      <c r="AJ110" s="150"/>
      <c r="AK110" s="152"/>
      <c r="AL110" s="150"/>
      <c r="AM110" s="151"/>
      <c r="AN110" s="151"/>
      <c r="AO110" s="169"/>
      <c r="AP110" s="169"/>
      <c r="AQ110" s="149"/>
      <c r="AR110" s="324"/>
      <c r="AS110" s="324"/>
      <c r="AT110" s="324"/>
      <c r="AU110" s="324"/>
      <c r="AV110" s="324"/>
      <c r="AW110" s="324"/>
      <c r="AX110" s="150"/>
      <c r="AY110" s="297"/>
      <c r="AZ110" s="297"/>
      <c r="BA110" s="297"/>
      <c r="BB110" s="297"/>
      <c r="BC110" s="152"/>
      <c r="BD110" s="150"/>
      <c r="BE110" s="297"/>
      <c r="BF110" s="297"/>
      <c r="BG110" s="297"/>
      <c r="BH110" s="297"/>
      <c r="BI110" s="152"/>
      <c r="BJ110" s="170"/>
      <c r="BK110" s="148"/>
      <c r="BL110" s="324"/>
      <c r="BM110" s="324"/>
      <c r="BN110" s="170"/>
      <c r="BO110" s="149"/>
      <c r="BP110" s="170"/>
      <c r="BQ110" s="149"/>
      <c r="BR110" s="170"/>
      <c r="BS110" s="171"/>
      <c r="BT110" s="708"/>
    </row>
    <row r="111" spans="1:72" s="2" customFormat="1" ht="24.9" customHeight="1">
      <c r="A111" s="147"/>
      <c r="B111" s="158"/>
      <c r="C111" s="179"/>
      <c r="D111" s="158"/>
      <c r="E111" s="160"/>
      <c r="F111" s="161"/>
      <c r="G111" s="161"/>
      <c r="H111" s="161"/>
      <c r="I111" s="163"/>
      <c r="J111" s="161"/>
      <c r="K111" s="163"/>
      <c r="L111" s="150"/>
      <c r="M111" s="164"/>
      <c r="N111" s="150"/>
      <c r="O111" s="151"/>
      <c r="P111" s="522"/>
      <c r="Q111" s="522"/>
      <c r="R111" s="154"/>
      <c r="S111" s="155"/>
      <c r="T111" s="156"/>
      <c r="U111" s="154"/>
      <c r="V111" s="155"/>
      <c r="W111" s="155"/>
      <c r="X111" s="419"/>
      <c r="Y111" s="157"/>
      <c r="Z111" s="217"/>
      <c r="AA111" s="150"/>
      <c r="AB111" s="151"/>
      <c r="AC111" s="152"/>
      <c r="AD111" s="506"/>
      <c r="AE111" s="166"/>
      <c r="AF111" s="150"/>
      <c r="AG111" s="152"/>
      <c r="AH111" s="150"/>
      <c r="AI111" s="152"/>
      <c r="AJ111" s="150"/>
      <c r="AK111" s="152"/>
      <c r="AL111" s="150"/>
      <c r="AM111" s="151"/>
      <c r="AN111" s="151"/>
      <c r="AO111" s="169"/>
      <c r="AP111" s="169"/>
      <c r="AQ111" s="149"/>
      <c r="AR111" s="324"/>
      <c r="AS111" s="324"/>
      <c r="AT111" s="324"/>
      <c r="AU111" s="324"/>
      <c r="AV111" s="324"/>
      <c r="AW111" s="324"/>
      <c r="AX111" s="150"/>
      <c r="AY111" s="297"/>
      <c r="AZ111" s="297"/>
      <c r="BA111" s="297"/>
      <c r="BB111" s="297"/>
      <c r="BC111" s="152"/>
      <c r="BD111" s="150"/>
      <c r="BE111" s="297"/>
      <c r="BF111" s="297"/>
      <c r="BG111" s="297"/>
      <c r="BH111" s="297"/>
      <c r="BI111" s="152"/>
      <c r="BJ111" s="170"/>
      <c r="BK111" s="148"/>
      <c r="BL111" s="324"/>
      <c r="BM111" s="324"/>
      <c r="BN111" s="170"/>
      <c r="BO111" s="149"/>
      <c r="BP111" s="170"/>
      <c r="BQ111" s="149"/>
      <c r="BR111" s="170"/>
      <c r="BS111" s="171"/>
      <c r="BT111" s="707"/>
    </row>
    <row r="112" spans="1:72" s="2" customFormat="1" ht="24.9" customHeight="1">
      <c r="A112" s="147"/>
      <c r="B112" s="158"/>
      <c r="C112" s="179"/>
      <c r="D112" s="158"/>
      <c r="E112" s="160"/>
      <c r="F112" s="161"/>
      <c r="G112" s="161"/>
      <c r="H112" s="161"/>
      <c r="I112" s="163"/>
      <c r="J112" s="161"/>
      <c r="K112" s="163"/>
      <c r="L112" s="150"/>
      <c r="M112" s="164"/>
      <c r="N112" s="150"/>
      <c r="O112" s="174"/>
      <c r="P112" s="523"/>
      <c r="Q112" s="523"/>
      <c r="R112" s="154"/>
      <c r="S112" s="155"/>
      <c r="T112" s="156"/>
      <c r="U112" s="154"/>
      <c r="V112" s="155"/>
      <c r="W112" s="155"/>
      <c r="X112" s="419"/>
      <c r="Y112" s="157"/>
      <c r="Z112" s="217"/>
      <c r="AA112" s="150"/>
      <c r="AB112" s="151"/>
      <c r="AC112" s="152"/>
      <c r="AD112" s="506"/>
      <c r="AE112" s="166"/>
      <c r="AF112" s="150"/>
      <c r="AG112" s="152"/>
      <c r="AH112" s="150"/>
      <c r="AI112" s="152"/>
      <c r="AJ112" s="150"/>
      <c r="AK112" s="152"/>
      <c r="AL112" s="150"/>
      <c r="AM112" s="151"/>
      <c r="AN112" s="151"/>
      <c r="AO112" s="169"/>
      <c r="AP112" s="169"/>
      <c r="AQ112" s="149"/>
      <c r="AR112" s="324"/>
      <c r="AS112" s="324"/>
      <c r="AT112" s="324"/>
      <c r="AU112" s="324"/>
      <c r="AV112" s="324"/>
      <c r="AW112" s="324"/>
      <c r="AX112" s="150"/>
      <c r="AY112" s="297"/>
      <c r="AZ112" s="297"/>
      <c r="BA112" s="297"/>
      <c r="BB112" s="297"/>
      <c r="BC112" s="152"/>
      <c r="BD112" s="150"/>
      <c r="BE112" s="297"/>
      <c r="BF112" s="297"/>
      <c r="BG112" s="297"/>
      <c r="BH112" s="297"/>
      <c r="BI112" s="152"/>
      <c r="BJ112" s="170"/>
      <c r="BK112" s="148"/>
      <c r="BL112" s="324"/>
      <c r="BM112" s="324"/>
      <c r="BN112" s="170"/>
      <c r="BO112" s="149"/>
      <c r="BP112" s="170"/>
      <c r="BQ112" s="149"/>
      <c r="BR112" s="170"/>
      <c r="BS112" s="171"/>
      <c r="BT112" s="709"/>
    </row>
    <row r="113" spans="1:72" s="2" customFormat="1" ht="24.9" customHeight="1">
      <c r="A113" s="147"/>
      <c r="B113" s="158"/>
      <c r="C113" s="179"/>
      <c r="D113" s="158"/>
      <c r="E113" s="160"/>
      <c r="F113" s="161"/>
      <c r="G113" s="161"/>
      <c r="H113" s="161"/>
      <c r="I113" s="163"/>
      <c r="J113" s="161"/>
      <c r="K113" s="163"/>
      <c r="L113" s="150"/>
      <c r="M113" s="164"/>
      <c r="N113" s="150"/>
      <c r="O113" s="151"/>
      <c r="P113" s="522"/>
      <c r="Q113" s="522"/>
      <c r="R113" s="154"/>
      <c r="S113" s="155"/>
      <c r="T113" s="156"/>
      <c r="U113" s="154"/>
      <c r="V113" s="155"/>
      <c r="W113" s="155"/>
      <c r="X113" s="419"/>
      <c r="Y113" s="157"/>
      <c r="Z113" s="217"/>
      <c r="AA113" s="150"/>
      <c r="AB113" s="151"/>
      <c r="AC113" s="152"/>
      <c r="AD113" s="506"/>
      <c r="AE113" s="166"/>
      <c r="AF113" s="150"/>
      <c r="AG113" s="152"/>
      <c r="AH113" s="150"/>
      <c r="AI113" s="152"/>
      <c r="AJ113" s="150"/>
      <c r="AK113" s="152"/>
      <c r="AL113" s="150"/>
      <c r="AM113" s="151"/>
      <c r="AN113" s="151"/>
      <c r="AO113" s="169"/>
      <c r="AP113" s="169"/>
      <c r="AQ113" s="149"/>
      <c r="AR113" s="324"/>
      <c r="AS113" s="324"/>
      <c r="AT113" s="324"/>
      <c r="AU113" s="324"/>
      <c r="AV113" s="324"/>
      <c r="AW113" s="324"/>
      <c r="AX113" s="150"/>
      <c r="AY113" s="297"/>
      <c r="AZ113" s="297"/>
      <c r="BA113" s="297"/>
      <c r="BB113" s="297"/>
      <c r="BC113" s="152"/>
      <c r="BD113" s="150"/>
      <c r="BE113" s="297"/>
      <c r="BF113" s="297"/>
      <c r="BG113" s="297"/>
      <c r="BH113" s="297"/>
      <c r="BI113" s="152"/>
      <c r="BJ113" s="170"/>
      <c r="BK113" s="148"/>
      <c r="BL113" s="324"/>
      <c r="BM113" s="324"/>
      <c r="BN113" s="170"/>
      <c r="BO113" s="149"/>
      <c r="BP113" s="170"/>
      <c r="BQ113" s="149"/>
      <c r="BR113" s="170"/>
      <c r="BS113" s="171"/>
      <c r="BT113" s="708"/>
    </row>
    <row r="114" spans="1:72" s="2" customFormat="1" ht="24.9" customHeight="1">
      <c r="A114" s="147"/>
      <c r="B114" s="158"/>
      <c r="C114" s="179"/>
      <c r="D114" s="158"/>
      <c r="E114" s="160"/>
      <c r="F114" s="161"/>
      <c r="G114" s="161"/>
      <c r="H114" s="161"/>
      <c r="I114" s="163"/>
      <c r="J114" s="161"/>
      <c r="K114" s="163"/>
      <c r="L114" s="150"/>
      <c r="M114" s="164"/>
      <c r="N114" s="150"/>
      <c r="O114" s="174"/>
      <c r="P114" s="523"/>
      <c r="Q114" s="523"/>
      <c r="R114" s="154"/>
      <c r="S114" s="155"/>
      <c r="T114" s="156"/>
      <c r="U114" s="154"/>
      <c r="V114" s="155"/>
      <c r="W114" s="155"/>
      <c r="X114" s="419"/>
      <c r="Y114" s="157"/>
      <c r="Z114" s="217"/>
      <c r="AA114" s="150"/>
      <c r="AB114" s="151"/>
      <c r="AC114" s="152"/>
      <c r="AD114" s="506"/>
      <c r="AE114" s="166"/>
      <c r="AF114" s="150"/>
      <c r="AG114" s="152"/>
      <c r="AH114" s="150"/>
      <c r="AI114" s="152"/>
      <c r="AJ114" s="150"/>
      <c r="AK114" s="152"/>
      <c r="AL114" s="150"/>
      <c r="AM114" s="151"/>
      <c r="AN114" s="151"/>
      <c r="AO114" s="169"/>
      <c r="AP114" s="169"/>
      <c r="AQ114" s="149"/>
      <c r="AR114" s="324"/>
      <c r="AS114" s="324"/>
      <c r="AT114" s="324"/>
      <c r="AU114" s="324"/>
      <c r="AV114" s="324"/>
      <c r="AW114" s="324"/>
      <c r="AX114" s="150"/>
      <c r="AY114" s="297"/>
      <c r="AZ114" s="297"/>
      <c r="BA114" s="297"/>
      <c r="BB114" s="297"/>
      <c r="BC114" s="152"/>
      <c r="BD114" s="150"/>
      <c r="BE114" s="297"/>
      <c r="BF114" s="297"/>
      <c r="BG114" s="297"/>
      <c r="BH114" s="297"/>
      <c r="BI114" s="152"/>
      <c r="BJ114" s="170"/>
      <c r="BK114" s="148"/>
      <c r="BL114" s="324"/>
      <c r="BM114" s="324"/>
      <c r="BN114" s="170"/>
      <c r="BO114" s="149"/>
      <c r="BP114" s="170"/>
      <c r="BQ114" s="149"/>
      <c r="BR114" s="170"/>
      <c r="BS114" s="171"/>
      <c r="BT114" s="707"/>
    </row>
    <row r="115" spans="1:72" s="2" customFormat="1" ht="24.9" customHeight="1">
      <c r="A115" s="147"/>
      <c r="B115" s="158"/>
      <c r="C115" s="179"/>
      <c r="D115" s="158"/>
      <c r="E115" s="160"/>
      <c r="F115" s="161"/>
      <c r="G115" s="161"/>
      <c r="H115" s="161"/>
      <c r="I115" s="163"/>
      <c r="J115" s="161"/>
      <c r="K115" s="163"/>
      <c r="L115" s="150"/>
      <c r="M115" s="164"/>
      <c r="N115" s="177"/>
      <c r="O115" s="174"/>
      <c r="P115" s="523"/>
      <c r="Q115" s="523"/>
      <c r="R115" s="154"/>
      <c r="S115" s="155"/>
      <c r="T115" s="156"/>
      <c r="U115" s="154"/>
      <c r="V115" s="155"/>
      <c r="W115" s="155"/>
      <c r="X115" s="419"/>
      <c r="Y115" s="157"/>
      <c r="Z115" s="217"/>
      <c r="AA115" s="150"/>
      <c r="AB115" s="151"/>
      <c r="AC115" s="152"/>
      <c r="AD115" s="506"/>
      <c r="AE115" s="166"/>
      <c r="AF115" s="150"/>
      <c r="AG115" s="152"/>
      <c r="AH115" s="150"/>
      <c r="AI115" s="152"/>
      <c r="AJ115" s="150"/>
      <c r="AK115" s="152"/>
      <c r="AL115" s="150"/>
      <c r="AM115" s="151"/>
      <c r="AN115" s="151"/>
      <c r="AO115" s="169"/>
      <c r="AP115" s="169"/>
      <c r="AQ115" s="149"/>
      <c r="AR115" s="324"/>
      <c r="AS115" s="324"/>
      <c r="AT115" s="324"/>
      <c r="AU115" s="324"/>
      <c r="AV115" s="324"/>
      <c r="AW115" s="324"/>
      <c r="AX115" s="150"/>
      <c r="AY115" s="297"/>
      <c r="AZ115" s="297"/>
      <c r="BA115" s="297"/>
      <c r="BB115" s="297"/>
      <c r="BC115" s="152"/>
      <c r="BD115" s="150"/>
      <c r="BE115" s="297"/>
      <c r="BF115" s="297"/>
      <c r="BG115" s="297"/>
      <c r="BH115" s="297"/>
      <c r="BI115" s="152"/>
      <c r="BJ115" s="170"/>
      <c r="BK115" s="148"/>
      <c r="BL115" s="324"/>
      <c r="BM115" s="324"/>
      <c r="BN115" s="170"/>
      <c r="BO115" s="149"/>
      <c r="BP115" s="170"/>
      <c r="BQ115" s="149"/>
      <c r="BR115" s="170"/>
      <c r="BS115" s="171"/>
      <c r="BT115" s="706"/>
    </row>
    <row r="116" spans="1:72" s="2" customFormat="1" ht="24.9" customHeight="1">
      <c r="A116" s="147"/>
      <c r="B116" s="158"/>
      <c r="C116" s="179"/>
      <c r="D116" s="158"/>
      <c r="E116" s="160"/>
      <c r="F116" s="161"/>
      <c r="G116" s="161"/>
      <c r="H116" s="161"/>
      <c r="I116" s="163"/>
      <c r="J116" s="161"/>
      <c r="K116" s="163"/>
      <c r="L116" s="150"/>
      <c r="M116" s="164"/>
      <c r="N116" s="177"/>
      <c r="O116" s="174"/>
      <c r="P116" s="523"/>
      <c r="Q116" s="523"/>
      <c r="R116" s="154"/>
      <c r="S116" s="155"/>
      <c r="T116" s="156"/>
      <c r="U116" s="154"/>
      <c r="V116" s="155"/>
      <c r="W116" s="155"/>
      <c r="X116" s="419"/>
      <c r="Y116" s="157"/>
      <c r="Z116" s="217"/>
      <c r="AA116" s="150"/>
      <c r="AB116" s="151"/>
      <c r="AC116" s="152"/>
      <c r="AD116" s="506"/>
      <c r="AE116" s="166"/>
      <c r="AF116" s="150"/>
      <c r="AG116" s="152"/>
      <c r="AH116" s="150"/>
      <c r="AI116" s="152"/>
      <c r="AJ116" s="150"/>
      <c r="AK116" s="152"/>
      <c r="AL116" s="150"/>
      <c r="AM116" s="151"/>
      <c r="AN116" s="151"/>
      <c r="AO116" s="169"/>
      <c r="AP116" s="169"/>
      <c r="AQ116" s="149"/>
      <c r="AR116" s="324"/>
      <c r="AS116" s="324"/>
      <c r="AT116" s="324"/>
      <c r="AU116" s="324"/>
      <c r="AV116" s="324"/>
      <c r="AW116" s="324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70"/>
      <c r="BK116" s="148"/>
      <c r="BL116" s="324"/>
      <c r="BM116" s="324"/>
      <c r="BN116" s="170"/>
      <c r="BO116" s="149"/>
      <c r="BP116" s="170"/>
      <c r="BQ116" s="149"/>
      <c r="BR116" s="170"/>
      <c r="BS116" s="171"/>
      <c r="BT116" s="708"/>
    </row>
    <row r="117" spans="1:72" s="2" customFormat="1" ht="24.9" customHeight="1">
      <c r="A117" s="147"/>
      <c r="B117" s="158"/>
      <c r="C117" s="179"/>
      <c r="D117" s="158"/>
      <c r="E117" s="160"/>
      <c r="F117" s="161"/>
      <c r="G117" s="161"/>
      <c r="H117" s="161"/>
      <c r="I117" s="163"/>
      <c r="J117" s="161"/>
      <c r="K117" s="163"/>
      <c r="L117" s="150"/>
      <c r="M117" s="164"/>
      <c r="N117" s="177"/>
      <c r="O117" s="174"/>
      <c r="P117" s="523"/>
      <c r="Q117" s="523"/>
      <c r="R117" s="154"/>
      <c r="S117" s="155"/>
      <c r="T117" s="156"/>
      <c r="U117" s="154"/>
      <c r="V117" s="155"/>
      <c r="W117" s="155"/>
      <c r="X117" s="419"/>
      <c r="Y117" s="157"/>
      <c r="Z117" s="217"/>
      <c r="AA117" s="150"/>
      <c r="AB117" s="151"/>
      <c r="AC117" s="152"/>
      <c r="AD117" s="152"/>
      <c r="AE117" s="152"/>
      <c r="AF117" s="152"/>
      <c r="AG117" s="152"/>
      <c r="AH117" s="152"/>
      <c r="AI117" s="152"/>
      <c r="AJ117" s="152"/>
      <c r="AK117" s="152"/>
      <c r="AL117" s="150"/>
      <c r="AM117" s="151"/>
      <c r="AN117" s="151"/>
      <c r="AO117" s="169"/>
      <c r="AP117" s="169"/>
      <c r="AQ117" s="149"/>
      <c r="AR117" s="324"/>
      <c r="AS117" s="324"/>
      <c r="AT117" s="324"/>
      <c r="AU117" s="324"/>
      <c r="AV117" s="324"/>
      <c r="AW117" s="324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70"/>
      <c r="BK117" s="148"/>
      <c r="BL117" s="324"/>
      <c r="BM117" s="324"/>
      <c r="BN117" s="170"/>
      <c r="BO117" s="149"/>
      <c r="BP117" s="170"/>
      <c r="BQ117" s="149"/>
      <c r="BR117" s="170"/>
      <c r="BS117" s="171"/>
      <c r="BT117" s="708"/>
    </row>
    <row r="118" spans="1:72" s="2" customFormat="1" ht="24.9" customHeight="1">
      <c r="A118" s="147"/>
      <c r="B118" s="158"/>
      <c r="C118" s="179"/>
      <c r="D118" s="157"/>
      <c r="E118" s="160"/>
      <c r="F118" s="161"/>
      <c r="G118" s="161"/>
      <c r="H118" s="161"/>
      <c r="I118" s="163"/>
      <c r="J118" s="161"/>
      <c r="K118" s="163"/>
      <c r="L118" s="150"/>
      <c r="M118" s="164"/>
      <c r="N118" s="150"/>
      <c r="O118" s="174"/>
      <c r="P118" s="523"/>
      <c r="Q118" s="523"/>
      <c r="R118" s="154"/>
      <c r="S118" s="155"/>
      <c r="T118" s="156"/>
      <c r="U118" s="154"/>
      <c r="V118" s="155"/>
      <c r="W118" s="155"/>
      <c r="X118" s="419"/>
      <c r="Y118" s="157"/>
      <c r="Z118" s="217"/>
      <c r="AA118" s="150"/>
      <c r="AB118" s="151"/>
      <c r="AC118" s="152"/>
      <c r="AD118" s="152"/>
      <c r="AE118" s="152"/>
      <c r="AF118" s="152"/>
      <c r="AG118" s="152"/>
      <c r="AH118" s="152"/>
      <c r="AI118" s="152"/>
      <c r="AJ118" s="152"/>
      <c r="AK118" s="152"/>
      <c r="AL118" s="150"/>
      <c r="AM118" s="151"/>
      <c r="AN118" s="151"/>
      <c r="AO118" s="169"/>
      <c r="AP118" s="169"/>
      <c r="AQ118" s="149"/>
      <c r="AR118" s="324"/>
      <c r="AS118" s="324"/>
      <c r="AT118" s="324"/>
      <c r="AU118" s="324"/>
      <c r="AV118" s="324"/>
      <c r="AW118" s="324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70"/>
      <c r="BK118" s="148"/>
      <c r="BL118" s="324"/>
      <c r="BM118" s="324"/>
      <c r="BN118" s="170"/>
      <c r="BO118" s="149"/>
      <c r="BP118" s="170"/>
      <c r="BQ118" s="149"/>
      <c r="BR118" s="170"/>
      <c r="BS118" s="171"/>
      <c r="BT118" s="708"/>
    </row>
    <row r="119" spans="1:72" s="2" customFormat="1" ht="24.9" customHeight="1">
      <c r="A119" s="147"/>
      <c r="B119" s="158"/>
      <c r="C119" s="179"/>
      <c r="D119" s="157"/>
      <c r="E119" s="160"/>
      <c r="F119" s="161"/>
      <c r="G119" s="161"/>
      <c r="H119" s="161"/>
      <c r="I119" s="163"/>
      <c r="J119" s="161"/>
      <c r="K119" s="163"/>
      <c r="L119" s="150"/>
      <c r="M119" s="164"/>
      <c r="N119" s="150"/>
      <c r="O119" s="174"/>
      <c r="P119" s="523"/>
      <c r="Q119" s="523"/>
      <c r="R119" s="154"/>
      <c r="S119" s="155"/>
      <c r="T119" s="156"/>
      <c r="U119" s="154"/>
      <c r="V119" s="155"/>
      <c r="W119" s="155"/>
      <c r="X119" s="419"/>
      <c r="Y119" s="157"/>
      <c r="Z119" s="217"/>
      <c r="AA119" s="150"/>
      <c r="AB119" s="151"/>
      <c r="AC119" s="152"/>
      <c r="AD119" s="152"/>
      <c r="AE119" s="152"/>
      <c r="AF119" s="152"/>
      <c r="AG119" s="152"/>
      <c r="AH119" s="152"/>
      <c r="AI119" s="152"/>
      <c r="AJ119" s="152"/>
      <c r="AK119" s="152"/>
      <c r="AL119" s="150"/>
      <c r="AM119" s="151"/>
      <c r="AN119" s="151"/>
      <c r="AO119" s="169"/>
      <c r="AP119" s="169"/>
      <c r="AQ119" s="149"/>
      <c r="AR119" s="324"/>
      <c r="AS119" s="324"/>
      <c r="AT119" s="324"/>
      <c r="AU119" s="324"/>
      <c r="AV119" s="324"/>
      <c r="AW119" s="324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70"/>
      <c r="BK119" s="148"/>
      <c r="BL119" s="324"/>
      <c r="BM119" s="324"/>
      <c r="BN119" s="170"/>
      <c r="BO119" s="149"/>
      <c r="BP119" s="170"/>
      <c r="BQ119" s="149"/>
      <c r="BR119" s="170"/>
      <c r="BS119" s="171"/>
      <c r="BT119" s="708"/>
    </row>
    <row r="120" spans="1:72" s="2" customFormat="1" ht="24.9" customHeight="1">
      <c r="A120" s="147"/>
      <c r="B120" s="158"/>
      <c r="C120" s="179"/>
      <c r="D120" s="158"/>
      <c r="E120" s="160"/>
      <c r="F120" s="161"/>
      <c r="G120" s="161"/>
      <c r="H120" s="161"/>
      <c r="I120" s="163"/>
      <c r="J120" s="161"/>
      <c r="K120" s="163"/>
      <c r="L120" s="150"/>
      <c r="M120" s="164"/>
      <c r="N120" s="150"/>
      <c r="O120" s="174"/>
      <c r="P120" s="523"/>
      <c r="Q120" s="523"/>
      <c r="R120" s="154"/>
      <c r="S120" s="155"/>
      <c r="T120" s="156"/>
      <c r="U120" s="154"/>
      <c r="V120" s="155"/>
      <c r="W120" s="155"/>
      <c r="X120" s="419"/>
      <c r="Y120" s="157"/>
      <c r="Z120" s="217"/>
      <c r="AA120" s="150"/>
      <c r="AB120" s="151"/>
      <c r="AC120" s="152"/>
      <c r="AD120" s="152"/>
      <c r="AE120" s="152"/>
      <c r="AF120" s="152"/>
      <c r="AG120" s="152"/>
      <c r="AH120" s="152"/>
      <c r="AI120" s="152"/>
      <c r="AJ120" s="152"/>
      <c r="AK120" s="152"/>
      <c r="AL120" s="150"/>
      <c r="AM120" s="151"/>
      <c r="AN120" s="151"/>
      <c r="AO120" s="169"/>
      <c r="AP120" s="169"/>
      <c r="AQ120" s="149"/>
      <c r="AR120" s="324"/>
      <c r="AS120" s="324"/>
      <c r="AT120" s="324"/>
      <c r="AU120" s="324"/>
      <c r="AV120" s="324"/>
      <c r="AW120" s="324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70"/>
      <c r="BK120" s="148"/>
      <c r="BL120" s="324"/>
      <c r="BM120" s="324"/>
      <c r="BN120" s="170"/>
      <c r="BO120" s="149"/>
      <c r="BP120" s="170"/>
      <c r="BQ120" s="149"/>
      <c r="BR120" s="170"/>
      <c r="BS120" s="171"/>
      <c r="BT120" s="708"/>
    </row>
    <row r="121" spans="1:72" s="2" customFormat="1" ht="24.9" customHeight="1">
      <c r="A121" s="147"/>
      <c r="B121" s="158"/>
      <c r="C121" s="179"/>
      <c r="D121" s="158"/>
      <c r="E121" s="160"/>
      <c r="F121" s="161"/>
      <c r="G121" s="161"/>
      <c r="H121" s="161"/>
      <c r="I121" s="163"/>
      <c r="J121" s="161"/>
      <c r="K121" s="163"/>
      <c r="L121" s="150"/>
      <c r="M121" s="164"/>
      <c r="N121" s="153"/>
      <c r="O121" s="174"/>
      <c r="P121" s="523"/>
      <c r="Q121" s="523"/>
      <c r="R121" s="154"/>
      <c r="S121" s="155"/>
      <c r="T121" s="156"/>
      <c r="U121" s="154"/>
      <c r="V121" s="155"/>
      <c r="W121" s="155"/>
      <c r="X121" s="419"/>
      <c r="Y121" s="157"/>
      <c r="Z121" s="217"/>
      <c r="AA121" s="150"/>
      <c r="AB121" s="151"/>
      <c r="AC121" s="152"/>
      <c r="AD121" s="152"/>
      <c r="AE121" s="152"/>
      <c r="AF121" s="152"/>
      <c r="AG121" s="152"/>
      <c r="AH121" s="152"/>
      <c r="AI121" s="152"/>
      <c r="AJ121" s="152"/>
      <c r="AK121" s="152"/>
      <c r="AL121" s="150"/>
      <c r="AM121" s="151"/>
      <c r="AN121" s="151"/>
      <c r="AO121" s="169"/>
      <c r="AP121" s="169"/>
      <c r="AQ121" s="149"/>
      <c r="AR121" s="324"/>
      <c r="AS121" s="324"/>
      <c r="AT121" s="324"/>
      <c r="AU121" s="324"/>
      <c r="AV121" s="324"/>
      <c r="AW121" s="324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70"/>
      <c r="BK121" s="148"/>
      <c r="BL121" s="324"/>
      <c r="BM121" s="324"/>
      <c r="BN121" s="170"/>
      <c r="BO121" s="149"/>
      <c r="BP121" s="170"/>
      <c r="BQ121" s="149"/>
      <c r="BR121" s="170"/>
      <c r="BS121" s="171"/>
      <c r="BT121" s="708"/>
    </row>
    <row r="122" spans="1:72" s="2" customFormat="1" ht="24.9" customHeight="1">
      <c r="A122" s="147"/>
      <c r="B122" s="158"/>
      <c r="C122" s="179"/>
      <c r="D122" s="158"/>
      <c r="E122" s="160"/>
      <c r="F122" s="161"/>
      <c r="G122" s="161"/>
      <c r="H122" s="161"/>
      <c r="I122" s="163"/>
      <c r="J122" s="161"/>
      <c r="K122" s="163"/>
      <c r="L122" s="150"/>
      <c r="M122" s="152"/>
      <c r="N122" s="180"/>
      <c r="O122" s="174"/>
      <c r="P122" s="523"/>
      <c r="Q122" s="523"/>
      <c r="R122" s="154"/>
      <c r="S122" s="155"/>
      <c r="T122" s="156"/>
      <c r="U122" s="154"/>
      <c r="V122" s="155"/>
      <c r="W122" s="155"/>
      <c r="X122" s="419"/>
      <c r="Y122" s="157"/>
      <c r="Z122" s="217"/>
      <c r="AA122" s="150"/>
      <c r="AB122" s="151"/>
      <c r="AC122" s="152"/>
      <c r="AD122" s="506"/>
      <c r="AE122" s="166"/>
      <c r="AF122" s="150"/>
      <c r="AG122" s="152"/>
      <c r="AH122" s="150"/>
      <c r="AI122" s="152"/>
      <c r="AJ122" s="150"/>
      <c r="AK122" s="152"/>
      <c r="AL122" s="150"/>
      <c r="AM122" s="151"/>
      <c r="AN122" s="151"/>
      <c r="AO122" s="169"/>
      <c r="AP122" s="169"/>
      <c r="AQ122" s="149"/>
      <c r="AR122" s="324"/>
      <c r="AS122" s="324"/>
      <c r="AT122" s="324"/>
      <c r="AU122" s="324"/>
      <c r="AV122" s="324"/>
      <c r="AW122" s="324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70"/>
      <c r="BK122" s="148"/>
      <c r="BL122" s="324"/>
      <c r="BM122" s="324"/>
      <c r="BN122" s="170"/>
      <c r="BO122" s="149"/>
      <c r="BP122" s="170"/>
      <c r="BQ122" s="149"/>
      <c r="BR122" s="170"/>
      <c r="BS122" s="171"/>
      <c r="BT122" s="707"/>
    </row>
    <row r="123" spans="1:72" s="2" customFormat="1" ht="24.9" customHeight="1">
      <c r="A123" s="147"/>
      <c r="B123" s="158"/>
      <c r="C123" s="179"/>
      <c r="D123" s="158"/>
      <c r="E123" s="160"/>
      <c r="F123" s="161"/>
      <c r="G123" s="161"/>
      <c r="H123" s="161"/>
      <c r="I123" s="163"/>
      <c r="J123" s="161"/>
      <c r="K123" s="163"/>
      <c r="L123" s="150"/>
      <c r="M123" s="164"/>
      <c r="N123" s="150"/>
      <c r="O123" s="174"/>
      <c r="P123" s="523"/>
      <c r="Q123" s="523"/>
      <c r="R123" s="154"/>
      <c r="S123" s="155"/>
      <c r="T123" s="156"/>
      <c r="U123" s="154"/>
      <c r="V123" s="155"/>
      <c r="W123" s="155"/>
      <c r="X123" s="419"/>
      <c r="Y123" s="157"/>
      <c r="Z123" s="217"/>
      <c r="AA123" s="150"/>
      <c r="AB123" s="151"/>
      <c r="AC123" s="152"/>
      <c r="AD123" s="506"/>
      <c r="AE123" s="178"/>
      <c r="AF123" s="150"/>
      <c r="AG123" s="152"/>
      <c r="AH123" s="150"/>
      <c r="AI123" s="152"/>
      <c r="AJ123" s="150"/>
      <c r="AK123" s="152"/>
      <c r="AL123" s="150"/>
      <c r="AM123" s="151"/>
      <c r="AN123" s="151"/>
      <c r="AO123" s="169"/>
      <c r="AP123" s="169"/>
      <c r="AQ123" s="149"/>
      <c r="AR123" s="324"/>
      <c r="AS123" s="324"/>
      <c r="AT123" s="324"/>
      <c r="AU123" s="324"/>
      <c r="AV123" s="324"/>
      <c r="AW123" s="324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70"/>
      <c r="BK123" s="148"/>
      <c r="BL123" s="324"/>
      <c r="BM123" s="324"/>
      <c r="BN123" s="170"/>
      <c r="BO123" s="149"/>
      <c r="BP123" s="170"/>
      <c r="BQ123" s="149"/>
      <c r="BR123" s="170"/>
      <c r="BS123" s="171"/>
      <c r="BT123" s="706"/>
    </row>
    <row r="124" spans="1:72" s="2" customFormat="1" ht="24.9" customHeight="1">
      <c r="A124" s="147"/>
      <c r="B124" s="158"/>
      <c r="C124" s="179"/>
      <c r="D124" s="158"/>
      <c r="E124" s="160"/>
      <c r="F124" s="161"/>
      <c r="G124" s="161"/>
      <c r="H124" s="161"/>
      <c r="I124" s="163"/>
      <c r="J124" s="161"/>
      <c r="K124" s="163"/>
      <c r="L124" s="150"/>
      <c r="M124" s="164"/>
      <c r="N124" s="150"/>
      <c r="O124" s="174"/>
      <c r="P124" s="523"/>
      <c r="Q124" s="523"/>
      <c r="R124" s="154"/>
      <c r="S124" s="155"/>
      <c r="T124" s="156"/>
      <c r="U124" s="154"/>
      <c r="V124" s="155"/>
      <c r="W124" s="155"/>
      <c r="X124" s="419"/>
      <c r="Y124" s="157"/>
      <c r="Z124" s="217"/>
      <c r="AA124" s="150"/>
      <c r="AB124" s="151"/>
      <c r="AC124" s="152"/>
      <c r="AD124" s="506"/>
      <c r="AE124" s="166"/>
      <c r="AF124" s="150"/>
      <c r="AG124" s="152"/>
      <c r="AH124" s="150"/>
      <c r="AI124" s="152"/>
      <c r="AJ124" s="150"/>
      <c r="AK124" s="152"/>
      <c r="AL124" s="150"/>
      <c r="AM124" s="151"/>
      <c r="AN124" s="151"/>
      <c r="AO124" s="169"/>
      <c r="AP124" s="169"/>
      <c r="AQ124" s="149"/>
      <c r="AR124" s="324"/>
      <c r="AS124" s="324"/>
      <c r="AT124" s="324"/>
      <c r="AU124" s="324"/>
      <c r="AV124" s="324"/>
      <c r="AW124" s="324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70"/>
      <c r="BK124" s="148"/>
      <c r="BL124" s="324"/>
      <c r="BM124" s="324"/>
      <c r="BN124" s="170"/>
      <c r="BO124" s="149"/>
      <c r="BP124" s="170"/>
      <c r="BQ124" s="149"/>
      <c r="BR124" s="170"/>
      <c r="BS124" s="171"/>
      <c r="BT124" s="708"/>
    </row>
    <row r="125" spans="1:72" s="2" customFormat="1" ht="24.9" customHeight="1">
      <c r="A125" s="147"/>
      <c r="B125" s="158"/>
      <c r="C125" s="179"/>
      <c r="D125" s="158"/>
      <c r="E125" s="160"/>
      <c r="F125" s="161"/>
      <c r="G125" s="161"/>
      <c r="H125" s="161"/>
      <c r="I125" s="163"/>
      <c r="J125" s="161"/>
      <c r="K125" s="163"/>
      <c r="L125" s="150"/>
      <c r="M125" s="164"/>
      <c r="N125" s="150"/>
      <c r="O125" s="174"/>
      <c r="P125" s="523"/>
      <c r="Q125" s="523"/>
      <c r="R125" s="154"/>
      <c r="S125" s="155"/>
      <c r="T125" s="156"/>
      <c r="U125" s="154"/>
      <c r="V125" s="155"/>
      <c r="W125" s="155"/>
      <c r="X125" s="419"/>
      <c r="Y125" s="157"/>
      <c r="Z125" s="217"/>
      <c r="AA125" s="150"/>
      <c r="AB125" s="151"/>
      <c r="AC125" s="152"/>
      <c r="AD125" s="506"/>
      <c r="AE125" s="166"/>
      <c r="AF125" s="150"/>
      <c r="AG125" s="152"/>
      <c r="AH125" s="150"/>
      <c r="AI125" s="152"/>
      <c r="AJ125" s="150"/>
      <c r="AK125" s="152"/>
      <c r="AL125" s="150"/>
      <c r="AM125" s="151"/>
      <c r="AN125" s="151"/>
      <c r="AO125" s="169"/>
      <c r="AP125" s="169"/>
      <c r="AQ125" s="149"/>
      <c r="AR125" s="324"/>
      <c r="AS125" s="324"/>
      <c r="AT125" s="324"/>
      <c r="AU125" s="324"/>
      <c r="AV125" s="324"/>
      <c r="AW125" s="324"/>
      <c r="AX125" s="150"/>
      <c r="AY125" s="297"/>
      <c r="AZ125" s="297"/>
      <c r="BA125" s="297"/>
      <c r="BB125" s="297"/>
      <c r="BC125" s="152"/>
      <c r="BD125" s="150"/>
      <c r="BE125" s="297"/>
      <c r="BF125" s="297"/>
      <c r="BG125" s="297"/>
      <c r="BH125" s="297"/>
      <c r="BI125" s="152"/>
      <c r="BJ125" s="170"/>
      <c r="BK125" s="148"/>
      <c r="BL125" s="324"/>
      <c r="BM125" s="324"/>
      <c r="BN125" s="170"/>
      <c r="BO125" s="149"/>
      <c r="BP125" s="170"/>
      <c r="BQ125" s="149"/>
      <c r="BR125" s="170"/>
      <c r="BS125" s="171"/>
      <c r="BT125" s="707"/>
    </row>
    <row r="126" spans="1:72" s="2" customFormat="1" ht="24.9" customHeight="1">
      <c r="A126" s="147"/>
      <c r="B126" s="158"/>
      <c r="C126" s="179"/>
      <c r="D126" s="158"/>
      <c r="E126" s="160"/>
      <c r="F126" s="161"/>
      <c r="G126" s="161"/>
      <c r="H126" s="161"/>
      <c r="I126" s="163"/>
      <c r="J126" s="161"/>
      <c r="K126" s="163"/>
      <c r="L126" s="150"/>
      <c r="M126" s="164"/>
      <c r="N126" s="150"/>
      <c r="O126" s="174"/>
      <c r="P126" s="523"/>
      <c r="Q126" s="523"/>
      <c r="R126" s="154"/>
      <c r="S126" s="155"/>
      <c r="T126" s="156"/>
      <c r="U126" s="154"/>
      <c r="V126" s="155"/>
      <c r="W126" s="155"/>
      <c r="X126" s="419"/>
      <c r="Y126" s="157"/>
      <c r="Z126" s="217"/>
      <c r="AA126" s="150"/>
      <c r="AB126" s="151"/>
      <c r="AC126" s="152"/>
      <c r="AD126" s="506"/>
      <c r="AE126" s="166"/>
      <c r="AF126" s="150"/>
      <c r="AG126" s="152"/>
      <c r="AH126" s="150"/>
      <c r="AI126" s="152"/>
      <c r="AJ126" s="150"/>
      <c r="AK126" s="152"/>
      <c r="AL126" s="150"/>
      <c r="AM126" s="151"/>
      <c r="AN126" s="151"/>
      <c r="AO126" s="169"/>
      <c r="AP126" s="169"/>
      <c r="AQ126" s="149"/>
      <c r="AR126" s="324"/>
      <c r="AS126" s="324"/>
      <c r="AT126" s="324"/>
      <c r="AU126" s="324"/>
      <c r="AV126" s="324"/>
      <c r="AW126" s="324"/>
      <c r="AX126" s="150"/>
      <c r="AY126" s="297"/>
      <c r="AZ126" s="297"/>
      <c r="BA126" s="297"/>
      <c r="BB126" s="297"/>
      <c r="BC126" s="152"/>
      <c r="BD126" s="150"/>
      <c r="BE126" s="297"/>
      <c r="BF126" s="297"/>
      <c r="BG126" s="297"/>
      <c r="BH126" s="297"/>
      <c r="BI126" s="152"/>
      <c r="BJ126" s="170"/>
      <c r="BK126" s="148"/>
      <c r="BL126" s="324"/>
      <c r="BM126" s="324"/>
      <c r="BN126" s="170"/>
      <c r="BO126" s="149"/>
      <c r="BP126" s="170"/>
      <c r="BQ126" s="149"/>
      <c r="BR126" s="170"/>
      <c r="BS126" s="171"/>
      <c r="BT126" s="706"/>
    </row>
    <row r="127" spans="1:72" s="2" customFormat="1" ht="24.9" customHeight="1">
      <c r="A127" s="147"/>
      <c r="B127" s="158"/>
      <c r="C127" s="179"/>
      <c r="D127" s="158"/>
      <c r="E127" s="160"/>
      <c r="F127" s="161"/>
      <c r="G127" s="161"/>
      <c r="H127" s="161"/>
      <c r="I127" s="163"/>
      <c r="J127" s="161"/>
      <c r="K127" s="163"/>
      <c r="L127" s="150"/>
      <c r="M127" s="164"/>
      <c r="N127" s="150"/>
      <c r="O127" s="151"/>
      <c r="P127" s="522"/>
      <c r="Q127" s="522"/>
      <c r="R127" s="154"/>
      <c r="S127" s="155"/>
      <c r="T127" s="156"/>
      <c r="U127" s="154"/>
      <c r="V127" s="155"/>
      <c r="W127" s="155"/>
      <c r="X127" s="419"/>
      <c r="Y127" s="157"/>
      <c r="Z127" s="217"/>
      <c r="AA127" s="150"/>
      <c r="AB127" s="151"/>
      <c r="AC127" s="152"/>
      <c r="AD127" s="506"/>
      <c r="AE127" s="166"/>
      <c r="AF127" s="150"/>
      <c r="AG127" s="152"/>
      <c r="AH127" s="150"/>
      <c r="AI127" s="152"/>
      <c r="AJ127" s="150"/>
      <c r="AK127" s="152"/>
      <c r="AL127" s="150"/>
      <c r="AM127" s="151"/>
      <c r="AN127" s="151"/>
      <c r="AO127" s="169"/>
      <c r="AP127" s="169"/>
      <c r="AQ127" s="149"/>
      <c r="AR127" s="324"/>
      <c r="AS127" s="324"/>
      <c r="AT127" s="324"/>
      <c r="AU127" s="324"/>
      <c r="AV127" s="324"/>
      <c r="AW127" s="324"/>
      <c r="AX127" s="150"/>
      <c r="AY127" s="297"/>
      <c r="AZ127" s="297"/>
      <c r="BA127" s="297"/>
      <c r="BB127" s="297"/>
      <c r="BC127" s="152"/>
      <c r="BD127" s="150"/>
      <c r="BE127" s="297"/>
      <c r="BF127" s="297"/>
      <c r="BG127" s="297"/>
      <c r="BH127" s="297"/>
      <c r="BI127" s="152"/>
      <c r="BJ127" s="170"/>
      <c r="BK127" s="148"/>
      <c r="BL127" s="324"/>
      <c r="BM127" s="324"/>
      <c r="BN127" s="170"/>
      <c r="BO127" s="149"/>
      <c r="BP127" s="170"/>
      <c r="BQ127" s="149"/>
      <c r="BR127" s="170"/>
      <c r="BS127" s="171"/>
      <c r="BT127" s="708"/>
    </row>
    <row r="128" spans="1:72" s="2" customFormat="1" ht="24.9" customHeight="1">
      <c r="A128" s="147"/>
      <c r="B128" s="158"/>
      <c r="C128" s="179"/>
      <c r="D128" s="158"/>
      <c r="E128" s="160"/>
      <c r="F128" s="161"/>
      <c r="G128" s="161"/>
      <c r="H128" s="161"/>
      <c r="I128" s="163"/>
      <c r="J128" s="161"/>
      <c r="K128" s="163"/>
      <c r="L128" s="150"/>
      <c r="M128" s="164"/>
      <c r="N128" s="150"/>
      <c r="O128" s="174"/>
      <c r="P128" s="523"/>
      <c r="Q128" s="523"/>
      <c r="R128" s="154"/>
      <c r="S128" s="155"/>
      <c r="T128" s="156"/>
      <c r="U128" s="154"/>
      <c r="V128" s="155"/>
      <c r="W128" s="155"/>
      <c r="X128" s="419"/>
      <c r="Y128" s="157"/>
      <c r="Z128" s="217"/>
      <c r="AA128" s="150"/>
      <c r="AB128" s="151"/>
      <c r="AC128" s="152"/>
      <c r="AD128" s="506"/>
      <c r="AE128" s="166"/>
      <c r="AF128" s="150"/>
      <c r="AG128" s="152"/>
      <c r="AH128" s="150"/>
      <c r="AI128" s="152"/>
      <c r="AJ128" s="150"/>
      <c r="AK128" s="152"/>
      <c r="AL128" s="150"/>
      <c r="AM128" s="151"/>
      <c r="AN128" s="151"/>
      <c r="AO128" s="169"/>
      <c r="AP128" s="169"/>
      <c r="AQ128" s="149"/>
      <c r="AR128" s="324"/>
      <c r="AS128" s="324"/>
      <c r="AT128" s="324"/>
      <c r="AU128" s="324"/>
      <c r="AV128" s="324"/>
      <c r="AW128" s="324"/>
      <c r="AX128" s="150"/>
      <c r="AY128" s="297"/>
      <c r="AZ128" s="297"/>
      <c r="BA128" s="297"/>
      <c r="BB128" s="297"/>
      <c r="BC128" s="152"/>
      <c r="BD128" s="150"/>
      <c r="BE128" s="297"/>
      <c r="BF128" s="297"/>
      <c r="BG128" s="297"/>
      <c r="BH128" s="297"/>
      <c r="BI128" s="152"/>
      <c r="BJ128" s="170"/>
      <c r="BK128" s="148"/>
      <c r="BL128" s="324"/>
      <c r="BM128" s="324"/>
      <c r="BN128" s="170"/>
      <c r="BO128" s="149"/>
      <c r="BP128" s="170"/>
      <c r="BQ128" s="149"/>
      <c r="BR128" s="170"/>
      <c r="BS128" s="171"/>
      <c r="BT128" s="707"/>
    </row>
    <row r="129" spans="1:72" s="2" customFormat="1" ht="24.9" customHeight="1">
      <c r="A129" s="147"/>
      <c r="B129" s="158"/>
      <c r="C129" s="179"/>
      <c r="D129" s="158"/>
      <c r="E129" s="160"/>
      <c r="F129" s="161"/>
      <c r="G129" s="161"/>
      <c r="H129" s="161"/>
      <c r="I129" s="163"/>
      <c r="J129" s="161"/>
      <c r="K129" s="163"/>
      <c r="L129" s="150"/>
      <c r="M129" s="164"/>
      <c r="N129" s="150"/>
      <c r="O129" s="174"/>
      <c r="P129" s="523"/>
      <c r="Q129" s="523"/>
      <c r="R129" s="154"/>
      <c r="S129" s="155"/>
      <c r="T129" s="156"/>
      <c r="U129" s="154"/>
      <c r="V129" s="155"/>
      <c r="W129" s="155"/>
      <c r="X129" s="419"/>
      <c r="Y129" s="157"/>
      <c r="Z129" s="217"/>
      <c r="AA129" s="150"/>
      <c r="AB129" s="151"/>
      <c r="AC129" s="152"/>
      <c r="AD129" s="506"/>
      <c r="AE129" s="166"/>
      <c r="AF129" s="150"/>
      <c r="AG129" s="152"/>
      <c r="AH129" s="150"/>
      <c r="AI129" s="152"/>
      <c r="AJ129" s="150"/>
      <c r="AK129" s="152"/>
      <c r="AL129" s="150"/>
      <c r="AM129" s="151"/>
      <c r="AN129" s="151"/>
      <c r="AO129" s="169"/>
      <c r="AP129" s="169"/>
      <c r="AQ129" s="149"/>
      <c r="AR129" s="324"/>
      <c r="AS129" s="324"/>
      <c r="AT129" s="324"/>
      <c r="AU129" s="324"/>
      <c r="AV129" s="324"/>
      <c r="AW129" s="324"/>
      <c r="AX129" s="150"/>
      <c r="AY129" s="297"/>
      <c r="AZ129" s="297"/>
      <c r="BA129" s="297"/>
      <c r="BB129" s="297"/>
      <c r="BC129" s="152"/>
      <c r="BD129" s="150"/>
      <c r="BE129" s="297"/>
      <c r="BF129" s="297"/>
      <c r="BG129" s="297"/>
      <c r="BH129" s="297"/>
      <c r="BI129" s="152"/>
      <c r="BJ129" s="170"/>
      <c r="BK129" s="148"/>
      <c r="BL129" s="324"/>
      <c r="BM129" s="324"/>
      <c r="BN129" s="170"/>
      <c r="BO129" s="149"/>
      <c r="BP129" s="170"/>
      <c r="BQ129" s="149"/>
      <c r="BR129" s="170"/>
      <c r="BS129" s="171"/>
      <c r="BT129" s="706"/>
    </row>
    <row r="130" spans="1:72" s="2" customFormat="1" ht="24.9" customHeight="1">
      <c r="A130" s="147"/>
      <c r="B130" s="158"/>
      <c r="C130" s="179"/>
      <c r="D130" s="158"/>
      <c r="E130" s="160"/>
      <c r="F130" s="161"/>
      <c r="G130" s="161"/>
      <c r="H130" s="161"/>
      <c r="I130" s="163"/>
      <c r="J130" s="161"/>
      <c r="K130" s="163"/>
      <c r="L130" s="150"/>
      <c r="M130" s="164"/>
      <c r="N130" s="150"/>
      <c r="O130" s="174"/>
      <c r="P130" s="523"/>
      <c r="Q130" s="523"/>
      <c r="R130" s="154"/>
      <c r="S130" s="155"/>
      <c r="T130" s="156"/>
      <c r="U130" s="154"/>
      <c r="V130" s="155"/>
      <c r="W130" s="155"/>
      <c r="X130" s="419"/>
      <c r="Y130" s="157"/>
      <c r="Z130" s="217"/>
      <c r="AA130" s="150"/>
      <c r="AB130" s="151"/>
      <c r="AC130" s="152"/>
      <c r="AD130" s="506"/>
      <c r="AE130" s="166"/>
      <c r="AF130" s="150"/>
      <c r="AG130" s="152"/>
      <c r="AH130" s="150"/>
      <c r="AI130" s="152"/>
      <c r="AJ130" s="150"/>
      <c r="AK130" s="152"/>
      <c r="AL130" s="150"/>
      <c r="AM130" s="151"/>
      <c r="AN130" s="151"/>
      <c r="AO130" s="169"/>
      <c r="AP130" s="169"/>
      <c r="AQ130" s="149"/>
      <c r="AR130" s="324"/>
      <c r="AS130" s="324"/>
      <c r="AT130" s="324"/>
      <c r="AU130" s="324"/>
      <c r="AV130" s="324"/>
      <c r="AW130" s="324"/>
      <c r="AX130" s="150"/>
      <c r="AY130" s="297"/>
      <c r="AZ130" s="297"/>
      <c r="BA130" s="297"/>
      <c r="BB130" s="297"/>
      <c r="BC130" s="152"/>
      <c r="BD130" s="150"/>
      <c r="BE130" s="297"/>
      <c r="BF130" s="297"/>
      <c r="BG130" s="297"/>
      <c r="BH130" s="297"/>
      <c r="BI130" s="152"/>
      <c r="BJ130" s="170"/>
      <c r="BK130" s="148"/>
      <c r="BL130" s="324"/>
      <c r="BM130" s="324"/>
      <c r="BN130" s="170"/>
      <c r="BO130" s="149"/>
      <c r="BP130" s="170"/>
      <c r="BQ130" s="149"/>
      <c r="BR130" s="170"/>
      <c r="BS130" s="171"/>
      <c r="BT130" s="707"/>
    </row>
    <row r="131" spans="1:72" s="2" customFormat="1" ht="24.9" customHeight="1">
      <c r="A131" s="147"/>
      <c r="B131" s="158"/>
      <c r="C131" s="179"/>
      <c r="D131" s="158"/>
      <c r="E131" s="160"/>
      <c r="F131" s="161"/>
      <c r="G131" s="161"/>
      <c r="H131" s="161"/>
      <c r="I131" s="163"/>
      <c r="J131" s="161"/>
      <c r="K131" s="163"/>
      <c r="L131" s="150"/>
      <c r="M131" s="164"/>
      <c r="N131" s="150"/>
      <c r="O131" s="174"/>
      <c r="P131" s="523"/>
      <c r="Q131" s="523"/>
      <c r="R131" s="154"/>
      <c r="S131" s="155"/>
      <c r="T131" s="156"/>
      <c r="U131" s="154"/>
      <c r="V131" s="155"/>
      <c r="W131" s="155"/>
      <c r="X131" s="419"/>
      <c r="Y131" s="157"/>
      <c r="Z131" s="217"/>
      <c r="AA131" s="150"/>
      <c r="AB131" s="151"/>
      <c r="AC131" s="152"/>
      <c r="AD131" s="506"/>
      <c r="AE131" s="166"/>
      <c r="AF131" s="150"/>
      <c r="AG131" s="152"/>
      <c r="AH131" s="150"/>
      <c r="AI131" s="152"/>
      <c r="AJ131" s="150"/>
      <c r="AK131" s="152"/>
      <c r="AL131" s="150"/>
      <c r="AM131" s="151"/>
      <c r="AN131" s="151"/>
      <c r="AO131" s="169"/>
      <c r="AP131" s="169"/>
      <c r="AQ131" s="149"/>
      <c r="AR131" s="324"/>
      <c r="AS131" s="324"/>
      <c r="AT131" s="324"/>
      <c r="AU131" s="324"/>
      <c r="AV131" s="324"/>
      <c r="AW131" s="324"/>
      <c r="AX131" s="150"/>
      <c r="AY131" s="297"/>
      <c r="AZ131" s="297"/>
      <c r="BA131" s="297"/>
      <c r="BB131" s="297"/>
      <c r="BC131" s="152"/>
      <c r="BD131" s="150"/>
      <c r="BE131" s="297"/>
      <c r="BF131" s="297"/>
      <c r="BG131" s="297"/>
      <c r="BH131" s="297"/>
      <c r="BI131" s="152"/>
      <c r="BJ131" s="170"/>
      <c r="BK131" s="148"/>
      <c r="BL131" s="324"/>
      <c r="BM131" s="324"/>
      <c r="BN131" s="170"/>
      <c r="BO131" s="149"/>
      <c r="BP131" s="170"/>
      <c r="BQ131" s="149"/>
      <c r="BR131" s="170"/>
      <c r="BS131" s="171"/>
      <c r="BT131" s="706"/>
    </row>
    <row r="132" spans="1:72" s="2" customFormat="1" ht="24.9" customHeight="1">
      <c r="A132" s="147"/>
      <c r="B132" s="158"/>
      <c r="C132" s="179"/>
      <c r="D132" s="158"/>
      <c r="E132" s="160"/>
      <c r="F132" s="161"/>
      <c r="G132" s="161"/>
      <c r="H132" s="161"/>
      <c r="I132" s="163"/>
      <c r="J132" s="161"/>
      <c r="K132" s="163"/>
      <c r="L132" s="150"/>
      <c r="M132" s="164"/>
      <c r="N132" s="150"/>
      <c r="O132" s="174"/>
      <c r="P132" s="523"/>
      <c r="Q132" s="523"/>
      <c r="R132" s="154"/>
      <c r="S132" s="155"/>
      <c r="T132" s="156"/>
      <c r="U132" s="154"/>
      <c r="V132" s="155"/>
      <c r="W132" s="155"/>
      <c r="X132" s="419"/>
      <c r="Y132" s="157"/>
      <c r="Z132" s="217"/>
      <c r="AA132" s="150"/>
      <c r="AB132" s="151"/>
      <c r="AC132" s="152"/>
      <c r="AD132" s="506"/>
      <c r="AE132" s="166"/>
      <c r="AF132" s="150"/>
      <c r="AG132" s="152"/>
      <c r="AH132" s="150"/>
      <c r="AI132" s="152"/>
      <c r="AJ132" s="150"/>
      <c r="AK132" s="152"/>
      <c r="AL132" s="150"/>
      <c r="AM132" s="151"/>
      <c r="AN132" s="151"/>
      <c r="AO132" s="169"/>
      <c r="AP132" s="169"/>
      <c r="AQ132" s="149"/>
      <c r="AR132" s="324"/>
      <c r="AS132" s="324"/>
      <c r="AT132" s="324"/>
      <c r="AU132" s="324"/>
      <c r="AV132" s="324"/>
      <c r="AW132" s="324"/>
      <c r="AX132" s="150"/>
      <c r="AY132" s="297"/>
      <c r="AZ132" s="297"/>
      <c r="BA132" s="297"/>
      <c r="BB132" s="297"/>
      <c r="BC132" s="152"/>
      <c r="BD132" s="150"/>
      <c r="BE132" s="297"/>
      <c r="BF132" s="297"/>
      <c r="BG132" s="297"/>
      <c r="BH132" s="297"/>
      <c r="BI132" s="152"/>
      <c r="BJ132" s="170"/>
      <c r="BK132" s="148"/>
      <c r="BL132" s="324"/>
      <c r="BM132" s="324"/>
      <c r="BN132" s="170"/>
      <c r="BO132" s="149"/>
      <c r="BP132" s="170"/>
      <c r="BQ132" s="149"/>
      <c r="BR132" s="170"/>
      <c r="BS132" s="171"/>
      <c r="BT132" s="707"/>
    </row>
    <row r="133" spans="1:72" s="2" customFormat="1" ht="24.9" customHeight="1">
      <c r="A133" s="147"/>
      <c r="B133" s="158"/>
      <c r="C133" s="179"/>
      <c r="D133" s="158"/>
      <c r="E133" s="160"/>
      <c r="F133" s="161"/>
      <c r="G133" s="161"/>
      <c r="H133" s="161"/>
      <c r="I133" s="163"/>
      <c r="J133" s="161"/>
      <c r="K133" s="163"/>
      <c r="L133" s="150"/>
      <c r="M133" s="164"/>
      <c r="N133" s="150"/>
      <c r="O133" s="174"/>
      <c r="P133" s="523"/>
      <c r="Q133" s="523"/>
      <c r="R133" s="154"/>
      <c r="S133" s="155"/>
      <c r="T133" s="156"/>
      <c r="U133" s="154"/>
      <c r="V133" s="155"/>
      <c r="W133" s="155"/>
      <c r="X133" s="419"/>
      <c r="Y133" s="157"/>
      <c r="Z133" s="217"/>
      <c r="AA133" s="150"/>
      <c r="AB133" s="151"/>
      <c r="AC133" s="152"/>
      <c r="AD133" s="506"/>
      <c r="AE133" s="166"/>
      <c r="AF133" s="150"/>
      <c r="AG133" s="152"/>
      <c r="AH133" s="150"/>
      <c r="AI133" s="152"/>
      <c r="AJ133" s="150"/>
      <c r="AK133" s="152"/>
      <c r="AL133" s="150"/>
      <c r="AM133" s="151"/>
      <c r="AN133" s="151"/>
      <c r="AO133" s="169"/>
      <c r="AP133" s="169"/>
      <c r="AQ133" s="149"/>
      <c r="AR133" s="324"/>
      <c r="AS133" s="324"/>
      <c r="AT133" s="324"/>
      <c r="AU133" s="324"/>
      <c r="AV133" s="324"/>
      <c r="AW133" s="324"/>
      <c r="AX133" s="150"/>
      <c r="AY133" s="297"/>
      <c r="AZ133" s="297"/>
      <c r="BA133" s="297"/>
      <c r="BB133" s="297"/>
      <c r="BC133" s="152"/>
      <c r="BD133" s="150"/>
      <c r="BE133" s="297"/>
      <c r="BF133" s="297"/>
      <c r="BG133" s="297"/>
      <c r="BH133" s="297"/>
      <c r="BI133" s="152"/>
      <c r="BJ133" s="170"/>
      <c r="BK133" s="148"/>
      <c r="BL133" s="324"/>
      <c r="BM133" s="324"/>
      <c r="BN133" s="170"/>
      <c r="BO133" s="149"/>
      <c r="BP133" s="170"/>
      <c r="BQ133" s="149"/>
      <c r="BR133" s="170"/>
      <c r="BS133" s="171"/>
      <c r="BT133" s="706"/>
    </row>
    <row r="134" spans="1:72" s="2" customFormat="1" ht="24.9" customHeight="1">
      <c r="A134" s="147"/>
      <c r="B134" s="158"/>
      <c r="C134" s="179"/>
      <c r="D134" s="158"/>
      <c r="E134" s="160"/>
      <c r="F134" s="161"/>
      <c r="G134" s="161"/>
      <c r="H134" s="161"/>
      <c r="I134" s="163"/>
      <c r="J134" s="161"/>
      <c r="K134" s="163"/>
      <c r="L134" s="150"/>
      <c r="M134" s="164"/>
      <c r="N134" s="150"/>
      <c r="O134" s="151"/>
      <c r="P134" s="522"/>
      <c r="Q134" s="522"/>
      <c r="R134" s="154"/>
      <c r="S134" s="155"/>
      <c r="T134" s="156"/>
      <c r="U134" s="154"/>
      <c r="V134" s="155"/>
      <c r="W134" s="155"/>
      <c r="X134" s="419"/>
      <c r="Y134" s="157"/>
      <c r="Z134" s="217"/>
      <c r="AA134" s="150"/>
      <c r="AB134" s="151"/>
      <c r="AC134" s="152"/>
      <c r="AD134" s="506"/>
      <c r="AE134" s="166"/>
      <c r="AF134" s="150"/>
      <c r="AG134" s="152"/>
      <c r="AH134" s="150"/>
      <c r="AI134" s="152"/>
      <c r="AJ134" s="150"/>
      <c r="AK134" s="152"/>
      <c r="AL134" s="150"/>
      <c r="AM134" s="151"/>
      <c r="AN134" s="151"/>
      <c r="AO134" s="169"/>
      <c r="AP134" s="169"/>
      <c r="AQ134" s="149"/>
      <c r="AR134" s="324"/>
      <c r="AS134" s="324"/>
      <c r="AT134" s="324"/>
      <c r="AU134" s="324"/>
      <c r="AV134" s="324"/>
      <c r="AW134" s="324"/>
      <c r="AX134" s="150"/>
      <c r="AY134" s="297"/>
      <c r="AZ134" s="297"/>
      <c r="BA134" s="297"/>
      <c r="BB134" s="297"/>
      <c r="BC134" s="152"/>
      <c r="BD134" s="150"/>
      <c r="BE134" s="297"/>
      <c r="BF134" s="297"/>
      <c r="BG134" s="297"/>
      <c r="BH134" s="297"/>
      <c r="BI134" s="152"/>
      <c r="BJ134" s="170"/>
      <c r="BK134" s="148"/>
      <c r="BL134" s="324"/>
      <c r="BM134" s="324"/>
      <c r="BN134" s="170"/>
      <c r="BO134" s="149"/>
      <c r="BP134" s="170"/>
      <c r="BQ134" s="149"/>
      <c r="BR134" s="170"/>
      <c r="BS134" s="171"/>
      <c r="BT134" s="708"/>
    </row>
    <row r="135" spans="1:72" s="2" customFormat="1" ht="24.9" customHeight="1">
      <c r="A135" s="147"/>
      <c r="B135" s="158"/>
      <c r="C135" s="179"/>
      <c r="D135" s="158"/>
      <c r="E135" s="160"/>
      <c r="F135" s="161"/>
      <c r="G135" s="161"/>
      <c r="H135" s="161"/>
      <c r="I135" s="163"/>
      <c r="J135" s="161"/>
      <c r="K135" s="163"/>
      <c r="L135" s="150"/>
      <c r="M135" s="164"/>
      <c r="N135" s="150"/>
      <c r="O135" s="174"/>
      <c r="P135" s="523"/>
      <c r="Q135" s="523"/>
      <c r="R135" s="154"/>
      <c r="S135" s="155"/>
      <c r="T135" s="156"/>
      <c r="U135" s="154"/>
      <c r="V135" s="155"/>
      <c r="W135" s="155"/>
      <c r="X135" s="419"/>
      <c r="Y135" s="157"/>
      <c r="Z135" s="217"/>
      <c r="AA135" s="150"/>
      <c r="AB135" s="151"/>
      <c r="AC135" s="152"/>
      <c r="AD135" s="506"/>
      <c r="AE135" s="166"/>
      <c r="AF135" s="150"/>
      <c r="AG135" s="152"/>
      <c r="AH135" s="150"/>
      <c r="AI135" s="152"/>
      <c r="AJ135" s="150"/>
      <c r="AK135" s="152"/>
      <c r="AL135" s="150"/>
      <c r="AM135" s="151"/>
      <c r="AN135" s="151"/>
      <c r="AO135" s="169"/>
      <c r="AP135" s="169"/>
      <c r="AQ135" s="149"/>
      <c r="AR135" s="324"/>
      <c r="AS135" s="324"/>
      <c r="AT135" s="324"/>
      <c r="AU135" s="324"/>
      <c r="AV135" s="324"/>
      <c r="AW135" s="324"/>
      <c r="AX135" s="150"/>
      <c r="AY135" s="297"/>
      <c r="AZ135" s="297"/>
      <c r="BA135" s="297"/>
      <c r="BB135" s="297"/>
      <c r="BC135" s="152"/>
      <c r="BD135" s="150"/>
      <c r="BE135" s="297"/>
      <c r="BF135" s="297"/>
      <c r="BG135" s="297"/>
      <c r="BH135" s="297"/>
      <c r="BI135" s="152"/>
      <c r="BJ135" s="170"/>
      <c r="BK135" s="148"/>
      <c r="BL135" s="324"/>
      <c r="BM135" s="324"/>
      <c r="BN135" s="170"/>
      <c r="BO135" s="149"/>
      <c r="BP135" s="170"/>
      <c r="BQ135" s="149"/>
      <c r="BR135" s="170"/>
      <c r="BS135" s="171"/>
      <c r="BT135" s="707"/>
    </row>
    <row r="136" spans="1:72" s="2" customFormat="1" ht="24.9" customHeight="1">
      <c r="A136" s="147"/>
      <c r="B136" s="158"/>
      <c r="C136" s="179"/>
      <c r="D136" s="158"/>
      <c r="E136" s="160"/>
      <c r="F136" s="161"/>
      <c r="G136" s="161"/>
      <c r="H136" s="161"/>
      <c r="I136" s="163"/>
      <c r="J136" s="161"/>
      <c r="K136" s="163"/>
      <c r="L136" s="150"/>
      <c r="M136" s="164"/>
      <c r="N136" s="150"/>
      <c r="O136" s="174"/>
      <c r="P136" s="523"/>
      <c r="Q136" s="523"/>
      <c r="R136" s="154"/>
      <c r="S136" s="155"/>
      <c r="T136" s="156"/>
      <c r="U136" s="154"/>
      <c r="V136" s="155"/>
      <c r="W136" s="155"/>
      <c r="X136" s="419"/>
      <c r="Y136" s="157"/>
      <c r="Z136" s="217"/>
      <c r="AA136" s="150"/>
      <c r="AB136" s="151"/>
      <c r="AC136" s="152"/>
      <c r="AD136" s="506"/>
      <c r="AE136" s="166"/>
      <c r="AF136" s="150"/>
      <c r="AG136" s="152"/>
      <c r="AH136" s="150"/>
      <c r="AI136" s="152"/>
      <c r="AJ136" s="150"/>
      <c r="AK136" s="152"/>
      <c r="AL136" s="150"/>
      <c r="AM136" s="151"/>
      <c r="AN136" s="151"/>
      <c r="AO136" s="169"/>
      <c r="AP136" s="169"/>
      <c r="AQ136" s="149"/>
      <c r="AR136" s="324"/>
      <c r="AS136" s="324"/>
      <c r="AT136" s="324"/>
      <c r="AU136" s="324"/>
      <c r="AV136" s="324"/>
      <c r="AW136" s="324"/>
      <c r="AX136" s="150"/>
      <c r="AY136" s="297"/>
      <c r="AZ136" s="297"/>
      <c r="BA136" s="297"/>
      <c r="BB136" s="297"/>
      <c r="BC136" s="152"/>
      <c r="BD136" s="150"/>
      <c r="BE136" s="297"/>
      <c r="BF136" s="297"/>
      <c r="BG136" s="297"/>
      <c r="BH136" s="297"/>
      <c r="BI136" s="152"/>
      <c r="BJ136" s="170"/>
      <c r="BK136" s="148"/>
      <c r="BL136" s="324"/>
      <c r="BM136" s="324"/>
      <c r="BN136" s="170"/>
      <c r="BO136" s="149"/>
      <c r="BP136" s="170"/>
      <c r="BQ136" s="149"/>
      <c r="BR136" s="170"/>
      <c r="BS136" s="171"/>
      <c r="BT136" s="706"/>
    </row>
    <row r="137" spans="1:72" s="2" customFormat="1" ht="24.9" customHeight="1">
      <c r="A137" s="147"/>
      <c r="B137" s="158"/>
      <c r="C137" s="179"/>
      <c r="D137" s="158"/>
      <c r="E137" s="160"/>
      <c r="F137" s="161"/>
      <c r="G137" s="161"/>
      <c r="H137" s="161"/>
      <c r="I137" s="163"/>
      <c r="J137" s="161"/>
      <c r="K137" s="163"/>
      <c r="L137" s="150"/>
      <c r="M137" s="164"/>
      <c r="N137" s="150"/>
      <c r="O137" s="151"/>
      <c r="P137" s="522"/>
      <c r="Q137" s="522"/>
      <c r="R137" s="154"/>
      <c r="S137" s="155"/>
      <c r="T137" s="156"/>
      <c r="U137" s="154"/>
      <c r="V137" s="155"/>
      <c r="W137" s="155"/>
      <c r="X137" s="419"/>
      <c r="Y137" s="157"/>
      <c r="Z137" s="217"/>
      <c r="AA137" s="150"/>
      <c r="AB137" s="151"/>
      <c r="AC137" s="152"/>
      <c r="AD137" s="506"/>
      <c r="AE137" s="166"/>
      <c r="AF137" s="150"/>
      <c r="AG137" s="152"/>
      <c r="AH137" s="150"/>
      <c r="AI137" s="152"/>
      <c r="AJ137" s="150"/>
      <c r="AK137" s="152"/>
      <c r="AL137" s="150"/>
      <c r="AM137" s="151"/>
      <c r="AN137" s="151"/>
      <c r="AO137" s="169"/>
      <c r="AP137" s="169"/>
      <c r="AQ137" s="149"/>
      <c r="AR137" s="324"/>
      <c r="AS137" s="324"/>
      <c r="AT137" s="324"/>
      <c r="AU137" s="324"/>
      <c r="AV137" s="324"/>
      <c r="AW137" s="324"/>
      <c r="AX137" s="150"/>
      <c r="AY137" s="297"/>
      <c r="AZ137" s="297"/>
      <c r="BA137" s="297"/>
      <c r="BB137" s="297"/>
      <c r="BC137" s="152"/>
      <c r="BD137" s="150"/>
      <c r="BE137" s="297"/>
      <c r="BF137" s="297"/>
      <c r="BG137" s="297"/>
      <c r="BH137" s="297"/>
      <c r="BI137" s="152"/>
      <c r="BJ137" s="170"/>
      <c r="BK137" s="148"/>
      <c r="BL137" s="324"/>
      <c r="BM137" s="324"/>
      <c r="BN137" s="170"/>
      <c r="BO137" s="149"/>
      <c r="BP137" s="170"/>
      <c r="BQ137" s="149"/>
      <c r="BR137" s="170"/>
      <c r="BS137" s="171"/>
      <c r="BT137" s="708"/>
    </row>
    <row r="138" spans="1:72" s="2" customFormat="1" ht="24.9" customHeight="1">
      <c r="A138" s="147"/>
      <c r="B138" s="158"/>
      <c r="C138" s="179"/>
      <c r="D138" s="158"/>
      <c r="E138" s="160"/>
      <c r="F138" s="161"/>
      <c r="G138" s="161"/>
      <c r="H138" s="161"/>
      <c r="I138" s="163"/>
      <c r="J138" s="161"/>
      <c r="K138" s="163"/>
      <c r="L138" s="150"/>
      <c r="M138" s="164"/>
      <c r="N138" s="150"/>
      <c r="O138" s="174"/>
      <c r="P138" s="523"/>
      <c r="Q138" s="523"/>
      <c r="R138" s="154"/>
      <c r="S138" s="155"/>
      <c r="T138" s="156"/>
      <c r="U138" s="154"/>
      <c r="V138" s="155"/>
      <c r="W138" s="155"/>
      <c r="X138" s="419"/>
      <c r="Y138" s="157"/>
      <c r="Z138" s="217"/>
      <c r="AA138" s="150"/>
      <c r="AB138" s="151"/>
      <c r="AC138" s="152"/>
      <c r="AD138" s="506"/>
      <c r="AE138" s="166"/>
      <c r="AF138" s="150"/>
      <c r="AG138" s="152"/>
      <c r="AH138" s="150"/>
      <c r="AI138" s="152"/>
      <c r="AJ138" s="150"/>
      <c r="AK138" s="152"/>
      <c r="AL138" s="150"/>
      <c r="AM138" s="151"/>
      <c r="AN138" s="151"/>
      <c r="AO138" s="169"/>
      <c r="AP138" s="169"/>
      <c r="AQ138" s="149"/>
      <c r="AR138" s="324"/>
      <c r="AS138" s="324"/>
      <c r="AT138" s="324"/>
      <c r="AU138" s="324"/>
      <c r="AV138" s="324"/>
      <c r="AW138" s="324"/>
      <c r="AX138" s="150"/>
      <c r="AY138" s="297"/>
      <c r="AZ138" s="297"/>
      <c r="BA138" s="297"/>
      <c r="BB138" s="297"/>
      <c r="BC138" s="152"/>
      <c r="BD138" s="150"/>
      <c r="BE138" s="297"/>
      <c r="BF138" s="297"/>
      <c r="BG138" s="297"/>
      <c r="BH138" s="297"/>
      <c r="BI138" s="152"/>
      <c r="BJ138" s="170"/>
      <c r="BK138" s="148"/>
      <c r="BL138" s="324"/>
      <c r="BM138" s="324"/>
      <c r="BN138" s="170"/>
      <c r="BO138" s="149"/>
      <c r="BP138" s="170"/>
      <c r="BQ138" s="149"/>
      <c r="BR138" s="170"/>
      <c r="BS138" s="171"/>
      <c r="BT138" s="708"/>
    </row>
    <row r="139" spans="1:72" s="2" customFormat="1" ht="24.9" customHeight="1">
      <c r="A139" s="147"/>
      <c r="B139" s="158"/>
      <c r="C139" s="179"/>
      <c r="D139" s="158"/>
      <c r="E139" s="160"/>
      <c r="F139" s="161"/>
      <c r="G139" s="161"/>
      <c r="H139" s="161"/>
      <c r="I139" s="163"/>
      <c r="J139" s="161"/>
      <c r="K139" s="163"/>
      <c r="L139" s="150"/>
      <c r="M139" s="164"/>
      <c r="N139" s="150"/>
      <c r="O139" s="151"/>
      <c r="P139" s="522"/>
      <c r="Q139" s="522"/>
      <c r="R139" s="154"/>
      <c r="S139" s="155"/>
      <c r="T139" s="156"/>
      <c r="U139" s="154"/>
      <c r="V139" s="155"/>
      <c r="W139" s="155"/>
      <c r="X139" s="419"/>
      <c r="Y139" s="157"/>
      <c r="Z139" s="217"/>
      <c r="AA139" s="150"/>
      <c r="AB139" s="151"/>
      <c r="AC139" s="152"/>
      <c r="AD139" s="506"/>
      <c r="AE139" s="166"/>
      <c r="AF139" s="150"/>
      <c r="AG139" s="152"/>
      <c r="AH139" s="150"/>
      <c r="AI139" s="152"/>
      <c r="AJ139" s="150"/>
      <c r="AK139" s="152"/>
      <c r="AL139" s="150"/>
      <c r="AM139" s="151"/>
      <c r="AN139" s="151"/>
      <c r="AO139" s="169"/>
      <c r="AP139" s="169"/>
      <c r="AQ139" s="149"/>
      <c r="AR139" s="324"/>
      <c r="AS139" s="324"/>
      <c r="AT139" s="324"/>
      <c r="AU139" s="324"/>
      <c r="AV139" s="324"/>
      <c r="AW139" s="324"/>
      <c r="AX139" s="150"/>
      <c r="AY139" s="297"/>
      <c r="AZ139" s="297"/>
      <c r="BA139" s="297"/>
      <c r="BB139" s="297"/>
      <c r="BC139" s="152"/>
      <c r="BD139" s="150"/>
      <c r="BE139" s="297"/>
      <c r="BF139" s="297"/>
      <c r="BG139" s="297"/>
      <c r="BH139" s="297"/>
      <c r="BI139" s="152"/>
      <c r="BJ139" s="170"/>
      <c r="BK139" s="148"/>
      <c r="BL139" s="324"/>
      <c r="BM139" s="324"/>
      <c r="BN139" s="170"/>
      <c r="BO139" s="149"/>
      <c r="BP139" s="170"/>
      <c r="BQ139" s="149"/>
      <c r="BR139" s="170"/>
      <c r="BS139" s="171"/>
      <c r="BT139" s="707"/>
    </row>
    <row r="140" spans="1:72" s="2" customFormat="1" ht="24.9" customHeight="1">
      <c r="A140" s="147"/>
      <c r="B140" s="158"/>
      <c r="C140" s="179"/>
      <c r="D140" s="158"/>
      <c r="E140" s="160"/>
      <c r="F140" s="161"/>
      <c r="G140" s="161"/>
      <c r="H140" s="161"/>
      <c r="I140" s="163"/>
      <c r="J140" s="161"/>
      <c r="K140" s="163"/>
      <c r="L140" s="150"/>
      <c r="M140" s="164"/>
      <c r="N140" s="150"/>
      <c r="O140" s="174"/>
      <c r="P140" s="523"/>
      <c r="Q140" s="523"/>
      <c r="R140" s="154"/>
      <c r="S140" s="155"/>
      <c r="T140" s="156"/>
      <c r="U140" s="154"/>
      <c r="V140" s="155"/>
      <c r="W140" s="155"/>
      <c r="X140" s="419"/>
      <c r="Y140" s="157"/>
      <c r="Z140" s="217"/>
      <c r="AA140" s="150"/>
      <c r="AB140" s="151"/>
      <c r="AC140" s="152"/>
      <c r="AD140" s="506"/>
      <c r="AE140" s="166"/>
      <c r="AF140" s="150"/>
      <c r="AG140" s="152"/>
      <c r="AH140" s="150"/>
      <c r="AI140" s="152"/>
      <c r="AJ140" s="150"/>
      <c r="AK140" s="152"/>
      <c r="AL140" s="150"/>
      <c r="AM140" s="151"/>
      <c r="AN140" s="151"/>
      <c r="AO140" s="169"/>
      <c r="AP140" s="169"/>
      <c r="AQ140" s="149"/>
      <c r="AR140" s="324"/>
      <c r="AS140" s="324"/>
      <c r="AT140" s="324"/>
      <c r="AU140" s="324"/>
      <c r="AV140" s="324"/>
      <c r="AW140" s="324"/>
      <c r="AX140" s="150"/>
      <c r="AY140" s="297"/>
      <c r="AZ140" s="297"/>
      <c r="BA140" s="297"/>
      <c r="BB140" s="297"/>
      <c r="BC140" s="152"/>
      <c r="BD140" s="150"/>
      <c r="BE140" s="297"/>
      <c r="BF140" s="297"/>
      <c r="BG140" s="297"/>
      <c r="BH140" s="297"/>
      <c r="BI140" s="152"/>
      <c r="BJ140" s="170"/>
      <c r="BK140" s="148"/>
      <c r="BL140" s="324"/>
      <c r="BM140" s="324"/>
      <c r="BN140" s="170"/>
      <c r="BO140" s="149"/>
      <c r="BP140" s="170"/>
      <c r="BQ140" s="149"/>
      <c r="BR140" s="170"/>
      <c r="BS140" s="171"/>
      <c r="BT140" s="709"/>
    </row>
    <row r="141" spans="1:72" s="2" customFormat="1" ht="24.9" customHeight="1">
      <c r="A141" s="147"/>
      <c r="B141" s="158"/>
      <c r="C141" s="179"/>
      <c r="D141" s="158"/>
      <c r="E141" s="160"/>
      <c r="F141" s="161"/>
      <c r="G141" s="161"/>
      <c r="H141" s="161"/>
      <c r="I141" s="163"/>
      <c r="J141" s="161"/>
      <c r="K141" s="163"/>
      <c r="L141" s="150"/>
      <c r="M141" s="164"/>
      <c r="N141" s="150"/>
      <c r="O141" s="174"/>
      <c r="P141" s="523"/>
      <c r="Q141" s="523"/>
      <c r="R141" s="154"/>
      <c r="S141" s="155"/>
      <c r="T141" s="156"/>
      <c r="U141" s="154"/>
      <c r="V141" s="155"/>
      <c r="W141" s="155"/>
      <c r="X141" s="419"/>
      <c r="Y141" s="157"/>
      <c r="Z141" s="217"/>
      <c r="AA141" s="150"/>
      <c r="AB141" s="151"/>
      <c r="AC141" s="152"/>
      <c r="AD141" s="506"/>
      <c r="AE141" s="166"/>
      <c r="AF141" s="150"/>
      <c r="AG141" s="152"/>
      <c r="AH141" s="150"/>
      <c r="AI141" s="152"/>
      <c r="AJ141" s="150"/>
      <c r="AK141" s="152"/>
      <c r="AL141" s="150"/>
      <c r="AM141" s="151"/>
      <c r="AN141" s="151"/>
      <c r="AO141" s="169"/>
      <c r="AP141" s="169"/>
      <c r="AQ141" s="149"/>
      <c r="AR141" s="324"/>
      <c r="AS141" s="324"/>
      <c r="AT141" s="324"/>
      <c r="AU141" s="324"/>
      <c r="AV141" s="324"/>
      <c r="AW141" s="324"/>
      <c r="AX141" s="150"/>
      <c r="AY141" s="297"/>
      <c r="AZ141" s="297"/>
      <c r="BA141" s="297"/>
      <c r="BB141" s="297"/>
      <c r="BC141" s="152"/>
      <c r="BD141" s="150"/>
      <c r="BE141" s="297"/>
      <c r="BF141" s="297"/>
      <c r="BG141" s="297"/>
      <c r="BH141" s="297"/>
      <c r="BI141" s="152"/>
      <c r="BJ141" s="170"/>
      <c r="BK141" s="148"/>
      <c r="BL141" s="324"/>
      <c r="BM141" s="324"/>
      <c r="BN141" s="170"/>
      <c r="BO141" s="149"/>
      <c r="BP141" s="170"/>
      <c r="BQ141" s="149"/>
      <c r="BR141" s="170"/>
      <c r="BS141" s="171"/>
      <c r="BT141" s="707"/>
    </row>
    <row r="142" spans="1:72" s="2" customFormat="1" ht="24.9" customHeight="1">
      <c r="A142" s="147"/>
      <c r="B142" s="158"/>
      <c r="C142" s="179"/>
      <c r="D142" s="158"/>
      <c r="E142" s="160"/>
      <c r="F142" s="161"/>
      <c r="G142" s="161"/>
      <c r="H142" s="161"/>
      <c r="I142" s="163"/>
      <c r="J142" s="161"/>
      <c r="K142" s="163"/>
      <c r="L142" s="150"/>
      <c r="M142" s="164"/>
      <c r="N142" s="153"/>
      <c r="O142" s="151"/>
      <c r="P142" s="522"/>
      <c r="Q142" s="522"/>
      <c r="R142" s="154"/>
      <c r="S142" s="155"/>
      <c r="T142" s="156"/>
      <c r="U142" s="154"/>
      <c r="V142" s="155"/>
      <c r="W142" s="155"/>
      <c r="X142" s="419"/>
      <c r="Y142" s="157"/>
      <c r="Z142" s="217"/>
      <c r="AA142" s="150"/>
      <c r="AB142" s="151"/>
      <c r="AC142" s="152"/>
      <c r="AD142" s="297"/>
      <c r="AE142" s="153"/>
      <c r="AF142" s="150"/>
      <c r="AG142" s="152"/>
      <c r="AH142" s="150"/>
      <c r="AI142" s="152"/>
      <c r="AJ142" s="150"/>
      <c r="AK142" s="152"/>
      <c r="AL142" s="150"/>
      <c r="AM142" s="151"/>
      <c r="AN142" s="151"/>
      <c r="AO142" s="169"/>
      <c r="AP142" s="169"/>
      <c r="AQ142" s="149"/>
      <c r="AR142" s="324"/>
      <c r="AS142" s="324"/>
      <c r="AT142" s="324"/>
      <c r="AU142" s="324"/>
      <c r="AV142" s="324"/>
      <c r="AW142" s="324"/>
      <c r="AX142" s="150"/>
      <c r="AY142" s="297"/>
      <c r="AZ142" s="297"/>
      <c r="BA142" s="297"/>
      <c r="BB142" s="297"/>
      <c r="BC142" s="152"/>
      <c r="BD142" s="150"/>
      <c r="BE142" s="297"/>
      <c r="BF142" s="297"/>
      <c r="BG142" s="297"/>
      <c r="BH142" s="297"/>
      <c r="BI142" s="152"/>
      <c r="BJ142" s="170"/>
      <c r="BK142" s="148"/>
      <c r="BL142" s="324"/>
      <c r="BM142" s="324"/>
      <c r="BN142" s="170"/>
      <c r="BO142" s="149"/>
      <c r="BP142" s="170"/>
      <c r="BQ142" s="149"/>
      <c r="BR142" s="170"/>
      <c r="BS142" s="171"/>
      <c r="BT142" s="706"/>
    </row>
    <row r="143" spans="1:72" s="2" customFormat="1" ht="24.9" customHeight="1">
      <c r="A143" s="147"/>
      <c r="B143" s="158"/>
      <c r="C143" s="179"/>
      <c r="D143" s="158"/>
      <c r="E143" s="160"/>
      <c r="F143" s="161"/>
      <c r="G143" s="161"/>
      <c r="H143" s="161"/>
      <c r="I143" s="163"/>
      <c r="J143" s="161"/>
      <c r="K143" s="163"/>
      <c r="L143" s="150"/>
      <c r="M143" s="164"/>
      <c r="N143" s="150"/>
      <c r="O143" s="174"/>
      <c r="P143" s="523"/>
      <c r="Q143" s="523"/>
      <c r="R143" s="154"/>
      <c r="S143" s="155"/>
      <c r="T143" s="156"/>
      <c r="U143" s="154"/>
      <c r="V143" s="155"/>
      <c r="W143" s="155"/>
      <c r="X143" s="419"/>
      <c r="Y143" s="157"/>
      <c r="Z143" s="217"/>
      <c r="AA143" s="150"/>
      <c r="AB143" s="151"/>
      <c r="AC143" s="152"/>
      <c r="AD143" s="506"/>
      <c r="AE143" s="166"/>
      <c r="AF143" s="150"/>
      <c r="AG143" s="152"/>
      <c r="AH143" s="150"/>
      <c r="AI143" s="152"/>
      <c r="AJ143" s="150"/>
      <c r="AK143" s="152"/>
      <c r="AL143" s="150"/>
      <c r="AM143" s="151"/>
      <c r="AN143" s="151"/>
      <c r="AO143" s="169"/>
      <c r="AP143" s="169"/>
      <c r="AQ143" s="149"/>
      <c r="AR143" s="324"/>
      <c r="AS143" s="324"/>
      <c r="AT143" s="324"/>
      <c r="AU143" s="324"/>
      <c r="AV143" s="324"/>
      <c r="AW143" s="324"/>
      <c r="AX143" s="150"/>
      <c r="AY143" s="297"/>
      <c r="AZ143" s="297"/>
      <c r="BA143" s="297"/>
      <c r="BB143" s="297"/>
      <c r="BC143" s="152"/>
      <c r="BD143" s="150"/>
      <c r="BE143" s="297"/>
      <c r="BF143" s="297"/>
      <c r="BG143" s="297"/>
      <c r="BH143" s="297"/>
      <c r="BI143" s="152"/>
      <c r="BJ143" s="170"/>
      <c r="BK143" s="148"/>
      <c r="BL143" s="324"/>
      <c r="BM143" s="324"/>
      <c r="BN143" s="170"/>
      <c r="BO143" s="149"/>
      <c r="BP143" s="170"/>
      <c r="BQ143" s="149"/>
      <c r="BR143" s="170"/>
      <c r="BS143" s="171"/>
      <c r="BT143" s="708"/>
    </row>
    <row r="144" spans="1:72" s="2" customFormat="1" ht="24.9" customHeight="1">
      <c r="A144" s="147"/>
      <c r="B144" s="158"/>
      <c r="C144" s="179"/>
      <c r="D144" s="158"/>
      <c r="E144" s="160"/>
      <c r="F144" s="161"/>
      <c r="G144" s="161"/>
      <c r="H144" s="161"/>
      <c r="I144" s="163"/>
      <c r="J144" s="161"/>
      <c r="K144" s="163"/>
      <c r="L144" s="150"/>
      <c r="M144" s="164"/>
      <c r="N144" s="150"/>
      <c r="O144" s="174"/>
      <c r="P144" s="523"/>
      <c r="Q144" s="523"/>
      <c r="R144" s="154"/>
      <c r="S144" s="155"/>
      <c r="T144" s="156"/>
      <c r="U144" s="154"/>
      <c r="V144" s="155"/>
      <c r="W144" s="155"/>
      <c r="X144" s="419"/>
      <c r="Y144" s="157"/>
      <c r="Z144" s="217"/>
      <c r="AA144" s="150"/>
      <c r="AB144" s="151"/>
      <c r="AC144" s="152"/>
      <c r="AD144" s="506"/>
      <c r="AE144" s="166"/>
      <c r="AF144" s="150"/>
      <c r="AG144" s="152"/>
      <c r="AH144" s="150"/>
      <c r="AI144" s="152"/>
      <c r="AJ144" s="150"/>
      <c r="AK144" s="152"/>
      <c r="AL144" s="150"/>
      <c r="AM144" s="151"/>
      <c r="AN144" s="151"/>
      <c r="AO144" s="169"/>
      <c r="AP144" s="169"/>
      <c r="AQ144" s="149"/>
      <c r="AR144" s="324"/>
      <c r="AS144" s="324"/>
      <c r="AT144" s="324"/>
      <c r="AU144" s="324"/>
      <c r="AV144" s="324"/>
      <c r="AW144" s="324"/>
      <c r="AX144" s="150"/>
      <c r="AY144" s="297"/>
      <c r="AZ144" s="297"/>
      <c r="BA144" s="297"/>
      <c r="BB144" s="297"/>
      <c r="BC144" s="152"/>
      <c r="BD144" s="150"/>
      <c r="BE144" s="297"/>
      <c r="BF144" s="297"/>
      <c r="BG144" s="297"/>
      <c r="BH144" s="297"/>
      <c r="BI144" s="152"/>
      <c r="BJ144" s="170"/>
      <c r="BK144" s="148"/>
      <c r="BL144" s="324"/>
      <c r="BM144" s="324"/>
      <c r="BN144" s="170"/>
      <c r="BO144" s="149"/>
      <c r="BP144" s="170"/>
      <c r="BQ144" s="149"/>
      <c r="BR144" s="170"/>
      <c r="BS144" s="171"/>
      <c r="BT144" s="707"/>
    </row>
    <row r="145" spans="1:72" s="2" customFormat="1" ht="24.9" customHeight="1">
      <c r="A145" s="147"/>
      <c r="B145" s="158"/>
      <c r="C145" s="179"/>
      <c r="D145" s="158"/>
      <c r="E145" s="160"/>
      <c r="F145" s="161"/>
      <c r="G145" s="161"/>
      <c r="H145" s="161"/>
      <c r="I145" s="163"/>
      <c r="J145" s="161"/>
      <c r="K145" s="163"/>
      <c r="L145" s="150"/>
      <c r="M145" s="164"/>
      <c r="N145" s="150"/>
      <c r="O145" s="174"/>
      <c r="P145" s="523"/>
      <c r="Q145" s="523"/>
      <c r="R145" s="154"/>
      <c r="S145" s="155"/>
      <c r="T145" s="156"/>
      <c r="U145" s="154"/>
      <c r="V145" s="155"/>
      <c r="W145" s="155"/>
      <c r="X145" s="419"/>
      <c r="Y145" s="157"/>
      <c r="Z145" s="217"/>
      <c r="AA145" s="150"/>
      <c r="AB145" s="151"/>
      <c r="AC145" s="152"/>
      <c r="AD145" s="506"/>
      <c r="AE145" s="166"/>
      <c r="AF145" s="150"/>
      <c r="AG145" s="152"/>
      <c r="AH145" s="150"/>
      <c r="AI145" s="152"/>
      <c r="AJ145" s="150"/>
      <c r="AK145" s="152"/>
      <c r="AL145" s="150"/>
      <c r="AM145" s="151"/>
      <c r="AN145" s="151"/>
      <c r="AO145" s="169"/>
      <c r="AP145" s="169"/>
      <c r="AQ145" s="149"/>
      <c r="AR145" s="324"/>
      <c r="AS145" s="324"/>
      <c r="AT145" s="324"/>
      <c r="AU145" s="324"/>
      <c r="AV145" s="324"/>
      <c r="AW145" s="324"/>
      <c r="AX145" s="150"/>
      <c r="AY145" s="297"/>
      <c r="AZ145" s="297"/>
      <c r="BA145" s="297"/>
      <c r="BB145" s="297"/>
      <c r="BC145" s="152"/>
      <c r="BD145" s="150"/>
      <c r="BE145" s="297"/>
      <c r="BF145" s="297"/>
      <c r="BG145" s="297"/>
      <c r="BH145" s="297"/>
      <c r="BI145" s="152"/>
      <c r="BJ145" s="170"/>
      <c r="BK145" s="148"/>
      <c r="BL145" s="324"/>
      <c r="BM145" s="324"/>
      <c r="BN145" s="170"/>
      <c r="BO145" s="149"/>
      <c r="BP145" s="170"/>
      <c r="BQ145" s="149"/>
      <c r="BR145" s="170"/>
      <c r="BS145" s="171"/>
      <c r="BT145" s="706"/>
    </row>
    <row r="146" spans="1:72" s="2" customFormat="1" ht="24.9" customHeight="1">
      <c r="A146" s="147"/>
      <c r="B146" s="158"/>
      <c r="C146" s="179"/>
      <c r="D146" s="158"/>
      <c r="E146" s="160"/>
      <c r="F146" s="161"/>
      <c r="G146" s="161"/>
      <c r="H146" s="161"/>
      <c r="I146" s="163"/>
      <c r="J146" s="161"/>
      <c r="K146" s="163"/>
      <c r="L146" s="150"/>
      <c r="M146" s="164"/>
      <c r="N146" s="150"/>
      <c r="O146" s="151"/>
      <c r="P146" s="522"/>
      <c r="Q146" s="522"/>
      <c r="R146" s="154"/>
      <c r="S146" s="155"/>
      <c r="T146" s="156"/>
      <c r="U146" s="154"/>
      <c r="V146" s="155"/>
      <c r="W146" s="155"/>
      <c r="X146" s="419"/>
      <c r="Y146" s="157"/>
      <c r="Z146" s="217"/>
      <c r="AA146" s="150"/>
      <c r="AB146" s="151"/>
      <c r="AC146" s="152"/>
      <c r="AD146" s="506"/>
      <c r="AE146" s="166"/>
      <c r="AF146" s="150"/>
      <c r="AG146" s="152"/>
      <c r="AH146" s="150"/>
      <c r="AI146" s="152"/>
      <c r="AJ146" s="150"/>
      <c r="AK146" s="152"/>
      <c r="AL146" s="150"/>
      <c r="AM146" s="151"/>
      <c r="AN146" s="151"/>
      <c r="AO146" s="169"/>
      <c r="AP146" s="169"/>
      <c r="AQ146" s="149"/>
      <c r="AR146" s="324"/>
      <c r="AS146" s="324"/>
      <c r="AT146" s="324"/>
      <c r="AU146" s="324"/>
      <c r="AV146" s="324"/>
      <c r="AW146" s="324"/>
      <c r="AX146" s="150"/>
      <c r="AY146" s="297"/>
      <c r="AZ146" s="297"/>
      <c r="BA146" s="297"/>
      <c r="BB146" s="297"/>
      <c r="BC146" s="152"/>
      <c r="BD146" s="150"/>
      <c r="BE146" s="297"/>
      <c r="BF146" s="297"/>
      <c r="BG146" s="297"/>
      <c r="BH146" s="297"/>
      <c r="BI146" s="152"/>
      <c r="BJ146" s="170"/>
      <c r="BK146" s="148"/>
      <c r="BL146" s="324"/>
      <c r="BM146" s="324"/>
      <c r="BN146" s="170"/>
      <c r="BO146" s="149"/>
      <c r="BP146" s="170"/>
      <c r="BQ146" s="149"/>
      <c r="BR146" s="170"/>
      <c r="BS146" s="171"/>
      <c r="BT146" s="708"/>
    </row>
    <row r="147" spans="1:72" s="2" customFormat="1" ht="24.9" customHeight="1">
      <c r="A147" s="147"/>
      <c r="B147" s="158"/>
      <c r="C147" s="179"/>
      <c r="D147" s="158"/>
      <c r="E147" s="160"/>
      <c r="F147" s="161"/>
      <c r="G147" s="161"/>
      <c r="H147" s="161"/>
      <c r="I147" s="163"/>
      <c r="J147" s="161"/>
      <c r="K147" s="163"/>
      <c r="L147" s="150"/>
      <c r="M147" s="164"/>
      <c r="N147" s="150"/>
      <c r="O147" s="174"/>
      <c r="P147" s="523"/>
      <c r="Q147" s="523"/>
      <c r="R147" s="154"/>
      <c r="S147" s="155"/>
      <c r="T147" s="156"/>
      <c r="U147" s="154"/>
      <c r="V147" s="155"/>
      <c r="W147" s="155"/>
      <c r="X147" s="419"/>
      <c r="Y147" s="157"/>
      <c r="Z147" s="217"/>
      <c r="AA147" s="150"/>
      <c r="AB147" s="151"/>
      <c r="AC147" s="152"/>
      <c r="AD147" s="506"/>
      <c r="AE147" s="166"/>
      <c r="AF147" s="150"/>
      <c r="AG147" s="152"/>
      <c r="AH147" s="150"/>
      <c r="AI147" s="152"/>
      <c r="AJ147" s="150"/>
      <c r="AK147" s="152"/>
      <c r="AL147" s="150"/>
      <c r="AM147" s="151"/>
      <c r="AN147" s="151"/>
      <c r="AO147" s="169"/>
      <c r="AP147" s="169"/>
      <c r="AQ147" s="149"/>
      <c r="AR147" s="324"/>
      <c r="AS147" s="324"/>
      <c r="AT147" s="324"/>
      <c r="AU147" s="324"/>
      <c r="AV147" s="324"/>
      <c r="AW147" s="324"/>
      <c r="AX147" s="150"/>
      <c r="AY147" s="297"/>
      <c r="AZ147" s="297"/>
      <c r="BA147" s="297"/>
      <c r="BB147" s="297"/>
      <c r="BC147" s="152"/>
      <c r="BD147" s="150"/>
      <c r="BE147" s="297"/>
      <c r="BF147" s="297"/>
      <c r="BG147" s="297"/>
      <c r="BH147" s="297"/>
      <c r="BI147" s="152"/>
      <c r="BJ147" s="170"/>
      <c r="BK147" s="148"/>
      <c r="BL147" s="324"/>
      <c r="BM147" s="324"/>
      <c r="BN147" s="170"/>
      <c r="BO147" s="149"/>
      <c r="BP147" s="170"/>
      <c r="BQ147" s="149"/>
      <c r="BR147" s="170"/>
      <c r="BS147" s="171"/>
      <c r="BT147" s="707"/>
    </row>
    <row r="148" spans="1:72" s="2" customFormat="1" ht="24.9" customHeight="1">
      <c r="A148" s="147"/>
      <c r="B148" s="158"/>
      <c r="C148" s="179"/>
      <c r="D148" s="158"/>
      <c r="E148" s="160"/>
      <c r="F148" s="161"/>
      <c r="G148" s="161"/>
      <c r="H148" s="161"/>
      <c r="I148" s="163"/>
      <c r="J148" s="161"/>
      <c r="K148" s="163"/>
      <c r="L148" s="150"/>
      <c r="M148" s="164"/>
      <c r="N148" s="150"/>
      <c r="O148" s="174"/>
      <c r="P148" s="523"/>
      <c r="Q148" s="523"/>
      <c r="R148" s="154"/>
      <c r="S148" s="155"/>
      <c r="T148" s="156"/>
      <c r="U148" s="154"/>
      <c r="V148" s="155"/>
      <c r="W148" s="155"/>
      <c r="X148" s="419"/>
      <c r="Y148" s="157"/>
      <c r="Z148" s="217"/>
      <c r="AA148" s="150"/>
      <c r="AB148" s="151"/>
      <c r="AC148" s="152"/>
      <c r="AD148" s="506"/>
      <c r="AE148" s="166"/>
      <c r="AF148" s="150"/>
      <c r="AG148" s="152"/>
      <c r="AH148" s="150"/>
      <c r="AI148" s="152"/>
      <c r="AJ148" s="150"/>
      <c r="AK148" s="152"/>
      <c r="AL148" s="150"/>
      <c r="AM148" s="151"/>
      <c r="AN148" s="151"/>
      <c r="AO148" s="169"/>
      <c r="AP148" s="169"/>
      <c r="AQ148" s="149"/>
      <c r="AR148" s="324"/>
      <c r="AS148" s="324"/>
      <c r="AT148" s="324"/>
      <c r="AU148" s="324"/>
      <c r="AV148" s="324"/>
      <c r="AW148" s="324"/>
      <c r="AX148" s="150"/>
      <c r="AY148" s="297"/>
      <c r="AZ148" s="297"/>
      <c r="BA148" s="297"/>
      <c r="BB148" s="297"/>
      <c r="BC148" s="152"/>
      <c r="BD148" s="150"/>
      <c r="BE148" s="297"/>
      <c r="BF148" s="297"/>
      <c r="BG148" s="297"/>
      <c r="BH148" s="297"/>
      <c r="BI148" s="152"/>
      <c r="BJ148" s="170"/>
      <c r="BK148" s="148"/>
      <c r="BL148" s="324"/>
      <c r="BM148" s="324"/>
      <c r="BN148" s="170"/>
      <c r="BO148" s="149"/>
      <c r="BP148" s="170"/>
      <c r="BQ148" s="149"/>
      <c r="BR148" s="170"/>
      <c r="BS148" s="171"/>
      <c r="BT148" s="706"/>
    </row>
    <row r="149" spans="1:72" s="2" customFormat="1" ht="24.9" customHeight="1">
      <c r="A149" s="147"/>
      <c r="B149" s="158"/>
      <c r="C149" s="179"/>
      <c r="D149" s="158"/>
      <c r="E149" s="160"/>
      <c r="F149" s="161"/>
      <c r="G149" s="161"/>
      <c r="H149" s="161"/>
      <c r="I149" s="161"/>
      <c r="J149" s="161"/>
      <c r="K149" s="161"/>
      <c r="L149" s="161"/>
      <c r="M149" s="161"/>
      <c r="N149" s="150"/>
      <c r="O149" s="151"/>
      <c r="P149" s="522"/>
      <c r="Q149" s="522"/>
      <c r="R149" s="154"/>
      <c r="S149" s="155"/>
      <c r="T149" s="156"/>
      <c r="U149" s="154"/>
      <c r="V149" s="155"/>
      <c r="W149" s="155"/>
      <c r="X149" s="419"/>
      <c r="Y149" s="157"/>
      <c r="Z149" s="217"/>
      <c r="AA149" s="150"/>
      <c r="AB149" s="151"/>
      <c r="AC149" s="152"/>
      <c r="AD149" s="506"/>
      <c r="AE149" s="166"/>
      <c r="AF149" s="150"/>
      <c r="AG149" s="152"/>
      <c r="AH149" s="150"/>
      <c r="AI149" s="152"/>
      <c r="AJ149" s="150"/>
      <c r="AK149" s="152"/>
      <c r="AL149" s="150"/>
      <c r="AM149" s="151"/>
      <c r="AN149" s="151"/>
      <c r="AO149" s="169"/>
      <c r="AP149" s="169"/>
      <c r="AQ149" s="149"/>
      <c r="AR149" s="324"/>
      <c r="AS149" s="324"/>
      <c r="AT149" s="324"/>
      <c r="AU149" s="324"/>
      <c r="AV149" s="324"/>
      <c r="AW149" s="324"/>
      <c r="AX149" s="150"/>
      <c r="AY149" s="297"/>
      <c r="AZ149" s="297"/>
      <c r="BA149" s="297"/>
      <c r="BB149" s="297"/>
      <c r="BC149" s="152"/>
      <c r="BD149" s="150"/>
      <c r="BE149" s="297"/>
      <c r="BF149" s="297"/>
      <c r="BG149" s="297"/>
      <c r="BH149" s="297"/>
      <c r="BI149" s="152"/>
      <c r="BJ149" s="170"/>
      <c r="BK149" s="148"/>
      <c r="BL149" s="324"/>
      <c r="BM149" s="324"/>
      <c r="BN149" s="170"/>
      <c r="BO149" s="149"/>
      <c r="BP149" s="170"/>
      <c r="BQ149" s="149"/>
      <c r="BR149" s="170"/>
      <c r="BS149" s="171"/>
      <c r="BT149" s="708"/>
    </row>
    <row r="150" spans="1:72" s="2" customFormat="1" ht="24.9" customHeight="1">
      <c r="A150" s="147"/>
      <c r="B150" s="158"/>
      <c r="C150" s="179"/>
      <c r="D150" s="158"/>
      <c r="E150" s="160"/>
      <c r="F150" s="161"/>
      <c r="G150" s="161"/>
      <c r="H150" s="161"/>
      <c r="I150" s="161"/>
      <c r="J150" s="161"/>
      <c r="K150" s="161"/>
      <c r="L150" s="161"/>
      <c r="M150" s="161"/>
      <c r="N150" s="150"/>
      <c r="O150" s="174"/>
      <c r="P150" s="523"/>
      <c r="Q150" s="523"/>
      <c r="R150" s="154"/>
      <c r="S150" s="155"/>
      <c r="T150" s="156"/>
      <c r="U150" s="154"/>
      <c r="V150" s="155"/>
      <c r="W150" s="155"/>
      <c r="X150" s="419"/>
      <c r="Y150" s="157"/>
      <c r="Z150" s="217"/>
      <c r="AA150" s="150"/>
      <c r="AB150" s="151"/>
      <c r="AC150" s="152"/>
      <c r="AD150" s="506"/>
      <c r="AE150" s="166"/>
      <c r="AF150" s="150"/>
      <c r="AG150" s="152"/>
      <c r="AH150" s="150"/>
      <c r="AI150" s="152"/>
      <c r="AJ150" s="150"/>
      <c r="AK150" s="152"/>
      <c r="AL150" s="150"/>
      <c r="AM150" s="151"/>
      <c r="AN150" s="151"/>
      <c r="AO150" s="169"/>
      <c r="AP150" s="169"/>
      <c r="AQ150" s="149"/>
      <c r="AR150" s="324"/>
      <c r="AS150" s="324"/>
      <c r="AT150" s="324"/>
      <c r="AU150" s="324"/>
      <c r="AV150" s="324"/>
      <c r="AW150" s="324"/>
      <c r="AX150" s="150"/>
      <c r="AY150" s="297"/>
      <c r="AZ150" s="297"/>
      <c r="BA150" s="297"/>
      <c r="BB150" s="297"/>
      <c r="BC150" s="152"/>
      <c r="BD150" s="150"/>
      <c r="BE150" s="297"/>
      <c r="BF150" s="297"/>
      <c r="BG150" s="297"/>
      <c r="BH150" s="297"/>
      <c r="BI150" s="152"/>
      <c r="BJ150" s="170"/>
      <c r="BK150" s="148"/>
      <c r="BL150" s="324"/>
      <c r="BM150" s="324"/>
      <c r="BN150" s="170"/>
      <c r="BO150" s="149"/>
      <c r="BP150" s="170"/>
      <c r="BQ150" s="149"/>
      <c r="BR150" s="170"/>
      <c r="BS150" s="171"/>
      <c r="BT150" s="707"/>
    </row>
    <row r="151" spans="1:72" s="2" customFormat="1" ht="24.9" customHeight="1">
      <c r="A151" s="147"/>
      <c r="B151" s="158"/>
      <c r="C151" s="179"/>
      <c r="D151" s="158"/>
      <c r="E151" s="160"/>
      <c r="F151" s="161"/>
      <c r="G151" s="161"/>
      <c r="H151" s="161"/>
      <c r="I151" s="161"/>
      <c r="J151" s="161"/>
      <c r="K151" s="161"/>
      <c r="L151" s="161"/>
      <c r="M151" s="161"/>
      <c r="N151" s="150"/>
      <c r="O151" s="174"/>
      <c r="P151" s="523"/>
      <c r="Q151" s="523"/>
      <c r="R151" s="154"/>
      <c r="S151" s="155"/>
      <c r="T151" s="156"/>
      <c r="U151" s="154"/>
      <c r="V151" s="155"/>
      <c r="W151" s="155"/>
      <c r="X151" s="419"/>
      <c r="Y151" s="157"/>
      <c r="Z151" s="217"/>
      <c r="AA151" s="150"/>
      <c r="AB151" s="151"/>
      <c r="AC151" s="152"/>
      <c r="AD151" s="506"/>
      <c r="AE151" s="166"/>
      <c r="AF151" s="150"/>
      <c r="AG151" s="152"/>
      <c r="AH151" s="150"/>
      <c r="AI151" s="152"/>
      <c r="AJ151" s="150"/>
      <c r="AK151" s="152"/>
      <c r="AL151" s="150"/>
      <c r="AM151" s="151"/>
      <c r="AN151" s="151"/>
      <c r="AO151" s="169"/>
      <c r="AP151" s="169"/>
      <c r="AQ151" s="149"/>
      <c r="AR151" s="324"/>
      <c r="AS151" s="324"/>
      <c r="AT151" s="324"/>
      <c r="AU151" s="324"/>
      <c r="AV151" s="324"/>
      <c r="AW151" s="324"/>
      <c r="AX151" s="150"/>
      <c r="AY151" s="297"/>
      <c r="AZ151" s="297"/>
      <c r="BA151" s="297"/>
      <c r="BB151" s="297"/>
      <c r="BC151" s="152"/>
      <c r="BD151" s="150"/>
      <c r="BE151" s="297"/>
      <c r="BF151" s="297"/>
      <c r="BG151" s="297"/>
      <c r="BH151" s="297"/>
      <c r="BI151" s="152"/>
      <c r="BJ151" s="170"/>
      <c r="BK151" s="148"/>
      <c r="BL151" s="324"/>
      <c r="BM151" s="324"/>
      <c r="BN151" s="170"/>
      <c r="BO151" s="149"/>
      <c r="BP151" s="170"/>
      <c r="BQ151" s="149"/>
      <c r="BR151" s="170"/>
      <c r="BS151" s="171"/>
      <c r="BT151" s="711"/>
    </row>
    <row r="152" spans="1:72" s="2" customFormat="1" ht="24.9" customHeight="1">
      <c r="A152" s="147"/>
      <c r="B152" s="158"/>
      <c r="C152" s="179"/>
      <c r="D152" s="158"/>
      <c r="E152" s="160"/>
      <c r="F152" s="161"/>
      <c r="G152" s="161"/>
      <c r="H152" s="161"/>
      <c r="I152" s="161"/>
      <c r="J152" s="161"/>
      <c r="K152" s="161"/>
      <c r="L152" s="161"/>
      <c r="M152" s="161"/>
      <c r="N152" s="150"/>
      <c r="O152" s="174"/>
      <c r="P152" s="523"/>
      <c r="Q152" s="523"/>
      <c r="R152" s="154"/>
      <c r="S152" s="155"/>
      <c r="T152" s="156"/>
      <c r="U152" s="154"/>
      <c r="V152" s="155"/>
      <c r="W152" s="155"/>
      <c r="X152" s="419"/>
      <c r="Y152" s="157"/>
      <c r="Z152" s="217"/>
      <c r="AA152" s="150"/>
      <c r="AB152" s="151"/>
      <c r="AC152" s="152"/>
      <c r="AD152" s="506"/>
      <c r="AE152" s="166"/>
      <c r="AF152" s="150"/>
      <c r="AG152" s="152"/>
      <c r="AH152" s="150"/>
      <c r="AI152" s="152"/>
      <c r="AJ152" s="150"/>
      <c r="AK152" s="152"/>
      <c r="AL152" s="150"/>
      <c r="AM152" s="151"/>
      <c r="AN152" s="151"/>
      <c r="AO152" s="169"/>
      <c r="AP152" s="169"/>
      <c r="AQ152" s="149"/>
      <c r="AR152" s="324"/>
      <c r="AS152" s="324"/>
      <c r="AT152" s="324"/>
      <c r="AU152" s="324"/>
      <c r="AV152" s="324"/>
      <c r="AW152" s="324"/>
      <c r="AX152" s="150"/>
      <c r="AY152" s="297"/>
      <c r="AZ152" s="297"/>
      <c r="BA152" s="297"/>
      <c r="BB152" s="297"/>
      <c r="BC152" s="152"/>
      <c r="BD152" s="150"/>
      <c r="BE152" s="297"/>
      <c r="BF152" s="297"/>
      <c r="BG152" s="297"/>
      <c r="BH152" s="297"/>
      <c r="BI152" s="152"/>
      <c r="BJ152" s="170"/>
      <c r="BK152" s="148"/>
      <c r="BL152" s="324"/>
      <c r="BM152" s="324"/>
      <c r="BN152" s="170"/>
      <c r="BO152" s="149"/>
      <c r="BP152" s="170"/>
      <c r="BQ152" s="149"/>
      <c r="BR152" s="170"/>
      <c r="BS152" s="171"/>
      <c r="BT152" s="707"/>
    </row>
    <row r="153" spans="1:72" s="2" customFormat="1" ht="24.9" customHeight="1">
      <c r="A153" s="147"/>
      <c r="B153" s="158"/>
      <c r="C153" s="179"/>
      <c r="D153" s="158"/>
      <c r="E153" s="160"/>
      <c r="F153" s="161"/>
      <c r="G153" s="161"/>
      <c r="H153" s="161"/>
      <c r="I153" s="161"/>
      <c r="J153" s="161"/>
      <c r="K153" s="161"/>
      <c r="L153" s="161"/>
      <c r="M153" s="161"/>
      <c r="N153" s="150"/>
      <c r="O153" s="174"/>
      <c r="P153" s="523"/>
      <c r="Q153" s="523"/>
      <c r="R153" s="154"/>
      <c r="S153" s="155"/>
      <c r="T153" s="156"/>
      <c r="U153" s="154"/>
      <c r="V153" s="155"/>
      <c r="W153" s="155"/>
      <c r="X153" s="419"/>
      <c r="Y153" s="157"/>
      <c r="Z153" s="217"/>
      <c r="AA153" s="150"/>
      <c r="AB153" s="151"/>
      <c r="AC153" s="152"/>
      <c r="AD153" s="506"/>
      <c r="AE153" s="166"/>
      <c r="AF153" s="150"/>
      <c r="AG153" s="152"/>
      <c r="AH153" s="150"/>
      <c r="AI153" s="152"/>
      <c r="AJ153" s="150"/>
      <c r="AK153" s="152"/>
      <c r="AL153" s="150"/>
      <c r="AM153" s="151"/>
      <c r="AN153" s="151"/>
      <c r="AO153" s="169"/>
      <c r="AP153" s="169"/>
      <c r="AQ153" s="149"/>
      <c r="AR153" s="324"/>
      <c r="AS153" s="324"/>
      <c r="AT153" s="324"/>
      <c r="AU153" s="324"/>
      <c r="AV153" s="324"/>
      <c r="AW153" s="324"/>
      <c r="AX153" s="150"/>
      <c r="AY153" s="297"/>
      <c r="AZ153" s="297"/>
      <c r="BA153" s="297"/>
      <c r="BB153" s="297"/>
      <c r="BC153" s="152"/>
      <c r="BD153" s="150"/>
      <c r="BE153" s="297"/>
      <c r="BF153" s="297"/>
      <c r="BG153" s="297"/>
      <c r="BH153" s="297"/>
      <c r="BI153" s="152"/>
      <c r="BJ153" s="170"/>
      <c r="BK153" s="148"/>
      <c r="BL153" s="324"/>
      <c r="BM153" s="324"/>
      <c r="BN153" s="170"/>
      <c r="BO153" s="149"/>
      <c r="BP153" s="170"/>
      <c r="BQ153" s="149"/>
      <c r="BR153" s="170"/>
      <c r="BS153" s="171"/>
      <c r="BT153" s="706"/>
    </row>
    <row r="154" spans="1:72" s="2" customFormat="1" ht="24.9" customHeight="1">
      <c r="A154" s="147"/>
      <c r="B154" s="158"/>
      <c r="C154" s="179"/>
      <c r="D154" s="158"/>
      <c r="E154" s="160"/>
      <c r="F154" s="161"/>
      <c r="G154" s="161"/>
      <c r="H154" s="161"/>
      <c r="I154" s="161"/>
      <c r="J154" s="161"/>
      <c r="K154" s="161"/>
      <c r="L154" s="161"/>
      <c r="M154" s="161"/>
      <c r="N154" s="153"/>
      <c r="O154" s="174"/>
      <c r="P154" s="523"/>
      <c r="Q154" s="523"/>
      <c r="R154" s="154"/>
      <c r="S154" s="155"/>
      <c r="T154" s="156"/>
      <c r="U154" s="154"/>
      <c r="V154" s="155"/>
      <c r="W154" s="155"/>
      <c r="X154" s="419"/>
      <c r="Y154" s="157"/>
      <c r="Z154" s="217"/>
      <c r="AA154" s="150"/>
      <c r="AB154" s="151"/>
      <c r="AC154" s="152"/>
      <c r="AD154" s="506"/>
      <c r="AE154" s="166"/>
      <c r="AF154" s="150"/>
      <c r="AG154" s="152"/>
      <c r="AH154" s="150"/>
      <c r="AI154" s="152"/>
      <c r="AJ154" s="150"/>
      <c r="AK154" s="152"/>
      <c r="AL154" s="150"/>
      <c r="AM154" s="151"/>
      <c r="AN154" s="151"/>
      <c r="AO154" s="169"/>
      <c r="AP154" s="169"/>
      <c r="AQ154" s="149"/>
      <c r="AR154" s="324"/>
      <c r="AS154" s="324"/>
      <c r="AT154" s="324"/>
      <c r="AU154" s="324"/>
      <c r="AV154" s="324"/>
      <c r="AW154" s="324"/>
      <c r="AX154" s="150"/>
      <c r="AY154" s="297"/>
      <c r="AZ154" s="297"/>
      <c r="BA154" s="297"/>
      <c r="BB154" s="297"/>
      <c r="BC154" s="152"/>
      <c r="BD154" s="150"/>
      <c r="BE154" s="297"/>
      <c r="BF154" s="297"/>
      <c r="BG154" s="297"/>
      <c r="BH154" s="297"/>
      <c r="BI154" s="152"/>
      <c r="BJ154" s="170"/>
      <c r="BK154" s="148"/>
      <c r="BL154" s="324"/>
      <c r="BM154" s="324"/>
      <c r="BN154" s="170"/>
      <c r="BO154" s="149"/>
      <c r="BP154" s="170"/>
      <c r="BQ154" s="149"/>
      <c r="BR154" s="170"/>
      <c r="BS154" s="171"/>
      <c r="BT154" s="707"/>
    </row>
    <row r="155" spans="1:72" s="2" customFormat="1" ht="24.9" customHeight="1">
      <c r="A155" s="147"/>
      <c r="B155" s="158"/>
      <c r="C155" s="179"/>
      <c r="D155" s="158"/>
      <c r="E155" s="160"/>
      <c r="F155" s="161"/>
      <c r="G155" s="161"/>
      <c r="H155" s="161"/>
      <c r="I155" s="161"/>
      <c r="J155" s="161"/>
      <c r="K155" s="161"/>
      <c r="L155" s="161"/>
      <c r="M155" s="161"/>
      <c r="N155" s="150"/>
      <c r="O155" s="174"/>
      <c r="P155" s="523"/>
      <c r="Q155" s="523"/>
      <c r="R155" s="154"/>
      <c r="S155" s="155"/>
      <c r="T155" s="156"/>
      <c r="U155" s="154"/>
      <c r="V155" s="155"/>
      <c r="W155" s="155"/>
      <c r="X155" s="419"/>
      <c r="Y155" s="157"/>
      <c r="Z155" s="217"/>
      <c r="AA155" s="150"/>
      <c r="AB155" s="151"/>
      <c r="AC155" s="152"/>
      <c r="AD155" s="506"/>
      <c r="AE155" s="166"/>
      <c r="AF155" s="150"/>
      <c r="AG155" s="152"/>
      <c r="AH155" s="150"/>
      <c r="AI155" s="152"/>
      <c r="AJ155" s="150"/>
      <c r="AK155" s="152"/>
      <c r="AL155" s="150"/>
      <c r="AM155" s="151"/>
      <c r="AN155" s="151"/>
      <c r="AO155" s="169"/>
      <c r="AP155" s="169"/>
      <c r="AQ155" s="149"/>
      <c r="AR155" s="324"/>
      <c r="AS155" s="324"/>
      <c r="AT155" s="324"/>
      <c r="AU155" s="324"/>
      <c r="AV155" s="324"/>
      <c r="AW155" s="324"/>
      <c r="AX155" s="150"/>
      <c r="AY155" s="297"/>
      <c r="AZ155" s="297"/>
      <c r="BA155" s="297"/>
      <c r="BB155" s="297"/>
      <c r="BC155" s="152"/>
      <c r="BD155" s="150"/>
      <c r="BE155" s="297"/>
      <c r="BF155" s="297"/>
      <c r="BG155" s="297"/>
      <c r="BH155" s="297"/>
      <c r="BI155" s="152"/>
      <c r="BJ155" s="170"/>
      <c r="BK155" s="148"/>
      <c r="BL155" s="324"/>
      <c r="BM155" s="324"/>
      <c r="BN155" s="170"/>
      <c r="BO155" s="149"/>
      <c r="BP155" s="170"/>
      <c r="BQ155" s="149"/>
      <c r="BR155" s="170"/>
      <c r="BS155" s="171"/>
      <c r="BT155" s="706"/>
    </row>
    <row r="156" spans="1:72" s="2" customFormat="1" ht="24.9" customHeight="1">
      <c r="A156" s="147"/>
      <c r="B156" s="158"/>
      <c r="C156" s="179"/>
      <c r="D156" s="158"/>
      <c r="E156" s="160"/>
      <c r="F156" s="161"/>
      <c r="G156" s="161"/>
      <c r="H156" s="161"/>
      <c r="I156" s="163"/>
      <c r="J156" s="161"/>
      <c r="K156" s="163"/>
      <c r="L156" s="150"/>
      <c r="M156" s="164"/>
      <c r="N156" s="150"/>
      <c r="O156" s="151"/>
      <c r="P156" s="522"/>
      <c r="Q156" s="522"/>
      <c r="R156" s="154"/>
      <c r="S156" s="155"/>
      <c r="T156" s="156"/>
      <c r="U156" s="154"/>
      <c r="V156" s="155"/>
      <c r="W156" s="155"/>
      <c r="X156" s="419"/>
      <c r="Y156" s="157"/>
      <c r="Z156" s="217"/>
      <c r="AA156" s="150"/>
      <c r="AB156" s="151"/>
      <c r="AC156" s="152"/>
      <c r="AD156" s="506"/>
      <c r="AE156" s="166"/>
      <c r="AF156" s="150"/>
      <c r="AG156" s="152"/>
      <c r="AH156" s="150"/>
      <c r="AI156" s="152"/>
      <c r="AJ156" s="150"/>
      <c r="AK156" s="152"/>
      <c r="AL156" s="150"/>
      <c r="AM156" s="151"/>
      <c r="AN156" s="151"/>
      <c r="AO156" s="169"/>
      <c r="AP156" s="169"/>
      <c r="AQ156" s="149"/>
      <c r="AR156" s="324"/>
      <c r="AS156" s="324"/>
      <c r="AT156" s="324"/>
      <c r="AU156" s="324"/>
      <c r="AV156" s="324"/>
      <c r="AW156" s="324"/>
      <c r="AX156" s="150"/>
      <c r="AY156" s="297"/>
      <c r="AZ156" s="297"/>
      <c r="BA156" s="297"/>
      <c r="BB156" s="297"/>
      <c r="BC156" s="152"/>
      <c r="BD156" s="150"/>
      <c r="BE156" s="297"/>
      <c r="BF156" s="297"/>
      <c r="BG156" s="297"/>
      <c r="BH156" s="297"/>
      <c r="BI156" s="152"/>
      <c r="BJ156" s="170"/>
      <c r="BK156" s="148"/>
      <c r="BL156" s="324"/>
      <c r="BM156" s="324"/>
      <c r="BN156" s="170"/>
      <c r="BO156" s="149"/>
      <c r="BP156" s="170"/>
      <c r="BQ156" s="149"/>
      <c r="BR156" s="170"/>
      <c r="BS156" s="171"/>
      <c r="BT156" s="708"/>
    </row>
    <row r="157" spans="1:72" s="2" customFormat="1" ht="24.9" customHeight="1">
      <c r="A157" s="147"/>
      <c r="B157" s="158"/>
      <c r="C157" s="179"/>
      <c r="D157" s="158"/>
      <c r="E157" s="160"/>
      <c r="F157" s="161"/>
      <c r="G157" s="161"/>
      <c r="H157" s="161"/>
      <c r="I157" s="163"/>
      <c r="J157" s="161"/>
      <c r="K157" s="163"/>
      <c r="L157" s="150"/>
      <c r="M157" s="164"/>
      <c r="N157" s="150"/>
      <c r="O157" s="174"/>
      <c r="P157" s="523"/>
      <c r="Q157" s="523"/>
      <c r="R157" s="154"/>
      <c r="S157" s="155"/>
      <c r="T157" s="156"/>
      <c r="U157" s="154"/>
      <c r="V157" s="155"/>
      <c r="W157" s="155"/>
      <c r="X157" s="419"/>
      <c r="Y157" s="157"/>
      <c r="Z157" s="217"/>
      <c r="AA157" s="150"/>
      <c r="AB157" s="151"/>
      <c r="AC157" s="152"/>
      <c r="AD157" s="506"/>
      <c r="AE157" s="166"/>
      <c r="AF157" s="150"/>
      <c r="AG157" s="152"/>
      <c r="AH157" s="150"/>
      <c r="AI157" s="152"/>
      <c r="AJ157" s="150"/>
      <c r="AK157" s="152"/>
      <c r="AL157" s="150"/>
      <c r="AM157" s="151"/>
      <c r="AN157" s="151"/>
      <c r="AO157" s="169"/>
      <c r="AP157" s="169"/>
      <c r="AQ157" s="149"/>
      <c r="AR157" s="324"/>
      <c r="AS157" s="324"/>
      <c r="AT157" s="324"/>
      <c r="AU157" s="324"/>
      <c r="AV157" s="324"/>
      <c r="AW157" s="324"/>
      <c r="AX157" s="150"/>
      <c r="AY157" s="297"/>
      <c r="AZ157" s="297"/>
      <c r="BA157" s="297"/>
      <c r="BB157" s="297"/>
      <c r="BC157" s="152"/>
      <c r="BD157" s="150"/>
      <c r="BE157" s="297"/>
      <c r="BF157" s="297"/>
      <c r="BG157" s="297"/>
      <c r="BH157" s="297"/>
      <c r="BI157" s="152"/>
      <c r="BJ157" s="170"/>
      <c r="BK157" s="148"/>
      <c r="BL157" s="324"/>
      <c r="BM157" s="324"/>
      <c r="BN157" s="170"/>
      <c r="BO157" s="149"/>
      <c r="BP157" s="170"/>
      <c r="BQ157" s="149"/>
      <c r="BR157" s="170"/>
      <c r="BS157" s="171"/>
      <c r="BT157" s="707"/>
    </row>
    <row r="158" spans="1:72" s="2" customFormat="1" ht="24.9" customHeight="1">
      <c r="A158" s="147"/>
      <c r="B158" s="158"/>
      <c r="C158" s="179"/>
      <c r="D158" s="158"/>
      <c r="E158" s="160"/>
      <c r="F158" s="161"/>
      <c r="G158" s="161"/>
      <c r="H158" s="161"/>
      <c r="I158" s="163"/>
      <c r="J158" s="161"/>
      <c r="K158" s="163"/>
      <c r="L158" s="150"/>
      <c r="M158" s="164"/>
      <c r="N158" s="150"/>
      <c r="O158" s="174"/>
      <c r="P158" s="523"/>
      <c r="Q158" s="523"/>
      <c r="R158" s="154"/>
      <c r="S158" s="155"/>
      <c r="T158" s="156"/>
      <c r="U158" s="154"/>
      <c r="V158" s="155"/>
      <c r="W158" s="155"/>
      <c r="X158" s="419"/>
      <c r="Y158" s="157"/>
      <c r="Z158" s="217"/>
      <c r="AA158" s="150"/>
      <c r="AB158" s="151"/>
      <c r="AC158" s="152"/>
      <c r="AD158" s="506"/>
      <c r="AE158" s="166"/>
      <c r="AF158" s="150"/>
      <c r="AG158" s="152"/>
      <c r="AH158" s="150"/>
      <c r="AI158" s="152"/>
      <c r="AJ158" s="150"/>
      <c r="AK158" s="152"/>
      <c r="AL158" s="150"/>
      <c r="AM158" s="151"/>
      <c r="AN158" s="151"/>
      <c r="AO158" s="169"/>
      <c r="AP158" s="169"/>
      <c r="AQ158" s="149"/>
      <c r="AR158" s="324"/>
      <c r="AS158" s="324"/>
      <c r="AT158" s="324"/>
      <c r="AU158" s="324"/>
      <c r="AV158" s="324"/>
      <c r="AW158" s="324"/>
      <c r="AX158" s="150"/>
      <c r="AY158" s="297"/>
      <c r="AZ158" s="297"/>
      <c r="BA158" s="297"/>
      <c r="BB158" s="297"/>
      <c r="BC158" s="152"/>
      <c r="BD158" s="150"/>
      <c r="BE158" s="297"/>
      <c r="BF158" s="297"/>
      <c r="BG158" s="297"/>
      <c r="BH158" s="297"/>
      <c r="BI158" s="152"/>
      <c r="BJ158" s="170"/>
      <c r="BK158" s="148"/>
      <c r="BL158" s="324"/>
      <c r="BM158" s="324"/>
      <c r="BN158" s="170"/>
      <c r="BO158" s="149"/>
      <c r="BP158" s="170"/>
      <c r="BQ158" s="149"/>
      <c r="BR158" s="170"/>
      <c r="BS158" s="171"/>
      <c r="BT158" s="706"/>
    </row>
    <row r="159" spans="1:72" s="2" customFormat="1" ht="24.9" customHeight="1">
      <c r="A159" s="147"/>
      <c r="B159" s="158"/>
      <c r="C159" s="179"/>
      <c r="D159" s="158"/>
      <c r="E159" s="160"/>
      <c r="F159" s="161"/>
      <c r="G159" s="161"/>
      <c r="H159" s="161"/>
      <c r="I159" s="163"/>
      <c r="J159" s="161"/>
      <c r="K159" s="163"/>
      <c r="L159" s="150"/>
      <c r="M159" s="164"/>
      <c r="N159" s="150"/>
      <c r="O159" s="174"/>
      <c r="P159" s="523"/>
      <c r="Q159" s="523"/>
      <c r="R159" s="154"/>
      <c r="S159" s="155"/>
      <c r="T159" s="156"/>
      <c r="U159" s="154"/>
      <c r="V159" s="155"/>
      <c r="W159" s="155"/>
      <c r="X159" s="419"/>
      <c r="Y159" s="157"/>
      <c r="Z159" s="217"/>
      <c r="AA159" s="150"/>
      <c r="AB159" s="151"/>
      <c r="AC159" s="152"/>
      <c r="AD159" s="506"/>
      <c r="AE159" s="166"/>
      <c r="AF159" s="150"/>
      <c r="AG159" s="152"/>
      <c r="AH159" s="150"/>
      <c r="AI159" s="152"/>
      <c r="AJ159" s="150"/>
      <c r="AK159" s="152"/>
      <c r="AL159" s="150"/>
      <c r="AM159" s="151"/>
      <c r="AN159" s="151"/>
      <c r="AO159" s="169"/>
      <c r="AP159" s="169"/>
      <c r="AQ159" s="149"/>
      <c r="AR159" s="324"/>
      <c r="AS159" s="324"/>
      <c r="AT159" s="324"/>
      <c r="AU159" s="324"/>
      <c r="AV159" s="324"/>
      <c r="AW159" s="324"/>
      <c r="AX159" s="150"/>
      <c r="AY159" s="297"/>
      <c r="AZ159" s="297"/>
      <c r="BA159" s="297"/>
      <c r="BB159" s="297"/>
      <c r="BC159" s="152"/>
      <c r="BD159" s="150"/>
      <c r="BE159" s="297"/>
      <c r="BF159" s="297"/>
      <c r="BG159" s="297"/>
      <c r="BH159" s="297"/>
      <c r="BI159" s="152"/>
      <c r="BJ159" s="170"/>
      <c r="BK159" s="148"/>
      <c r="BL159" s="324"/>
      <c r="BM159" s="324"/>
      <c r="BN159" s="170"/>
      <c r="BO159" s="149"/>
      <c r="BP159" s="170"/>
      <c r="BQ159" s="149"/>
      <c r="BR159" s="170"/>
      <c r="BS159" s="171"/>
      <c r="BT159" s="707"/>
    </row>
    <row r="160" spans="1:72" s="2" customFormat="1" ht="24.9" customHeight="1">
      <c r="A160" s="147"/>
      <c r="B160" s="158"/>
      <c r="C160" s="179"/>
      <c r="D160" s="158"/>
      <c r="E160" s="160"/>
      <c r="F160" s="161"/>
      <c r="G160" s="161"/>
      <c r="H160" s="161"/>
      <c r="I160" s="163"/>
      <c r="J160" s="161"/>
      <c r="K160" s="163"/>
      <c r="L160" s="150"/>
      <c r="M160" s="164"/>
      <c r="N160" s="150"/>
      <c r="O160" s="174"/>
      <c r="P160" s="523"/>
      <c r="Q160" s="523"/>
      <c r="R160" s="154"/>
      <c r="S160" s="155"/>
      <c r="T160" s="156"/>
      <c r="U160" s="154"/>
      <c r="V160" s="155"/>
      <c r="W160" s="155"/>
      <c r="X160" s="419"/>
      <c r="Y160" s="157"/>
      <c r="Z160" s="217"/>
      <c r="AA160" s="150"/>
      <c r="AB160" s="151"/>
      <c r="AC160" s="152"/>
      <c r="AD160" s="506"/>
      <c r="AE160" s="166"/>
      <c r="AF160" s="150"/>
      <c r="AG160" s="152"/>
      <c r="AH160" s="150"/>
      <c r="AI160" s="152"/>
      <c r="AJ160" s="150"/>
      <c r="AK160" s="152"/>
      <c r="AL160" s="150"/>
      <c r="AM160" s="151"/>
      <c r="AN160" s="151"/>
      <c r="AO160" s="169"/>
      <c r="AP160" s="169"/>
      <c r="AQ160" s="149"/>
      <c r="AR160" s="324"/>
      <c r="AS160" s="324"/>
      <c r="AT160" s="324"/>
      <c r="AU160" s="324"/>
      <c r="AV160" s="324"/>
      <c r="AW160" s="324"/>
      <c r="AX160" s="150"/>
      <c r="AY160" s="297"/>
      <c r="AZ160" s="297"/>
      <c r="BA160" s="297"/>
      <c r="BB160" s="297"/>
      <c r="BC160" s="152"/>
      <c r="BD160" s="150"/>
      <c r="BE160" s="297"/>
      <c r="BF160" s="297"/>
      <c r="BG160" s="297"/>
      <c r="BH160" s="297"/>
      <c r="BI160" s="152"/>
      <c r="BJ160" s="170"/>
      <c r="BK160" s="148"/>
      <c r="BL160" s="324"/>
      <c r="BM160" s="324"/>
      <c r="BN160" s="170"/>
      <c r="BO160" s="149"/>
      <c r="BP160" s="170"/>
      <c r="BQ160" s="149"/>
      <c r="BR160" s="170"/>
      <c r="BS160" s="171"/>
      <c r="BT160" s="706"/>
    </row>
    <row r="161" spans="1:72" s="2" customFormat="1" ht="24.9" customHeight="1">
      <c r="A161" s="147"/>
      <c r="B161" s="158"/>
      <c r="C161" s="179"/>
      <c r="D161" s="158"/>
      <c r="E161" s="160"/>
      <c r="F161" s="161"/>
      <c r="G161" s="161"/>
      <c r="H161" s="161"/>
      <c r="I161" s="163"/>
      <c r="J161" s="161"/>
      <c r="K161" s="163"/>
      <c r="L161" s="150"/>
      <c r="M161" s="164"/>
      <c r="N161" s="150"/>
      <c r="O161" s="174"/>
      <c r="P161" s="523"/>
      <c r="Q161" s="523"/>
      <c r="R161" s="154"/>
      <c r="S161" s="155"/>
      <c r="T161" s="156"/>
      <c r="U161" s="154"/>
      <c r="V161" s="155"/>
      <c r="W161" s="155"/>
      <c r="X161" s="419"/>
      <c r="Y161" s="157"/>
      <c r="Z161" s="217"/>
      <c r="AA161" s="150"/>
      <c r="AB161" s="151"/>
      <c r="AC161" s="152"/>
      <c r="AD161" s="506"/>
      <c r="AE161" s="166"/>
      <c r="AF161" s="150"/>
      <c r="AG161" s="152"/>
      <c r="AH161" s="150"/>
      <c r="AI161" s="152"/>
      <c r="AJ161" s="150"/>
      <c r="AK161" s="152"/>
      <c r="AL161" s="150"/>
      <c r="AM161" s="151"/>
      <c r="AN161" s="151"/>
      <c r="AO161" s="169"/>
      <c r="AP161" s="169"/>
      <c r="AQ161" s="149"/>
      <c r="AR161" s="324"/>
      <c r="AS161" s="324"/>
      <c r="AT161" s="324"/>
      <c r="AU161" s="324"/>
      <c r="AV161" s="324"/>
      <c r="AW161" s="324"/>
      <c r="AX161" s="150"/>
      <c r="AY161" s="297"/>
      <c r="AZ161" s="297"/>
      <c r="BA161" s="297"/>
      <c r="BB161" s="297"/>
      <c r="BC161" s="152"/>
      <c r="BD161" s="150"/>
      <c r="BE161" s="297"/>
      <c r="BF161" s="297"/>
      <c r="BG161" s="297"/>
      <c r="BH161" s="297"/>
      <c r="BI161" s="152"/>
      <c r="BJ161" s="170"/>
      <c r="BK161" s="148"/>
      <c r="BL161" s="324"/>
      <c r="BM161" s="324"/>
      <c r="BN161" s="170"/>
      <c r="BO161" s="149"/>
      <c r="BP161" s="170"/>
      <c r="BQ161" s="149"/>
      <c r="BR161" s="170"/>
      <c r="BS161" s="171"/>
      <c r="BT161" s="707"/>
    </row>
    <row r="162" spans="1:72" s="2" customFormat="1" ht="24.9" customHeight="1">
      <c r="A162" s="147"/>
      <c r="B162" s="158"/>
      <c r="C162" s="179"/>
      <c r="D162" s="158"/>
      <c r="E162" s="160"/>
      <c r="F162" s="161"/>
      <c r="G162" s="161"/>
      <c r="H162" s="161"/>
      <c r="I162" s="163"/>
      <c r="J162" s="161"/>
      <c r="K162" s="163"/>
      <c r="L162" s="150"/>
      <c r="M162" s="164"/>
      <c r="N162" s="150"/>
      <c r="O162" s="174"/>
      <c r="P162" s="523"/>
      <c r="Q162" s="523"/>
      <c r="R162" s="154"/>
      <c r="S162" s="155"/>
      <c r="T162" s="156"/>
      <c r="U162" s="154"/>
      <c r="V162" s="155"/>
      <c r="W162" s="155"/>
      <c r="X162" s="419"/>
      <c r="Y162" s="157"/>
      <c r="Z162" s="217"/>
      <c r="AA162" s="150"/>
      <c r="AB162" s="151"/>
      <c r="AC162" s="152"/>
      <c r="AD162" s="506"/>
      <c r="AE162" s="166"/>
      <c r="AF162" s="150"/>
      <c r="AG162" s="152"/>
      <c r="AH162" s="150"/>
      <c r="AI162" s="152"/>
      <c r="AJ162" s="150"/>
      <c r="AK162" s="152"/>
      <c r="AL162" s="150"/>
      <c r="AM162" s="151"/>
      <c r="AN162" s="151"/>
      <c r="AO162" s="169"/>
      <c r="AP162" s="169"/>
      <c r="AQ162" s="149"/>
      <c r="AR162" s="324"/>
      <c r="AS162" s="324"/>
      <c r="AT162" s="324"/>
      <c r="AU162" s="324"/>
      <c r="AV162" s="324"/>
      <c r="AW162" s="324"/>
      <c r="AX162" s="150"/>
      <c r="AY162" s="297"/>
      <c r="AZ162" s="297"/>
      <c r="BA162" s="297"/>
      <c r="BB162" s="297"/>
      <c r="BC162" s="152"/>
      <c r="BD162" s="150"/>
      <c r="BE162" s="297"/>
      <c r="BF162" s="297"/>
      <c r="BG162" s="297"/>
      <c r="BH162" s="297"/>
      <c r="BI162" s="152"/>
      <c r="BJ162" s="170"/>
      <c r="BK162" s="148"/>
      <c r="BL162" s="324"/>
      <c r="BM162" s="324"/>
      <c r="BN162" s="170"/>
      <c r="BO162" s="149"/>
      <c r="BP162" s="170"/>
      <c r="BQ162" s="149"/>
      <c r="BR162" s="170"/>
      <c r="BS162" s="171"/>
      <c r="BT162" s="706"/>
    </row>
    <row r="163" spans="1:72" s="2" customFormat="1" ht="24.9" customHeight="1">
      <c r="A163" s="147"/>
      <c r="B163" s="158"/>
      <c r="C163" s="179"/>
      <c r="D163" s="158"/>
      <c r="E163" s="160"/>
      <c r="F163" s="161"/>
      <c r="G163" s="161"/>
      <c r="H163" s="161"/>
      <c r="I163" s="163"/>
      <c r="J163" s="161"/>
      <c r="K163" s="163"/>
      <c r="L163" s="150"/>
      <c r="M163" s="164"/>
      <c r="N163" s="150"/>
      <c r="O163" s="151"/>
      <c r="P163" s="522"/>
      <c r="Q163" s="522"/>
      <c r="R163" s="154"/>
      <c r="S163" s="155"/>
      <c r="T163" s="156"/>
      <c r="U163" s="154"/>
      <c r="V163" s="155"/>
      <c r="W163" s="155"/>
      <c r="X163" s="419"/>
      <c r="Y163" s="157"/>
      <c r="Z163" s="217"/>
      <c r="AA163" s="150"/>
      <c r="AB163" s="151"/>
      <c r="AC163" s="152"/>
      <c r="AD163" s="506"/>
      <c r="AE163" s="166"/>
      <c r="AF163" s="150"/>
      <c r="AG163" s="152"/>
      <c r="AH163" s="150"/>
      <c r="AI163" s="152"/>
      <c r="AJ163" s="150"/>
      <c r="AK163" s="152"/>
      <c r="AL163" s="150"/>
      <c r="AM163" s="151"/>
      <c r="AN163" s="151"/>
      <c r="AO163" s="169"/>
      <c r="AP163" s="169"/>
      <c r="AQ163" s="149"/>
      <c r="AR163" s="324"/>
      <c r="AS163" s="324"/>
      <c r="AT163" s="324"/>
      <c r="AU163" s="324"/>
      <c r="AV163" s="324"/>
      <c r="AW163" s="324"/>
      <c r="AX163" s="150"/>
      <c r="AY163" s="297"/>
      <c r="AZ163" s="297"/>
      <c r="BA163" s="297"/>
      <c r="BB163" s="297"/>
      <c r="BC163" s="152"/>
      <c r="BD163" s="150"/>
      <c r="BE163" s="297"/>
      <c r="BF163" s="297"/>
      <c r="BG163" s="297"/>
      <c r="BH163" s="297"/>
      <c r="BI163" s="152"/>
      <c r="BJ163" s="170"/>
      <c r="BK163" s="148"/>
      <c r="BL163" s="324"/>
      <c r="BM163" s="324"/>
      <c r="BN163" s="170"/>
      <c r="BO163" s="149"/>
      <c r="BP163" s="170"/>
      <c r="BQ163" s="149"/>
      <c r="BR163" s="170"/>
      <c r="BS163" s="171"/>
      <c r="BT163" s="708"/>
    </row>
    <row r="164" spans="1:72" s="2" customFormat="1" ht="24.9" customHeight="1">
      <c r="A164" s="147"/>
      <c r="B164" s="158"/>
      <c r="C164" s="179"/>
      <c r="D164" s="158"/>
      <c r="E164" s="160"/>
      <c r="F164" s="161"/>
      <c r="G164" s="161"/>
      <c r="H164" s="161"/>
      <c r="I164" s="163"/>
      <c r="J164" s="161"/>
      <c r="K164" s="163"/>
      <c r="L164" s="150"/>
      <c r="M164" s="164"/>
      <c r="N164" s="150"/>
      <c r="O164" s="174"/>
      <c r="P164" s="523"/>
      <c r="Q164" s="523"/>
      <c r="R164" s="154"/>
      <c r="S164" s="155"/>
      <c r="T164" s="156"/>
      <c r="U164" s="154"/>
      <c r="V164" s="155"/>
      <c r="W164" s="155"/>
      <c r="X164" s="419"/>
      <c r="Y164" s="157"/>
      <c r="Z164" s="217"/>
      <c r="AA164" s="150"/>
      <c r="AB164" s="151"/>
      <c r="AC164" s="152"/>
      <c r="AD164" s="506"/>
      <c r="AE164" s="166"/>
      <c r="AF164" s="150"/>
      <c r="AG164" s="152"/>
      <c r="AH164" s="150"/>
      <c r="AI164" s="152"/>
      <c r="AJ164" s="150"/>
      <c r="AK164" s="152"/>
      <c r="AL164" s="150"/>
      <c r="AM164" s="151"/>
      <c r="AN164" s="151"/>
      <c r="AO164" s="169"/>
      <c r="AP164" s="169"/>
      <c r="AQ164" s="149"/>
      <c r="AR164" s="324"/>
      <c r="AS164" s="324"/>
      <c r="AT164" s="324"/>
      <c r="AU164" s="324"/>
      <c r="AV164" s="324"/>
      <c r="AW164" s="324"/>
      <c r="AX164" s="150"/>
      <c r="AY164" s="297"/>
      <c r="AZ164" s="297"/>
      <c r="BA164" s="297"/>
      <c r="BB164" s="297"/>
      <c r="BC164" s="152"/>
      <c r="BD164" s="150"/>
      <c r="BE164" s="297"/>
      <c r="BF164" s="297"/>
      <c r="BG164" s="297"/>
      <c r="BH164" s="297"/>
      <c r="BI164" s="152"/>
      <c r="BJ164" s="170"/>
      <c r="BK164" s="148"/>
      <c r="BL164" s="324"/>
      <c r="BM164" s="324"/>
      <c r="BN164" s="170"/>
      <c r="BO164" s="149"/>
      <c r="BP164" s="170"/>
      <c r="BQ164" s="149"/>
      <c r="BR164" s="170"/>
      <c r="BS164" s="171"/>
      <c r="BT164" s="707"/>
    </row>
    <row r="165" spans="1:72" s="2" customFormat="1" ht="24.9" customHeight="1">
      <c r="A165" s="147"/>
      <c r="B165" s="158"/>
      <c r="C165" s="179"/>
      <c r="D165" s="158"/>
      <c r="E165" s="160"/>
      <c r="F165" s="161"/>
      <c r="G165" s="161"/>
      <c r="H165" s="161"/>
      <c r="I165" s="163"/>
      <c r="J165" s="161"/>
      <c r="K165" s="163"/>
      <c r="L165" s="150"/>
      <c r="M165" s="164"/>
      <c r="N165" s="150"/>
      <c r="O165" s="174"/>
      <c r="P165" s="523"/>
      <c r="Q165" s="523"/>
      <c r="R165" s="154"/>
      <c r="S165" s="155"/>
      <c r="T165" s="156"/>
      <c r="U165" s="154"/>
      <c r="V165" s="155"/>
      <c r="W165" s="155"/>
      <c r="X165" s="419"/>
      <c r="Y165" s="157"/>
      <c r="Z165" s="217"/>
      <c r="AA165" s="150"/>
      <c r="AB165" s="151"/>
      <c r="AC165" s="152"/>
      <c r="AD165" s="506"/>
      <c r="AE165" s="166"/>
      <c r="AF165" s="150"/>
      <c r="AG165" s="152"/>
      <c r="AH165" s="150"/>
      <c r="AI165" s="152"/>
      <c r="AJ165" s="150"/>
      <c r="AK165" s="152"/>
      <c r="AL165" s="150"/>
      <c r="AM165" s="151"/>
      <c r="AN165" s="151"/>
      <c r="AO165" s="169"/>
      <c r="AP165" s="169"/>
      <c r="AQ165" s="149"/>
      <c r="AR165" s="324"/>
      <c r="AS165" s="324"/>
      <c r="AT165" s="324"/>
      <c r="AU165" s="324"/>
      <c r="AV165" s="324"/>
      <c r="AW165" s="324"/>
      <c r="AX165" s="150"/>
      <c r="AY165" s="297"/>
      <c r="AZ165" s="297"/>
      <c r="BA165" s="297"/>
      <c r="BB165" s="297"/>
      <c r="BC165" s="152"/>
      <c r="BD165" s="150"/>
      <c r="BE165" s="297"/>
      <c r="BF165" s="297"/>
      <c r="BG165" s="297"/>
      <c r="BH165" s="297"/>
      <c r="BI165" s="152"/>
      <c r="BJ165" s="170"/>
      <c r="BK165" s="148"/>
      <c r="BL165" s="324"/>
      <c r="BM165" s="324"/>
      <c r="BN165" s="170"/>
      <c r="BO165" s="149"/>
      <c r="BP165" s="170"/>
      <c r="BQ165" s="149"/>
      <c r="BR165" s="170"/>
      <c r="BS165" s="171"/>
      <c r="BT165" s="706"/>
    </row>
    <row r="166" spans="1:72" s="2" customFormat="1" ht="24.9" customHeight="1">
      <c r="A166" s="147"/>
      <c r="B166" s="158"/>
      <c r="C166" s="179"/>
      <c r="D166" s="158"/>
      <c r="E166" s="160"/>
      <c r="F166" s="161"/>
      <c r="G166" s="161"/>
      <c r="H166" s="161"/>
      <c r="I166" s="163"/>
      <c r="J166" s="161"/>
      <c r="K166" s="163"/>
      <c r="L166" s="150"/>
      <c r="M166" s="164"/>
      <c r="N166" s="150"/>
      <c r="O166" s="174"/>
      <c r="P166" s="523"/>
      <c r="Q166" s="523"/>
      <c r="R166" s="154"/>
      <c r="S166" s="155"/>
      <c r="T166" s="156"/>
      <c r="U166" s="154"/>
      <c r="V166" s="155"/>
      <c r="W166" s="155"/>
      <c r="X166" s="419"/>
      <c r="Y166" s="157"/>
      <c r="Z166" s="217"/>
      <c r="AA166" s="150"/>
      <c r="AB166" s="151"/>
      <c r="AC166" s="152"/>
      <c r="AD166" s="506"/>
      <c r="AE166" s="166"/>
      <c r="AF166" s="150"/>
      <c r="AG166" s="152"/>
      <c r="AH166" s="150"/>
      <c r="AI166" s="152"/>
      <c r="AJ166" s="150"/>
      <c r="AK166" s="152"/>
      <c r="AL166" s="150"/>
      <c r="AM166" s="151"/>
      <c r="AN166" s="151"/>
      <c r="AO166" s="169"/>
      <c r="AP166" s="169"/>
      <c r="AQ166" s="149"/>
      <c r="AR166" s="324"/>
      <c r="AS166" s="324"/>
      <c r="AT166" s="324"/>
      <c r="AU166" s="324"/>
      <c r="AV166" s="324"/>
      <c r="AW166" s="324"/>
      <c r="AX166" s="150"/>
      <c r="AY166" s="297"/>
      <c r="AZ166" s="297"/>
      <c r="BA166" s="297"/>
      <c r="BB166" s="297"/>
      <c r="BC166" s="152"/>
      <c r="BD166" s="150"/>
      <c r="BE166" s="297"/>
      <c r="BF166" s="297"/>
      <c r="BG166" s="297"/>
      <c r="BH166" s="297"/>
      <c r="BI166" s="152"/>
      <c r="BJ166" s="170"/>
      <c r="BK166" s="148"/>
      <c r="BL166" s="324"/>
      <c r="BM166" s="324"/>
      <c r="BN166" s="170"/>
      <c r="BO166" s="149"/>
      <c r="BP166" s="170"/>
      <c r="BQ166" s="149"/>
      <c r="BR166" s="170"/>
      <c r="BS166" s="171"/>
      <c r="BT166" s="707"/>
    </row>
    <row r="167" spans="1:72" s="2" customFormat="1" ht="24.9" customHeight="1">
      <c r="A167" s="147"/>
      <c r="B167" s="158"/>
      <c r="C167" s="179"/>
      <c r="D167" s="158"/>
      <c r="E167" s="160"/>
      <c r="F167" s="161"/>
      <c r="G167" s="161"/>
      <c r="H167" s="161"/>
      <c r="I167" s="163"/>
      <c r="J167" s="161"/>
      <c r="K167" s="163"/>
      <c r="L167" s="150"/>
      <c r="M167" s="164"/>
      <c r="N167" s="150"/>
      <c r="O167" s="174"/>
      <c r="P167" s="523"/>
      <c r="Q167" s="523"/>
      <c r="R167" s="154"/>
      <c r="S167" s="155"/>
      <c r="T167" s="156"/>
      <c r="U167" s="154"/>
      <c r="V167" s="155"/>
      <c r="W167" s="155"/>
      <c r="X167" s="419"/>
      <c r="Y167" s="157"/>
      <c r="Z167" s="217"/>
      <c r="AA167" s="150"/>
      <c r="AB167" s="151"/>
      <c r="AC167" s="152"/>
      <c r="AD167" s="506"/>
      <c r="AE167" s="166"/>
      <c r="AF167" s="150"/>
      <c r="AG167" s="152"/>
      <c r="AH167" s="150"/>
      <c r="AI167" s="152"/>
      <c r="AJ167" s="150"/>
      <c r="AK167" s="152"/>
      <c r="AL167" s="150"/>
      <c r="AM167" s="151"/>
      <c r="AN167" s="151"/>
      <c r="AO167" s="169"/>
      <c r="AP167" s="169"/>
      <c r="AQ167" s="149"/>
      <c r="AR167" s="324"/>
      <c r="AS167" s="324"/>
      <c r="AT167" s="324"/>
      <c r="AU167" s="324"/>
      <c r="AV167" s="324"/>
      <c r="AW167" s="324"/>
      <c r="AX167" s="150"/>
      <c r="AY167" s="297"/>
      <c r="AZ167" s="297"/>
      <c r="BA167" s="297"/>
      <c r="BB167" s="297"/>
      <c r="BC167" s="152"/>
      <c r="BD167" s="150"/>
      <c r="BE167" s="297"/>
      <c r="BF167" s="297"/>
      <c r="BG167" s="297"/>
      <c r="BH167" s="297"/>
      <c r="BI167" s="152"/>
      <c r="BJ167" s="170"/>
      <c r="BK167" s="148"/>
      <c r="BL167" s="324"/>
      <c r="BM167" s="324"/>
      <c r="BN167" s="170"/>
      <c r="BO167" s="149"/>
      <c r="BP167" s="170"/>
      <c r="BQ167" s="149"/>
      <c r="BR167" s="170"/>
      <c r="BS167" s="171"/>
      <c r="BT167" s="706"/>
    </row>
    <row r="168" spans="1:72" s="2" customFormat="1" ht="24.9" customHeight="1">
      <c r="A168" s="147"/>
      <c r="B168" s="158"/>
      <c r="C168" s="179"/>
      <c r="D168" s="158"/>
      <c r="E168" s="160"/>
      <c r="F168" s="161"/>
      <c r="G168" s="161"/>
      <c r="H168" s="161"/>
      <c r="I168" s="163"/>
      <c r="J168" s="161"/>
      <c r="K168" s="163"/>
      <c r="L168" s="150"/>
      <c r="M168" s="164"/>
      <c r="N168" s="150"/>
      <c r="O168" s="174"/>
      <c r="P168" s="523"/>
      <c r="Q168" s="523"/>
      <c r="R168" s="154"/>
      <c r="S168" s="155"/>
      <c r="T168" s="156"/>
      <c r="U168" s="154"/>
      <c r="V168" s="155"/>
      <c r="W168" s="155"/>
      <c r="X168" s="419"/>
      <c r="Y168" s="157"/>
      <c r="Z168" s="217"/>
      <c r="AA168" s="150"/>
      <c r="AB168" s="151"/>
      <c r="AC168" s="152"/>
      <c r="AD168" s="506"/>
      <c r="AE168" s="166"/>
      <c r="AF168" s="150"/>
      <c r="AG168" s="152"/>
      <c r="AH168" s="150"/>
      <c r="AI168" s="152"/>
      <c r="AJ168" s="150"/>
      <c r="AK168" s="152"/>
      <c r="AL168" s="150"/>
      <c r="AM168" s="151"/>
      <c r="AN168" s="151"/>
      <c r="AO168" s="169"/>
      <c r="AP168" s="169"/>
      <c r="AQ168" s="149"/>
      <c r="AR168" s="324"/>
      <c r="AS168" s="324"/>
      <c r="AT168" s="324"/>
      <c r="AU168" s="324"/>
      <c r="AV168" s="324"/>
      <c r="AW168" s="324"/>
      <c r="AX168" s="150"/>
      <c r="AY168" s="297"/>
      <c r="AZ168" s="297"/>
      <c r="BA168" s="297"/>
      <c r="BB168" s="297"/>
      <c r="BC168" s="152"/>
      <c r="BD168" s="150"/>
      <c r="BE168" s="297"/>
      <c r="BF168" s="297"/>
      <c r="BG168" s="297"/>
      <c r="BH168" s="297"/>
      <c r="BI168" s="152"/>
      <c r="BJ168" s="170"/>
      <c r="BK168" s="148"/>
      <c r="BL168" s="324"/>
      <c r="BM168" s="324"/>
      <c r="BN168" s="170"/>
      <c r="BO168" s="149"/>
      <c r="BP168" s="170"/>
      <c r="BQ168" s="149"/>
      <c r="BR168" s="170"/>
      <c r="BS168" s="171"/>
      <c r="BT168" s="707"/>
    </row>
    <row r="169" spans="1:72" s="2" customFormat="1" ht="24.9" customHeight="1">
      <c r="A169" s="147"/>
      <c r="B169" s="158"/>
      <c r="C169" s="179"/>
      <c r="D169" s="158"/>
      <c r="E169" s="160"/>
      <c r="F169" s="161"/>
      <c r="G169" s="161"/>
      <c r="H169" s="161"/>
      <c r="I169" s="163"/>
      <c r="J169" s="161"/>
      <c r="K169" s="163"/>
      <c r="L169" s="150"/>
      <c r="M169" s="164"/>
      <c r="N169" s="150"/>
      <c r="O169" s="151"/>
      <c r="P169" s="522"/>
      <c r="Q169" s="522"/>
      <c r="R169" s="154"/>
      <c r="S169" s="155"/>
      <c r="T169" s="156"/>
      <c r="U169" s="154"/>
      <c r="V169" s="155"/>
      <c r="W169" s="155"/>
      <c r="X169" s="419"/>
      <c r="Y169" s="157"/>
      <c r="Z169" s="217"/>
      <c r="AA169" s="150"/>
      <c r="AB169" s="151"/>
      <c r="AC169" s="152"/>
      <c r="AD169" s="506"/>
      <c r="AE169" s="166"/>
      <c r="AF169" s="150"/>
      <c r="AG169" s="152"/>
      <c r="AH169" s="150"/>
      <c r="AI169" s="152"/>
      <c r="AJ169" s="150"/>
      <c r="AK169" s="152"/>
      <c r="AL169" s="150"/>
      <c r="AM169" s="151"/>
      <c r="AN169" s="151"/>
      <c r="AO169" s="169"/>
      <c r="AP169" s="169"/>
      <c r="AQ169" s="149"/>
      <c r="AR169" s="324"/>
      <c r="AS169" s="324"/>
      <c r="AT169" s="324"/>
      <c r="AU169" s="324"/>
      <c r="AV169" s="324"/>
      <c r="AW169" s="324"/>
      <c r="AX169" s="150"/>
      <c r="AY169" s="297"/>
      <c r="AZ169" s="297"/>
      <c r="BA169" s="297"/>
      <c r="BB169" s="297"/>
      <c r="BC169" s="152"/>
      <c r="BD169" s="150"/>
      <c r="BE169" s="297"/>
      <c r="BF169" s="297"/>
      <c r="BG169" s="297"/>
      <c r="BH169" s="297"/>
      <c r="BI169" s="152"/>
      <c r="BJ169" s="170"/>
      <c r="BK169" s="148"/>
      <c r="BL169" s="324"/>
      <c r="BM169" s="324"/>
      <c r="BN169" s="170"/>
      <c r="BO169" s="149"/>
      <c r="BP169" s="170"/>
      <c r="BQ169" s="149"/>
      <c r="BR169" s="170"/>
      <c r="BS169" s="171"/>
      <c r="BT169" s="706"/>
    </row>
    <row r="170" spans="1:72" s="2" customFormat="1" ht="24.9" customHeight="1">
      <c r="A170" s="147"/>
      <c r="B170" s="158"/>
      <c r="C170" s="179"/>
      <c r="D170" s="158"/>
      <c r="E170" s="160"/>
      <c r="F170" s="161"/>
      <c r="G170" s="161"/>
      <c r="H170" s="161"/>
      <c r="I170" s="163"/>
      <c r="J170" s="161"/>
      <c r="K170" s="163"/>
      <c r="L170" s="150"/>
      <c r="M170" s="164"/>
      <c r="N170" s="150"/>
      <c r="O170" s="174"/>
      <c r="P170" s="523"/>
      <c r="Q170" s="523"/>
      <c r="R170" s="154"/>
      <c r="S170" s="155"/>
      <c r="T170" s="156"/>
      <c r="U170" s="154"/>
      <c r="V170" s="155"/>
      <c r="W170" s="155"/>
      <c r="X170" s="419"/>
      <c r="Y170" s="157"/>
      <c r="Z170" s="217"/>
      <c r="AA170" s="150"/>
      <c r="AB170" s="151"/>
      <c r="AC170" s="152"/>
      <c r="AD170" s="506"/>
      <c r="AE170" s="166"/>
      <c r="AF170" s="150"/>
      <c r="AG170" s="152"/>
      <c r="AH170" s="150"/>
      <c r="AI170" s="152"/>
      <c r="AJ170" s="150"/>
      <c r="AK170" s="152"/>
      <c r="AL170" s="150"/>
      <c r="AM170" s="151"/>
      <c r="AN170" s="151"/>
      <c r="AO170" s="169"/>
      <c r="AP170" s="169"/>
      <c r="AQ170" s="149"/>
      <c r="AR170" s="324"/>
      <c r="AS170" s="324"/>
      <c r="AT170" s="324"/>
      <c r="AU170" s="324"/>
      <c r="AV170" s="324"/>
      <c r="AW170" s="324"/>
      <c r="AX170" s="150"/>
      <c r="AY170" s="297"/>
      <c r="AZ170" s="297"/>
      <c r="BA170" s="297"/>
      <c r="BB170" s="297"/>
      <c r="BC170" s="152"/>
      <c r="BD170" s="150"/>
      <c r="BE170" s="297"/>
      <c r="BF170" s="297"/>
      <c r="BG170" s="297"/>
      <c r="BH170" s="297"/>
      <c r="BI170" s="152"/>
      <c r="BJ170" s="170"/>
      <c r="BK170" s="148"/>
      <c r="BL170" s="324"/>
      <c r="BM170" s="324"/>
      <c r="BN170" s="170"/>
      <c r="BO170" s="149"/>
      <c r="BP170" s="170"/>
      <c r="BQ170" s="149"/>
      <c r="BR170" s="170"/>
      <c r="BS170" s="171"/>
      <c r="BT170" s="708"/>
    </row>
    <row r="171" spans="1:72" s="2" customFormat="1" ht="24.9" customHeight="1">
      <c r="A171" s="147"/>
      <c r="B171" s="158"/>
      <c r="C171" s="179"/>
      <c r="D171" s="158"/>
      <c r="E171" s="160"/>
      <c r="F171" s="161"/>
      <c r="G171" s="161"/>
      <c r="H171" s="161"/>
      <c r="I171" s="163"/>
      <c r="J171" s="161"/>
      <c r="K171" s="163"/>
      <c r="L171" s="150"/>
      <c r="M171" s="164"/>
      <c r="N171" s="150"/>
      <c r="O171" s="174"/>
      <c r="P171" s="523"/>
      <c r="Q171" s="523"/>
      <c r="R171" s="154"/>
      <c r="S171" s="155"/>
      <c r="T171" s="156"/>
      <c r="U171" s="154"/>
      <c r="V171" s="155"/>
      <c r="W171" s="155"/>
      <c r="X171" s="419"/>
      <c r="Y171" s="157"/>
      <c r="Z171" s="217"/>
      <c r="AA171" s="150"/>
      <c r="AB171" s="151"/>
      <c r="AC171" s="152"/>
      <c r="AD171" s="506"/>
      <c r="AE171" s="166"/>
      <c r="AF171" s="150"/>
      <c r="AG171" s="152"/>
      <c r="AH171" s="150"/>
      <c r="AI171" s="152"/>
      <c r="AJ171" s="150"/>
      <c r="AK171" s="152"/>
      <c r="AL171" s="150"/>
      <c r="AM171" s="151"/>
      <c r="AN171" s="151"/>
      <c r="AO171" s="169"/>
      <c r="AP171" s="169"/>
      <c r="AQ171" s="149"/>
      <c r="AR171" s="324"/>
      <c r="AS171" s="324"/>
      <c r="AT171" s="324"/>
      <c r="AU171" s="324"/>
      <c r="AV171" s="324"/>
      <c r="AW171" s="324"/>
      <c r="AX171" s="150"/>
      <c r="AY171" s="297"/>
      <c r="AZ171" s="297"/>
      <c r="BA171" s="297"/>
      <c r="BB171" s="297"/>
      <c r="BC171" s="152"/>
      <c r="BD171" s="150"/>
      <c r="BE171" s="297"/>
      <c r="BF171" s="297"/>
      <c r="BG171" s="297"/>
      <c r="BH171" s="297"/>
      <c r="BI171" s="152"/>
      <c r="BJ171" s="170"/>
      <c r="BK171" s="148"/>
      <c r="BL171" s="324"/>
      <c r="BM171" s="324"/>
      <c r="BN171" s="170"/>
      <c r="BO171" s="149"/>
      <c r="BP171" s="170"/>
      <c r="BQ171" s="149"/>
      <c r="BR171" s="170"/>
      <c r="BS171" s="171"/>
      <c r="BT171" s="707"/>
    </row>
    <row r="172" spans="1:72" s="2" customFormat="1" ht="24.9" customHeight="1">
      <c r="A172" s="147"/>
      <c r="B172" s="158"/>
      <c r="C172" s="179"/>
      <c r="D172" s="158"/>
      <c r="E172" s="160"/>
      <c r="F172" s="161"/>
      <c r="G172" s="161"/>
      <c r="H172" s="161"/>
      <c r="I172" s="163"/>
      <c r="J172" s="161"/>
      <c r="K172" s="163"/>
      <c r="L172" s="150"/>
      <c r="M172" s="164"/>
      <c r="N172" s="150"/>
      <c r="O172" s="174"/>
      <c r="P172" s="523"/>
      <c r="Q172" s="523"/>
      <c r="R172" s="154"/>
      <c r="S172" s="155"/>
      <c r="T172" s="156"/>
      <c r="U172" s="154"/>
      <c r="V172" s="155"/>
      <c r="W172" s="155"/>
      <c r="X172" s="419"/>
      <c r="Y172" s="157"/>
      <c r="Z172" s="217"/>
      <c r="AA172" s="150"/>
      <c r="AB172" s="151"/>
      <c r="AC172" s="152"/>
      <c r="AD172" s="506"/>
      <c r="AE172" s="166"/>
      <c r="AF172" s="150"/>
      <c r="AG172" s="152"/>
      <c r="AH172" s="150"/>
      <c r="AI172" s="152"/>
      <c r="AJ172" s="150"/>
      <c r="AK172" s="152"/>
      <c r="AL172" s="150"/>
      <c r="AM172" s="151"/>
      <c r="AN172" s="151"/>
      <c r="AO172" s="169"/>
      <c r="AP172" s="169"/>
      <c r="AQ172" s="149"/>
      <c r="AR172" s="324"/>
      <c r="AS172" s="324"/>
      <c r="AT172" s="324"/>
      <c r="AU172" s="324"/>
      <c r="AV172" s="324"/>
      <c r="AW172" s="324"/>
      <c r="AX172" s="150"/>
      <c r="AY172" s="297"/>
      <c r="AZ172" s="297"/>
      <c r="BA172" s="297"/>
      <c r="BB172" s="297"/>
      <c r="BC172" s="152"/>
      <c r="BD172" s="150"/>
      <c r="BE172" s="297"/>
      <c r="BF172" s="297"/>
      <c r="BG172" s="297"/>
      <c r="BH172" s="297"/>
      <c r="BI172" s="152"/>
      <c r="BJ172" s="170"/>
      <c r="BK172" s="148"/>
      <c r="BL172" s="324"/>
      <c r="BM172" s="324"/>
      <c r="BN172" s="170"/>
      <c r="BO172" s="149"/>
      <c r="BP172" s="170"/>
      <c r="BQ172" s="149"/>
      <c r="BR172" s="170"/>
      <c r="BS172" s="171"/>
      <c r="BT172" s="706"/>
    </row>
    <row r="173" spans="1:72" s="2" customFormat="1" ht="24.9" customHeight="1">
      <c r="A173" s="147"/>
      <c r="B173" s="158"/>
      <c r="C173" s="179"/>
      <c r="D173" s="158"/>
      <c r="E173" s="160"/>
      <c r="F173" s="161"/>
      <c r="G173" s="161"/>
      <c r="H173" s="161"/>
      <c r="I173" s="163"/>
      <c r="J173" s="161"/>
      <c r="K173" s="163"/>
      <c r="L173" s="150"/>
      <c r="M173" s="164"/>
      <c r="N173" s="150"/>
      <c r="O173" s="174"/>
      <c r="P173" s="523"/>
      <c r="Q173" s="523"/>
      <c r="R173" s="154"/>
      <c r="S173" s="155"/>
      <c r="T173" s="156"/>
      <c r="U173" s="154"/>
      <c r="V173" s="155"/>
      <c r="W173" s="155"/>
      <c r="X173" s="419"/>
      <c r="Y173" s="157"/>
      <c r="Z173" s="217"/>
      <c r="AA173" s="150"/>
      <c r="AB173" s="151"/>
      <c r="AC173" s="152"/>
      <c r="AD173" s="506"/>
      <c r="AE173" s="166"/>
      <c r="AF173" s="150"/>
      <c r="AG173" s="152"/>
      <c r="AH173" s="150"/>
      <c r="AI173" s="152"/>
      <c r="AJ173" s="150"/>
      <c r="AK173" s="152"/>
      <c r="AL173" s="150"/>
      <c r="AM173" s="151"/>
      <c r="AN173" s="151"/>
      <c r="AO173" s="169"/>
      <c r="AP173" s="169"/>
      <c r="AQ173" s="149"/>
      <c r="AR173" s="324"/>
      <c r="AS173" s="324"/>
      <c r="AT173" s="324"/>
      <c r="AU173" s="324"/>
      <c r="AV173" s="324"/>
      <c r="AW173" s="324"/>
      <c r="AX173" s="150"/>
      <c r="AY173" s="297"/>
      <c r="AZ173" s="297"/>
      <c r="BA173" s="297"/>
      <c r="BB173" s="297"/>
      <c r="BC173" s="152"/>
      <c r="BD173" s="150"/>
      <c r="BE173" s="297"/>
      <c r="BF173" s="297"/>
      <c r="BG173" s="297"/>
      <c r="BH173" s="297"/>
      <c r="BI173" s="152"/>
      <c r="BJ173" s="170"/>
      <c r="BK173" s="148"/>
      <c r="BL173" s="324"/>
      <c r="BM173" s="324"/>
      <c r="BN173" s="170"/>
      <c r="BO173" s="149"/>
      <c r="BP173" s="170"/>
      <c r="BQ173" s="149"/>
      <c r="BR173" s="170"/>
      <c r="BS173" s="171"/>
      <c r="BT173" s="707"/>
    </row>
    <row r="174" spans="1:72" s="2" customFormat="1" ht="24.9" customHeight="1">
      <c r="A174" s="147"/>
      <c r="B174" s="158"/>
      <c r="C174" s="179"/>
      <c r="D174" s="158"/>
      <c r="E174" s="160"/>
      <c r="F174" s="161"/>
      <c r="G174" s="161"/>
      <c r="H174" s="161"/>
      <c r="I174" s="163"/>
      <c r="J174" s="161"/>
      <c r="K174" s="163"/>
      <c r="L174" s="150"/>
      <c r="M174" s="164"/>
      <c r="N174" s="150"/>
      <c r="O174" s="174"/>
      <c r="P174" s="523"/>
      <c r="Q174" s="523"/>
      <c r="R174" s="154"/>
      <c r="S174" s="155"/>
      <c r="T174" s="156"/>
      <c r="U174" s="154"/>
      <c r="V174" s="155"/>
      <c r="W174" s="155"/>
      <c r="X174" s="419"/>
      <c r="Y174" s="157"/>
      <c r="Z174" s="217"/>
      <c r="AA174" s="150"/>
      <c r="AB174" s="151"/>
      <c r="AC174" s="152"/>
      <c r="AD174" s="506"/>
      <c r="AE174" s="166"/>
      <c r="AF174" s="150"/>
      <c r="AG174" s="152"/>
      <c r="AH174" s="150"/>
      <c r="AI174" s="152"/>
      <c r="AJ174" s="150"/>
      <c r="AK174" s="152"/>
      <c r="AL174" s="150"/>
      <c r="AM174" s="151"/>
      <c r="AN174" s="151"/>
      <c r="AO174" s="169"/>
      <c r="AP174" s="169"/>
      <c r="AQ174" s="149"/>
      <c r="AR174" s="324"/>
      <c r="AS174" s="324"/>
      <c r="AT174" s="324"/>
      <c r="AU174" s="324"/>
      <c r="AV174" s="324"/>
      <c r="AW174" s="324"/>
      <c r="AX174" s="150"/>
      <c r="AY174" s="297"/>
      <c r="AZ174" s="297"/>
      <c r="BA174" s="297"/>
      <c r="BB174" s="297"/>
      <c r="BC174" s="152"/>
      <c r="BD174" s="150"/>
      <c r="BE174" s="297"/>
      <c r="BF174" s="297"/>
      <c r="BG174" s="297"/>
      <c r="BH174" s="297"/>
      <c r="BI174" s="152"/>
      <c r="BJ174" s="170"/>
      <c r="BK174" s="148"/>
      <c r="BL174" s="324"/>
      <c r="BM174" s="324"/>
      <c r="BN174" s="170"/>
      <c r="BO174" s="149"/>
      <c r="BP174" s="170"/>
      <c r="BQ174" s="149"/>
      <c r="BR174" s="170"/>
      <c r="BS174" s="171"/>
      <c r="BT174" s="706"/>
    </row>
    <row r="175" spans="1:72" s="2" customFormat="1" ht="24.9" customHeight="1">
      <c r="A175" s="147"/>
      <c r="B175" s="158"/>
      <c r="C175" s="179"/>
      <c r="D175" s="158"/>
      <c r="E175" s="160"/>
      <c r="F175" s="161"/>
      <c r="G175" s="161"/>
      <c r="H175" s="161"/>
      <c r="I175" s="163"/>
      <c r="J175" s="161"/>
      <c r="K175" s="163"/>
      <c r="L175" s="150"/>
      <c r="M175" s="152"/>
      <c r="N175" s="180"/>
      <c r="O175" s="174"/>
      <c r="P175" s="523"/>
      <c r="Q175" s="523"/>
      <c r="R175" s="154"/>
      <c r="S175" s="155"/>
      <c r="T175" s="156"/>
      <c r="U175" s="154"/>
      <c r="V175" s="155"/>
      <c r="W175" s="155"/>
      <c r="X175" s="419"/>
      <c r="Y175" s="157"/>
      <c r="Z175" s="217"/>
      <c r="AA175" s="150"/>
      <c r="AB175" s="151"/>
      <c r="AC175" s="152"/>
      <c r="AD175" s="506"/>
      <c r="AE175" s="166"/>
      <c r="AF175" s="150"/>
      <c r="AG175" s="152"/>
      <c r="AH175" s="150"/>
      <c r="AI175" s="152"/>
      <c r="AJ175" s="150"/>
      <c r="AK175" s="152"/>
      <c r="AL175" s="150"/>
      <c r="AM175" s="151"/>
      <c r="AN175" s="151"/>
      <c r="AO175" s="169"/>
      <c r="AP175" s="169"/>
      <c r="AQ175" s="149"/>
      <c r="AR175" s="324"/>
      <c r="AS175" s="324"/>
      <c r="AT175" s="324"/>
      <c r="AU175" s="324"/>
      <c r="AV175" s="324"/>
      <c r="AW175" s="324"/>
      <c r="AX175" s="150"/>
      <c r="AY175" s="297"/>
      <c r="AZ175" s="297"/>
      <c r="BA175" s="297"/>
      <c r="BB175" s="297"/>
      <c r="BC175" s="152"/>
      <c r="BD175" s="150"/>
      <c r="BE175" s="297"/>
      <c r="BF175" s="297"/>
      <c r="BG175" s="297"/>
      <c r="BH175" s="297"/>
      <c r="BI175" s="152"/>
      <c r="BJ175" s="170"/>
      <c r="BK175" s="148"/>
      <c r="BL175" s="324"/>
      <c r="BM175" s="324"/>
      <c r="BN175" s="170"/>
      <c r="BO175" s="149"/>
      <c r="BP175" s="170"/>
      <c r="BQ175" s="149"/>
      <c r="BR175" s="170"/>
      <c r="BS175" s="171"/>
      <c r="BT175" s="707"/>
    </row>
    <row r="176" spans="1:72" s="2" customFormat="1" ht="24.9" customHeight="1">
      <c r="A176" s="147"/>
      <c r="B176" s="158"/>
      <c r="C176" s="179"/>
      <c r="D176" s="158"/>
      <c r="E176" s="160"/>
      <c r="F176" s="161"/>
      <c r="G176" s="161"/>
      <c r="H176" s="161"/>
      <c r="I176" s="163"/>
      <c r="J176" s="161"/>
      <c r="K176" s="163"/>
      <c r="L176" s="150"/>
      <c r="M176" s="164"/>
      <c r="N176" s="150"/>
      <c r="O176" s="174"/>
      <c r="P176" s="523"/>
      <c r="Q176" s="523"/>
      <c r="R176" s="154"/>
      <c r="S176" s="155"/>
      <c r="T176" s="156"/>
      <c r="U176" s="154"/>
      <c r="V176" s="155"/>
      <c r="W176" s="155"/>
      <c r="X176" s="419"/>
      <c r="Y176" s="157"/>
      <c r="Z176" s="217"/>
      <c r="AA176" s="150"/>
      <c r="AB176" s="151"/>
      <c r="AC176" s="152"/>
      <c r="AD176" s="506"/>
      <c r="AE176" s="166"/>
      <c r="AF176" s="150"/>
      <c r="AG176" s="152"/>
      <c r="AH176" s="150"/>
      <c r="AI176" s="152"/>
      <c r="AJ176" s="150"/>
      <c r="AK176" s="152"/>
      <c r="AL176" s="150"/>
      <c r="AM176" s="151"/>
      <c r="AN176" s="151"/>
      <c r="AO176" s="169"/>
      <c r="AP176" s="169"/>
      <c r="AQ176" s="149"/>
      <c r="AR176" s="324"/>
      <c r="AS176" s="324"/>
      <c r="AT176" s="324"/>
      <c r="AU176" s="324"/>
      <c r="AV176" s="324"/>
      <c r="AW176" s="324"/>
      <c r="AX176" s="150"/>
      <c r="AY176" s="297"/>
      <c r="AZ176" s="297"/>
      <c r="BA176" s="297"/>
      <c r="BB176" s="297"/>
      <c r="BC176" s="152"/>
      <c r="BD176" s="150"/>
      <c r="BE176" s="297"/>
      <c r="BF176" s="297"/>
      <c r="BG176" s="297"/>
      <c r="BH176" s="297"/>
      <c r="BI176" s="152"/>
      <c r="BJ176" s="170"/>
      <c r="BK176" s="148"/>
      <c r="BL176" s="324"/>
      <c r="BM176" s="324"/>
      <c r="BN176" s="170"/>
      <c r="BO176" s="149"/>
      <c r="BP176" s="170"/>
      <c r="BQ176" s="149"/>
      <c r="BR176" s="170"/>
      <c r="BS176" s="171"/>
      <c r="BT176" s="706"/>
    </row>
    <row r="177" spans="1:72" s="2" customFormat="1" ht="24.9" customHeight="1">
      <c r="A177" s="147"/>
      <c r="B177" s="158"/>
      <c r="C177" s="179"/>
      <c r="D177" s="158"/>
      <c r="E177" s="160"/>
      <c r="F177" s="161"/>
      <c r="G177" s="161"/>
      <c r="H177" s="161"/>
      <c r="I177" s="163"/>
      <c r="J177" s="161"/>
      <c r="K177" s="163"/>
      <c r="L177" s="150"/>
      <c r="M177" s="164"/>
      <c r="N177" s="150"/>
      <c r="O177" s="151"/>
      <c r="P177" s="522"/>
      <c r="Q177" s="522"/>
      <c r="R177" s="154"/>
      <c r="S177" s="155"/>
      <c r="T177" s="156"/>
      <c r="U177" s="154"/>
      <c r="V177" s="155"/>
      <c r="W177" s="155"/>
      <c r="X177" s="419"/>
      <c r="Y177" s="157"/>
      <c r="Z177" s="217"/>
      <c r="AA177" s="150"/>
      <c r="AB177" s="151"/>
      <c r="AC177" s="152"/>
      <c r="AD177" s="506"/>
      <c r="AE177" s="166"/>
      <c r="AF177" s="150"/>
      <c r="AG177" s="152"/>
      <c r="AH177" s="150"/>
      <c r="AI177" s="152"/>
      <c r="AJ177" s="150"/>
      <c r="AK177" s="152"/>
      <c r="AL177" s="150"/>
      <c r="AM177" s="151"/>
      <c r="AN177" s="151"/>
      <c r="AO177" s="169"/>
      <c r="AP177" s="169"/>
      <c r="AQ177" s="149"/>
      <c r="AR177" s="324"/>
      <c r="AS177" s="324"/>
      <c r="AT177" s="324"/>
      <c r="AU177" s="324"/>
      <c r="AV177" s="324"/>
      <c r="AW177" s="324"/>
      <c r="AX177" s="150"/>
      <c r="AY177" s="297"/>
      <c r="AZ177" s="297"/>
      <c r="BA177" s="297"/>
      <c r="BB177" s="297"/>
      <c r="BC177" s="152"/>
      <c r="BD177" s="150"/>
      <c r="BE177" s="297"/>
      <c r="BF177" s="297"/>
      <c r="BG177" s="297"/>
      <c r="BH177" s="297"/>
      <c r="BI177" s="152"/>
      <c r="BJ177" s="170"/>
      <c r="BK177" s="148"/>
      <c r="BL177" s="324"/>
      <c r="BM177" s="324"/>
      <c r="BN177" s="170"/>
      <c r="BO177" s="149"/>
      <c r="BP177" s="170"/>
      <c r="BQ177" s="149"/>
      <c r="BR177" s="170"/>
      <c r="BS177" s="171"/>
      <c r="BT177" s="708"/>
    </row>
    <row r="178" spans="1:72" s="2" customFormat="1" ht="24.9" customHeight="1">
      <c r="A178" s="147"/>
      <c r="B178" s="158"/>
      <c r="C178" s="179"/>
      <c r="D178" s="158"/>
      <c r="E178" s="160"/>
      <c r="F178" s="161"/>
      <c r="G178" s="161"/>
      <c r="H178" s="161"/>
      <c r="I178" s="163"/>
      <c r="J178" s="161"/>
      <c r="K178" s="163"/>
      <c r="L178" s="150"/>
      <c r="M178" s="164"/>
      <c r="N178" s="151"/>
      <c r="O178" s="174"/>
      <c r="P178" s="523"/>
      <c r="Q178" s="523"/>
      <c r="R178" s="154"/>
      <c r="S178" s="155"/>
      <c r="T178" s="156"/>
      <c r="U178" s="154"/>
      <c r="V178" s="155"/>
      <c r="W178" s="155"/>
      <c r="X178" s="419"/>
      <c r="Y178" s="157"/>
      <c r="Z178" s="217"/>
      <c r="AA178" s="150"/>
      <c r="AB178" s="151"/>
      <c r="AC178" s="152"/>
      <c r="AD178" s="506"/>
      <c r="AE178" s="166"/>
      <c r="AF178" s="150"/>
      <c r="AG178" s="152"/>
      <c r="AH178" s="150"/>
      <c r="AI178" s="152"/>
      <c r="AJ178" s="150"/>
      <c r="AK178" s="152"/>
      <c r="AL178" s="150"/>
      <c r="AM178" s="151"/>
      <c r="AN178" s="151"/>
      <c r="AO178" s="169"/>
      <c r="AP178" s="169"/>
      <c r="AQ178" s="149"/>
      <c r="AR178" s="324"/>
      <c r="AS178" s="324"/>
      <c r="AT178" s="324"/>
      <c r="AU178" s="324"/>
      <c r="AV178" s="324"/>
      <c r="AW178" s="324"/>
      <c r="AX178" s="150"/>
      <c r="AY178" s="297"/>
      <c r="AZ178" s="297"/>
      <c r="BA178" s="297"/>
      <c r="BB178" s="297"/>
      <c r="BC178" s="152"/>
      <c r="BD178" s="150"/>
      <c r="BE178" s="297"/>
      <c r="BF178" s="297"/>
      <c r="BG178" s="297"/>
      <c r="BH178" s="297"/>
      <c r="BI178" s="152"/>
      <c r="BJ178" s="170"/>
      <c r="BK178" s="148"/>
      <c r="BL178" s="324"/>
      <c r="BM178" s="324"/>
      <c r="BN178" s="170"/>
      <c r="BO178" s="149"/>
      <c r="BP178" s="170"/>
      <c r="BQ178" s="149"/>
      <c r="BR178" s="170"/>
      <c r="BS178" s="171"/>
      <c r="BT178" s="707"/>
    </row>
    <row r="179" spans="1:72" s="2" customFormat="1" ht="24.9" customHeight="1">
      <c r="A179" s="147"/>
      <c r="B179" s="158"/>
      <c r="C179" s="179"/>
      <c r="D179" s="158"/>
      <c r="E179" s="160"/>
      <c r="F179" s="161"/>
      <c r="G179" s="161"/>
      <c r="H179" s="161"/>
      <c r="I179" s="163"/>
      <c r="J179" s="161"/>
      <c r="K179" s="163"/>
      <c r="L179" s="150"/>
      <c r="M179" s="164"/>
      <c r="N179" s="150"/>
      <c r="O179" s="174"/>
      <c r="P179" s="523"/>
      <c r="Q179" s="523"/>
      <c r="R179" s="154"/>
      <c r="S179" s="155"/>
      <c r="T179" s="156"/>
      <c r="U179" s="154"/>
      <c r="V179" s="155"/>
      <c r="W179" s="155"/>
      <c r="X179" s="419"/>
      <c r="Y179" s="157"/>
      <c r="Z179" s="217"/>
      <c r="AA179" s="150"/>
      <c r="AB179" s="151"/>
      <c r="AC179" s="152"/>
      <c r="AD179" s="506"/>
      <c r="AE179" s="166"/>
      <c r="AF179" s="150"/>
      <c r="AG179" s="152"/>
      <c r="AH179" s="150"/>
      <c r="AI179" s="152"/>
      <c r="AJ179" s="150"/>
      <c r="AK179" s="152"/>
      <c r="AL179" s="150"/>
      <c r="AM179" s="151"/>
      <c r="AN179" s="151"/>
      <c r="AO179" s="169"/>
      <c r="AP179" s="169"/>
      <c r="AQ179" s="149"/>
      <c r="AR179" s="324"/>
      <c r="AS179" s="324"/>
      <c r="AT179" s="324"/>
      <c r="AU179" s="324"/>
      <c r="AV179" s="324"/>
      <c r="AW179" s="324"/>
      <c r="AX179" s="150"/>
      <c r="AY179" s="297"/>
      <c r="AZ179" s="297"/>
      <c r="BA179" s="297"/>
      <c r="BB179" s="297"/>
      <c r="BC179" s="152"/>
      <c r="BD179" s="150"/>
      <c r="BE179" s="297"/>
      <c r="BF179" s="297"/>
      <c r="BG179" s="297"/>
      <c r="BH179" s="297"/>
      <c r="BI179" s="152"/>
      <c r="BJ179" s="170"/>
      <c r="BK179" s="148"/>
      <c r="BL179" s="324"/>
      <c r="BM179" s="324"/>
      <c r="BN179" s="170"/>
      <c r="BO179" s="149"/>
      <c r="BP179" s="170"/>
      <c r="BQ179" s="149"/>
      <c r="BR179" s="170"/>
      <c r="BS179" s="171"/>
      <c r="BT179" s="706"/>
    </row>
    <row r="180" spans="1:72" s="2" customFormat="1" ht="24.9" customHeight="1">
      <c r="A180" s="147"/>
      <c r="B180" s="158"/>
      <c r="C180" s="179"/>
      <c r="D180" s="158"/>
      <c r="E180" s="160"/>
      <c r="F180" s="161"/>
      <c r="G180" s="161"/>
      <c r="H180" s="161"/>
      <c r="I180" s="163"/>
      <c r="J180" s="161"/>
      <c r="K180" s="163"/>
      <c r="L180" s="150"/>
      <c r="M180" s="164"/>
      <c r="N180" s="150"/>
      <c r="O180" s="174"/>
      <c r="P180" s="523"/>
      <c r="Q180" s="523"/>
      <c r="R180" s="154"/>
      <c r="S180" s="155"/>
      <c r="T180" s="156"/>
      <c r="U180" s="154"/>
      <c r="V180" s="155"/>
      <c r="W180" s="155"/>
      <c r="X180" s="419"/>
      <c r="Y180" s="157"/>
      <c r="Z180" s="217"/>
      <c r="AA180" s="150"/>
      <c r="AB180" s="151"/>
      <c r="AC180" s="152"/>
      <c r="AD180" s="506"/>
      <c r="AE180" s="166"/>
      <c r="AF180" s="150"/>
      <c r="AG180" s="152"/>
      <c r="AH180" s="150"/>
      <c r="AI180" s="152"/>
      <c r="AJ180" s="150"/>
      <c r="AK180" s="152"/>
      <c r="AL180" s="150"/>
      <c r="AM180" s="151"/>
      <c r="AN180" s="151"/>
      <c r="AO180" s="169"/>
      <c r="AP180" s="169"/>
      <c r="AQ180" s="149"/>
      <c r="AR180" s="324"/>
      <c r="AS180" s="324"/>
      <c r="AT180" s="324"/>
      <c r="AU180" s="324"/>
      <c r="AV180" s="324"/>
      <c r="AW180" s="324"/>
      <c r="AX180" s="150"/>
      <c r="AY180" s="297"/>
      <c r="AZ180" s="297"/>
      <c r="BA180" s="297"/>
      <c r="BB180" s="297"/>
      <c r="BC180" s="152"/>
      <c r="BD180" s="150"/>
      <c r="BE180" s="297"/>
      <c r="BF180" s="297"/>
      <c r="BG180" s="297"/>
      <c r="BH180" s="297"/>
      <c r="BI180" s="152"/>
      <c r="BJ180" s="170"/>
      <c r="BK180" s="148"/>
      <c r="BL180" s="324"/>
      <c r="BM180" s="324"/>
      <c r="BN180" s="170"/>
      <c r="BO180" s="149"/>
      <c r="BP180" s="170"/>
      <c r="BQ180" s="149"/>
      <c r="BR180" s="170"/>
      <c r="BS180" s="171"/>
      <c r="BT180" s="708"/>
    </row>
    <row r="181" spans="1:72" s="2" customFormat="1" ht="24.9" customHeight="1">
      <c r="A181" s="147"/>
      <c r="B181" s="158"/>
      <c r="C181" s="179"/>
      <c r="D181" s="158"/>
      <c r="E181" s="160"/>
      <c r="F181" s="161"/>
      <c r="G181" s="161"/>
      <c r="H181" s="161"/>
      <c r="I181" s="163"/>
      <c r="J181" s="161"/>
      <c r="K181" s="163"/>
      <c r="L181" s="150"/>
      <c r="M181" s="164"/>
      <c r="N181" s="150"/>
      <c r="O181" s="151"/>
      <c r="P181" s="522"/>
      <c r="Q181" s="522"/>
      <c r="R181" s="154"/>
      <c r="S181" s="155"/>
      <c r="T181" s="156"/>
      <c r="U181" s="154"/>
      <c r="V181" s="155"/>
      <c r="W181" s="155"/>
      <c r="X181" s="419"/>
      <c r="Y181" s="157"/>
      <c r="Z181" s="217"/>
      <c r="AA181" s="150"/>
      <c r="AB181" s="151"/>
      <c r="AC181" s="152"/>
      <c r="AD181" s="506"/>
      <c r="AE181" s="166"/>
      <c r="AF181" s="150"/>
      <c r="AG181" s="152"/>
      <c r="AH181" s="150"/>
      <c r="AI181" s="152"/>
      <c r="AJ181" s="150"/>
      <c r="AK181" s="152"/>
      <c r="AL181" s="150"/>
      <c r="AM181" s="151"/>
      <c r="AN181" s="151"/>
      <c r="AO181" s="169"/>
      <c r="AP181" s="169"/>
      <c r="AQ181" s="149"/>
      <c r="AR181" s="324"/>
      <c r="AS181" s="324"/>
      <c r="AT181" s="324"/>
      <c r="AU181" s="324"/>
      <c r="AV181" s="324"/>
      <c r="AW181" s="324"/>
      <c r="AX181" s="150"/>
      <c r="AY181" s="297"/>
      <c r="AZ181" s="297"/>
      <c r="BA181" s="297"/>
      <c r="BB181" s="297"/>
      <c r="BC181" s="152"/>
      <c r="BD181" s="150"/>
      <c r="BE181" s="297"/>
      <c r="BF181" s="297"/>
      <c r="BG181" s="297"/>
      <c r="BH181" s="297"/>
      <c r="BI181" s="152"/>
      <c r="BJ181" s="170"/>
      <c r="BK181" s="148"/>
      <c r="BL181" s="324"/>
      <c r="BM181" s="324"/>
      <c r="BN181" s="170"/>
      <c r="BO181" s="149"/>
      <c r="BP181" s="170"/>
      <c r="BQ181" s="149"/>
      <c r="BR181" s="170"/>
      <c r="BS181" s="171"/>
      <c r="BT181" s="708"/>
    </row>
    <row r="182" spans="1:72" s="2" customFormat="1" ht="24.9" customHeight="1">
      <c r="A182" s="147"/>
      <c r="B182" s="158"/>
      <c r="C182" s="179"/>
      <c r="D182" s="158"/>
      <c r="E182" s="160"/>
      <c r="F182" s="161"/>
      <c r="G182" s="161"/>
      <c r="H182" s="161"/>
      <c r="I182" s="163"/>
      <c r="J182" s="161"/>
      <c r="K182" s="163"/>
      <c r="L182" s="150"/>
      <c r="M182" s="164"/>
      <c r="N182" s="150"/>
      <c r="O182" s="151"/>
      <c r="P182" s="522"/>
      <c r="Q182" s="522"/>
      <c r="R182" s="154"/>
      <c r="S182" s="155"/>
      <c r="T182" s="156"/>
      <c r="U182" s="154"/>
      <c r="V182" s="155"/>
      <c r="W182" s="155"/>
      <c r="X182" s="419"/>
      <c r="Y182" s="157"/>
      <c r="Z182" s="217"/>
      <c r="AA182" s="150"/>
      <c r="AB182" s="151"/>
      <c r="AC182" s="152"/>
      <c r="AD182" s="506"/>
      <c r="AE182" s="166"/>
      <c r="AF182" s="150"/>
      <c r="AG182" s="152"/>
      <c r="AH182" s="150"/>
      <c r="AI182" s="152"/>
      <c r="AJ182" s="150"/>
      <c r="AK182" s="152"/>
      <c r="AL182" s="150"/>
      <c r="AM182" s="151"/>
      <c r="AN182" s="151"/>
      <c r="AO182" s="169"/>
      <c r="AP182" s="169"/>
      <c r="AQ182" s="149"/>
      <c r="AR182" s="324"/>
      <c r="AS182" s="324"/>
      <c r="AT182" s="324"/>
      <c r="AU182" s="324"/>
      <c r="AV182" s="324"/>
      <c r="AW182" s="324"/>
      <c r="AX182" s="150"/>
      <c r="AY182" s="297"/>
      <c r="AZ182" s="297"/>
      <c r="BA182" s="297"/>
      <c r="BB182" s="297"/>
      <c r="BC182" s="152"/>
      <c r="BD182" s="150"/>
      <c r="BE182" s="297"/>
      <c r="BF182" s="297"/>
      <c r="BG182" s="297"/>
      <c r="BH182" s="297"/>
      <c r="BI182" s="152"/>
      <c r="BJ182" s="170"/>
      <c r="BK182" s="148"/>
      <c r="BL182" s="324"/>
      <c r="BM182" s="324"/>
      <c r="BN182" s="170"/>
      <c r="BO182" s="149"/>
      <c r="BP182" s="170"/>
      <c r="BQ182" s="149"/>
      <c r="BR182" s="170"/>
      <c r="BS182" s="171"/>
      <c r="BT182" s="707"/>
    </row>
    <row r="183" spans="1:72" s="2" customFormat="1" ht="24.9" customHeight="1">
      <c r="A183" s="147"/>
      <c r="B183" s="158"/>
      <c r="C183" s="179"/>
      <c r="D183" s="158"/>
      <c r="E183" s="160"/>
      <c r="F183" s="161"/>
      <c r="G183" s="161"/>
      <c r="H183" s="161"/>
      <c r="I183" s="163"/>
      <c r="J183" s="161"/>
      <c r="K183" s="163"/>
      <c r="L183" s="150"/>
      <c r="M183" s="164"/>
      <c r="N183" s="150"/>
      <c r="O183" s="174"/>
      <c r="P183" s="523"/>
      <c r="Q183" s="523"/>
      <c r="R183" s="154"/>
      <c r="S183" s="155"/>
      <c r="T183" s="156"/>
      <c r="U183" s="154"/>
      <c r="V183" s="155"/>
      <c r="W183" s="155"/>
      <c r="X183" s="419"/>
      <c r="Y183" s="157"/>
      <c r="Z183" s="217"/>
      <c r="AA183" s="150"/>
      <c r="AB183" s="151"/>
      <c r="AC183" s="152"/>
      <c r="AD183" s="506"/>
      <c r="AE183" s="166"/>
      <c r="AF183" s="150"/>
      <c r="AG183" s="152"/>
      <c r="AH183" s="150"/>
      <c r="AI183" s="152"/>
      <c r="AJ183" s="150"/>
      <c r="AK183" s="152"/>
      <c r="AL183" s="150"/>
      <c r="AM183" s="151"/>
      <c r="AN183" s="151"/>
      <c r="AO183" s="169"/>
      <c r="AP183" s="169"/>
      <c r="AQ183" s="149"/>
      <c r="AR183" s="324"/>
      <c r="AS183" s="324"/>
      <c r="AT183" s="324"/>
      <c r="AU183" s="324"/>
      <c r="AV183" s="324"/>
      <c r="AW183" s="324"/>
      <c r="AX183" s="150"/>
      <c r="AY183" s="297"/>
      <c r="AZ183" s="297"/>
      <c r="BA183" s="297"/>
      <c r="BB183" s="297"/>
      <c r="BC183" s="152"/>
      <c r="BD183" s="150"/>
      <c r="BE183" s="297"/>
      <c r="BF183" s="297"/>
      <c r="BG183" s="297"/>
      <c r="BH183" s="297"/>
      <c r="BI183" s="152"/>
      <c r="BJ183" s="170"/>
      <c r="BK183" s="148"/>
      <c r="BL183" s="324"/>
      <c r="BM183" s="324"/>
      <c r="BN183" s="170"/>
      <c r="BO183" s="149"/>
      <c r="BP183" s="170"/>
      <c r="BQ183" s="149"/>
      <c r="BR183" s="170"/>
      <c r="BS183" s="171"/>
      <c r="BT183" s="706"/>
    </row>
    <row r="184" spans="1:72" s="2" customFormat="1" ht="24.9" customHeight="1">
      <c r="A184" s="147"/>
      <c r="B184" s="158"/>
      <c r="C184" s="179"/>
      <c r="D184" s="158"/>
      <c r="E184" s="160"/>
      <c r="F184" s="161"/>
      <c r="G184" s="161"/>
      <c r="H184" s="161"/>
      <c r="I184" s="163"/>
      <c r="J184" s="161"/>
      <c r="K184" s="163"/>
      <c r="L184" s="150"/>
      <c r="M184" s="164"/>
      <c r="N184" s="150"/>
      <c r="O184" s="174"/>
      <c r="P184" s="523"/>
      <c r="Q184" s="523"/>
      <c r="R184" s="154"/>
      <c r="S184" s="155"/>
      <c r="T184" s="156"/>
      <c r="U184" s="154"/>
      <c r="V184" s="155"/>
      <c r="W184" s="155"/>
      <c r="X184" s="419"/>
      <c r="Y184" s="157"/>
      <c r="Z184" s="217"/>
      <c r="AA184" s="150"/>
      <c r="AB184" s="151"/>
      <c r="AC184" s="152"/>
      <c r="AD184" s="506"/>
      <c r="AE184" s="166"/>
      <c r="AF184" s="150"/>
      <c r="AG184" s="152"/>
      <c r="AH184" s="150"/>
      <c r="AI184" s="152"/>
      <c r="AJ184" s="150"/>
      <c r="AK184" s="152"/>
      <c r="AL184" s="150"/>
      <c r="AM184" s="151"/>
      <c r="AN184" s="151"/>
      <c r="AO184" s="169"/>
      <c r="AP184" s="169"/>
      <c r="AQ184" s="149"/>
      <c r="AR184" s="324"/>
      <c r="AS184" s="324"/>
      <c r="AT184" s="324"/>
      <c r="AU184" s="324"/>
      <c r="AV184" s="324"/>
      <c r="AW184" s="324"/>
      <c r="AX184" s="150"/>
      <c r="AY184" s="297"/>
      <c r="AZ184" s="297"/>
      <c r="BA184" s="297"/>
      <c r="BB184" s="297"/>
      <c r="BC184" s="152"/>
      <c r="BD184" s="150"/>
      <c r="BE184" s="297"/>
      <c r="BF184" s="297"/>
      <c r="BG184" s="297"/>
      <c r="BH184" s="297"/>
      <c r="BI184" s="152"/>
      <c r="BJ184" s="170"/>
      <c r="BK184" s="148"/>
      <c r="BL184" s="324"/>
      <c r="BM184" s="324"/>
      <c r="BN184" s="170"/>
      <c r="BO184" s="149"/>
      <c r="BP184" s="170"/>
      <c r="BQ184" s="149"/>
      <c r="BR184" s="170"/>
      <c r="BS184" s="171"/>
      <c r="BT184" s="707"/>
    </row>
    <row r="185" spans="1:72" s="2" customFormat="1" ht="24.9" customHeight="1">
      <c r="A185" s="147"/>
      <c r="B185" s="158"/>
      <c r="C185" s="179"/>
      <c r="D185" s="158"/>
      <c r="E185" s="160"/>
      <c r="F185" s="161"/>
      <c r="G185" s="161"/>
      <c r="H185" s="161"/>
      <c r="I185" s="163"/>
      <c r="J185" s="161"/>
      <c r="K185" s="163"/>
      <c r="L185" s="150"/>
      <c r="M185" s="164"/>
      <c r="N185" s="150"/>
      <c r="O185" s="151"/>
      <c r="P185" s="522"/>
      <c r="Q185" s="522"/>
      <c r="R185" s="154"/>
      <c r="S185" s="155"/>
      <c r="T185" s="156"/>
      <c r="U185" s="154"/>
      <c r="V185" s="155"/>
      <c r="W185" s="155"/>
      <c r="X185" s="419"/>
      <c r="Y185" s="157"/>
      <c r="Z185" s="217"/>
      <c r="AA185" s="150"/>
      <c r="AB185" s="151"/>
      <c r="AC185" s="152"/>
      <c r="AD185" s="506"/>
      <c r="AE185" s="166"/>
      <c r="AF185" s="150"/>
      <c r="AG185" s="152"/>
      <c r="AH185" s="150"/>
      <c r="AI185" s="152"/>
      <c r="AJ185" s="150"/>
      <c r="AK185" s="152"/>
      <c r="AL185" s="150"/>
      <c r="AM185" s="151"/>
      <c r="AN185" s="151"/>
      <c r="AO185" s="169"/>
      <c r="AP185" s="169"/>
      <c r="AQ185" s="149"/>
      <c r="AR185" s="324"/>
      <c r="AS185" s="324"/>
      <c r="AT185" s="324"/>
      <c r="AU185" s="324"/>
      <c r="AV185" s="324"/>
      <c r="AW185" s="324"/>
      <c r="AX185" s="150"/>
      <c r="AY185" s="297"/>
      <c r="AZ185" s="297"/>
      <c r="BA185" s="297"/>
      <c r="BB185" s="297"/>
      <c r="BC185" s="152"/>
      <c r="BD185" s="150"/>
      <c r="BE185" s="297"/>
      <c r="BF185" s="297"/>
      <c r="BG185" s="297"/>
      <c r="BH185" s="297"/>
      <c r="BI185" s="152"/>
      <c r="BJ185" s="170"/>
      <c r="BK185" s="148"/>
      <c r="BL185" s="324"/>
      <c r="BM185" s="324"/>
      <c r="BN185" s="170"/>
      <c r="BO185" s="149"/>
      <c r="BP185" s="170"/>
      <c r="BQ185" s="149"/>
      <c r="BR185" s="170"/>
      <c r="BS185" s="171"/>
      <c r="BT185" s="706"/>
    </row>
    <row r="186" spans="1:72" s="2" customFormat="1" ht="24.9" customHeight="1">
      <c r="A186" s="147"/>
      <c r="B186" s="158"/>
      <c r="C186" s="179"/>
      <c r="D186" s="158"/>
      <c r="E186" s="160"/>
      <c r="F186" s="161"/>
      <c r="G186" s="161"/>
      <c r="H186" s="161"/>
      <c r="I186" s="163"/>
      <c r="J186" s="161"/>
      <c r="K186" s="163"/>
      <c r="L186" s="150"/>
      <c r="M186" s="164"/>
      <c r="N186" s="150"/>
      <c r="O186" s="174"/>
      <c r="P186" s="523"/>
      <c r="Q186" s="523"/>
      <c r="R186" s="154"/>
      <c r="S186" s="155"/>
      <c r="T186" s="156"/>
      <c r="U186" s="154"/>
      <c r="V186" s="155"/>
      <c r="W186" s="155"/>
      <c r="X186" s="419"/>
      <c r="Y186" s="157"/>
      <c r="Z186" s="217"/>
      <c r="AA186" s="150"/>
      <c r="AB186" s="151"/>
      <c r="AC186" s="152"/>
      <c r="AD186" s="506"/>
      <c r="AE186" s="166"/>
      <c r="AF186" s="150"/>
      <c r="AG186" s="152"/>
      <c r="AH186" s="150"/>
      <c r="AI186" s="152"/>
      <c r="AJ186" s="150"/>
      <c r="AK186" s="152"/>
      <c r="AL186" s="150"/>
      <c r="AM186" s="151"/>
      <c r="AN186" s="151"/>
      <c r="AO186" s="169"/>
      <c r="AP186" s="169"/>
      <c r="AQ186" s="149"/>
      <c r="AR186" s="324"/>
      <c r="AS186" s="324"/>
      <c r="AT186" s="324"/>
      <c r="AU186" s="324"/>
      <c r="AV186" s="324"/>
      <c r="AW186" s="324"/>
      <c r="AX186" s="150"/>
      <c r="AY186" s="297"/>
      <c r="AZ186" s="297"/>
      <c r="BA186" s="297"/>
      <c r="BB186" s="297"/>
      <c r="BC186" s="152"/>
      <c r="BD186" s="150"/>
      <c r="BE186" s="297"/>
      <c r="BF186" s="297"/>
      <c r="BG186" s="297"/>
      <c r="BH186" s="297"/>
      <c r="BI186" s="152"/>
      <c r="BJ186" s="170"/>
      <c r="BK186" s="148"/>
      <c r="BL186" s="324"/>
      <c r="BM186" s="324"/>
      <c r="BN186" s="170"/>
      <c r="BO186" s="149"/>
      <c r="BP186" s="170"/>
      <c r="BQ186" s="149"/>
      <c r="BR186" s="170"/>
      <c r="BS186" s="171"/>
      <c r="BT186" s="708"/>
    </row>
    <row r="187" spans="1:72" s="2" customFormat="1" ht="24.9" customHeight="1">
      <c r="A187" s="147"/>
      <c r="B187" s="158"/>
      <c r="C187" s="179"/>
      <c r="D187" s="158"/>
      <c r="E187" s="160"/>
      <c r="F187" s="161"/>
      <c r="G187" s="161"/>
      <c r="H187" s="161"/>
      <c r="I187" s="163"/>
      <c r="J187" s="161"/>
      <c r="K187" s="163"/>
      <c r="L187" s="150"/>
      <c r="M187" s="164"/>
      <c r="N187" s="150"/>
      <c r="O187" s="174"/>
      <c r="P187" s="523"/>
      <c r="Q187" s="523"/>
      <c r="R187" s="154"/>
      <c r="S187" s="155"/>
      <c r="T187" s="156"/>
      <c r="U187" s="154"/>
      <c r="V187" s="155"/>
      <c r="W187" s="155"/>
      <c r="X187" s="419"/>
      <c r="Y187" s="157"/>
      <c r="Z187" s="217"/>
      <c r="AA187" s="150"/>
      <c r="AB187" s="151"/>
      <c r="AC187" s="152"/>
      <c r="AD187" s="506"/>
      <c r="AE187" s="166"/>
      <c r="AF187" s="150"/>
      <c r="AG187" s="152"/>
      <c r="AH187" s="150"/>
      <c r="AI187" s="152"/>
      <c r="AJ187" s="150"/>
      <c r="AK187" s="152"/>
      <c r="AL187" s="150"/>
      <c r="AM187" s="151"/>
      <c r="AN187" s="151"/>
      <c r="AO187" s="169"/>
      <c r="AP187" s="169"/>
      <c r="AQ187" s="149"/>
      <c r="AR187" s="324"/>
      <c r="AS187" s="324"/>
      <c r="AT187" s="324"/>
      <c r="AU187" s="324"/>
      <c r="AV187" s="324"/>
      <c r="AW187" s="324"/>
      <c r="AX187" s="150"/>
      <c r="AY187" s="297"/>
      <c r="AZ187" s="297"/>
      <c r="BA187" s="297"/>
      <c r="BB187" s="297"/>
      <c r="BC187" s="152"/>
      <c r="BD187" s="150"/>
      <c r="BE187" s="297"/>
      <c r="BF187" s="297"/>
      <c r="BG187" s="297"/>
      <c r="BH187" s="297"/>
      <c r="BI187" s="152"/>
      <c r="BJ187" s="170"/>
      <c r="BK187" s="148"/>
      <c r="BL187" s="324"/>
      <c r="BM187" s="324"/>
      <c r="BN187" s="170"/>
      <c r="BO187" s="149"/>
      <c r="BP187" s="170"/>
      <c r="BQ187" s="149"/>
      <c r="BR187" s="170"/>
      <c r="BS187" s="171"/>
      <c r="BT187" s="708"/>
    </row>
    <row r="188" spans="1:72" s="2" customFormat="1" ht="24.9" customHeight="1">
      <c r="A188" s="159"/>
      <c r="B188" s="158"/>
      <c r="C188" s="179"/>
      <c r="D188" s="158"/>
      <c r="E188" s="160"/>
      <c r="F188" s="161"/>
      <c r="G188" s="161"/>
      <c r="H188" s="161"/>
      <c r="I188" s="163"/>
      <c r="J188" s="161"/>
      <c r="K188" s="163"/>
      <c r="L188" s="150"/>
      <c r="M188" s="164"/>
      <c r="N188" s="150"/>
      <c r="O188" s="151"/>
      <c r="P188" s="522"/>
      <c r="Q188" s="522"/>
      <c r="R188" s="154"/>
      <c r="S188" s="155"/>
      <c r="T188" s="156"/>
      <c r="U188" s="154"/>
      <c r="V188" s="155"/>
      <c r="W188" s="155"/>
      <c r="X188" s="419"/>
      <c r="Y188" s="157"/>
      <c r="Z188" s="217"/>
      <c r="AA188" s="150"/>
      <c r="AB188" s="151"/>
      <c r="AC188" s="152"/>
      <c r="AD188" s="506"/>
      <c r="AE188" s="166"/>
      <c r="AF188" s="150"/>
      <c r="AG188" s="152"/>
      <c r="AH188" s="150"/>
      <c r="AI188" s="152"/>
      <c r="AJ188" s="150"/>
      <c r="AK188" s="152"/>
      <c r="AL188" s="150"/>
      <c r="AM188" s="151"/>
      <c r="AN188" s="151"/>
      <c r="AO188" s="169"/>
      <c r="AP188" s="169"/>
      <c r="AQ188" s="149"/>
      <c r="AR188" s="324"/>
      <c r="AS188" s="324"/>
      <c r="AT188" s="324"/>
      <c r="AU188" s="324"/>
      <c r="AV188" s="324"/>
      <c r="AW188" s="324"/>
      <c r="AX188" s="150"/>
      <c r="AY188" s="297"/>
      <c r="AZ188" s="297"/>
      <c r="BA188" s="297"/>
      <c r="BB188" s="297"/>
      <c r="BC188" s="152"/>
      <c r="BD188" s="150"/>
      <c r="BE188" s="297"/>
      <c r="BF188" s="297"/>
      <c r="BG188" s="297"/>
      <c r="BH188" s="297"/>
      <c r="BI188" s="152"/>
      <c r="BJ188" s="170"/>
      <c r="BK188" s="148"/>
      <c r="BL188" s="324"/>
      <c r="BM188" s="324"/>
      <c r="BN188" s="170"/>
      <c r="BO188" s="149"/>
      <c r="BP188" s="170"/>
      <c r="BQ188" s="149"/>
      <c r="BR188" s="170"/>
      <c r="BS188" s="171"/>
      <c r="BT188" s="707"/>
    </row>
    <row r="189" spans="1:72" s="2" customFormat="1" ht="24.9" customHeight="1">
      <c r="A189" s="147"/>
      <c r="B189" s="158"/>
      <c r="C189" s="179"/>
      <c r="D189" s="158"/>
      <c r="E189" s="160"/>
      <c r="F189" s="161"/>
      <c r="G189" s="161"/>
      <c r="H189" s="161"/>
      <c r="I189" s="163"/>
      <c r="J189" s="161"/>
      <c r="K189" s="163"/>
      <c r="L189" s="150"/>
      <c r="M189" s="164"/>
      <c r="N189" s="150"/>
      <c r="O189" s="174"/>
      <c r="P189" s="523"/>
      <c r="Q189" s="523"/>
      <c r="R189" s="154"/>
      <c r="S189" s="155"/>
      <c r="T189" s="156"/>
      <c r="U189" s="154"/>
      <c r="V189" s="155"/>
      <c r="W189" s="155"/>
      <c r="X189" s="419"/>
      <c r="Y189" s="157"/>
      <c r="Z189" s="217"/>
      <c r="AA189" s="150"/>
      <c r="AB189" s="151"/>
      <c r="AC189" s="152"/>
      <c r="AD189" s="506"/>
      <c r="AE189" s="166"/>
      <c r="AF189" s="150"/>
      <c r="AG189" s="152"/>
      <c r="AH189" s="150"/>
      <c r="AI189" s="152"/>
      <c r="AJ189" s="150"/>
      <c r="AK189" s="152"/>
      <c r="AL189" s="150"/>
      <c r="AM189" s="151"/>
      <c r="AN189" s="151"/>
      <c r="AO189" s="169"/>
      <c r="AP189" s="169"/>
      <c r="AQ189" s="149"/>
      <c r="AR189" s="324"/>
      <c r="AS189" s="324"/>
      <c r="AT189" s="324"/>
      <c r="AU189" s="324"/>
      <c r="AV189" s="324"/>
      <c r="AW189" s="324"/>
      <c r="AX189" s="150"/>
      <c r="AY189" s="297"/>
      <c r="AZ189" s="297"/>
      <c r="BA189" s="297"/>
      <c r="BB189" s="297"/>
      <c r="BC189" s="152"/>
      <c r="BD189" s="150"/>
      <c r="BE189" s="297"/>
      <c r="BF189" s="297"/>
      <c r="BG189" s="297"/>
      <c r="BH189" s="297"/>
      <c r="BI189" s="152"/>
      <c r="BJ189" s="170"/>
      <c r="BK189" s="148"/>
      <c r="BL189" s="324"/>
      <c r="BM189" s="324"/>
      <c r="BN189" s="170"/>
      <c r="BO189" s="149"/>
      <c r="BP189" s="170"/>
      <c r="BQ189" s="149"/>
      <c r="BR189" s="170"/>
      <c r="BS189" s="171"/>
      <c r="BT189" s="706"/>
    </row>
    <row r="190" spans="1:72" s="2" customFormat="1" ht="24.9" customHeight="1">
      <c r="A190" s="147"/>
      <c r="B190" s="158"/>
      <c r="C190" s="179"/>
      <c r="D190" s="158"/>
      <c r="E190" s="160"/>
      <c r="F190" s="161"/>
      <c r="G190" s="161"/>
      <c r="H190" s="161"/>
      <c r="I190" s="163"/>
      <c r="J190" s="161"/>
      <c r="K190" s="163"/>
      <c r="L190" s="150"/>
      <c r="M190" s="164"/>
      <c r="N190" s="150"/>
      <c r="O190" s="174"/>
      <c r="P190" s="523"/>
      <c r="Q190" s="523"/>
      <c r="R190" s="154"/>
      <c r="S190" s="155"/>
      <c r="T190" s="156"/>
      <c r="U190" s="154"/>
      <c r="V190" s="155"/>
      <c r="W190" s="155"/>
      <c r="X190" s="419"/>
      <c r="Y190" s="157"/>
      <c r="Z190" s="217"/>
      <c r="AA190" s="150"/>
      <c r="AB190" s="151"/>
      <c r="AC190" s="152"/>
      <c r="AD190" s="506"/>
      <c r="AE190" s="166"/>
      <c r="AF190" s="150"/>
      <c r="AG190" s="152"/>
      <c r="AH190" s="150"/>
      <c r="AI190" s="152"/>
      <c r="AJ190" s="150"/>
      <c r="AK190" s="152"/>
      <c r="AL190" s="150"/>
      <c r="AM190" s="151"/>
      <c r="AN190" s="151"/>
      <c r="AO190" s="169"/>
      <c r="AP190" s="169"/>
      <c r="AQ190" s="149"/>
      <c r="AR190" s="324"/>
      <c r="AS190" s="324"/>
      <c r="AT190" s="324"/>
      <c r="AU190" s="324"/>
      <c r="AV190" s="324"/>
      <c r="AW190" s="324"/>
      <c r="AX190" s="150"/>
      <c r="AY190" s="297"/>
      <c r="AZ190" s="297"/>
      <c r="BA190" s="297"/>
      <c r="BB190" s="297"/>
      <c r="BC190" s="152"/>
      <c r="BD190" s="150"/>
      <c r="BE190" s="297"/>
      <c r="BF190" s="297"/>
      <c r="BG190" s="297"/>
      <c r="BH190" s="297"/>
      <c r="BI190" s="152"/>
      <c r="BJ190" s="170"/>
      <c r="BK190" s="148"/>
      <c r="BL190" s="324"/>
      <c r="BM190" s="324"/>
      <c r="BN190" s="170"/>
      <c r="BO190" s="149"/>
      <c r="BP190" s="170"/>
      <c r="BQ190" s="149"/>
      <c r="BR190" s="170"/>
      <c r="BS190" s="171"/>
      <c r="BT190" s="707"/>
    </row>
    <row r="191" spans="1:72" s="2" customFormat="1" ht="24.9" customHeight="1">
      <c r="A191" s="147"/>
      <c r="B191" s="158"/>
      <c r="C191" s="179"/>
      <c r="D191" s="158"/>
      <c r="E191" s="160"/>
      <c r="F191" s="161"/>
      <c r="G191" s="161"/>
      <c r="H191" s="161"/>
      <c r="I191" s="163"/>
      <c r="J191" s="161"/>
      <c r="K191" s="163"/>
      <c r="L191" s="150"/>
      <c r="M191" s="164"/>
      <c r="N191" s="150"/>
      <c r="O191" s="174"/>
      <c r="P191" s="523"/>
      <c r="Q191" s="523"/>
      <c r="R191" s="154"/>
      <c r="S191" s="155"/>
      <c r="T191" s="156"/>
      <c r="U191" s="154"/>
      <c r="V191" s="155"/>
      <c r="W191" s="155"/>
      <c r="X191" s="419"/>
      <c r="Y191" s="157"/>
      <c r="Z191" s="217"/>
      <c r="AA191" s="150"/>
      <c r="AB191" s="151"/>
      <c r="AC191" s="152"/>
      <c r="AD191" s="506"/>
      <c r="AE191" s="166"/>
      <c r="AF191" s="150"/>
      <c r="AG191" s="152"/>
      <c r="AH191" s="150"/>
      <c r="AI191" s="152"/>
      <c r="AJ191" s="150"/>
      <c r="AK191" s="152"/>
      <c r="AL191" s="150"/>
      <c r="AM191" s="151"/>
      <c r="AN191" s="151"/>
      <c r="AO191" s="169"/>
      <c r="AP191" s="169"/>
      <c r="AQ191" s="149"/>
      <c r="AR191" s="324"/>
      <c r="AS191" s="324"/>
      <c r="AT191" s="324"/>
      <c r="AU191" s="324"/>
      <c r="AV191" s="324"/>
      <c r="AW191" s="324"/>
      <c r="AX191" s="150"/>
      <c r="AY191" s="297"/>
      <c r="AZ191" s="297"/>
      <c r="BA191" s="297"/>
      <c r="BB191" s="297"/>
      <c r="BC191" s="152"/>
      <c r="BD191" s="150"/>
      <c r="BE191" s="297"/>
      <c r="BF191" s="297"/>
      <c r="BG191" s="297"/>
      <c r="BH191" s="297"/>
      <c r="BI191" s="152"/>
      <c r="BJ191" s="170"/>
      <c r="BK191" s="148"/>
      <c r="BL191" s="324"/>
      <c r="BM191" s="324"/>
      <c r="BN191" s="170"/>
      <c r="BO191" s="149"/>
      <c r="BP191" s="170"/>
      <c r="BQ191" s="149"/>
      <c r="BR191" s="170"/>
      <c r="BS191" s="171"/>
      <c r="BT191" s="706"/>
    </row>
    <row r="192" spans="1:72" s="2" customFormat="1" ht="24.9" customHeight="1">
      <c r="A192" s="147"/>
      <c r="B192" s="158"/>
      <c r="C192" s="179"/>
      <c r="D192" s="158"/>
      <c r="E192" s="160"/>
      <c r="F192" s="161"/>
      <c r="G192" s="161"/>
      <c r="H192" s="161"/>
      <c r="I192" s="163"/>
      <c r="J192" s="161"/>
      <c r="K192" s="163"/>
      <c r="L192" s="150"/>
      <c r="M192" s="164"/>
      <c r="N192" s="150"/>
      <c r="O192" s="174"/>
      <c r="P192" s="523"/>
      <c r="Q192" s="523"/>
      <c r="R192" s="154"/>
      <c r="S192" s="155"/>
      <c r="T192" s="156"/>
      <c r="U192" s="154"/>
      <c r="V192" s="155"/>
      <c r="W192" s="155"/>
      <c r="X192" s="419"/>
      <c r="Y192" s="157"/>
      <c r="Z192" s="217"/>
      <c r="AA192" s="150"/>
      <c r="AB192" s="151"/>
      <c r="AC192" s="152"/>
      <c r="AD192" s="506"/>
      <c r="AE192" s="166"/>
      <c r="AF192" s="150"/>
      <c r="AG192" s="152"/>
      <c r="AH192" s="150"/>
      <c r="AI192" s="152"/>
      <c r="AJ192" s="150"/>
      <c r="AK192" s="152"/>
      <c r="AL192" s="150"/>
      <c r="AM192" s="151"/>
      <c r="AN192" s="151"/>
      <c r="AO192" s="169"/>
      <c r="AP192" s="169"/>
      <c r="AQ192" s="149"/>
      <c r="AR192" s="324"/>
      <c r="AS192" s="324"/>
      <c r="AT192" s="324"/>
      <c r="AU192" s="324"/>
      <c r="AV192" s="324"/>
      <c r="AW192" s="324"/>
      <c r="AX192" s="150"/>
      <c r="AY192" s="297"/>
      <c r="AZ192" s="297"/>
      <c r="BA192" s="297"/>
      <c r="BB192" s="297"/>
      <c r="BC192" s="152"/>
      <c r="BD192" s="150"/>
      <c r="BE192" s="297"/>
      <c r="BF192" s="297"/>
      <c r="BG192" s="297"/>
      <c r="BH192" s="297"/>
      <c r="BI192" s="152"/>
      <c r="BJ192" s="170"/>
      <c r="BK192" s="148"/>
      <c r="BL192" s="324"/>
      <c r="BM192" s="324"/>
      <c r="BN192" s="170"/>
      <c r="BO192" s="149"/>
      <c r="BP192" s="170"/>
      <c r="BQ192" s="149"/>
      <c r="BR192" s="170"/>
      <c r="BS192" s="171"/>
      <c r="BT192" s="707"/>
    </row>
    <row r="193" spans="1:72" s="2" customFormat="1" ht="24.9" customHeight="1">
      <c r="A193" s="147"/>
      <c r="B193" s="158"/>
      <c r="C193" s="179"/>
      <c r="D193" s="158"/>
      <c r="E193" s="160"/>
      <c r="F193" s="161"/>
      <c r="G193" s="161"/>
      <c r="H193" s="161"/>
      <c r="I193" s="163"/>
      <c r="J193" s="161"/>
      <c r="K193" s="163"/>
      <c r="L193" s="150"/>
      <c r="M193" s="164"/>
      <c r="N193" s="150"/>
      <c r="O193" s="174"/>
      <c r="P193" s="523"/>
      <c r="Q193" s="523"/>
      <c r="R193" s="154"/>
      <c r="S193" s="155"/>
      <c r="T193" s="156"/>
      <c r="U193" s="154"/>
      <c r="V193" s="155"/>
      <c r="W193" s="155"/>
      <c r="X193" s="419"/>
      <c r="Y193" s="157"/>
      <c r="Z193" s="217"/>
      <c r="AA193" s="150"/>
      <c r="AB193" s="151"/>
      <c r="AC193" s="152"/>
      <c r="AD193" s="506"/>
      <c r="AE193" s="166"/>
      <c r="AF193" s="150"/>
      <c r="AG193" s="152"/>
      <c r="AH193" s="150"/>
      <c r="AI193" s="152"/>
      <c r="AJ193" s="150"/>
      <c r="AK193" s="152"/>
      <c r="AL193" s="150"/>
      <c r="AM193" s="151"/>
      <c r="AN193" s="151"/>
      <c r="AO193" s="169"/>
      <c r="AP193" s="169"/>
      <c r="AQ193" s="149"/>
      <c r="AR193" s="324"/>
      <c r="AS193" s="324"/>
      <c r="AT193" s="324"/>
      <c r="AU193" s="324"/>
      <c r="AV193" s="324"/>
      <c r="AW193" s="324"/>
      <c r="AX193" s="150"/>
      <c r="AY193" s="297"/>
      <c r="AZ193" s="297"/>
      <c r="BA193" s="297"/>
      <c r="BB193" s="297"/>
      <c r="BC193" s="152"/>
      <c r="BD193" s="150"/>
      <c r="BE193" s="297"/>
      <c r="BF193" s="297"/>
      <c r="BG193" s="297"/>
      <c r="BH193" s="297"/>
      <c r="BI193" s="152"/>
      <c r="BJ193" s="170"/>
      <c r="BK193" s="148"/>
      <c r="BL193" s="324"/>
      <c r="BM193" s="324"/>
      <c r="BN193" s="170"/>
      <c r="BO193" s="149"/>
      <c r="BP193" s="170"/>
      <c r="BQ193" s="149"/>
      <c r="BR193" s="170"/>
      <c r="BS193" s="171"/>
      <c r="BT193" s="706"/>
    </row>
    <row r="194" spans="1:72" s="2" customFormat="1" ht="24.9" customHeight="1">
      <c r="A194" s="147"/>
      <c r="B194" s="158"/>
      <c r="C194" s="179"/>
      <c r="D194" s="158"/>
      <c r="E194" s="160"/>
      <c r="F194" s="161"/>
      <c r="G194" s="161"/>
      <c r="H194" s="161"/>
      <c r="I194" s="163"/>
      <c r="J194" s="161"/>
      <c r="K194" s="163"/>
      <c r="L194" s="150"/>
      <c r="M194" s="164"/>
      <c r="N194" s="150"/>
      <c r="O194" s="151"/>
      <c r="P194" s="522"/>
      <c r="Q194" s="522"/>
      <c r="R194" s="154"/>
      <c r="S194" s="155"/>
      <c r="T194" s="156"/>
      <c r="U194" s="154"/>
      <c r="V194" s="155"/>
      <c r="W194" s="155"/>
      <c r="X194" s="419"/>
      <c r="Y194" s="157"/>
      <c r="Z194" s="217"/>
      <c r="AA194" s="150"/>
      <c r="AB194" s="151"/>
      <c r="AC194" s="152"/>
      <c r="AD194" s="506"/>
      <c r="AE194" s="181"/>
      <c r="AF194" s="150"/>
      <c r="AG194" s="152"/>
      <c r="AH194" s="150"/>
      <c r="AI194" s="152"/>
      <c r="AJ194" s="150"/>
      <c r="AK194" s="152"/>
      <c r="AL194" s="150"/>
      <c r="AM194" s="151"/>
      <c r="AN194" s="151"/>
      <c r="AO194" s="169"/>
      <c r="AP194" s="169"/>
      <c r="AQ194" s="149"/>
      <c r="AR194" s="324"/>
      <c r="AS194" s="324"/>
      <c r="AT194" s="324"/>
      <c r="AU194" s="324"/>
      <c r="AV194" s="324"/>
      <c r="AW194" s="324"/>
      <c r="AX194" s="150"/>
      <c r="AY194" s="297"/>
      <c r="AZ194" s="297"/>
      <c r="BA194" s="297"/>
      <c r="BB194" s="297"/>
      <c r="BC194" s="152"/>
      <c r="BD194" s="150"/>
      <c r="BE194" s="297"/>
      <c r="BF194" s="297"/>
      <c r="BG194" s="297"/>
      <c r="BH194" s="297"/>
      <c r="BI194" s="152"/>
      <c r="BJ194" s="170"/>
      <c r="BK194" s="148"/>
      <c r="BL194" s="324"/>
      <c r="BM194" s="324"/>
      <c r="BN194" s="170"/>
      <c r="BO194" s="149"/>
      <c r="BP194" s="170"/>
      <c r="BQ194" s="149"/>
      <c r="BR194" s="170"/>
      <c r="BS194" s="171"/>
      <c r="BT194" s="708"/>
    </row>
    <row r="195" spans="1:72" s="2" customFormat="1" ht="24.9" customHeight="1">
      <c r="A195" s="147"/>
      <c r="B195" s="158"/>
      <c r="C195" s="179"/>
      <c r="D195" s="158"/>
      <c r="E195" s="160"/>
      <c r="F195" s="161"/>
      <c r="G195" s="161"/>
      <c r="H195" s="161"/>
      <c r="I195" s="163"/>
      <c r="J195" s="161"/>
      <c r="K195" s="163"/>
      <c r="L195" s="150"/>
      <c r="M195" s="164"/>
      <c r="N195" s="150"/>
      <c r="O195" s="151"/>
      <c r="P195" s="522"/>
      <c r="Q195" s="522"/>
      <c r="R195" s="154"/>
      <c r="S195" s="155"/>
      <c r="T195" s="156"/>
      <c r="U195" s="154"/>
      <c r="V195" s="155"/>
      <c r="W195" s="155"/>
      <c r="X195" s="419"/>
      <c r="Y195" s="157"/>
      <c r="Z195" s="217"/>
      <c r="AA195" s="150"/>
      <c r="AB195" s="151"/>
      <c r="AC195" s="152"/>
      <c r="AD195" s="506"/>
      <c r="AE195" s="166"/>
      <c r="AF195" s="150"/>
      <c r="AG195" s="152"/>
      <c r="AH195" s="150"/>
      <c r="AI195" s="152"/>
      <c r="AJ195" s="150"/>
      <c r="AK195" s="152"/>
      <c r="AL195" s="150"/>
      <c r="AM195" s="151"/>
      <c r="AN195" s="151"/>
      <c r="AO195" s="169"/>
      <c r="AP195" s="169"/>
      <c r="AQ195" s="149"/>
      <c r="AR195" s="324"/>
      <c r="AS195" s="324"/>
      <c r="AT195" s="324"/>
      <c r="AU195" s="324"/>
      <c r="AV195" s="324"/>
      <c r="AW195" s="324"/>
      <c r="AX195" s="150"/>
      <c r="AY195" s="297"/>
      <c r="AZ195" s="297"/>
      <c r="BA195" s="297"/>
      <c r="BB195" s="297"/>
      <c r="BC195" s="152"/>
      <c r="BD195" s="150"/>
      <c r="BE195" s="297"/>
      <c r="BF195" s="297"/>
      <c r="BG195" s="297"/>
      <c r="BH195" s="297"/>
      <c r="BI195" s="152"/>
      <c r="BJ195" s="170"/>
      <c r="BK195" s="148"/>
      <c r="BL195" s="324"/>
      <c r="BM195" s="324"/>
      <c r="BN195" s="170"/>
      <c r="BO195" s="149"/>
      <c r="BP195" s="170"/>
      <c r="BQ195" s="149"/>
      <c r="BR195" s="170"/>
      <c r="BS195" s="171"/>
      <c r="BT195" s="708"/>
    </row>
    <row r="196" spans="1:72" s="2" customFormat="1" ht="24.9" customHeight="1">
      <c r="A196" s="147"/>
      <c r="B196" s="158"/>
      <c r="C196" s="179"/>
      <c r="D196" s="158"/>
      <c r="E196" s="160"/>
      <c r="F196" s="161"/>
      <c r="G196" s="161"/>
      <c r="H196" s="161"/>
      <c r="I196" s="163"/>
      <c r="J196" s="161"/>
      <c r="K196" s="163"/>
      <c r="L196" s="150"/>
      <c r="M196" s="164"/>
      <c r="N196" s="150"/>
      <c r="O196" s="174"/>
      <c r="P196" s="523"/>
      <c r="Q196" s="523"/>
      <c r="R196" s="154"/>
      <c r="S196" s="155"/>
      <c r="T196" s="156"/>
      <c r="U196" s="154"/>
      <c r="V196" s="155"/>
      <c r="W196" s="155"/>
      <c r="X196" s="419"/>
      <c r="Y196" s="157"/>
      <c r="Z196" s="217"/>
      <c r="AA196" s="150"/>
      <c r="AB196" s="151"/>
      <c r="AC196" s="152"/>
      <c r="AD196" s="506"/>
      <c r="AE196" s="166"/>
      <c r="AF196" s="150"/>
      <c r="AG196" s="152"/>
      <c r="AH196" s="150"/>
      <c r="AI196" s="152"/>
      <c r="AJ196" s="150"/>
      <c r="AK196" s="152"/>
      <c r="AL196" s="150"/>
      <c r="AM196" s="151"/>
      <c r="AN196" s="151"/>
      <c r="AO196" s="169"/>
      <c r="AP196" s="169"/>
      <c r="AQ196" s="149"/>
      <c r="AR196" s="324"/>
      <c r="AS196" s="324"/>
      <c r="AT196" s="324"/>
      <c r="AU196" s="324"/>
      <c r="AV196" s="324"/>
      <c r="AW196" s="324"/>
      <c r="AX196" s="150"/>
      <c r="AY196" s="297"/>
      <c r="AZ196" s="297"/>
      <c r="BA196" s="297"/>
      <c r="BB196" s="297"/>
      <c r="BC196" s="152"/>
      <c r="BD196" s="150"/>
      <c r="BE196" s="297"/>
      <c r="BF196" s="297"/>
      <c r="BG196" s="297"/>
      <c r="BH196" s="297"/>
      <c r="BI196" s="152"/>
      <c r="BJ196" s="170"/>
      <c r="BK196" s="148"/>
      <c r="BL196" s="324"/>
      <c r="BM196" s="324"/>
      <c r="BN196" s="170"/>
      <c r="BO196" s="149"/>
      <c r="BP196" s="170"/>
      <c r="BQ196" s="149"/>
      <c r="BR196" s="170"/>
      <c r="BS196" s="171"/>
      <c r="BT196" s="707"/>
    </row>
    <row r="197" spans="1:72" s="2" customFormat="1" ht="24.9" customHeight="1">
      <c r="A197" s="147"/>
      <c r="B197" s="158"/>
      <c r="C197" s="179"/>
      <c r="D197" s="158"/>
      <c r="E197" s="160"/>
      <c r="F197" s="161"/>
      <c r="G197" s="161"/>
      <c r="H197" s="161"/>
      <c r="I197" s="163"/>
      <c r="J197" s="161"/>
      <c r="K197" s="163"/>
      <c r="L197" s="150"/>
      <c r="M197" s="164"/>
      <c r="N197" s="150"/>
      <c r="O197" s="174"/>
      <c r="P197" s="523"/>
      <c r="Q197" s="523"/>
      <c r="R197" s="154"/>
      <c r="S197" s="155"/>
      <c r="T197" s="156"/>
      <c r="U197" s="154"/>
      <c r="V197" s="155"/>
      <c r="W197" s="155"/>
      <c r="X197" s="419"/>
      <c r="Y197" s="157"/>
      <c r="Z197" s="217"/>
      <c r="AA197" s="150"/>
      <c r="AB197" s="151"/>
      <c r="AC197" s="152"/>
      <c r="AD197" s="506"/>
      <c r="AE197" s="166"/>
      <c r="AF197" s="150"/>
      <c r="AG197" s="152"/>
      <c r="AH197" s="150"/>
      <c r="AI197" s="152"/>
      <c r="AJ197" s="150"/>
      <c r="AK197" s="152"/>
      <c r="AL197" s="150"/>
      <c r="AM197" s="151"/>
      <c r="AN197" s="151"/>
      <c r="AO197" s="169"/>
      <c r="AP197" s="169"/>
      <c r="AQ197" s="149"/>
      <c r="AR197" s="324"/>
      <c r="AS197" s="324"/>
      <c r="AT197" s="324"/>
      <c r="AU197" s="324"/>
      <c r="AV197" s="324"/>
      <c r="AW197" s="324"/>
      <c r="AX197" s="150"/>
      <c r="AY197" s="297"/>
      <c r="AZ197" s="297"/>
      <c r="BA197" s="297"/>
      <c r="BB197" s="297"/>
      <c r="BC197" s="152"/>
      <c r="BD197" s="150"/>
      <c r="BE197" s="297"/>
      <c r="BF197" s="297"/>
      <c r="BG197" s="297"/>
      <c r="BH197" s="297"/>
      <c r="BI197" s="152"/>
      <c r="BJ197" s="170"/>
      <c r="BK197" s="148"/>
      <c r="BL197" s="324"/>
      <c r="BM197" s="324"/>
      <c r="BN197" s="170"/>
      <c r="BO197" s="149"/>
      <c r="BP197" s="170"/>
      <c r="BQ197" s="149"/>
      <c r="BR197" s="170"/>
      <c r="BS197" s="171"/>
      <c r="BT197" s="706"/>
    </row>
    <row r="198" spans="1:72" s="2" customFormat="1" ht="24.9" customHeight="1">
      <c r="A198" s="147"/>
      <c r="B198" s="158"/>
      <c r="C198" s="179"/>
      <c r="D198" s="158"/>
      <c r="E198" s="160"/>
      <c r="F198" s="161"/>
      <c r="G198" s="161"/>
      <c r="H198" s="161"/>
      <c r="I198" s="163"/>
      <c r="J198" s="161"/>
      <c r="K198" s="163"/>
      <c r="L198" s="150"/>
      <c r="M198" s="164"/>
      <c r="N198" s="150"/>
      <c r="O198" s="174"/>
      <c r="P198" s="523"/>
      <c r="Q198" s="523"/>
      <c r="R198" s="154"/>
      <c r="S198" s="155"/>
      <c r="T198" s="156"/>
      <c r="U198" s="154"/>
      <c r="V198" s="155"/>
      <c r="W198" s="155"/>
      <c r="X198" s="419"/>
      <c r="Y198" s="157"/>
      <c r="Z198" s="217"/>
      <c r="AA198" s="150"/>
      <c r="AB198" s="151"/>
      <c r="AC198" s="152"/>
      <c r="AD198" s="506"/>
      <c r="AE198" s="166"/>
      <c r="AF198" s="150"/>
      <c r="AG198" s="152"/>
      <c r="AH198" s="150"/>
      <c r="AI198" s="152"/>
      <c r="AJ198" s="150"/>
      <c r="AK198" s="152"/>
      <c r="AL198" s="150"/>
      <c r="AM198" s="151"/>
      <c r="AN198" s="151"/>
      <c r="AO198" s="169"/>
      <c r="AP198" s="169"/>
      <c r="AQ198" s="149"/>
      <c r="AR198" s="324"/>
      <c r="AS198" s="324"/>
      <c r="AT198" s="324"/>
      <c r="AU198" s="324"/>
      <c r="AV198" s="324"/>
      <c r="AW198" s="324"/>
      <c r="AX198" s="150"/>
      <c r="AY198" s="297"/>
      <c r="AZ198" s="297"/>
      <c r="BA198" s="297"/>
      <c r="BB198" s="297"/>
      <c r="BC198" s="152"/>
      <c r="BD198" s="150"/>
      <c r="BE198" s="297"/>
      <c r="BF198" s="297"/>
      <c r="BG198" s="297"/>
      <c r="BH198" s="297"/>
      <c r="BI198" s="152"/>
      <c r="BJ198" s="170"/>
      <c r="BK198" s="148"/>
      <c r="BL198" s="324"/>
      <c r="BM198" s="324"/>
      <c r="BN198" s="170"/>
      <c r="BO198" s="149"/>
      <c r="BP198" s="170"/>
      <c r="BQ198" s="149"/>
      <c r="BR198" s="170"/>
      <c r="BS198" s="171"/>
      <c r="BT198" s="707"/>
    </row>
    <row r="199" spans="1:72" s="2" customFormat="1" ht="24.9" customHeight="1">
      <c r="A199" s="147"/>
      <c r="B199" s="158"/>
      <c r="C199" s="179"/>
      <c r="D199" s="158"/>
      <c r="E199" s="160"/>
      <c r="F199" s="161"/>
      <c r="G199" s="161"/>
      <c r="H199" s="161"/>
      <c r="I199" s="163"/>
      <c r="J199" s="161"/>
      <c r="K199" s="163"/>
      <c r="L199" s="150"/>
      <c r="M199" s="164"/>
      <c r="N199" s="150"/>
      <c r="O199" s="174"/>
      <c r="P199" s="523"/>
      <c r="Q199" s="523"/>
      <c r="R199" s="154"/>
      <c r="S199" s="155"/>
      <c r="T199" s="156"/>
      <c r="U199" s="154"/>
      <c r="V199" s="155"/>
      <c r="W199" s="155"/>
      <c r="X199" s="419"/>
      <c r="Y199" s="157"/>
      <c r="Z199" s="217"/>
      <c r="AA199" s="150"/>
      <c r="AB199" s="151"/>
      <c r="AC199" s="152"/>
      <c r="AD199" s="506"/>
      <c r="AE199" s="166"/>
      <c r="AF199" s="150"/>
      <c r="AG199" s="152"/>
      <c r="AH199" s="150"/>
      <c r="AI199" s="152"/>
      <c r="AJ199" s="150"/>
      <c r="AK199" s="152"/>
      <c r="AL199" s="150"/>
      <c r="AM199" s="151"/>
      <c r="AN199" s="151"/>
      <c r="AO199" s="169"/>
      <c r="AP199" s="169"/>
      <c r="AQ199" s="149"/>
      <c r="AR199" s="324"/>
      <c r="AS199" s="324"/>
      <c r="AT199" s="324"/>
      <c r="AU199" s="324"/>
      <c r="AV199" s="324"/>
      <c r="AW199" s="324"/>
      <c r="AX199" s="150"/>
      <c r="AY199" s="297"/>
      <c r="AZ199" s="297"/>
      <c r="BA199" s="297"/>
      <c r="BB199" s="297"/>
      <c r="BC199" s="152"/>
      <c r="BD199" s="150"/>
      <c r="BE199" s="297"/>
      <c r="BF199" s="297"/>
      <c r="BG199" s="297"/>
      <c r="BH199" s="297"/>
      <c r="BI199" s="152"/>
      <c r="BJ199" s="170"/>
      <c r="BK199" s="148"/>
      <c r="BL199" s="324"/>
      <c r="BM199" s="324"/>
      <c r="BN199" s="170"/>
      <c r="BO199" s="149"/>
      <c r="BP199" s="170"/>
      <c r="BQ199" s="149"/>
      <c r="BR199" s="170"/>
      <c r="BS199" s="171"/>
      <c r="BT199" s="706"/>
    </row>
    <row r="200" spans="1:72" s="2" customFormat="1" ht="24.9" customHeight="1">
      <c r="A200" s="147"/>
      <c r="B200" s="158"/>
      <c r="C200" s="179"/>
      <c r="D200" s="158"/>
      <c r="E200" s="160"/>
      <c r="F200" s="161"/>
      <c r="G200" s="161"/>
      <c r="H200" s="161"/>
      <c r="I200" s="163"/>
      <c r="J200" s="161"/>
      <c r="K200" s="163"/>
      <c r="L200" s="150"/>
      <c r="M200" s="164"/>
      <c r="N200" s="150"/>
      <c r="O200" s="174"/>
      <c r="P200" s="523"/>
      <c r="Q200" s="523"/>
      <c r="R200" s="154"/>
      <c r="S200" s="155"/>
      <c r="T200" s="156"/>
      <c r="U200" s="154"/>
      <c r="V200" s="155"/>
      <c r="W200" s="155"/>
      <c r="X200" s="419"/>
      <c r="Y200" s="157"/>
      <c r="Z200" s="217"/>
      <c r="AA200" s="150"/>
      <c r="AB200" s="151"/>
      <c r="AC200" s="152"/>
      <c r="AD200" s="506"/>
      <c r="AE200" s="166"/>
      <c r="AF200" s="150"/>
      <c r="AG200" s="152"/>
      <c r="AH200" s="150"/>
      <c r="AI200" s="152"/>
      <c r="AJ200" s="150"/>
      <c r="AK200" s="152"/>
      <c r="AL200" s="150"/>
      <c r="AM200" s="151"/>
      <c r="AN200" s="151"/>
      <c r="AO200" s="169"/>
      <c r="AP200" s="169"/>
      <c r="AQ200" s="149"/>
      <c r="AR200" s="324"/>
      <c r="AS200" s="324"/>
      <c r="AT200" s="324"/>
      <c r="AU200" s="324"/>
      <c r="AV200" s="324"/>
      <c r="AW200" s="324"/>
      <c r="AX200" s="150"/>
      <c r="AY200" s="297"/>
      <c r="AZ200" s="297"/>
      <c r="BA200" s="297"/>
      <c r="BB200" s="297"/>
      <c r="BC200" s="152"/>
      <c r="BD200" s="150"/>
      <c r="BE200" s="297"/>
      <c r="BF200" s="297"/>
      <c r="BG200" s="297"/>
      <c r="BH200" s="297"/>
      <c r="BI200" s="152"/>
      <c r="BJ200" s="170"/>
      <c r="BK200" s="148"/>
      <c r="BL200" s="324"/>
      <c r="BM200" s="324"/>
      <c r="BN200" s="170"/>
      <c r="BO200" s="149"/>
      <c r="BP200" s="170"/>
      <c r="BQ200" s="149"/>
      <c r="BR200" s="170"/>
      <c r="BS200" s="171"/>
      <c r="BT200" s="707"/>
    </row>
    <row r="201" spans="1:72" s="2" customFormat="1" ht="24.9" customHeight="1">
      <c r="A201" s="147"/>
      <c r="B201" s="158"/>
      <c r="C201" s="179"/>
      <c r="D201" s="158"/>
      <c r="E201" s="160"/>
      <c r="F201" s="161"/>
      <c r="G201" s="161"/>
      <c r="H201" s="161"/>
      <c r="I201" s="163"/>
      <c r="J201" s="161"/>
      <c r="K201" s="163"/>
      <c r="L201" s="150"/>
      <c r="M201" s="164"/>
      <c r="N201" s="150"/>
      <c r="O201" s="174"/>
      <c r="P201" s="523"/>
      <c r="Q201" s="523"/>
      <c r="R201" s="154"/>
      <c r="S201" s="155"/>
      <c r="T201" s="156"/>
      <c r="U201" s="154"/>
      <c r="V201" s="155"/>
      <c r="W201" s="155"/>
      <c r="X201" s="419"/>
      <c r="Y201" s="157"/>
      <c r="Z201" s="217"/>
      <c r="AA201" s="150"/>
      <c r="AB201" s="151"/>
      <c r="AC201" s="152"/>
      <c r="AD201" s="506"/>
      <c r="AE201" s="166"/>
      <c r="AF201" s="150"/>
      <c r="AG201" s="152"/>
      <c r="AH201" s="150"/>
      <c r="AI201" s="152"/>
      <c r="AJ201" s="150"/>
      <c r="AK201" s="152"/>
      <c r="AL201" s="150"/>
      <c r="AM201" s="151"/>
      <c r="AN201" s="151"/>
      <c r="AO201" s="169"/>
      <c r="AP201" s="169"/>
      <c r="AQ201" s="149"/>
      <c r="AR201" s="324"/>
      <c r="AS201" s="324"/>
      <c r="AT201" s="324"/>
      <c r="AU201" s="324"/>
      <c r="AV201" s="324"/>
      <c r="AW201" s="324"/>
      <c r="AX201" s="150"/>
      <c r="AY201" s="297"/>
      <c r="AZ201" s="297"/>
      <c r="BA201" s="297"/>
      <c r="BB201" s="297"/>
      <c r="BC201" s="152"/>
      <c r="BD201" s="150"/>
      <c r="BE201" s="297"/>
      <c r="BF201" s="297"/>
      <c r="BG201" s="297"/>
      <c r="BH201" s="297"/>
      <c r="BI201" s="152"/>
      <c r="BJ201" s="170"/>
      <c r="BK201" s="148"/>
      <c r="BL201" s="324"/>
      <c r="BM201" s="324"/>
      <c r="BN201" s="170"/>
      <c r="BO201" s="149"/>
      <c r="BP201" s="170"/>
      <c r="BQ201" s="149"/>
      <c r="BR201" s="170"/>
      <c r="BS201" s="171"/>
      <c r="BT201" s="706"/>
    </row>
    <row r="202" spans="1:72" s="2" customFormat="1" ht="24.9" customHeight="1">
      <c r="A202" s="147"/>
      <c r="B202" s="158"/>
      <c r="C202" s="179"/>
      <c r="D202" s="158"/>
      <c r="E202" s="160"/>
      <c r="F202" s="161"/>
      <c r="G202" s="161"/>
      <c r="H202" s="161"/>
      <c r="I202" s="163"/>
      <c r="J202" s="161"/>
      <c r="K202" s="163"/>
      <c r="L202" s="150"/>
      <c r="M202" s="164"/>
      <c r="N202" s="150"/>
      <c r="O202" s="151"/>
      <c r="P202" s="522"/>
      <c r="Q202" s="522"/>
      <c r="R202" s="154"/>
      <c r="S202" s="155"/>
      <c r="T202" s="156"/>
      <c r="U202" s="154"/>
      <c r="V202" s="155"/>
      <c r="W202" s="155"/>
      <c r="X202" s="419"/>
      <c r="Y202" s="157"/>
      <c r="Z202" s="217"/>
      <c r="AA202" s="150"/>
      <c r="AB202" s="151"/>
      <c r="AC202" s="152"/>
      <c r="AD202" s="506"/>
      <c r="AE202" s="166"/>
      <c r="AF202" s="150"/>
      <c r="AG202" s="152"/>
      <c r="AH202" s="150"/>
      <c r="AI202" s="152"/>
      <c r="AJ202" s="150"/>
      <c r="AK202" s="152"/>
      <c r="AL202" s="150"/>
      <c r="AM202" s="151"/>
      <c r="AN202" s="151"/>
      <c r="AO202" s="169"/>
      <c r="AP202" s="169"/>
      <c r="AQ202" s="149"/>
      <c r="AR202" s="324"/>
      <c r="AS202" s="324"/>
      <c r="AT202" s="324"/>
      <c r="AU202" s="324"/>
      <c r="AV202" s="324"/>
      <c r="AW202" s="324"/>
      <c r="AX202" s="150"/>
      <c r="AY202" s="297"/>
      <c r="AZ202" s="297"/>
      <c r="BA202" s="297"/>
      <c r="BB202" s="297"/>
      <c r="BC202" s="152"/>
      <c r="BD202" s="150"/>
      <c r="BE202" s="297"/>
      <c r="BF202" s="297"/>
      <c r="BG202" s="297"/>
      <c r="BH202" s="297"/>
      <c r="BI202" s="152"/>
      <c r="BJ202" s="170"/>
      <c r="BK202" s="148"/>
      <c r="BL202" s="324"/>
      <c r="BM202" s="324"/>
      <c r="BN202" s="170"/>
      <c r="BO202" s="149"/>
      <c r="BP202" s="170"/>
      <c r="BQ202" s="149"/>
      <c r="BR202" s="170"/>
      <c r="BS202" s="171"/>
      <c r="BT202" s="708"/>
    </row>
    <row r="203" spans="1:72" s="2" customFormat="1" ht="24.9" customHeight="1">
      <c r="A203" s="147"/>
      <c r="B203" s="158"/>
      <c r="C203" s="179"/>
      <c r="D203" s="158"/>
      <c r="E203" s="160"/>
      <c r="F203" s="161"/>
      <c r="G203" s="161"/>
      <c r="H203" s="161"/>
      <c r="I203" s="163"/>
      <c r="J203" s="161"/>
      <c r="K203" s="163"/>
      <c r="L203" s="150"/>
      <c r="M203" s="164"/>
      <c r="N203" s="150"/>
      <c r="O203" s="174"/>
      <c r="P203" s="523"/>
      <c r="Q203" s="523"/>
      <c r="R203" s="154"/>
      <c r="S203" s="155"/>
      <c r="T203" s="156"/>
      <c r="U203" s="154"/>
      <c r="V203" s="155"/>
      <c r="W203" s="155"/>
      <c r="X203" s="419"/>
      <c r="Y203" s="157"/>
      <c r="Z203" s="217"/>
      <c r="AA203" s="150"/>
      <c r="AB203" s="151"/>
      <c r="AC203" s="152"/>
      <c r="AD203" s="506"/>
      <c r="AE203" s="166"/>
      <c r="AF203" s="150"/>
      <c r="AG203" s="152"/>
      <c r="AH203" s="150"/>
      <c r="AI203" s="152"/>
      <c r="AJ203" s="150"/>
      <c r="AK203" s="152"/>
      <c r="AL203" s="150"/>
      <c r="AM203" s="151"/>
      <c r="AN203" s="151"/>
      <c r="AO203" s="169"/>
      <c r="AP203" s="169"/>
      <c r="AQ203" s="149"/>
      <c r="AR203" s="324"/>
      <c r="AS203" s="324"/>
      <c r="AT203" s="324"/>
      <c r="AU203" s="324"/>
      <c r="AV203" s="324"/>
      <c r="AW203" s="324"/>
      <c r="AX203" s="150"/>
      <c r="AY203" s="297"/>
      <c r="AZ203" s="297"/>
      <c r="BA203" s="297"/>
      <c r="BB203" s="297"/>
      <c r="BC203" s="152"/>
      <c r="BD203" s="150"/>
      <c r="BE203" s="297"/>
      <c r="BF203" s="297"/>
      <c r="BG203" s="297"/>
      <c r="BH203" s="297"/>
      <c r="BI203" s="152"/>
      <c r="BJ203" s="170"/>
      <c r="BK203" s="148"/>
      <c r="BL203" s="324"/>
      <c r="BM203" s="324"/>
      <c r="BN203" s="170"/>
      <c r="BO203" s="149"/>
      <c r="BP203" s="170"/>
      <c r="BQ203" s="149"/>
      <c r="BR203" s="170"/>
      <c r="BS203" s="171"/>
      <c r="BT203" s="708"/>
    </row>
    <row r="204" spans="1:72" s="2" customFormat="1" ht="24.9" customHeight="1">
      <c r="A204" s="147"/>
      <c r="B204" s="158"/>
      <c r="C204" s="179"/>
      <c r="D204" s="158"/>
      <c r="E204" s="160"/>
      <c r="F204" s="161"/>
      <c r="G204" s="161"/>
      <c r="H204" s="161"/>
      <c r="I204" s="163"/>
      <c r="J204" s="161"/>
      <c r="K204" s="163"/>
      <c r="L204" s="150"/>
      <c r="M204" s="164"/>
      <c r="N204" s="150"/>
      <c r="O204" s="151"/>
      <c r="P204" s="522"/>
      <c r="Q204" s="522"/>
      <c r="R204" s="154"/>
      <c r="S204" s="155"/>
      <c r="T204" s="156"/>
      <c r="U204" s="154"/>
      <c r="V204" s="155"/>
      <c r="W204" s="155"/>
      <c r="X204" s="419"/>
      <c r="Y204" s="157"/>
      <c r="Z204" s="217"/>
      <c r="AA204" s="150"/>
      <c r="AB204" s="151"/>
      <c r="AC204" s="152"/>
      <c r="AD204" s="506"/>
      <c r="AE204" s="166"/>
      <c r="AF204" s="150"/>
      <c r="AG204" s="152"/>
      <c r="AH204" s="150"/>
      <c r="AI204" s="152"/>
      <c r="AJ204" s="150"/>
      <c r="AK204" s="152"/>
      <c r="AL204" s="150"/>
      <c r="AM204" s="151"/>
      <c r="AN204" s="151"/>
      <c r="AO204" s="169"/>
      <c r="AP204" s="169"/>
      <c r="AQ204" s="149"/>
      <c r="AR204" s="324"/>
      <c r="AS204" s="324"/>
      <c r="AT204" s="324"/>
      <c r="AU204" s="324"/>
      <c r="AV204" s="324"/>
      <c r="AW204" s="324"/>
      <c r="AX204" s="150"/>
      <c r="AY204" s="297"/>
      <c r="AZ204" s="297"/>
      <c r="BA204" s="297"/>
      <c r="BB204" s="297"/>
      <c r="BC204" s="152"/>
      <c r="BD204" s="150"/>
      <c r="BE204" s="297"/>
      <c r="BF204" s="297"/>
      <c r="BG204" s="297"/>
      <c r="BH204" s="297"/>
      <c r="BI204" s="152"/>
      <c r="BJ204" s="170"/>
      <c r="BK204" s="148"/>
      <c r="BL204" s="324"/>
      <c r="BM204" s="324"/>
      <c r="BN204" s="170"/>
      <c r="BO204" s="149"/>
      <c r="BP204" s="170"/>
      <c r="BQ204" s="149"/>
      <c r="BR204" s="170"/>
      <c r="BS204" s="171"/>
      <c r="BT204" s="707"/>
    </row>
    <row r="205" spans="1:72" s="2" customFormat="1" ht="24.9" customHeight="1">
      <c r="A205" s="147"/>
      <c r="B205" s="158"/>
      <c r="C205" s="179"/>
      <c r="D205" s="158"/>
      <c r="E205" s="160"/>
      <c r="F205" s="161"/>
      <c r="G205" s="161"/>
      <c r="H205" s="161"/>
      <c r="I205" s="163"/>
      <c r="J205" s="161"/>
      <c r="K205" s="163"/>
      <c r="L205" s="150"/>
      <c r="M205" s="164"/>
      <c r="N205" s="150"/>
      <c r="O205" s="174"/>
      <c r="P205" s="523"/>
      <c r="Q205" s="523"/>
      <c r="R205" s="154"/>
      <c r="S205" s="155"/>
      <c r="T205" s="156"/>
      <c r="U205" s="154"/>
      <c r="V205" s="155"/>
      <c r="W205" s="155"/>
      <c r="X205" s="419"/>
      <c r="Y205" s="157"/>
      <c r="Z205" s="217"/>
      <c r="AA205" s="150"/>
      <c r="AB205" s="151"/>
      <c r="AC205" s="152"/>
      <c r="AD205" s="506"/>
      <c r="AE205" s="166"/>
      <c r="AF205" s="150"/>
      <c r="AG205" s="152"/>
      <c r="AH205" s="150"/>
      <c r="AI205" s="152"/>
      <c r="AJ205" s="150"/>
      <c r="AK205" s="152"/>
      <c r="AL205" s="150"/>
      <c r="AM205" s="151"/>
      <c r="AN205" s="151"/>
      <c r="AO205" s="169"/>
      <c r="AP205" s="169"/>
      <c r="AQ205" s="149"/>
      <c r="AR205" s="324"/>
      <c r="AS205" s="324"/>
      <c r="AT205" s="324"/>
      <c r="AU205" s="324"/>
      <c r="AV205" s="324"/>
      <c r="AW205" s="324"/>
      <c r="AX205" s="150"/>
      <c r="AY205" s="297"/>
      <c r="AZ205" s="297"/>
      <c r="BA205" s="297"/>
      <c r="BB205" s="297"/>
      <c r="BC205" s="152"/>
      <c r="BD205" s="150"/>
      <c r="BE205" s="297"/>
      <c r="BF205" s="297"/>
      <c r="BG205" s="297"/>
      <c r="BH205" s="297"/>
      <c r="BI205" s="152"/>
      <c r="BJ205" s="170"/>
      <c r="BK205" s="148"/>
      <c r="BL205" s="324"/>
      <c r="BM205" s="324"/>
      <c r="BN205" s="170"/>
      <c r="BO205" s="149"/>
      <c r="BP205" s="170"/>
      <c r="BQ205" s="149"/>
      <c r="BR205" s="170"/>
      <c r="BS205" s="171"/>
      <c r="BT205" s="706"/>
    </row>
    <row r="206" spans="1:72" s="2" customFormat="1" ht="24.9" customHeight="1">
      <c r="A206" s="147"/>
      <c r="B206" s="158"/>
      <c r="C206" s="179"/>
      <c r="D206" s="158"/>
      <c r="E206" s="160"/>
      <c r="F206" s="161"/>
      <c r="G206" s="161"/>
      <c r="H206" s="161"/>
      <c r="I206" s="163"/>
      <c r="J206" s="161"/>
      <c r="K206" s="163"/>
      <c r="L206" s="150"/>
      <c r="M206" s="164"/>
      <c r="N206" s="150"/>
      <c r="O206" s="174"/>
      <c r="P206" s="523"/>
      <c r="Q206" s="523"/>
      <c r="R206" s="154"/>
      <c r="S206" s="155"/>
      <c r="T206" s="156"/>
      <c r="U206" s="154"/>
      <c r="V206" s="155"/>
      <c r="W206" s="155"/>
      <c r="X206" s="419"/>
      <c r="Y206" s="157"/>
      <c r="Z206" s="217"/>
      <c r="AA206" s="150"/>
      <c r="AB206" s="151"/>
      <c r="AC206" s="152"/>
      <c r="AD206" s="506"/>
      <c r="AE206" s="166"/>
      <c r="AF206" s="150"/>
      <c r="AG206" s="152"/>
      <c r="AH206" s="150"/>
      <c r="AI206" s="152"/>
      <c r="AJ206" s="150"/>
      <c r="AK206" s="152"/>
      <c r="AL206" s="150"/>
      <c r="AM206" s="151"/>
      <c r="AN206" s="151"/>
      <c r="AO206" s="169"/>
      <c r="AP206" s="169"/>
      <c r="AQ206" s="149"/>
      <c r="AR206" s="324"/>
      <c r="AS206" s="324"/>
      <c r="AT206" s="324"/>
      <c r="AU206" s="324"/>
      <c r="AV206" s="324"/>
      <c r="AW206" s="324"/>
      <c r="AX206" s="150"/>
      <c r="AY206" s="297"/>
      <c r="AZ206" s="297"/>
      <c r="BA206" s="297"/>
      <c r="BB206" s="297"/>
      <c r="BC206" s="152"/>
      <c r="BD206" s="150"/>
      <c r="BE206" s="297"/>
      <c r="BF206" s="297"/>
      <c r="BG206" s="297"/>
      <c r="BH206" s="297"/>
      <c r="BI206" s="152"/>
      <c r="BJ206" s="170"/>
      <c r="BK206" s="148"/>
      <c r="BL206" s="324"/>
      <c r="BM206" s="324"/>
      <c r="BN206" s="170"/>
      <c r="BO206" s="149"/>
      <c r="BP206" s="170"/>
      <c r="BQ206" s="149"/>
      <c r="BR206" s="170"/>
      <c r="BS206" s="171"/>
      <c r="BT206" s="707"/>
    </row>
    <row r="207" spans="1:72" s="2" customFormat="1" ht="24.9" customHeight="1">
      <c r="A207" s="147"/>
      <c r="B207" s="158"/>
      <c r="C207" s="179"/>
      <c r="D207" s="158"/>
      <c r="E207" s="160"/>
      <c r="F207" s="161"/>
      <c r="G207" s="161"/>
      <c r="H207" s="161"/>
      <c r="I207" s="163"/>
      <c r="J207" s="161"/>
      <c r="K207" s="163"/>
      <c r="L207" s="150"/>
      <c r="M207" s="164"/>
      <c r="N207" s="150"/>
      <c r="O207" s="174"/>
      <c r="P207" s="523"/>
      <c r="Q207" s="523"/>
      <c r="R207" s="154"/>
      <c r="S207" s="155"/>
      <c r="T207" s="156"/>
      <c r="U207" s="154"/>
      <c r="V207" s="155"/>
      <c r="W207" s="155"/>
      <c r="X207" s="419"/>
      <c r="Y207" s="157"/>
      <c r="Z207" s="217"/>
      <c r="AA207" s="150"/>
      <c r="AB207" s="151"/>
      <c r="AC207" s="152"/>
      <c r="AD207" s="506"/>
      <c r="AE207" s="166"/>
      <c r="AF207" s="150"/>
      <c r="AG207" s="152"/>
      <c r="AH207" s="150"/>
      <c r="AI207" s="152"/>
      <c r="AJ207" s="150"/>
      <c r="AK207" s="152"/>
      <c r="AL207" s="150"/>
      <c r="AM207" s="151"/>
      <c r="AN207" s="151"/>
      <c r="AO207" s="169"/>
      <c r="AP207" s="169"/>
      <c r="AQ207" s="149"/>
      <c r="AR207" s="324"/>
      <c r="AS207" s="324"/>
      <c r="AT207" s="324"/>
      <c r="AU207" s="324"/>
      <c r="AV207" s="324"/>
      <c r="AW207" s="324"/>
      <c r="AX207" s="150"/>
      <c r="AY207" s="297"/>
      <c r="AZ207" s="297"/>
      <c r="BA207" s="297"/>
      <c r="BB207" s="297"/>
      <c r="BC207" s="152"/>
      <c r="BD207" s="150"/>
      <c r="BE207" s="297"/>
      <c r="BF207" s="297"/>
      <c r="BG207" s="297"/>
      <c r="BH207" s="297"/>
      <c r="BI207" s="152"/>
      <c r="BJ207" s="170"/>
      <c r="BK207" s="148"/>
      <c r="BL207" s="324"/>
      <c r="BM207" s="324"/>
      <c r="BN207" s="170"/>
      <c r="BO207" s="149"/>
      <c r="BP207" s="170"/>
      <c r="BQ207" s="149"/>
      <c r="BR207" s="170"/>
      <c r="BS207" s="171"/>
      <c r="BT207" s="706"/>
    </row>
    <row r="208" spans="1:72" s="2" customFormat="1" ht="24.9" customHeight="1">
      <c r="A208" s="147"/>
      <c r="B208" s="158"/>
      <c r="C208" s="179"/>
      <c r="D208" s="158"/>
      <c r="E208" s="160"/>
      <c r="F208" s="161"/>
      <c r="G208" s="161"/>
      <c r="H208" s="161"/>
      <c r="I208" s="163"/>
      <c r="J208" s="161"/>
      <c r="K208" s="163"/>
      <c r="L208" s="150"/>
      <c r="M208" s="164"/>
      <c r="N208" s="150"/>
      <c r="O208" s="174"/>
      <c r="P208" s="523"/>
      <c r="Q208" s="523"/>
      <c r="R208" s="154"/>
      <c r="S208" s="155"/>
      <c r="T208" s="156"/>
      <c r="U208" s="154"/>
      <c r="V208" s="155"/>
      <c r="W208" s="155"/>
      <c r="X208" s="419"/>
      <c r="Y208" s="157"/>
      <c r="Z208" s="217"/>
      <c r="AA208" s="150"/>
      <c r="AB208" s="151"/>
      <c r="AC208" s="152"/>
      <c r="AD208" s="506"/>
      <c r="AE208" s="166"/>
      <c r="AF208" s="150"/>
      <c r="AG208" s="152"/>
      <c r="AH208" s="150"/>
      <c r="AI208" s="152"/>
      <c r="AJ208" s="150"/>
      <c r="AK208" s="152"/>
      <c r="AL208" s="150"/>
      <c r="AM208" s="151"/>
      <c r="AN208" s="151"/>
      <c r="AO208" s="169"/>
      <c r="AP208" s="169"/>
      <c r="AQ208" s="149"/>
      <c r="AR208" s="324"/>
      <c r="AS208" s="324"/>
      <c r="AT208" s="324"/>
      <c r="AU208" s="324"/>
      <c r="AV208" s="324"/>
      <c r="AW208" s="324"/>
      <c r="AX208" s="150"/>
      <c r="AY208" s="297"/>
      <c r="AZ208" s="297"/>
      <c r="BA208" s="297"/>
      <c r="BB208" s="297"/>
      <c r="BC208" s="152"/>
      <c r="BD208" s="150"/>
      <c r="BE208" s="297"/>
      <c r="BF208" s="297"/>
      <c r="BG208" s="297"/>
      <c r="BH208" s="297"/>
      <c r="BI208" s="152"/>
      <c r="BJ208" s="170"/>
      <c r="BK208" s="148"/>
      <c r="BL208" s="324"/>
      <c r="BM208" s="324"/>
      <c r="BN208" s="170"/>
      <c r="BO208" s="149"/>
      <c r="BP208" s="170"/>
      <c r="BQ208" s="149"/>
      <c r="BR208" s="170"/>
      <c r="BS208" s="171"/>
      <c r="BT208" s="707"/>
    </row>
    <row r="209" spans="1:72" s="2" customFormat="1" ht="24.9" customHeight="1">
      <c r="A209" s="147"/>
      <c r="B209" s="158"/>
      <c r="C209" s="179"/>
      <c r="D209" s="158"/>
      <c r="E209" s="160"/>
      <c r="F209" s="161"/>
      <c r="G209" s="161"/>
      <c r="H209" s="161"/>
      <c r="I209" s="163"/>
      <c r="J209" s="161"/>
      <c r="K209" s="163"/>
      <c r="L209" s="150"/>
      <c r="M209" s="164"/>
      <c r="N209" s="150"/>
      <c r="O209" s="174"/>
      <c r="P209" s="523"/>
      <c r="Q209" s="523"/>
      <c r="R209" s="154"/>
      <c r="S209" s="155"/>
      <c r="T209" s="156"/>
      <c r="U209" s="154"/>
      <c r="V209" s="155"/>
      <c r="W209" s="155"/>
      <c r="X209" s="419"/>
      <c r="Y209" s="157"/>
      <c r="Z209" s="217"/>
      <c r="AA209" s="150"/>
      <c r="AB209" s="151"/>
      <c r="AC209" s="152"/>
      <c r="AD209" s="506"/>
      <c r="AE209" s="166"/>
      <c r="AF209" s="150"/>
      <c r="AG209" s="152"/>
      <c r="AH209" s="150"/>
      <c r="AI209" s="152"/>
      <c r="AJ209" s="150"/>
      <c r="AK209" s="152"/>
      <c r="AL209" s="150"/>
      <c r="AM209" s="151"/>
      <c r="AN209" s="151"/>
      <c r="AO209" s="169"/>
      <c r="AP209" s="169"/>
      <c r="AQ209" s="149"/>
      <c r="AR209" s="324"/>
      <c r="AS209" s="324"/>
      <c r="AT209" s="324"/>
      <c r="AU209" s="324"/>
      <c r="AV209" s="324"/>
      <c r="AW209" s="324"/>
      <c r="AX209" s="150"/>
      <c r="AY209" s="297"/>
      <c r="AZ209" s="297"/>
      <c r="BA209" s="297"/>
      <c r="BB209" s="297"/>
      <c r="BC209" s="152"/>
      <c r="BD209" s="150"/>
      <c r="BE209" s="297"/>
      <c r="BF209" s="297"/>
      <c r="BG209" s="297"/>
      <c r="BH209" s="297"/>
      <c r="BI209" s="152"/>
      <c r="BJ209" s="170"/>
      <c r="BK209" s="148"/>
      <c r="BL209" s="324"/>
      <c r="BM209" s="324"/>
      <c r="BN209" s="170"/>
      <c r="BO209" s="149"/>
      <c r="BP209" s="170"/>
      <c r="BQ209" s="149"/>
      <c r="BR209" s="170"/>
      <c r="BS209" s="171"/>
      <c r="BT209" s="706"/>
    </row>
    <row r="210" spans="1:72" s="2" customFormat="1" ht="24.9" customHeight="1">
      <c r="A210" s="147"/>
      <c r="B210" s="158"/>
      <c r="C210" s="179"/>
      <c r="D210" s="158"/>
      <c r="E210" s="160"/>
      <c r="F210" s="161"/>
      <c r="G210" s="161"/>
      <c r="H210" s="161"/>
      <c r="I210" s="163"/>
      <c r="J210" s="161"/>
      <c r="K210" s="163"/>
      <c r="L210" s="150"/>
      <c r="M210" s="164"/>
      <c r="N210" s="150"/>
      <c r="O210" s="151"/>
      <c r="P210" s="522"/>
      <c r="Q210" s="522"/>
      <c r="R210" s="154"/>
      <c r="S210" s="155"/>
      <c r="T210" s="156"/>
      <c r="U210" s="154"/>
      <c r="V210" s="155"/>
      <c r="W210" s="155"/>
      <c r="X210" s="419"/>
      <c r="Y210" s="157"/>
      <c r="Z210" s="217"/>
      <c r="AA210" s="150"/>
      <c r="AB210" s="151"/>
      <c r="AC210" s="152"/>
      <c r="AD210" s="506"/>
      <c r="AE210" s="166"/>
      <c r="AF210" s="150"/>
      <c r="AG210" s="152"/>
      <c r="AH210" s="150"/>
      <c r="AI210" s="152"/>
      <c r="AJ210" s="150"/>
      <c r="AK210" s="152"/>
      <c r="AL210" s="150"/>
      <c r="AM210" s="151"/>
      <c r="AN210" s="151"/>
      <c r="AO210" s="169"/>
      <c r="AP210" s="169"/>
      <c r="AQ210" s="149"/>
      <c r="AR210" s="324"/>
      <c r="AS210" s="324"/>
      <c r="AT210" s="324"/>
      <c r="AU210" s="324"/>
      <c r="AV210" s="324"/>
      <c r="AW210" s="324"/>
      <c r="AX210" s="150"/>
      <c r="AY210" s="297"/>
      <c r="AZ210" s="297"/>
      <c r="BA210" s="297"/>
      <c r="BB210" s="297"/>
      <c r="BC210" s="152"/>
      <c r="BD210" s="150"/>
      <c r="BE210" s="297"/>
      <c r="BF210" s="297"/>
      <c r="BG210" s="297"/>
      <c r="BH210" s="297"/>
      <c r="BI210" s="152"/>
      <c r="BJ210" s="170"/>
      <c r="BK210" s="148"/>
      <c r="BL210" s="324"/>
      <c r="BM210" s="324"/>
      <c r="BN210" s="170"/>
      <c r="BO210" s="149"/>
      <c r="BP210" s="170"/>
      <c r="BQ210" s="149"/>
      <c r="BR210" s="170"/>
      <c r="BS210" s="171"/>
      <c r="BT210" s="708"/>
    </row>
    <row r="211" spans="1:72" s="2" customFormat="1" ht="24.9" customHeight="1">
      <c r="A211" s="147"/>
      <c r="B211" s="158"/>
      <c r="C211" s="179"/>
      <c r="D211" s="158"/>
      <c r="E211" s="160"/>
      <c r="F211" s="161"/>
      <c r="G211" s="161"/>
      <c r="H211" s="161"/>
      <c r="I211" s="163"/>
      <c r="J211" s="161"/>
      <c r="K211" s="163"/>
      <c r="L211" s="150"/>
      <c r="M211" s="164"/>
      <c r="N211" s="150"/>
      <c r="O211" s="174"/>
      <c r="P211" s="523"/>
      <c r="Q211" s="523"/>
      <c r="R211" s="154"/>
      <c r="S211" s="155"/>
      <c r="T211" s="156"/>
      <c r="U211" s="154"/>
      <c r="V211" s="155"/>
      <c r="W211" s="155"/>
      <c r="X211" s="419"/>
      <c r="Y211" s="157"/>
      <c r="Z211" s="217"/>
      <c r="AA211" s="150"/>
      <c r="AB211" s="151"/>
      <c r="AC211" s="152"/>
      <c r="AD211" s="506"/>
      <c r="AE211" s="166"/>
      <c r="AF211" s="150"/>
      <c r="AG211" s="152"/>
      <c r="AH211" s="150"/>
      <c r="AI211" s="152"/>
      <c r="AJ211" s="150"/>
      <c r="AK211" s="152"/>
      <c r="AL211" s="150"/>
      <c r="AM211" s="151"/>
      <c r="AN211" s="151"/>
      <c r="AO211" s="169"/>
      <c r="AP211" s="169"/>
      <c r="AQ211" s="149"/>
      <c r="AR211" s="324"/>
      <c r="AS211" s="324"/>
      <c r="AT211" s="324"/>
      <c r="AU211" s="324"/>
      <c r="AV211" s="324"/>
      <c r="AW211" s="324"/>
      <c r="AX211" s="150"/>
      <c r="AY211" s="297"/>
      <c r="AZ211" s="297"/>
      <c r="BA211" s="297"/>
      <c r="BB211" s="297"/>
      <c r="BC211" s="152"/>
      <c r="BD211" s="150"/>
      <c r="BE211" s="297"/>
      <c r="BF211" s="297"/>
      <c r="BG211" s="297"/>
      <c r="BH211" s="297"/>
      <c r="BI211" s="152"/>
      <c r="BJ211" s="170"/>
      <c r="BK211" s="148"/>
      <c r="BL211" s="324"/>
      <c r="BM211" s="324"/>
      <c r="BN211" s="170"/>
      <c r="BO211" s="149"/>
      <c r="BP211" s="170"/>
      <c r="BQ211" s="149"/>
      <c r="BR211" s="170"/>
      <c r="BS211" s="171"/>
      <c r="BT211" s="707"/>
    </row>
    <row r="212" spans="1:72" s="2" customFormat="1" ht="24.9" customHeight="1">
      <c r="A212" s="147"/>
      <c r="B212" s="158"/>
      <c r="C212" s="179"/>
      <c r="D212" s="158"/>
      <c r="E212" s="160"/>
      <c r="F212" s="161"/>
      <c r="G212" s="161"/>
      <c r="H212" s="161"/>
      <c r="I212" s="163"/>
      <c r="J212" s="161"/>
      <c r="K212" s="163"/>
      <c r="L212" s="150"/>
      <c r="M212" s="164"/>
      <c r="N212" s="150"/>
      <c r="O212" s="174"/>
      <c r="P212" s="523"/>
      <c r="Q212" s="523"/>
      <c r="R212" s="154"/>
      <c r="S212" s="155"/>
      <c r="T212" s="156"/>
      <c r="U212" s="154"/>
      <c r="V212" s="155"/>
      <c r="W212" s="155"/>
      <c r="X212" s="419"/>
      <c r="Y212" s="157"/>
      <c r="Z212" s="217"/>
      <c r="AA212" s="150"/>
      <c r="AB212" s="151"/>
      <c r="AC212" s="152"/>
      <c r="AD212" s="506"/>
      <c r="AE212" s="166"/>
      <c r="AF212" s="150"/>
      <c r="AG212" s="152"/>
      <c r="AH212" s="150"/>
      <c r="AI212" s="152"/>
      <c r="AJ212" s="150"/>
      <c r="AK212" s="152"/>
      <c r="AL212" s="150"/>
      <c r="AM212" s="151"/>
      <c r="AN212" s="151"/>
      <c r="AO212" s="169"/>
      <c r="AP212" s="169"/>
      <c r="AQ212" s="149"/>
      <c r="AR212" s="324"/>
      <c r="AS212" s="324"/>
      <c r="AT212" s="324"/>
      <c r="AU212" s="324"/>
      <c r="AV212" s="324"/>
      <c r="AW212" s="324"/>
      <c r="AX212" s="150"/>
      <c r="AY212" s="297"/>
      <c r="AZ212" s="297"/>
      <c r="BA212" s="297"/>
      <c r="BB212" s="297"/>
      <c r="BC212" s="152"/>
      <c r="BD212" s="150"/>
      <c r="BE212" s="297"/>
      <c r="BF212" s="297"/>
      <c r="BG212" s="297"/>
      <c r="BH212" s="297"/>
      <c r="BI212" s="152"/>
      <c r="BJ212" s="170"/>
      <c r="BK212" s="148"/>
      <c r="BL212" s="324"/>
      <c r="BM212" s="324"/>
      <c r="BN212" s="170"/>
      <c r="BO212" s="149"/>
      <c r="BP212" s="170"/>
      <c r="BQ212" s="149"/>
      <c r="BR212" s="170"/>
      <c r="BS212" s="171"/>
      <c r="BT212" s="709"/>
    </row>
    <row r="213" spans="1:72" s="2" customFormat="1" ht="24.9" customHeight="1">
      <c r="A213" s="147"/>
      <c r="B213" s="158"/>
      <c r="C213" s="179"/>
      <c r="D213" s="158"/>
      <c r="E213" s="160"/>
      <c r="F213" s="161"/>
      <c r="G213" s="161"/>
      <c r="H213" s="161"/>
      <c r="I213" s="163"/>
      <c r="J213" s="161"/>
      <c r="K213" s="163"/>
      <c r="L213" s="150"/>
      <c r="M213" s="164"/>
      <c r="N213" s="150"/>
      <c r="O213" s="174"/>
      <c r="P213" s="523"/>
      <c r="Q213" s="523"/>
      <c r="R213" s="154"/>
      <c r="S213" s="155"/>
      <c r="T213" s="156"/>
      <c r="U213" s="154"/>
      <c r="V213" s="155"/>
      <c r="W213" s="155"/>
      <c r="X213" s="419"/>
      <c r="Y213" s="157"/>
      <c r="Z213" s="217"/>
      <c r="AA213" s="150"/>
      <c r="AB213" s="151"/>
      <c r="AC213" s="152"/>
      <c r="AD213" s="506"/>
      <c r="AE213" s="166"/>
      <c r="AF213" s="150"/>
      <c r="AG213" s="152"/>
      <c r="AH213" s="150"/>
      <c r="AI213" s="152"/>
      <c r="AJ213" s="150"/>
      <c r="AK213" s="152"/>
      <c r="AL213" s="150"/>
      <c r="AM213" s="151"/>
      <c r="AN213" s="151"/>
      <c r="AO213" s="169"/>
      <c r="AP213" s="169"/>
      <c r="AQ213" s="149"/>
      <c r="AR213" s="324"/>
      <c r="AS213" s="324"/>
      <c r="AT213" s="324"/>
      <c r="AU213" s="324"/>
      <c r="AV213" s="324"/>
      <c r="AW213" s="324"/>
      <c r="AX213" s="150"/>
      <c r="AY213" s="297"/>
      <c r="AZ213" s="297"/>
      <c r="BA213" s="297"/>
      <c r="BB213" s="297"/>
      <c r="BC213" s="152"/>
      <c r="BD213" s="150"/>
      <c r="BE213" s="297"/>
      <c r="BF213" s="297"/>
      <c r="BG213" s="297"/>
      <c r="BH213" s="297"/>
      <c r="BI213" s="152"/>
      <c r="BJ213" s="170"/>
      <c r="BK213" s="148"/>
      <c r="BL213" s="324"/>
      <c r="BM213" s="324"/>
      <c r="BN213" s="170"/>
      <c r="BO213" s="149"/>
      <c r="BP213" s="170"/>
      <c r="BQ213" s="149"/>
      <c r="BR213" s="170"/>
      <c r="BS213" s="171"/>
      <c r="BT213" s="707"/>
    </row>
    <row r="214" spans="1:72" s="2" customFormat="1" ht="24.9" customHeight="1">
      <c r="A214" s="147"/>
      <c r="B214" s="158"/>
      <c r="C214" s="179"/>
      <c r="D214" s="158"/>
      <c r="E214" s="160"/>
      <c r="F214" s="161"/>
      <c r="G214" s="161"/>
      <c r="H214" s="161"/>
      <c r="I214" s="163"/>
      <c r="J214" s="161"/>
      <c r="K214" s="163"/>
      <c r="L214" s="150"/>
      <c r="M214" s="164"/>
      <c r="N214" s="150"/>
      <c r="O214" s="174"/>
      <c r="P214" s="523"/>
      <c r="Q214" s="523"/>
      <c r="R214" s="154"/>
      <c r="S214" s="155"/>
      <c r="T214" s="156"/>
      <c r="U214" s="154"/>
      <c r="V214" s="155"/>
      <c r="W214" s="155"/>
      <c r="X214" s="419"/>
      <c r="Y214" s="157"/>
      <c r="Z214" s="217"/>
      <c r="AA214" s="150"/>
      <c r="AB214" s="151"/>
      <c r="AC214" s="152"/>
      <c r="AD214" s="506"/>
      <c r="AE214" s="166"/>
      <c r="AF214" s="150"/>
      <c r="AG214" s="152"/>
      <c r="AH214" s="150"/>
      <c r="AI214" s="152"/>
      <c r="AJ214" s="150"/>
      <c r="AK214" s="152"/>
      <c r="AL214" s="150"/>
      <c r="AM214" s="151"/>
      <c r="AN214" s="151"/>
      <c r="AO214" s="169"/>
      <c r="AP214" s="169"/>
      <c r="AQ214" s="149"/>
      <c r="AR214" s="324"/>
      <c r="AS214" s="324"/>
      <c r="AT214" s="324"/>
      <c r="AU214" s="324"/>
      <c r="AV214" s="324"/>
      <c r="AW214" s="324"/>
      <c r="AX214" s="150"/>
      <c r="AY214" s="297"/>
      <c r="AZ214" s="297"/>
      <c r="BA214" s="297"/>
      <c r="BB214" s="297"/>
      <c r="BC214" s="152"/>
      <c r="BD214" s="150"/>
      <c r="BE214" s="297"/>
      <c r="BF214" s="297"/>
      <c r="BG214" s="297"/>
      <c r="BH214" s="297"/>
      <c r="BI214" s="152"/>
      <c r="BJ214" s="170"/>
      <c r="BK214" s="148"/>
      <c r="BL214" s="324"/>
      <c r="BM214" s="324"/>
      <c r="BN214" s="170"/>
      <c r="BO214" s="149"/>
      <c r="BP214" s="170"/>
      <c r="BQ214" s="149"/>
      <c r="BR214" s="170"/>
      <c r="BS214" s="171"/>
      <c r="BT214" s="706"/>
    </row>
    <row r="215" spans="1:72" s="2" customFormat="1" ht="24.9" customHeight="1">
      <c r="A215" s="147"/>
      <c r="B215" s="158"/>
      <c r="C215" s="179"/>
      <c r="D215" s="158"/>
      <c r="E215" s="160"/>
      <c r="F215" s="161"/>
      <c r="G215" s="161"/>
      <c r="H215" s="161"/>
      <c r="I215" s="163"/>
      <c r="J215" s="161"/>
      <c r="K215" s="163"/>
      <c r="L215" s="150"/>
      <c r="M215" s="164"/>
      <c r="N215" s="150"/>
      <c r="O215" s="174"/>
      <c r="P215" s="523"/>
      <c r="Q215" s="523"/>
      <c r="R215" s="154"/>
      <c r="S215" s="155"/>
      <c r="T215" s="156"/>
      <c r="U215" s="154"/>
      <c r="V215" s="155"/>
      <c r="W215" s="155"/>
      <c r="X215" s="419"/>
      <c r="Y215" s="157"/>
      <c r="Z215" s="217"/>
      <c r="AA215" s="150"/>
      <c r="AB215" s="151"/>
      <c r="AC215" s="152"/>
      <c r="AD215" s="506"/>
      <c r="AE215" s="166"/>
      <c r="AF215" s="150"/>
      <c r="AG215" s="152"/>
      <c r="AH215" s="150"/>
      <c r="AI215" s="152"/>
      <c r="AJ215" s="150"/>
      <c r="AK215" s="152"/>
      <c r="AL215" s="150"/>
      <c r="AM215" s="151"/>
      <c r="AN215" s="151"/>
      <c r="AO215" s="169"/>
      <c r="AP215" s="169"/>
      <c r="AQ215" s="149"/>
      <c r="AR215" s="324"/>
      <c r="AS215" s="324"/>
      <c r="AT215" s="324"/>
      <c r="AU215" s="324"/>
      <c r="AV215" s="324"/>
      <c r="AW215" s="324"/>
      <c r="AX215" s="150"/>
      <c r="AY215" s="297"/>
      <c r="AZ215" s="297"/>
      <c r="BA215" s="297"/>
      <c r="BB215" s="297"/>
      <c r="BC215" s="152"/>
      <c r="BD215" s="150"/>
      <c r="BE215" s="297"/>
      <c r="BF215" s="297"/>
      <c r="BG215" s="297"/>
      <c r="BH215" s="297"/>
      <c r="BI215" s="152"/>
      <c r="BJ215" s="170"/>
      <c r="BK215" s="148"/>
      <c r="BL215" s="324"/>
      <c r="BM215" s="324"/>
      <c r="BN215" s="170"/>
      <c r="BO215" s="149"/>
      <c r="BP215" s="170"/>
      <c r="BQ215" s="149"/>
      <c r="BR215" s="170"/>
      <c r="BS215" s="171"/>
      <c r="BT215" s="707"/>
    </row>
    <row r="216" spans="1:72" s="2" customFormat="1" ht="24.9" customHeight="1">
      <c r="A216" s="147"/>
      <c r="B216" s="158"/>
      <c r="C216" s="179"/>
      <c r="D216" s="158"/>
      <c r="E216" s="160"/>
      <c r="F216" s="161"/>
      <c r="G216" s="161"/>
      <c r="H216" s="161"/>
      <c r="I216" s="163"/>
      <c r="J216" s="161"/>
      <c r="K216" s="163"/>
      <c r="L216" s="150"/>
      <c r="M216" s="164"/>
      <c r="N216" s="150"/>
      <c r="O216" s="174"/>
      <c r="P216" s="523"/>
      <c r="Q216" s="523"/>
      <c r="R216" s="154"/>
      <c r="S216" s="155"/>
      <c r="T216" s="156"/>
      <c r="U216" s="154"/>
      <c r="V216" s="155"/>
      <c r="W216" s="155"/>
      <c r="X216" s="419"/>
      <c r="Y216" s="157"/>
      <c r="Z216" s="217"/>
      <c r="AA216" s="150"/>
      <c r="AB216" s="151"/>
      <c r="AC216" s="152"/>
      <c r="AD216" s="506"/>
      <c r="AE216" s="166"/>
      <c r="AF216" s="150"/>
      <c r="AG216" s="152"/>
      <c r="AH216" s="150"/>
      <c r="AI216" s="152"/>
      <c r="AJ216" s="150"/>
      <c r="AK216" s="152"/>
      <c r="AL216" s="150"/>
      <c r="AM216" s="151"/>
      <c r="AN216" s="151"/>
      <c r="AO216" s="169"/>
      <c r="AP216" s="169"/>
      <c r="AQ216" s="149"/>
      <c r="AR216" s="324"/>
      <c r="AS216" s="324"/>
      <c r="AT216" s="324"/>
      <c r="AU216" s="324"/>
      <c r="AV216" s="324"/>
      <c r="AW216" s="324"/>
      <c r="AX216" s="150"/>
      <c r="AY216" s="297"/>
      <c r="AZ216" s="297"/>
      <c r="BA216" s="297"/>
      <c r="BB216" s="297"/>
      <c r="BC216" s="152"/>
      <c r="BD216" s="150"/>
      <c r="BE216" s="297"/>
      <c r="BF216" s="297"/>
      <c r="BG216" s="297"/>
      <c r="BH216" s="297"/>
      <c r="BI216" s="152"/>
      <c r="BJ216" s="170"/>
      <c r="BK216" s="148"/>
      <c r="BL216" s="324"/>
      <c r="BM216" s="324"/>
      <c r="BN216" s="170"/>
      <c r="BO216" s="149"/>
      <c r="BP216" s="170"/>
      <c r="BQ216" s="149"/>
      <c r="BR216" s="170"/>
      <c r="BS216" s="171"/>
      <c r="BT216" s="706"/>
    </row>
    <row r="217" spans="1:72" s="2" customFormat="1" ht="24.9" customHeight="1">
      <c r="A217" s="147"/>
      <c r="B217" s="158"/>
      <c r="C217" s="179"/>
      <c r="D217" s="158"/>
      <c r="E217" s="160"/>
      <c r="F217" s="161"/>
      <c r="G217" s="161"/>
      <c r="H217" s="161"/>
      <c r="I217" s="163"/>
      <c r="J217" s="161"/>
      <c r="K217" s="163"/>
      <c r="L217" s="150"/>
      <c r="M217" s="164"/>
      <c r="N217" s="150"/>
      <c r="O217" s="151"/>
      <c r="P217" s="522"/>
      <c r="Q217" s="522"/>
      <c r="R217" s="154"/>
      <c r="S217" s="155"/>
      <c r="T217" s="156"/>
      <c r="U217" s="154"/>
      <c r="V217" s="155"/>
      <c r="W217" s="155"/>
      <c r="X217" s="419"/>
      <c r="Y217" s="157"/>
      <c r="Z217" s="217"/>
      <c r="AA217" s="150"/>
      <c r="AB217" s="151"/>
      <c r="AC217" s="152"/>
      <c r="AD217" s="506"/>
      <c r="AE217" s="166"/>
      <c r="AF217" s="150"/>
      <c r="AG217" s="152"/>
      <c r="AH217" s="150"/>
      <c r="AI217" s="152"/>
      <c r="AJ217" s="150"/>
      <c r="AK217" s="152"/>
      <c r="AL217" s="150"/>
      <c r="AM217" s="151"/>
      <c r="AN217" s="151"/>
      <c r="AO217" s="169"/>
      <c r="AP217" s="169"/>
      <c r="AQ217" s="149"/>
      <c r="AR217" s="324"/>
      <c r="AS217" s="324"/>
      <c r="AT217" s="324"/>
      <c r="AU217" s="324"/>
      <c r="AV217" s="324"/>
      <c r="AW217" s="324"/>
      <c r="AX217" s="150"/>
      <c r="AY217" s="297"/>
      <c r="AZ217" s="297"/>
      <c r="BA217" s="297"/>
      <c r="BB217" s="297"/>
      <c r="BC217" s="152"/>
      <c r="BD217" s="150"/>
      <c r="BE217" s="297"/>
      <c r="BF217" s="297"/>
      <c r="BG217" s="297"/>
      <c r="BH217" s="297"/>
      <c r="BI217" s="152"/>
      <c r="BJ217" s="170"/>
      <c r="BK217" s="148"/>
      <c r="BL217" s="324"/>
      <c r="BM217" s="324"/>
      <c r="BN217" s="170"/>
      <c r="BO217" s="149"/>
      <c r="BP217" s="170"/>
      <c r="BQ217" s="149"/>
      <c r="BR217" s="170"/>
      <c r="BS217" s="171"/>
      <c r="BT217" s="708"/>
    </row>
    <row r="218" spans="1:72" s="2" customFormat="1" ht="24.9" customHeight="1">
      <c r="A218" s="147"/>
      <c r="B218" s="158"/>
      <c r="C218" s="179"/>
      <c r="D218" s="158"/>
      <c r="E218" s="160"/>
      <c r="F218" s="161"/>
      <c r="G218" s="161"/>
      <c r="H218" s="161"/>
      <c r="I218" s="163"/>
      <c r="J218" s="161"/>
      <c r="K218" s="163"/>
      <c r="L218" s="150"/>
      <c r="M218" s="164"/>
      <c r="N218" s="150"/>
      <c r="O218" s="174"/>
      <c r="P218" s="523"/>
      <c r="Q218" s="523"/>
      <c r="R218" s="154"/>
      <c r="S218" s="155"/>
      <c r="T218" s="156"/>
      <c r="U218" s="154"/>
      <c r="V218" s="155"/>
      <c r="W218" s="155"/>
      <c r="X218" s="419"/>
      <c r="Y218" s="157"/>
      <c r="Z218" s="217"/>
      <c r="AA218" s="150"/>
      <c r="AB218" s="151"/>
      <c r="AC218" s="152"/>
      <c r="AD218" s="506"/>
      <c r="AE218" s="166"/>
      <c r="AF218" s="150"/>
      <c r="AG218" s="152"/>
      <c r="AH218" s="150"/>
      <c r="AI218" s="152"/>
      <c r="AJ218" s="150"/>
      <c r="AK218" s="152"/>
      <c r="AL218" s="150"/>
      <c r="AM218" s="151"/>
      <c r="AN218" s="151"/>
      <c r="AO218" s="169"/>
      <c r="AP218" s="169"/>
      <c r="AQ218" s="149"/>
      <c r="AR218" s="324"/>
      <c r="AS218" s="324"/>
      <c r="AT218" s="324"/>
      <c r="AU218" s="324"/>
      <c r="AV218" s="324"/>
      <c r="AW218" s="324"/>
      <c r="AX218" s="150"/>
      <c r="AY218" s="297"/>
      <c r="AZ218" s="297"/>
      <c r="BA218" s="297"/>
      <c r="BB218" s="297"/>
      <c r="BC218" s="152"/>
      <c r="BD218" s="150"/>
      <c r="BE218" s="297"/>
      <c r="BF218" s="297"/>
      <c r="BG218" s="297"/>
      <c r="BH218" s="297"/>
      <c r="BI218" s="152"/>
      <c r="BJ218" s="170"/>
      <c r="BK218" s="148"/>
      <c r="BL218" s="324"/>
      <c r="BM218" s="324"/>
      <c r="BN218" s="170"/>
      <c r="BO218" s="149"/>
      <c r="BP218" s="170"/>
      <c r="BQ218" s="149"/>
      <c r="BR218" s="170"/>
      <c r="BS218" s="171"/>
      <c r="BT218" s="707"/>
    </row>
    <row r="219" spans="1:72" s="2" customFormat="1" ht="24.9" customHeight="1">
      <c r="A219" s="147"/>
      <c r="B219" s="158"/>
      <c r="C219" s="179"/>
      <c r="D219" s="158"/>
      <c r="E219" s="160"/>
      <c r="F219" s="161"/>
      <c r="G219" s="161"/>
      <c r="H219" s="161"/>
      <c r="I219" s="163"/>
      <c r="J219" s="161"/>
      <c r="K219" s="163"/>
      <c r="L219" s="150"/>
      <c r="M219" s="164"/>
      <c r="N219" s="150"/>
      <c r="O219" s="174"/>
      <c r="P219" s="523"/>
      <c r="Q219" s="523"/>
      <c r="R219" s="154"/>
      <c r="S219" s="155"/>
      <c r="T219" s="156"/>
      <c r="U219" s="154"/>
      <c r="V219" s="155"/>
      <c r="W219" s="155"/>
      <c r="X219" s="419"/>
      <c r="Y219" s="157"/>
      <c r="Z219" s="217"/>
      <c r="AA219" s="150"/>
      <c r="AB219" s="151"/>
      <c r="AC219" s="152"/>
      <c r="AD219" s="506"/>
      <c r="AE219" s="166"/>
      <c r="AF219" s="150"/>
      <c r="AG219" s="152"/>
      <c r="AH219" s="150"/>
      <c r="AI219" s="152"/>
      <c r="AJ219" s="150"/>
      <c r="AK219" s="152"/>
      <c r="AL219" s="150"/>
      <c r="AM219" s="151"/>
      <c r="AN219" s="151"/>
      <c r="AO219" s="169"/>
      <c r="AP219" s="169"/>
      <c r="AQ219" s="149"/>
      <c r="AR219" s="324"/>
      <c r="AS219" s="324"/>
      <c r="AT219" s="324"/>
      <c r="AU219" s="324"/>
      <c r="AV219" s="324"/>
      <c r="AW219" s="324"/>
      <c r="AX219" s="150"/>
      <c r="AY219" s="297"/>
      <c r="AZ219" s="297"/>
      <c r="BA219" s="297"/>
      <c r="BB219" s="297"/>
      <c r="BC219" s="152"/>
      <c r="BD219" s="150"/>
      <c r="BE219" s="297"/>
      <c r="BF219" s="297"/>
      <c r="BG219" s="297"/>
      <c r="BH219" s="297"/>
      <c r="BI219" s="152"/>
      <c r="BJ219" s="170"/>
      <c r="BK219" s="148"/>
      <c r="BL219" s="324"/>
      <c r="BM219" s="324"/>
      <c r="BN219" s="170"/>
      <c r="BO219" s="149"/>
      <c r="BP219" s="170"/>
      <c r="BQ219" s="149"/>
      <c r="BR219" s="170"/>
      <c r="BS219" s="171"/>
      <c r="BT219" s="706"/>
    </row>
    <row r="220" spans="1:72" s="2" customFormat="1" ht="24.9" customHeight="1">
      <c r="A220" s="147"/>
      <c r="B220" s="158"/>
      <c r="C220" s="179"/>
      <c r="D220" s="158"/>
      <c r="E220" s="160"/>
      <c r="F220" s="161"/>
      <c r="G220" s="161"/>
      <c r="H220" s="161"/>
      <c r="I220" s="163"/>
      <c r="J220" s="161"/>
      <c r="K220" s="163"/>
      <c r="L220" s="150"/>
      <c r="M220" s="164"/>
      <c r="N220" s="150"/>
      <c r="O220" s="174"/>
      <c r="P220" s="523"/>
      <c r="Q220" s="523"/>
      <c r="R220" s="154"/>
      <c r="S220" s="155"/>
      <c r="T220" s="156"/>
      <c r="U220" s="154"/>
      <c r="V220" s="155"/>
      <c r="W220" s="155"/>
      <c r="X220" s="419"/>
      <c r="Y220" s="157"/>
      <c r="Z220" s="217"/>
      <c r="AA220" s="150"/>
      <c r="AB220" s="151"/>
      <c r="AC220" s="152"/>
      <c r="AD220" s="506"/>
      <c r="AE220" s="166"/>
      <c r="AF220" s="150"/>
      <c r="AG220" s="152"/>
      <c r="AH220" s="150"/>
      <c r="AI220" s="152"/>
      <c r="AJ220" s="150"/>
      <c r="AK220" s="152"/>
      <c r="AL220" s="150"/>
      <c r="AM220" s="151"/>
      <c r="AN220" s="151"/>
      <c r="AO220" s="169"/>
      <c r="AP220" s="169"/>
      <c r="AQ220" s="149"/>
      <c r="AR220" s="324"/>
      <c r="AS220" s="324"/>
      <c r="AT220" s="324"/>
      <c r="AU220" s="324"/>
      <c r="AV220" s="324"/>
      <c r="AW220" s="324"/>
      <c r="AX220" s="150"/>
      <c r="AY220" s="297"/>
      <c r="AZ220" s="297"/>
      <c r="BA220" s="297"/>
      <c r="BB220" s="297"/>
      <c r="BC220" s="152"/>
      <c r="BD220" s="150"/>
      <c r="BE220" s="297"/>
      <c r="BF220" s="297"/>
      <c r="BG220" s="297"/>
      <c r="BH220" s="297"/>
      <c r="BI220" s="152"/>
      <c r="BJ220" s="170"/>
      <c r="BK220" s="148"/>
      <c r="BL220" s="324"/>
      <c r="BM220" s="324"/>
      <c r="BN220" s="170"/>
      <c r="BO220" s="149"/>
      <c r="BP220" s="170"/>
      <c r="BQ220" s="149"/>
      <c r="BR220" s="170"/>
      <c r="BS220" s="171"/>
      <c r="BT220" s="707"/>
    </row>
    <row r="221" spans="1:72" s="2" customFormat="1" ht="24.9" customHeight="1">
      <c r="A221" s="147"/>
      <c r="B221" s="158"/>
      <c r="C221" s="179"/>
      <c r="D221" s="158"/>
      <c r="E221" s="160"/>
      <c r="F221" s="161"/>
      <c r="G221" s="161"/>
      <c r="H221" s="161"/>
      <c r="I221" s="163"/>
      <c r="J221" s="161"/>
      <c r="K221" s="163"/>
      <c r="L221" s="150"/>
      <c r="M221" s="164"/>
      <c r="N221" s="150"/>
      <c r="O221" s="174"/>
      <c r="P221" s="523"/>
      <c r="Q221" s="523"/>
      <c r="R221" s="154"/>
      <c r="S221" s="155"/>
      <c r="T221" s="156"/>
      <c r="U221" s="154"/>
      <c r="V221" s="155"/>
      <c r="W221" s="155"/>
      <c r="X221" s="419"/>
      <c r="Y221" s="157"/>
      <c r="Z221" s="217"/>
      <c r="AA221" s="150"/>
      <c r="AB221" s="151"/>
      <c r="AC221" s="152"/>
      <c r="AD221" s="506"/>
      <c r="AE221" s="166"/>
      <c r="AF221" s="150"/>
      <c r="AG221" s="152"/>
      <c r="AH221" s="150"/>
      <c r="AI221" s="152"/>
      <c r="AJ221" s="150"/>
      <c r="AK221" s="152"/>
      <c r="AL221" s="150"/>
      <c r="AM221" s="151"/>
      <c r="AN221" s="151"/>
      <c r="AO221" s="169"/>
      <c r="AP221" s="169"/>
      <c r="AQ221" s="149"/>
      <c r="AR221" s="324"/>
      <c r="AS221" s="324"/>
      <c r="AT221" s="324"/>
      <c r="AU221" s="324"/>
      <c r="AV221" s="324"/>
      <c r="AW221" s="324"/>
      <c r="AX221" s="150"/>
      <c r="AY221" s="297"/>
      <c r="AZ221" s="297"/>
      <c r="BA221" s="297"/>
      <c r="BB221" s="297"/>
      <c r="BC221" s="152"/>
      <c r="BD221" s="150"/>
      <c r="BE221" s="297"/>
      <c r="BF221" s="297"/>
      <c r="BG221" s="297"/>
      <c r="BH221" s="297"/>
      <c r="BI221" s="152"/>
      <c r="BJ221" s="170"/>
      <c r="BK221" s="148"/>
      <c r="BL221" s="324"/>
      <c r="BM221" s="324"/>
      <c r="BN221" s="170"/>
      <c r="BO221" s="149"/>
      <c r="BP221" s="170"/>
      <c r="BQ221" s="149"/>
      <c r="BR221" s="170"/>
      <c r="BS221" s="171"/>
      <c r="BT221" s="706"/>
    </row>
    <row r="222" spans="1:72" s="2" customFormat="1" ht="24.9" customHeight="1">
      <c r="A222" s="147"/>
      <c r="B222" s="158"/>
      <c r="C222" s="179"/>
      <c r="D222" s="158"/>
      <c r="E222" s="160"/>
      <c r="F222" s="161"/>
      <c r="G222" s="161"/>
      <c r="H222" s="161"/>
      <c r="I222" s="163"/>
      <c r="J222" s="161"/>
      <c r="K222" s="163"/>
      <c r="L222" s="150"/>
      <c r="M222" s="164"/>
      <c r="N222" s="150"/>
      <c r="O222" s="174"/>
      <c r="P222" s="523"/>
      <c r="Q222" s="523"/>
      <c r="R222" s="154"/>
      <c r="S222" s="155"/>
      <c r="T222" s="156"/>
      <c r="U222" s="154"/>
      <c r="V222" s="155"/>
      <c r="W222" s="155"/>
      <c r="X222" s="419"/>
      <c r="Y222" s="157"/>
      <c r="Z222" s="217"/>
      <c r="AA222" s="150"/>
      <c r="AB222" s="151"/>
      <c r="AC222" s="152"/>
      <c r="AD222" s="506"/>
      <c r="AE222" s="166"/>
      <c r="AF222" s="150"/>
      <c r="AG222" s="152"/>
      <c r="AH222" s="150"/>
      <c r="AI222" s="152"/>
      <c r="AJ222" s="150"/>
      <c r="AK222" s="152"/>
      <c r="AL222" s="150"/>
      <c r="AM222" s="151"/>
      <c r="AN222" s="151"/>
      <c r="AO222" s="169"/>
      <c r="AP222" s="169"/>
      <c r="AQ222" s="149"/>
      <c r="AR222" s="324"/>
      <c r="AS222" s="324"/>
      <c r="AT222" s="324"/>
      <c r="AU222" s="324"/>
      <c r="AV222" s="324"/>
      <c r="AW222" s="324"/>
      <c r="AX222" s="150"/>
      <c r="AY222" s="297"/>
      <c r="AZ222" s="297"/>
      <c r="BA222" s="297"/>
      <c r="BB222" s="297"/>
      <c r="BC222" s="152"/>
      <c r="BD222" s="150"/>
      <c r="BE222" s="297"/>
      <c r="BF222" s="297"/>
      <c r="BG222" s="297"/>
      <c r="BH222" s="297"/>
      <c r="BI222" s="152"/>
      <c r="BJ222" s="170"/>
      <c r="BK222" s="148"/>
      <c r="BL222" s="324"/>
      <c r="BM222" s="324"/>
      <c r="BN222" s="170"/>
      <c r="BO222" s="149"/>
      <c r="BP222" s="170"/>
      <c r="BQ222" s="149"/>
      <c r="BR222" s="170"/>
      <c r="BS222" s="171"/>
      <c r="BT222" s="707"/>
    </row>
    <row r="223" spans="1:72" s="2" customFormat="1" ht="24.9" customHeight="1">
      <c r="A223" s="147"/>
      <c r="B223" s="158"/>
      <c r="C223" s="179"/>
      <c r="D223" s="158"/>
      <c r="E223" s="160"/>
      <c r="F223" s="161"/>
      <c r="G223" s="161"/>
      <c r="H223" s="161"/>
      <c r="I223" s="163"/>
      <c r="J223" s="161"/>
      <c r="K223" s="163"/>
      <c r="L223" s="150"/>
      <c r="M223" s="164"/>
      <c r="N223" s="150"/>
      <c r="O223" s="174"/>
      <c r="P223" s="523"/>
      <c r="Q223" s="523"/>
      <c r="R223" s="154"/>
      <c r="S223" s="155"/>
      <c r="T223" s="156"/>
      <c r="U223" s="154"/>
      <c r="V223" s="155"/>
      <c r="W223" s="155"/>
      <c r="X223" s="419"/>
      <c r="Y223" s="157"/>
      <c r="Z223" s="217"/>
      <c r="AA223" s="150"/>
      <c r="AB223" s="151"/>
      <c r="AC223" s="152"/>
      <c r="AD223" s="506"/>
      <c r="AE223" s="166"/>
      <c r="AF223" s="150"/>
      <c r="AG223" s="152"/>
      <c r="AH223" s="150"/>
      <c r="AI223" s="152"/>
      <c r="AJ223" s="150"/>
      <c r="AK223" s="152"/>
      <c r="AL223" s="150"/>
      <c r="AM223" s="151"/>
      <c r="AN223" s="151"/>
      <c r="AO223" s="169"/>
      <c r="AP223" s="169"/>
      <c r="AQ223" s="149"/>
      <c r="AR223" s="324"/>
      <c r="AS223" s="324"/>
      <c r="AT223" s="324"/>
      <c r="AU223" s="324"/>
      <c r="AV223" s="324"/>
      <c r="AW223" s="324"/>
      <c r="AX223" s="150"/>
      <c r="AY223" s="297"/>
      <c r="AZ223" s="297"/>
      <c r="BA223" s="297"/>
      <c r="BB223" s="297"/>
      <c r="BC223" s="152"/>
      <c r="BD223" s="150"/>
      <c r="BE223" s="297"/>
      <c r="BF223" s="297"/>
      <c r="BG223" s="297"/>
      <c r="BH223" s="297"/>
      <c r="BI223" s="152"/>
      <c r="BJ223" s="170"/>
      <c r="BK223" s="148"/>
      <c r="BL223" s="324"/>
      <c r="BM223" s="324"/>
      <c r="BN223" s="170"/>
      <c r="BO223" s="149"/>
      <c r="BP223" s="170"/>
      <c r="BQ223" s="149"/>
      <c r="BR223" s="170"/>
      <c r="BS223" s="171"/>
      <c r="BT223" s="706"/>
    </row>
    <row r="224" spans="1:72" s="2" customFormat="1" ht="24.9" customHeight="1">
      <c r="A224" s="147"/>
      <c r="B224" s="158"/>
      <c r="C224" s="179"/>
      <c r="D224" s="158"/>
      <c r="E224" s="160"/>
      <c r="F224" s="161"/>
      <c r="G224" s="161"/>
      <c r="H224" s="161"/>
      <c r="I224" s="163"/>
      <c r="J224" s="161"/>
      <c r="K224" s="163"/>
      <c r="L224" s="150"/>
      <c r="M224" s="164"/>
      <c r="N224" s="150"/>
      <c r="O224" s="151"/>
      <c r="P224" s="522"/>
      <c r="Q224" s="522"/>
      <c r="R224" s="154"/>
      <c r="S224" s="155"/>
      <c r="T224" s="156"/>
      <c r="U224" s="154"/>
      <c r="V224" s="155"/>
      <c r="W224" s="155"/>
      <c r="X224" s="419"/>
      <c r="Y224" s="157"/>
      <c r="Z224" s="217"/>
      <c r="AA224" s="150"/>
      <c r="AB224" s="151"/>
      <c r="AC224" s="152"/>
      <c r="AD224" s="506"/>
      <c r="AE224" s="166"/>
      <c r="AF224" s="150"/>
      <c r="AG224" s="152"/>
      <c r="AH224" s="150"/>
      <c r="AI224" s="152"/>
      <c r="AJ224" s="150"/>
      <c r="AK224" s="152"/>
      <c r="AL224" s="150"/>
      <c r="AM224" s="151"/>
      <c r="AN224" s="151"/>
      <c r="AO224" s="169"/>
      <c r="AP224" s="169"/>
      <c r="AQ224" s="149"/>
      <c r="AR224" s="324"/>
      <c r="AS224" s="324"/>
      <c r="AT224" s="324"/>
      <c r="AU224" s="324"/>
      <c r="AV224" s="324"/>
      <c r="AW224" s="324"/>
      <c r="AX224" s="150"/>
      <c r="AY224" s="297"/>
      <c r="AZ224" s="297"/>
      <c r="BA224" s="297"/>
      <c r="BB224" s="297"/>
      <c r="BC224" s="152"/>
      <c r="BD224" s="150"/>
      <c r="BE224" s="297"/>
      <c r="BF224" s="297"/>
      <c r="BG224" s="297"/>
      <c r="BH224" s="297"/>
      <c r="BI224" s="152"/>
      <c r="BJ224" s="170"/>
      <c r="BK224" s="148"/>
      <c r="BL224" s="324"/>
      <c r="BM224" s="324"/>
      <c r="BN224" s="170"/>
      <c r="BO224" s="149"/>
      <c r="BP224" s="170"/>
      <c r="BQ224" s="149"/>
      <c r="BR224" s="170"/>
      <c r="BS224" s="171"/>
      <c r="BT224" s="708"/>
    </row>
    <row r="225" spans="1:72" s="2" customFormat="1" ht="24.9" customHeight="1">
      <c r="A225" s="147"/>
      <c r="B225" s="158"/>
      <c r="C225" s="179"/>
      <c r="D225" s="158"/>
      <c r="E225" s="160"/>
      <c r="F225" s="161"/>
      <c r="G225" s="161"/>
      <c r="H225" s="161"/>
      <c r="I225" s="163"/>
      <c r="J225" s="161"/>
      <c r="K225" s="163"/>
      <c r="L225" s="150"/>
      <c r="M225" s="164"/>
      <c r="N225" s="150"/>
      <c r="O225" s="174"/>
      <c r="P225" s="523"/>
      <c r="Q225" s="523"/>
      <c r="R225" s="154"/>
      <c r="S225" s="155"/>
      <c r="T225" s="156"/>
      <c r="U225" s="154"/>
      <c r="V225" s="155"/>
      <c r="W225" s="155"/>
      <c r="X225" s="419"/>
      <c r="Y225" s="157"/>
      <c r="Z225" s="217"/>
      <c r="AA225" s="150"/>
      <c r="AB225" s="151"/>
      <c r="AC225" s="152"/>
      <c r="AD225" s="506"/>
      <c r="AE225" s="166"/>
      <c r="AF225" s="150"/>
      <c r="AG225" s="152"/>
      <c r="AH225" s="150"/>
      <c r="AI225" s="152"/>
      <c r="AJ225" s="150"/>
      <c r="AK225" s="152"/>
      <c r="AL225" s="150"/>
      <c r="AM225" s="151"/>
      <c r="AN225" s="151"/>
      <c r="AO225" s="169"/>
      <c r="AP225" s="169"/>
      <c r="AQ225" s="149"/>
      <c r="AR225" s="324"/>
      <c r="AS225" s="324"/>
      <c r="AT225" s="324"/>
      <c r="AU225" s="324"/>
      <c r="AV225" s="324"/>
      <c r="AW225" s="324"/>
      <c r="AX225" s="150"/>
      <c r="AY225" s="297"/>
      <c r="AZ225" s="297"/>
      <c r="BA225" s="297"/>
      <c r="BB225" s="297"/>
      <c r="BC225" s="152"/>
      <c r="BD225" s="150"/>
      <c r="BE225" s="297"/>
      <c r="BF225" s="297"/>
      <c r="BG225" s="297"/>
      <c r="BH225" s="297"/>
      <c r="BI225" s="152"/>
      <c r="BJ225" s="170"/>
      <c r="BK225" s="148"/>
      <c r="BL225" s="324"/>
      <c r="BM225" s="324"/>
      <c r="BN225" s="170"/>
      <c r="BO225" s="149"/>
      <c r="BP225" s="170"/>
      <c r="BQ225" s="149"/>
      <c r="BR225" s="170"/>
      <c r="BS225" s="171"/>
      <c r="BT225" s="707"/>
    </row>
    <row r="226" spans="1:72" s="2" customFormat="1" ht="24.9" customHeight="1">
      <c r="A226" s="147"/>
      <c r="B226" s="158"/>
      <c r="C226" s="179"/>
      <c r="D226" s="158"/>
      <c r="E226" s="160"/>
      <c r="F226" s="161"/>
      <c r="G226" s="161"/>
      <c r="H226" s="161"/>
      <c r="I226" s="163"/>
      <c r="J226" s="161"/>
      <c r="K226" s="163"/>
      <c r="L226" s="150"/>
      <c r="M226" s="164"/>
      <c r="N226" s="150"/>
      <c r="O226" s="174"/>
      <c r="P226" s="523"/>
      <c r="Q226" s="523"/>
      <c r="R226" s="154"/>
      <c r="S226" s="155"/>
      <c r="T226" s="156"/>
      <c r="U226" s="154"/>
      <c r="V226" s="155"/>
      <c r="W226" s="155"/>
      <c r="X226" s="419"/>
      <c r="Y226" s="157"/>
      <c r="Z226" s="217"/>
      <c r="AA226" s="150"/>
      <c r="AB226" s="151"/>
      <c r="AC226" s="152"/>
      <c r="AD226" s="506"/>
      <c r="AE226" s="166"/>
      <c r="AF226" s="150"/>
      <c r="AG226" s="152"/>
      <c r="AH226" s="150"/>
      <c r="AI226" s="152"/>
      <c r="AJ226" s="150"/>
      <c r="AK226" s="152"/>
      <c r="AL226" s="150"/>
      <c r="AM226" s="151"/>
      <c r="AN226" s="151"/>
      <c r="AO226" s="169"/>
      <c r="AP226" s="169"/>
      <c r="AQ226" s="149"/>
      <c r="AR226" s="324"/>
      <c r="AS226" s="324"/>
      <c r="AT226" s="324"/>
      <c r="AU226" s="324"/>
      <c r="AV226" s="324"/>
      <c r="AW226" s="324"/>
      <c r="AX226" s="150"/>
      <c r="AY226" s="297"/>
      <c r="AZ226" s="297"/>
      <c r="BA226" s="297"/>
      <c r="BB226" s="297"/>
      <c r="BC226" s="152"/>
      <c r="BD226" s="150"/>
      <c r="BE226" s="297"/>
      <c r="BF226" s="297"/>
      <c r="BG226" s="297"/>
      <c r="BH226" s="297"/>
      <c r="BI226" s="152"/>
      <c r="BJ226" s="170"/>
      <c r="BK226" s="148"/>
      <c r="BL226" s="324"/>
      <c r="BM226" s="324"/>
      <c r="BN226" s="170"/>
      <c r="BO226" s="149"/>
      <c r="BP226" s="170"/>
      <c r="BQ226" s="149"/>
      <c r="BR226" s="170"/>
      <c r="BS226" s="171"/>
      <c r="BT226" s="706"/>
    </row>
    <row r="227" spans="1:72" s="2" customFormat="1" ht="24.9" customHeight="1">
      <c r="A227" s="147"/>
      <c r="B227" s="158"/>
      <c r="C227" s="179"/>
      <c r="D227" s="158"/>
      <c r="E227" s="160"/>
      <c r="F227" s="161"/>
      <c r="G227" s="161"/>
      <c r="H227" s="161"/>
      <c r="I227" s="163"/>
      <c r="J227" s="161"/>
      <c r="K227" s="163"/>
      <c r="L227" s="150"/>
      <c r="M227" s="164"/>
      <c r="N227" s="150"/>
      <c r="O227" s="174"/>
      <c r="P227" s="523"/>
      <c r="Q227" s="523"/>
      <c r="R227" s="154"/>
      <c r="S227" s="155"/>
      <c r="T227" s="156"/>
      <c r="U227" s="154"/>
      <c r="V227" s="155"/>
      <c r="W227" s="155"/>
      <c r="X227" s="419"/>
      <c r="Y227" s="157"/>
      <c r="Z227" s="217"/>
      <c r="AA227" s="150"/>
      <c r="AB227" s="151"/>
      <c r="AC227" s="152"/>
      <c r="AD227" s="506"/>
      <c r="AE227" s="166"/>
      <c r="AF227" s="150"/>
      <c r="AG227" s="152"/>
      <c r="AH227" s="150"/>
      <c r="AI227" s="152"/>
      <c r="AJ227" s="150"/>
      <c r="AK227" s="152"/>
      <c r="AL227" s="150"/>
      <c r="AM227" s="151"/>
      <c r="AN227" s="151"/>
      <c r="AO227" s="169"/>
      <c r="AP227" s="169"/>
      <c r="AQ227" s="149"/>
      <c r="AR227" s="324"/>
      <c r="AS227" s="324"/>
      <c r="AT227" s="324"/>
      <c r="AU227" s="324"/>
      <c r="AV227" s="324"/>
      <c r="AW227" s="324"/>
      <c r="AX227" s="150"/>
      <c r="AY227" s="297"/>
      <c r="AZ227" s="297"/>
      <c r="BA227" s="297"/>
      <c r="BB227" s="297"/>
      <c r="BC227" s="152"/>
      <c r="BD227" s="150"/>
      <c r="BE227" s="297"/>
      <c r="BF227" s="297"/>
      <c r="BG227" s="297"/>
      <c r="BH227" s="297"/>
      <c r="BI227" s="152"/>
      <c r="BJ227" s="170"/>
      <c r="BK227" s="148"/>
      <c r="BL227" s="324"/>
      <c r="BM227" s="324"/>
      <c r="BN227" s="170"/>
      <c r="BO227" s="149"/>
      <c r="BP227" s="170"/>
      <c r="BQ227" s="149"/>
      <c r="BR227" s="170"/>
      <c r="BS227" s="171"/>
      <c r="BT227" s="708"/>
    </row>
    <row r="228" spans="1:72" s="2" customFormat="1" ht="24.9" customHeight="1">
      <c r="A228" s="147"/>
      <c r="B228" s="158"/>
      <c r="C228" s="179"/>
      <c r="D228" s="158"/>
      <c r="E228" s="160"/>
      <c r="F228" s="161"/>
      <c r="G228" s="161"/>
      <c r="H228" s="161"/>
      <c r="I228" s="163"/>
      <c r="J228" s="161"/>
      <c r="K228" s="163"/>
      <c r="L228" s="150"/>
      <c r="M228" s="164"/>
      <c r="N228" s="150"/>
      <c r="O228" s="174"/>
      <c r="P228" s="523"/>
      <c r="Q228" s="523"/>
      <c r="R228" s="154"/>
      <c r="S228" s="155"/>
      <c r="T228" s="156"/>
      <c r="U228" s="154"/>
      <c r="V228" s="155"/>
      <c r="W228" s="155"/>
      <c r="X228" s="419"/>
      <c r="Y228" s="157"/>
      <c r="Z228" s="217"/>
      <c r="AA228" s="150"/>
      <c r="AB228" s="151"/>
      <c r="AC228" s="152"/>
      <c r="AD228" s="506"/>
      <c r="AE228" s="166"/>
      <c r="AF228" s="150"/>
      <c r="AG228" s="152"/>
      <c r="AH228" s="150"/>
      <c r="AI228" s="152"/>
      <c r="AJ228" s="150"/>
      <c r="AK228" s="152"/>
      <c r="AL228" s="150"/>
      <c r="AM228" s="151"/>
      <c r="AN228" s="151"/>
      <c r="AO228" s="169"/>
      <c r="AP228" s="169"/>
      <c r="AQ228" s="149"/>
      <c r="AR228" s="324"/>
      <c r="AS228" s="324"/>
      <c r="AT228" s="324"/>
      <c r="AU228" s="324"/>
      <c r="AV228" s="324"/>
      <c r="AW228" s="324"/>
      <c r="AX228" s="150"/>
      <c r="AY228" s="297"/>
      <c r="AZ228" s="297"/>
      <c r="BA228" s="297"/>
      <c r="BB228" s="297"/>
      <c r="BC228" s="152"/>
      <c r="BD228" s="150"/>
      <c r="BE228" s="297"/>
      <c r="BF228" s="297"/>
      <c r="BG228" s="297"/>
      <c r="BH228" s="297"/>
      <c r="BI228" s="152"/>
      <c r="BJ228" s="170"/>
      <c r="BK228" s="148"/>
      <c r="BL228" s="324"/>
      <c r="BM228" s="324"/>
      <c r="BN228" s="170"/>
      <c r="BO228" s="149"/>
      <c r="BP228" s="170"/>
      <c r="BQ228" s="149"/>
      <c r="BR228" s="170"/>
      <c r="BS228" s="171"/>
      <c r="BT228" s="708"/>
    </row>
    <row r="229" spans="1:72" s="2" customFormat="1" ht="24.9" customHeight="1">
      <c r="A229" s="147"/>
      <c r="B229" s="158"/>
      <c r="C229" s="179"/>
      <c r="D229" s="158"/>
      <c r="E229" s="160"/>
      <c r="F229" s="161"/>
      <c r="G229" s="161"/>
      <c r="H229" s="161"/>
      <c r="I229" s="163"/>
      <c r="J229" s="161"/>
      <c r="K229" s="163"/>
      <c r="L229" s="150"/>
      <c r="M229" s="164"/>
      <c r="N229" s="150"/>
      <c r="O229" s="174"/>
      <c r="P229" s="523"/>
      <c r="Q229" s="523"/>
      <c r="R229" s="154"/>
      <c r="S229" s="155"/>
      <c r="T229" s="156"/>
      <c r="U229" s="154"/>
      <c r="V229" s="155"/>
      <c r="W229" s="155"/>
      <c r="X229" s="419"/>
      <c r="Y229" s="157"/>
      <c r="Z229" s="217"/>
      <c r="AA229" s="150"/>
      <c r="AB229" s="151"/>
      <c r="AC229" s="152"/>
      <c r="AD229" s="506"/>
      <c r="AE229" s="166"/>
      <c r="AF229" s="150"/>
      <c r="AG229" s="152"/>
      <c r="AH229" s="150"/>
      <c r="AI229" s="152"/>
      <c r="AJ229" s="150"/>
      <c r="AK229" s="152"/>
      <c r="AL229" s="150"/>
      <c r="AM229" s="151"/>
      <c r="AN229" s="151"/>
      <c r="AO229" s="169"/>
      <c r="AP229" s="169"/>
      <c r="AQ229" s="149"/>
      <c r="AR229" s="324"/>
      <c r="AS229" s="324"/>
      <c r="AT229" s="324"/>
      <c r="AU229" s="324"/>
      <c r="AV229" s="324"/>
      <c r="AW229" s="324"/>
      <c r="AX229" s="150"/>
      <c r="AY229" s="297"/>
      <c r="AZ229" s="297"/>
      <c r="BA229" s="297"/>
      <c r="BB229" s="297"/>
      <c r="BC229" s="152"/>
      <c r="BD229" s="150"/>
      <c r="BE229" s="297"/>
      <c r="BF229" s="297"/>
      <c r="BG229" s="297"/>
      <c r="BH229" s="297"/>
      <c r="BI229" s="152"/>
      <c r="BJ229" s="170"/>
      <c r="BK229" s="148"/>
      <c r="BL229" s="324"/>
      <c r="BM229" s="324"/>
      <c r="BN229" s="170"/>
      <c r="BO229" s="149"/>
      <c r="BP229" s="170"/>
      <c r="BQ229" s="149"/>
      <c r="BR229" s="170"/>
      <c r="BS229" s="171"/>
      <c r="BT229" s="707"/>
    </row>
    <row r="230" spans="1:72" s="2" customFormat="1" ht="24.9" customHeight="1">
      <c r="A230" s="147"/>
      <c r="B230" s="158"/>
      <c r="C230" s="179"/>
      <c r="D230" s="158"/>
      <c r="E230" s="160"/>
      <c r="F230" s="161"/>
      <c r="G230" s="161"/>
      <c r="H230" s="161"/>
      <c r="I230" s="163"/>
      <c r="J230" s="161"/>
      <c r="K230" s="163"/>
      <c r="L230" s="150"/>
      <c r="M230" s="164"/>
      <c r="N230" s="150"/>
      <c r="O230" s="174"/>
      <c r="P230" s="523"/>
      <c r="Q230" s="523"/>
      <c r="R230" s="154"/>
      <c r="S230" s="155"/>
      <c r="T230" s="156"/>
      <c r="U230" s="154"/>
      <c r="V230" s="155"/>
      <c r="W230" s="155"/>
      <c r="X230" s="419"/>
      <c r="Y230" s="157"/>
      <c r="Z230" s="217"/>
      <c r="AA230" s="150"/>
      <c r="AB230" s="151"/>
      <c r="AC230" s="152"/>
      <c r="AD230" s="506"/>
      <c r="AE230" s="166"/>
      <c r="AF230" s="150"/>
      <c r="AG230" s="152"/>
      <c r="AH230" s="150"/>
      <c r="AI230" s="152"/>
      <c r="AJ230" s="150"/>
      <c r="AK230" s="152"/>
      <c r="AL230" s="150"/>
      <c r="AM230" s="151"/>
      <c r="AN230" s="151"/>
      <c r="AO230" s="169"/>
      <c r="AP230" s="169"/>
      <c r="AQ230" s="149"/>
      <c r="AR230" s="324"/>
      <c r="AS230" s="324"/>
      <c r="AT230" s="324"/>
      <c r="AU230" s="324"/>
      <c r="AV230" s="324"/>
      <c r="AW230" s="324"/>
      <c r="AX230" s="150"/>
      <c r="AY230" s="297"/>
      <c r="AZ230" s="297"/>
      <c r="BA230" s="297"/>
      <c r="BB230" s="297"/>
      <c r="BC230" s="152"/>
      <c r="BD230" s="150"/>
      <c r="BE230" s="297"/>
      <c r="BF230" s="297"/>
      <c r="BG230" s="297"/>
      <c r="BH230" s="297"/>
      <c r="BI230" s="152"/>
      <c r="BJ230" s="170"/>
      <c r="BK230" s="148"/>
      <c r="BL230" s="324"/>
      <c r="BM230" s="324"/>
      <c r="BN230" s="170"/>
      <c r="BO230" s="149"/>
      <c r="BP230" s="170"/>
      <c r="BQ230" s="149"/>
      <c r="BR230" s="170"/>
      <c r="BS230" s="171"/>
      <c r="BT230" s="706"/>
    </row>
    <row r="231" spans="1:72" s="2" customFormat="1" ht="24.9" customHeight="1">
      <c r="A231" s="147"/>
      <c r="B231" s="158"/>
      <c r="C231" s="179"/>
      <c r="D231" s="158"/>
      <c r="E231" s="160"/>
      <c r="F231" s="161"/>
      <c r="G231" s="161"/>
      <c r="H231" s="161"/>
      <c r="I231" s="163"/>
      <c r="J231" s="161"/>
      <c r="K231" s="163"/>
      <c r="L231" s="150"/>
      <c r="M231" s="164"/>
      <c r="N231" s="150"/>
      <c r="O231" s="174"/>
      <c r="P231" s="523"/>
      <c r="Q231" s="523"/>
      <c r="R231" s="154"/>
      <c r="S231" s="155"/>
      <c r="T231" s="156"/>
      <c r="U231" s="154"/>
      <c r="V231" s="155"/>
      <c r="W231" s="155"/>
      <c r="X231" s="419"/>
      <c r="Y231" s="157"/>
      <c r="Z231" s="217"/>
      <c r="AA231" s="150"/>
      <c r="AB231" s="151"/>
      <c r="AC231" s="152"/>
      <c r="AD231" s="506"/>
      <c r="AE231" s="166"/>
      <c r="AF231" s="150"/>
      <c r="AG231" s="152"/>
      <c r="AH231" s="150"/>
      <c r="AI231" s="152"/>
      <c r="AJ231" s="150"/>
      <c r="AK231" s="152"/>
      <c r="AL231" s="150"/>
      <c r="AM231" s="151"/>
      <c r="AN231" s="151"/>
      <c r="AO231" s="169"/>
      <c r="AP231" s="169"/>
      <c r="AQ231" s="149"/>
      <c r="AR231" s="324"/>
      <c r="AS231" s="324"/>
      <c r="AT231" s="324"/>
      <c r="AU231" s="324"/>
      <c r="AV231" s="324"/>
      <c r="AW231" s="324"/>
      <c r="AX231" s="150"/>
      <c r="AY231" s="297"/>
      <c r="AZ231" s="297"/>
      <c r="BA231" s="297"/>
      <c r="BB231" s="297"/>
      <c r="BC231" s="152"/>
      <c r="BD231" s="150"/>
      <c r="BE231" s="297"/>
      <c r="BF231" s="297"/>
      <c r="BG231" s="297"/>
      <c r="BH231" s="297"/>
      <c r="BI231" s="152"/>
      <c r="BJ231" s="170"/>
      <c r="BK231" s="148"/>
      <c r="BL231" s="324"/>
      <c r="BM231" s="324"/>
      <c r="BN231" s="170"/>
      <c r="BO231" s="149"/>
      <c r="BP231" s="170"/>
      <c r="BQ231" s="149"/>
      <c r="BR231" s="170"/>
      <c r="BS231" s="171"/>
      <c r="BT231" s="707"/>
    </row>
    <row r="232" spans="1:72" s="2" customFormat="1" ht="24.9" customHeight="1">
      <c r="A232" s="147"/>
      <c r="B232" s="158"/>
      <c r="C232" s="179"/>
      <c r="D232" s="158"/>
      <c r="E232" s="160"/>
      <c r="F232" s="161"/>
      <c r="G232" s="161"/>
      <c r="H232" s="161"/>
      <c r="I232" s="163"/>
      <c r="J232" s="161"/>
      <c r="K232" s="163"/>
      <c r="L232" s="150"/>
      <c r="M232" s="164"/>
      <c r="N232" s="150"/>
      <c r="O232" s="174"/>
      <c r="P232" s="523"/>
      <c r="Q232" s="523"/>
      <c r="R232" s="154"/>
      <c r="S232" s="155"/>
      <c r="T232" s="156"/>
      <c r="U232" s="154"/>
      <c r="V232" s="155"/>
      <c r="W232" s="155"/>
      <c r="X232" s="419"/>
      <c r="Y232" s="157"/>
      <c r="Z232" s="217"/>
      <c r="AA232" s="150"/>
      <c r="AB232" s="151"/>
      <c r="AC232" s="152"/>
      <c r="AD232" s="506"/>
      <c r="AE232" s="166"/>
      <c r="AF232" s="150"/>
      <c r="AG232" s="152"/>
      <c r="AH232" s="150"/>
      <c r="AI232" s="152"/>
      <c r="AJ232" s="150"/>
      <c r="AK232" s="152"/>
      <c r="AL232" s="150"/>
      <c r="AM232" s="151"/>
      <c r="AN232" s="151"/>
      <c r="AO232" s="169"/>
      <c r="AP232" s="169"/>
      <c r="AQ232" s="149"/>
      <c r="AR232" s="324"/>
      <c r="AS232" s="324"/>
      <c r="AT232" s="324"/>
      <c r="AU232" s="324"/>
      <c r="AV232" s="324"/>
      <c r="AW232" s="324"/>
      <c r="AX232" s="150"/>
      <c r="AY232" s="297"/>
      <c r="AZ232" s="297"/>
      <c r="BA232" s="297"/>
      <c r="BB232" s="297"/>
      <c r="BC232" s="152"/>
      <c r="BD232" s="150"/>
      <c r="BE232" s="297"/>
      <c r="BF232" s="297"/>
      <c r="BG232" s="297"/>
      <c r="BH232" s="297"/>
      <c r="BI232" s="152"/>
      <c r="BJ232" s="170"/>
      <c r="BK232" s="148"/>
      <c r="BL232" s="324"/>
      <c r="BM232" s="324"/>
      <c r="BN232" s="170"/>
      <c r="BO232" s="149"/>
      <c r="BP232" s="170"/>
      <c r="BQ232" s="149"/>
      <c r="BR232" s="170"/>
      <c r="BS232" s="171"/>
      <c r="BT232" s="706"/>
    </row>
    <row r="233" spans="1:72" s="2" customFormat="1" ht="24.9" customHeight="1">
      <c r="A233" s="147"/>
      <c r="B233" s="158"/>
      <c r="C233" s="179"/>
      <c r="D233" s="158"/>
      <c r="E233" s="160"/>
      <c r="F233" s="161"/>
      <c r="G233" s="161"/>
      <c r="H233" s="161"/>
      <c r="I233" s="163"/>
      <c r="J233" s="161"/>
      <c r="K233" s="163"/>
      <c r="L233" s="150"/>
      <c r="M233" s="164"/>
      <c r="N233" s="150"/>
      <c r="O233" s="151"/>
      <c r="P233" s="522"/>
      <c r="Q233" s="522"/>
      <c r="R233" s="154"/>
      <c r="S233" s="155"/>
      <c r="T233" s="156"/>
      <c r="U233" s="154"/>
      <c r="V233" s="155"/>
      <c r="W233" s="155"/>
      <c r="X233" s="419"/>
      <c r="Y233" s="157"/>
      <c r="Z233" s="217"/>
      <c r="AA233" s="150"/>
      <c r="AB233" s="151"/>
      <c r="AC233" s="152"/>
      <c r="AD233" s="506"/>
      <c r="AE233" s="166"/>
      <c r="AF233" s="150"/>
      <c r="AG233" s="152"/>
      <c r="AH233" s="150"/>
      <c r="AI233" s="152"/>
      <c r="AJ233" s="150"/>
      <c r="AK233" s="152"/>
      <c r="AL233" s="150"/>
      <c r="AM233" s="151"/>
      <c r="AN233" s="151"/>
      <c r="AO233" s="169"/>
      <c r="AP233" s="169"/>
      <c r="AQ233" s="149"/>
      <c r="AR233" s="324"/>
      <c r="AS233" s="324"/>
      <c r="AT233" s="324"/>
      <c r="AU233" s="324"/>
      <c r="AV233" s="324"/>
      <c r="AW233" s="324"/>
      <c r="AX233" s="150"/>
      <c r="AY233" s="297"/>
      <c r="AZ233" s="297"/>
      <c r="BA233" s="297"/>
      <c r="BB233" s="297"/>
      <c r="BC233" s="152"/>
      <c r="BD233" s="150"/>
      <c r="BE233" s="297"/>
      <c r="BF233" s="297"/>
      <c r="BG233" s="297"/>
      <c r="BH233" s="297"/>
      <c r="BI233" s="152"/>
      <c r="BJ233" s="170"/>
      <c r="BK233" s="148"/>
      <c r="BL233" s="324"/>
      <c r="BM233" s="324"/>
      <c r="BN233" s="170"/>
      <c r="BO233" s="149"/>
      <c r="BP233" s="170"/>
      <c r="BQ233" s="149"/>
      <c r="BR233" s="170"/>
      <c r="BS233" s="171"/>
      <c r="BT233" s="708"/>
    </row>
    <row r="234" spans="1:72" s="2" customFormat="1" ht="24.9" customHeight="1">
      <c r="A234" s="147"/>
      <c r="B234" s="158"/>
      <c r="C234" s="179"/>
      <c r="D234" s="158"/>
      <c r="E234" s="160"/>
      <c r="F234" s="161"/>
      <c r="G234" s="161"/>
      <c r="H234" s="161"/>
      <c r="I234" s="163"/>
      <c r="J234" s="161"/>
      <c r="K234" s="163"/>
      <c r="L234" s="150"/>
      <c r="M234" s="164"/>
      <c r="N234" s="150"/>
      <c r="O234" s="174"/>
      <c r="P234" s="523"/>
      <c r="Q234" s="523"/>
      <c r="R234" s="154"/>
      <c r="S234" s="155"/>
      <c r="T234" s="156"/>
      <c r="U234" s="154"/>
      <c r="V234" s="155"/>
      <c r="W234" s="155"/>
      <c r="X234" s="419"/>
      <c r="Y234" s="157"/>
      <c r="Z234" s="217"/>
      <c r="AA234" s="150"/>
      <c r="AB234" s="151"/>
      <c r="AC234" s="152"/>
      <c r="AD234" s="506"/>
      <c r="AE234" s="166"/>
      <c r="AF234" s="150"/>
      <c r="AG234" s="152"/>
      <c r="AH234" s="150"/>
      <c r="AI234" s="152"/>
      <c r="AJ234" s="150"/>
      <c r="AK234" s="152"/>
      <c r="AL234" s="150"/>
      <c r="AM234" s="151"/>
      <c r="AN234" s="151"/>
      <c r="AO234" s="169"/>
      <c r="AP234" s="169"/>
      <c r="AQ234" s="149"/>
      <c r="AR234" s="324"/>
      <c r="AS234" s="324"/>
      <c r="AT234" s="324"/>
      <c r="AU234" s="324"/>
      <c r="AV234" s="324"/>
      <c r="AW234" s="324"/>
      <c r="AX234" s="150"/>
      <c r="AY234" s="297"/>
      <c r="AZ234" s="297"/>
      <c r="BA234" s="297"/>
      <c r="BB234" s="297"/>
      <c r="BC234" s="152"/>
      <c r="BD234" s="150"/>
      <c r="BE234" s="297"/>
      <c r="BF234" s="297"/>
      <c r="BG234" s="297"/>
      <c r="BH234" s="297"/>
      <c r="BI234" s="152"/>
      <c r="BJ234" s="170"/>
      <c r="BK234" s="148"/>
      <c r="BL234" s="324"/>
      <c r="BM234" s="324"/>
      <c r="BN234" s="170"/>
      <c r="BO234" s="149"/>
      <c r="BP234" s="170"/>
      <c r="BQ234" s="149"/>
      <c r="BR234" s="170"/>
      <c r="BS234" s="171"/>
      <c r="BT234" s="708"/>
    </row>
    <row r="235" spans="1:72" s="2" customFormat="1" ht="24.9" customHeight="1">
      <c r="A235" s="147"/>
      <c r="B235" s="158"/>
      <c r="C235" s="179"/>
      <c r="D235" s="158"/>
      <c r="E235" s="160"/>
      <c r="F235" s="161"/>
      <c r="G235" s="161"/>
      <c r="H235" s="161"/>
      <c r="I235" s="163"/>
      <c r="J235" s="161"/>
      <c r="K235" s="163"/>
      <c r="L235" s="150"/>
      <c r="M235" s="164"/>
      <c r="N235" s="150"/>
      <c r="O235" s="174"/>
      <c r="P235" s="523"/>
      <c r="Q235" s="523"/>
      <c r="R235" s="154"/>
      <c r="S235" s="155"/>
      <c r="T235" s="156"/>
      <c r="U235" s="154"/>
      <c r="V235" s="155"/>
      <c r="W235" s="155"/>
      <c r="X235" s="419"/>
      <c r="Y235" s="157"/>
      <c r="Z235" s="217"/>
      <c r="AA235" s="150"/>
      <c r="AB235" s="151"/>
      <c r="AC235" s="152"/>
      <c r="AD235" s="506"/>
      <c r="AE235" s="166"/>
      <c r="AF235" s="150"/>
      <c r="AG235" s="152"/>
      <c r="AH235" s="150"/>
      <c r="AI235" s="152"/>
      <c r="AJ235" s="150"/>
      <c r="AK235" s="152"/>
      <c r="AL235" s="150"/>
      <c r="AM235" s="151"/>
      <c r="AN235" s="151"/>
      <c r="AO235" s="169"/>
      <c r="AP235" s="169"/>
      <c r="AQ235" s="149"/>
      <c r="AR235" s="324"/>
      <c r="AS235" s="324"/>
      <c r="AT235" s="324"/>
      <c r="AU235" s="324"/>
      <c r="AV235" s="324"/>
      <c r="AW235" s="324"/>
      <c r="AX235" s="150"/>
      <c r="AY235" s="297"/>
      <c r="AZ235" s="297"/>
      <c r="BA235" s="297"/>
      <c r="BB235" s="297"/>
      <c r="BC235" s="152"/>
      <c r="BD235" s="150"/>
      <c r="BE235" s="297"/>
      <c r="BF235" s="297"/>
      <c r="BG235" s="297"/>
      <c r="BH235" s="297"/>
      <c r="BI235" s="152"/>
      <c r="BJ235" s="170"/>
      <c r="BK235" s="148"/>
      <c r="BL235" s="324"/>
      <c r="BM235" s="324"/>
      <c r="BN235" s="170"/>
      <c r="BO235" s="149"/>
      <c r="BP235" s="170"/>
      <c r="BQ235" s="149"/>
      <c r="BR235" s="170"/>
      <c r="BS235" s="171"/>
      <c r="BT235" s="707"/>
    </row>
    <row r="236" spans="1:72" s="2" customFormat="1" ht="24.9" customHeight="1">
      <c r="A236" s="147"/>
      <c r="B236" s="158"/>
      <c r="C236" s="179"/>
      <c r="D236" s="158"/>
      <c r="E236" s="160"/>
      <c r="F236" s="161"/>
      <c r="G236" s="161"/>
      <c r="H236" s="161"/>
      <c r="I236" s="163"/>
      <c r="J236" s="161"/>
      <c r="K236" s="163"/>
      <c r="L236" s="150"/>
      <c r="M236" s="164"/>
      <c r="N236" s="150"/>
      <c r="O236" s="174"/>
      <c r="P236" s="523"/>
      <c r="Q236" s="523"/>
      <c r="R236" s="154"/>
      <c r="S236" s="155"/>
      <c r="T236" s="156"/>
      <c r="U236" s="154"/>
      <c r="V236" s="155"/>
      <c r="W236" s="155"/>
      <c r="X236" s="419"/>
      <c r="Y236" s="157"/>
      <c r="Z236" s="217"/>
      <c r="AA236" s="150"/>
      <c r="AB236" s="151"/>
      <c r="AC236" s="152"/>
      <c r="AD236" s="506"/>
      <c r="AE236" s="166"/>
      <c r="AF236" s="150"/>
      <c r="AG236" s="152"/>
      <c r="AH236" s="150"/>
      <c r="AI236" s="152"/>
      <c r="AJ236" s="150"/>
      <c r="AK236" s="152"/>
      <c r="AL236" s="150"/>
      <c r="AM236" s="151"/>
      <c r="AN236" s="151"/>
      <c r="AO236" s="169"/>
      <c r="AP236" s="169"/>
      <c r="AQ236" s="149"/>
      <c r="AR236" s="324"/>
      <c r="AS236" s="324"/>
      <c r="AT236" s="324"/>
      <c r="AU236" s="324"/>
      <c r="AV236" s="324"/>
      <c r="AW236" s="324"/>
      <c r="AX236" s="150"/>
      <c r="AY236" s="297"/>
      <c r="AZ236" s="297"/>
      <c r="BA236" s="297"/>
      <c r="BB236" s="297"/>
      <c r="BC236" s="152"/>
      <c r="BD236" s="150"/>
      <c r="BE236" s="297"/>
      <c r="BF236" s="297"/>
      <c r="BG236" s="297"/>
      <c r="BH236" s="297"/>
      <c r="BI236" s="152"/>
      <c r="BJ236" s="170"/>
      <c r="BK236" s="148"/>
      <c r="BL236" s="324"/>
      <c r="BM236" s="324"/>
      <c r="BN236" s="170"/>
      <c r="BO236" s="149"/>
      <c r="BP236" s="170"/>
      <c r="BQ236" s="149"/>
      <c r="BR236" s="170"/>
      <c r="BS236" s="171"/>
      <c r="BT236" s="706"/>
    </row>
    <row r="237" spans="1:72" s="2" customFormat="1" ht="24.9" customHeight="1">
      <c r="A237" s="147"/>
      <c r="B237" s="158"/>
      <c r="C237" s="179"/>
      <c r="D237" s="158"/>
      <c r="E237" s="160"/>
      <c r="F237" s="161"/>
      <c r="G237" s="161"/>
      <c r="H237" s="161"/>
      <c r="I237" s="163"/>
      <c r="J237" s="161"/>
      <c r="K237" s="163"/>
      <c r="L237" s="150"/>
      <c r="M237" s="164"/>
      <c r="N237" s="150"/>
      <c r="O237" s="174"/>
      <c r="P237" s="523"/>
      <c r="Q237" s="523"/>
      <c r="R237" s="154"/>
      <c r="S237" s="155"/>
      <c r="T237" s="156"/>
      <c r="U237" s="154"/>
      <c r="V237" s="155"/>
      <c r="W237" s="155"/>
      <c r="X237" s="419"/>
      <c r="Y237" s="157"/>
      <c r="Z237" s="217"/>
      <c r="AA237" s="150"/>
      <c r="AB237" s="151"/>
      <c r="AC237" s="152"/>
      <c r="AD237" s="506"/>
      <c r="AE237" s="166"/>
      <c r="AF237" s="150"/>
      <c r="AG237" s="152"/>
      <c r="AH237" s="150"/>
      <c r="AI237" s="152"/>
      <c r="AJ237" s="150"/>
      <c r="AK237" s="152"/>
      <c r="AL237" s="150"/>
      <c r="AM237" s="151"/>
      <c r="AN237" s="151"/>
      <c r="AO237" s="169"/>
      <c r="AP237" s="169"/>
      <c r="AQ237" s="149"/>
      <c r="AR237" s="324"/>
      <c r="AS237" s="324"/>
      <c r="AT237" s="324"/>
      <c r="AU237" s="324"/>
      <c r="AV237" s="324"/>
      <c r="AW237" s="324"/>
      <c r="AX237" s="150"/>
      <c r="AY237" s="297"/>
      <c r="AZ237" s="297"/>
      <c r="BA237" s="297"/>
      <c r="BB237" s="297"/>
      <c r="BC237" s="152"/>
      <c r="BD237" s="150"/>
      <c r="BE237" s="297"/>
      <c r="BF237" s="297"/>
      <c r="BG237" s="297"/>
      <c r="BH237" s="297"/>
      <c r="BI237" s="152"/>
      <c r="BJ237" s="170"/>
      <c r="BK237" s="148"/>
      <c r="BL237" s="324"/>
      <c r="BM237" s="324"/>
      <c r="BN237" s="170"/>
      <c r="BO237" s="149"/>
      <c r="BP237" s="170"/>
      <c r="BQ237" s="149"/>
      <c r="BR237" s="170"/>
      <c r="BS237" s="171"/>
      <c r="BT237" s="707"/>
    </row>
    <row r="238" spans="1:72" s="2" customFormat="1" ht="24.9" customHeight="1">
      <c r="A238" s="147"/>
      <c r="B238" s="158"/>
      <c r="C238" s="179"/>
      <c r="D238" s="158"/>
      <c r="E238" s="160"/>
      <c r="F238" s="161"/>
      <c r="G238" s="161"/>
      <c r="H238" s="161"/>
      <c r="I238" s="163"/>
      <c r="J238" s="161"/>
      <c r="K238" s="163"/>
      <c r="L238" s="150"/>
      <c r="M238" s="164"/>
      <c r="N238" s="150"/>
      <c r="O238" s="174"/>
      <c r="P238" s="523"/>
      <c r="Q238" s="523"/>
      <c r="R238" s="154"/>
      <c r="S238" s="155"/>
      <c r="T238" s="156"/>
      <c r="U238" s="154"/>
      <c r="V238" s="155"/>
      <c r="W238" s="155"/>
      <c r="X238" s="419"/>
      <c r="Y238" s="157"/>
      <c r="Z238" s="217"/>
      <c r="AA238" s="150"/>
      <c r="AB238" s="151"/>
      <c r="AC238" s="152"/>
      <c r="AD238" s="506"/>
      <c r="AE238" s="166"/>
      <c r="AF238" s="150"/>
      <c r="AG238" s="152"/>
      <c r="AH238" s="150"/>
      <c r="AI238" s="152"/>
      <c r="AJ238" s="150"/>
      <c r="AK238" s="152"/>
      <c r="AL238" s="150"/>
      <c r="AM238" s="151"/>
      <c r="AN238" s="151"/>
      <c r="AO238" s="169"/>
      <c r="AP238" s="169"/>
      <c r="AQ238" s="149"/>
      <c r="AR238" s="324"/>
      <c r="AS238" s="324"/>
      <c r="AT238" s="324"/>
      <c r="AU238" s="324"/>
      <c r="AV238" s="324"/>
      <c r="AW238" s="324"/>
      <c r="AX238" s="150"/>
      <c r="AY238" s="297"/>
      <c r="AZ238" s="297"/>
      <c r="BA238" s="297"/>
      <c r="BB238" s="297"/>
      <c r="BC238" s="152"/>
      <c r="BD238" s="150"/>
      <c r="BE238" s="297"/>
      <c r="BF238" s="297"/>
      <c r="BG238" s="297"/>
      <c r="BH238" s="297"/>
      <c r="BI238" s="152"/>
      <c r="BJ238" s="170"/>
      <c r="BK238" s="148"/>
      <c r="BL238" s="324"/>
      <c r="BM238" s="324"/>
      <c r="BN238" s="170"/>
      <c r="BO238" s="149"/>
      <c r="BP238" s="170"/>
      <c r="BQ238" s="149"/>
      <c r="BR238" s="170"/>
      <c r="BS238" s="171"/>
      <c r="BT238" s="706"/>
    </row>
    <row r="239" spans="1:72" s="2" customFormat="1" ht="24.9" customHeight="1">
      <c r="A239" s="147"/>
      <c r="B239" s="158"/>
      <c r="C239" s="179"/>
      <c r="D239" s="158"/>
      <c r="E239" s="160"/>
      <c r="F239" s="161"/>
      <c r="G239" s="161"/>
      <c r="H239" s="161"/>
      <c r="I239" s="163"/>
      <c r="J239" s="161"/>
      <c r="K239" s="163"/>
      <c r="L239" s="150"/>
      <c r="M239" s="164"/>
      <c r="N239" s="150"/>
      <c r="O239" s="174"/>
      <c r="P239" s="523"/>
      <c r="Q239" s="523"/>
      <c r="R239" s="154"/>
      <c r="S239" s="155"/>
      <c r="T239" s="156"/>
      <c r="U239" s="154"/>
      <c r="V239" s="155"/>
      <c r="W239" s="155"/>
      <c r="X239" s="419"/>
      <c r="Y239" s="157"/>
      <c r="Z239" s="217"/>
      <c r="AA239" s="150"/>
      <c r="AB239" s="151"/>
      <c r="AC239" s="152"/>
      <c r="AD239" s="506"/>
      <c r="AE239" s="166"/>
      <c r="AF239" s="150"/>
      <c r="AG239" s="152"/>
      <c r="AH239" s="150"/>
      <c r="AI239" s="152"/>
      <c r="AJ239" s="150"/>
      <c r="AK239" s="152"/>
      <c r="AL239" s="150"/>
      <c r="AM239" s="151"/>
      <c r="AN239" s="151"/>
      <c r="AO239" s="169"/>
      <c r="AP239" s="169"/>
      <c r="AQ239" s="149"/>
      <c r="AR239" s="324"/>
      <c r="AS239" s="324"/>
      <c r="AT239" s="324"/>
      <c r="AU239" s="324"/>
      <c r="AV239" s="324"/>
      <c r="AW239" s="324"/>
      <c r="AX239" s="150"/>
      <c r="AY239" s="297"/>
      <c r="AZ239" s="297"/>
      <c r="BA239" s="297"/>
      <c r="BB239" s="297"/>
      <c r="BC239" s="152"/>
      <c r="BD239" s="150"/>
      <c r="BE239" s="297"/>
      <c r="BF239" s="297"/>
      <c r="BG239" s="297"/>
      <c r="BH239" s="297"/>
      <c r="BI239" s="152"/>
      <c r="BJ239" s="170"/>
      <c r="BK239" s="148"/>
      <c r="BL239" s="324"/>
      <c r="BM239" s="324"/>
      <c r="BN239" s="170"/>
      <c r="BO239" s="149"/>
      <c r="BP239" s="170"/>
      <c r="BQ239" s="149"/>
      <c r="BR239" s="170"/>
      <c r="BS239" s="171"/>
      <c r="BT239" s="708"/>
    </row>
    <row r="240" spans="1:72" s="2" customFormat="1" ht="24.9" customHeight="1">
      <c r="A240" s="147"/>
      <c r="B240" s="158"/>
      <c r="C240" s="179"/>
      <c r="D240" s="158"/>
      <c r="E240" s="160"/>
      <c r="F240" s="161"/>
      <c r="G240" s="161"/>
      <c r="H240" s="161"/>
      <c r="I240" s="163"/>
      <c r="J240" s="161"/>
      <c r="K240" s="163"/>
      <c r="L240" s="150"/>
      <c r="M240" s="164"/>
      <c r="N240" s="150"/>
      <c r="O240" s="174"/>
      <c r="P240" s="523"/>
      <c r="Q240" s="523"/>
      <c r="R240" s="154"/>
      <c r="S240" s="155"/>
      <c r="T240" s="156"/>
      <c r="U240" s="154"/>
      <c r="V240" s="155"/>
      <c r="W240" s="155"/>
      <c r="X240" s="419"/>
      <c r="Y240" s="157"/>
      <c r="Z240" s="217"/>
      <c r="AA240" s="150"/>
      <c r="AB240" s="151"/>
      <c r="AC240" s="152"/>
      <c r="AD240" s="506"/>
      <c r="AE240" s="166"/>
      <c r="AF240" s="150"/>
      <c r="AG240" s="152"/>
      <c r="AH240" s="150"/>
      <c r="AI240" s="152"/>
      <c r="AJ240" s="150"/>
      <c r="AK240" s="152"/>
      <c r="AL240" s="150"/>
      <c r="AM240" s="151"/>
      <c r="AN240" s="151"/>
      <c r="AO240" s="169"/>
      <c r="AP240" s="169"/>
      <c r="AQ240" s="149"/>
      <c r="AR240" s="324"/>
      <c r="AS240" s="324"/>
      <c r="AT240" s="324"/>
      <c r="AU240" s="324"/>
      <c r="AV240" s="324"/>
      <c r="AW240" s="324"/>
      <c r="AX240" s="150"/>
      <c r="AY240" s="297"/>
      <c r="AZ240" s="297"/>
      <c r="BA240" s="297"/>
      <c r="BB240" s="297"/>
      <c r="BC240" s="152"/>
      <c r="BD240" s="150"/>
      <c r="BE240" s="297"/>
      <c r="BF240" s="297"/>
      <c r="BG240" s="297"/>
      <c r="BH240" s="297"/>
      <c r="BI240" s="152"/>
      <c r="BJ240" s="170"/>
      <c r="BK240" s="148"/>
      <c r="BL240" s="324"/>
      <c r="BM240" s="324"/>
      <c r="BN240" s="170"/>
      <c r="BO240" s="149"/>
      <c r="BP240" s="170"/>
      <c r="BQ240" s="149"/>
      <c r="BR240" s="170"/>
      <c r="BS240" s="171"/>
      <c r="BT240" s="707"/>
    </row>
    <row r="241" spans="1:72" s="2" customFormat="1" ht="24.9" customHeight="1">
      <c r="A241" s="147"/>
      <c r="B241" s="158"/>
      <c r="C241" s="179"/>
      <c r="D241" s="158"/>
      <c r="E241" s="160"/>
      <c r="F241" s="161"/>
      <c r="G241" s="161"/>
      <c r="H241" s="161"/>
      <c r="I241" s="163"/>
      <c r="J241" s="161"/>
      <c r="K241" s="163"/>
      <c r="L241" s="150"/>
      <c r="M241" s="164"/>
      <c r="N241" s="150"/>
      <c r="O241" s="174"/>
      <c r="P241" s="523"/>
      <c r="Q241" s="523"/>
      <c r="R241" s="154"/>
      <c r="S241" s="155"/>
      <c r="T241" s="156"/>
      <c r="U241" s="154"/>
      <c r="V241" s="155"/>
      <c r="W241" s="155"/>
      <c r="X241" s="419"/>
      <c r="Y241" s="157"/>
      <c r="Z241" s="217"/>
      <c r="AA241" s="150"/>
      <c r="AB241" s="151"/>
      <c r="AC241" s="152"/>
      <c r="AD241" s="506"/>
      <c r="AE241" s="166"/>
      <c r="AF241" s="150"/>
      <c r="AG241" s="152"/>
      <c r="AH241" s="150"/>
      <c r="AI241" s="152"/>
      <c r="AJ241" s="150"/>
      <c r="AK241" s="152"/>
      <c r="AL241" s="150"/>
      <c r="AM241" s="151"/>
      <c r="AN241" s="151"/>
      <c r="AO241" s="169"/>
      <c r="AP241" s="169"/>
      <c r="AQ241" s="149"/>
      <c r="AR241" s="324"/>
      <c r="AS241" s="324"/>
      <c r="AT241" s="324"/>
      <c r="AU241" s="324"/>
      <c r="AV241" s="324"/>
      <c r="AW241" s="324"/>
      <c r="AX241" s="150"/>
      <c r="AY241" s="297"/>
      <c r="AZ241" s="297"/>
      <c r="BA241" s="297"/>
      <c r="BB241" s="297"/>
      <c r="BC241" s="152"/>
      <c r="BD241" s="150"/>
      <c r="BE241" s="297"/>
      <c r="BF241" s="297"/>
      <c r="BG241" s="297"/>
      <c r="BH241" s="297"/>
      <c r="BI241" s="152"/>
      <c r="BJ241" s="170"/>
      <c r="BK241" s="148"/>
      <c r="BL241" s="324"/>
      <c r="BM241" s="324"/>
      <c r="BN241" s="170"/>
      <c r="BO241" s="149"/>
      <c r="BP241" s="170"/>
      <c r="BQ241" s="149"/>
      <c r="BR241" s="170"/>
      <c r="BS241" s="171"/>
      <c r="BT241" s="706"/>
    </row>
    <row r="242" spans="1:72" s="2" customFormat="1" ht="24.9" customHeight="1">
      <c r="A242" s="147"/>
      <c r="B242" s="158"/>
      <c r="C242" s="179"/>
      <c r="D242" s="158"/>
      <c r="E242" s="160"/>
      <c r="F242" s="161"/>
      <c r="G242" s="161"/>
      <c r="H242" s="161"/>
      <c r="I242" s="163"/>
      <c r="J242" s="161"/>
      <c r="K242" s="163"/>
      <c r="L242" s="150"/>
      <c r="M242" s="164"/>
      <c r="N242" s="150"/>
      <c r="O242" s="151"/>
      <c r="P242" s="522"/>
      <c r="Q242" s="522"/>
      <c r="R242" s="154"/>
      <c r="S242" s="155"/>
      <c r="T242" s="156"/>
      <c r="U242" s="154"/>
      <c r="V242" s="155"/>
      <c r="W242" s="155"/>
      <c r="X242" s="419"/>
      <c r="Y242" s="157"/>
      <c r="Z242" s="217"/>
      <c r="AA242" s="150"/>
      <c r="AB242" s="151"/>
      <c r="AC242" s="152"/>
      <c r="AD242" s="506"/>
      <c r="AE242" s="166"/>
      <c r="AF242" s="150"/>
      <c r="AG242" s="152"/>
      <c r="AH242" s="150"/>
      <c r="AI242" s="152"/>
      <c r="AJ242" s="150"/>
      <c r="AK242" s="152"/>
      <c r="AL242" s="150"/>
      <c r="AM242" s="151"/>
      <c r="AN242" s="151"/>
      <c r="AO242" s="169"/>
      <c r="AP242" s="169"/>
      <c r="AQ242" s="149"/>
      <c r="AR242" s="324"/>
      <c r="AS242" s="324"/>
      <c r="AT242" s="324"/>
      <c r="AU242" s="324"/>
      <c r="AV242" s="324"/>
      <c r="AW242" s="324"/>
      <c r="AX242" s="150"/>
      <c r="AY242" s="297"/>
      <c r="AZ242" s="297"/>
      <c r="BA242" s="297"/>
      <c r="BB242" s="297"/>
      <c r="BC242" s="152"/>
      <c r="BD242" s="150"/>
      <c r="BE242" s="297"/>
      <c r="BF242" s="297"/>
      <c r="BG242" s="297"/>
      <c r="BH242" s="297"/>
      <c r="BI242" s="152"/>
      <c r="BJ242" s="170"/>
      <c r="BK242" s="148"/>
      <c r="BL242" s="324"/>
      <c r="BM242" s="324"/>
      <c r="BN242" s="170"/>
      <c r="BO242" s="149"/>
      <c r="BP242" s="170"/>
      <c r="BQ242" s="149"/>
      <c r="BR242" s="170"/>
      <c r="BS242" s="171"/>
      <c r="BT242" s="708"/>
    </row>
    <row r="243" spans="1:72" s="2" customFormat="1" ht="24.9" customHeight="1">
      <c r="A243" s="147"/>
      <c r="B243" s="158"/>
      <c r="C243" s="179"/>
      <c r="D243" s="158"/>
      <c r="E243" s="160"/>
      <c r="F243" s="161"/>
      <c r="G243" s="161"/>
      <c r="H243" s="161"/>
      <c r="I243" s="163"/>
      <c r="J243" s="161"/>
      <c r="K243" s="163"/>
      <c r="L243" s="150"/>
      <c r="M243" s="164"/>
      <c r="N243" s="150"/>
      <c r="O243" s="174"/>
      <c r="P243" s="523"/>
      <c r="Q243" s="523"/>
      <c r="R243" s="154"/>
      <c r="S243" s="155"/>
      <c r="T243" s="156"/>
      <c r="U243" s="154"/>
      <c r="V243" s="155"/>
      <c r="W243" s="155"/>
      <c r="X243" s="419"/>
      <c r="Y243" s="157"/>
      <c r="Z243" s="217"/>
      <c r="AA243" s="150"/>
      <c r="AB243" s="151"/>
      <c r="AC243" s="152"/>
      <c r="AD243" s="506"/>
      <c r="AE243" s="166"/>
      <c r="AF243" s="150"/>
      <c r="AG243" s="152"/>
      <c r="AH243" s="150"/>
      <c r="AI243" s="152"/>
      <c r="AJ243" s="150"/>
      <c r="AK243" s="152"/>
      <c r="AL243" s="150"/>
      <c r="AM243" s="151"/>
      <c r="AN243" s="151"/>
      <c r="AO243" s="169"/>
      <c r="AP243" s="169"/>
      <c r="AQ243" s="149"/>
      <c r="AR243" s="324"/>
      <c r="AS243" s="324"/>
      <c r="AT243" s="324"/>
      <c r="AU243" s="324"/>
      <c r="AV243" s="324"/>
      <c r="AW243" s="324"/>
      <c r="AX243" s="150"/>
      <c r="AY243" s="297"/>
      <c r="AZ243" s="297"/>
      <c r="BA243" s="297"/>
      <c r="BB243" s="297"/>
      <c r="BC243" s="152"/>
      <c r="BD243" s="150"/>
      <c r="BE243" s="297"/>
      <c r="BF243" s="297"/>
      <c r="BG243" s="297"/>
      <c r="BH243" s="297"/>
      <c r="BI243" s="152"/>
      <c r="BJ243" s="170"/>
      <c r="BK243" s="148"/>
      <c r="BL243" s="324"/>
      <c r="BM243" s="324"/>
      <c r="BN243" s="170"/>
      <c r="BO243" s="149"/>
      <c r="BP243" s="170"/>
      <c r="BQ243" s="149"/>
      <c r="BR243" s="170"/>
      <c r="BS243" s="171"/>
      <c r="BT243" s="707"/>
    </row>
    <row r="244" spans="1:72" s="2" customFormat="1" ht="24.9" customHeight="1">
      <c r="A244" s="147"/>
      <c r="B244" s="158"/>
      <c r="C244" s="179"/>
      <c r="D244" s="158"/>
      <c r="E244" s="160"/>
      <c r="F244" s="161"/>
      <c r="G244" s="161"/>
      <c r="H244" s="161"/>
      <c r="I244" s="163"/>
      <c r="J244" s="161"/>
      <c r="K244" s="163"/>
      <c r="L244" s="150"/>
      <c r="M244" s="164"/>
      <c r="N244" s="150"/>
      <c r="O244" s="174"/>
      <c r="P244" s="523"/>
      <c r="Q244" s="523"/>
      <c r="R244" s="154"/>
      <c r="S244" s="155"/>
      <c r="T244" s="156"/>
      <c r="U244" s="154"/>
      <c r="V244" s="155"/>
      <c r="W244" s="155"/>
      <c r="X244" s="419"/>
      <c r="Y244" s="157"/>
      <c r="Z244" s="217"/>
      <c r="AA244" s="150"/>
      <c r="AB244" s="151"/>
      <c r="AC244" s="152"/>
      <c r="AD244" s="506"/>
      <c r="AE244" s="166"/>
      <c r="AF244" s="150"/>
      <c r="AG244" s="152"/>
      <c r="AH244" s="150"/>
      <c r="AI244" s="152"/>
      <c r="AJ244" s="150"/>
      <c r="AK244" s="152"/>
      <c r="AL244" s="150"/>
      <c r="AM244" s="151"/>
      <c r="AN244" s="151"/>
      <c r="AO244" s="169"/>
      <c r="AP244" s="169"/>
      <c r="AQ244" s="149"/>
      <c r="AR244" s="324"/>
      <c r="AS244" s="324"/>
      <c r="AT244" s="324"/>
      <c r="AU244" s="324"/>
      <c r="AV244" s="324"/>
      <c r="AW244" s="324"/>
      <c r="AX244" s="150"/>
      <c r="AY244" s="297"/>
      <c r="AZ244" s="297"/>
      <c r="BA244" s="297"/>
      <c r="BB244" s="297"/>
      <c r="BC244" s="152"/>
      <c r="BD244" s="150"/>
      <c r="BE244" s="297"/>
      <c r="BF244" s="297"/>
      <c r="BG244" s="297"/>
      <c r="BH244" s="297"/>
      <c r="BI244" s="152"/>
      <c r="BJ244" s="170"/>
      <c r="BK244" s="148"/>
      <c r="BL244" s="324"/>
      <c r="BM244" s="324"/>
      <c r="BN244" s="170"/>
      <c r="BO244" s="149"/>
      <c r="BP244" s="170"/>
      <c r="BQ244" s="149"/>
      <c r="BR244" s="170"/>
      <c r="BS244" s="171"/>
      <c r="BT244" s="706"/>
    </row>
    <row r="245" spans="1:72" s="2" customFormat="1" ht="24.9" customHeight="1">
      <c r="A245" s="147"/>
      <c r="B245" s="158"/>
      <c r="C245" s="179"/>
      <c r="D245" s="158"/>
      <c r="E245" s="160"/>
      <c r="F245" s="161"/>
      <c r="G245" s="161"/>
      <c r="H245" s="161"/>
      <c r="I245" s="163"/>
      <c r="J245" s="161"/>
      <c r="K245" s="163"/>
      <c r="L245" s="150"/>
      <c r="M245" s="164"/>
      <c r="N245" s="150"/>
      <c r="O245" s="174"/>
      <c r="P245" s="523"/>
      <c r="Q245" s="523"/>
      <c r="R245" s="154"/>
      <c r="S245" s="155"/>
      <c r="T245" s="156"/>
      <c r="U245" s="154"/>
      <c r="V245" s="155"/>
      <c r="W245" s="155"/>
      <c r="X245" s="419"/>
      <c r="Y245" s="157"/>
      <c r="Z245" s="217"/>
      <c r="AA245" s="150"/>
      <c r="AB245" s="151"/>
      <c r="AC245" s="152"/>
      <c r="AD245" s="506"/>
      <c r="AE245" s="166"/>
      <c r="AF245" s="150"/>
      <c r="AG245" s="152"/>
      <c r="AH245" s="150"/>
      <c r="AI245" s="152"/>
      <c r="AJ245" s="150"/>
      <c r="AK245" s="152"/>
      <c r="AL245" s="150"/>
      <c r="AM245" s="151"/>
      <c r="AN245" s="151"/>
      <c r="AO245" s="169"/>
      <c r="AP245" s="169"/>
      <c r="AQ245" s="149"/>
      <c r="AR245" s="324"/>
      <c r="AS245" s="324"/>
      <c r="AT245" s="324"/>
      <c r="AU245" s="324"/>
      <c r="AV245" s="324"/>
      <c r="AW245" s="324"/>
      <c r="AX245" s="150"/>
      <c r="AY245" s="297"/>
      <c r="AZ245" s="297"/>
      <c r="BA245" s="297"/>
      <c r="BB245" s="297"/>
      <c r="BC245" s="152"/>
      <c r="BD245" s="150"/>
      <c r="BE245" s="297"/>
      <c r="BF245" s="297"/>
      <c r="BG245" s="297"/>
      <c r="BH245" s="297"/>
      <c r="BI245" s="152"/>
      <c r="BJ245" s="170"/>
      <c r="BK245" s="148"/>
      <c r="BL245" s="324"/>
      <c r="BM245" s="324"/>
      <c r="BN245" s="170"/>
      <c r="BO245" s="149"/>
      <c r="BP245" s="170"/>
      <c r="BQ245" s="149"/>
      <c r="BR245" s="170"/>
      <c r="BS245" s="171"/>
      <c r="BT245" s="707"/>
    </row>
    <row r="246" spans="1:72" s="2" customFormat="1" ht="24.9" customHeight="1">
      <c r="A246" s="147"/>
      <c r="B246" s="158"/>
      <c r="C246" s="179"/>
      <c r="D246" s="158"/>
      <c r="E246" s="160"/>
      <c r="F246" s="161"/>
      <c r="G246" s="161"/>
      <c r="H246" s="161"/>
      <c r="I246" s="163"/>
      <c r="J246" s="161"/>
      <c r="K246" s="163"/>
      <c r="L246" s="150"/>
      <c r="M246" s="164"/>
      <c r="N246" s="150"/>
      <c r="O246" s="174"/>
      <c r="P246" s="523"/>
      <c r="Q246" s="523"/>
      <c r="R246" s="154"/>
      <c r="S246" s="155"/>
      <c r="T246" s="156"/>
      <c r="U246" s="154"/>
      <c r="V246" s="155"/>
      <c r="W246" s="155"/>
      <c r="X246" s="419"/>
      <c r="Y246" s="157"/>
      <c r="Z246" s="217"/>
      <c r="AA246" s="150"/>
      <c r="AB246" s="151"/>
      <c r="AC246" s="152"/>
      <c r="AD246" s="506"/>
      <c r="AE246" s="166"/>
      <c r="AF246" s="150"/>
      <c r="AG246" s="152"/>
      <c r="AH246" s="150"/>
      <c r="AI246" s="152"/>
      <c r="AJ246" s="150"/>
      <c r="AK246" s="152"/>
      <c r="AL246" s="150"/>
      <c r="AM246" s="151"/>
      <c r="AN246" s="151"/>
      <c r="AO246" s="169"/>
      <c r="AP246" s="169"/>
      <c r="AQ246" s="149"/>
      <c r="AR246" s="324"/>
      <c r="AS246" s="324"/>
      <c r="AT246" s="324"/>
      <c r="AU246" s="324"/>
      <c r="AV246" s="324"/>
      <c r="AW246" s="324"/>
      <c r="AX246" s="150"/>
      <c r="AY246" s="297"/>
      <c r="AZ246" s="297"/>
      <c r="BA246" s="297"/>
      <c r="BB246" s="297"/>
      <c r="BC246" s="152"/>
      <c r="BD246" s="150"/>
      <c r="BE246" s="297"/>
      <c r="BF246" s="297"/>
      <c r="BG246" s="297"/>
      <c r="BH246" s="297"/>
      <c r="BI246" s="152"/>
      <c r="BJ246" s="170"/>
      <c r="BK246" s="148"/>
      <c r="BL246" s="324"/>
      <c r="BM246" s="324"/>
      <c r="BN246" s="170"/>
      <c r="BO246" s="149"/>
      <c r="BP246" s="170"/>
      <c r="BQ246" s="149"/>
      <c r="BR246" s="170"/>
      <c r="BS246" s="171"/>
      <c r="BT246" s="706"/>
    </row>
    <row r="247" spans="1:72" s="2" customFormat="1" ht="24.9" customHeight="1">
      <c r="A247" s="147"/>
      <c r="B247" s="158"/>
      <c r="C247" s="179"/>
      <c r="D247" s="158"/>
      <c r="E247" s="160"/>
      <c r="F247" s="161"/>
      <c r="G247" s="161"/>
      <c r="H247" s="161"/>
      <c r="I247" s="163"/>
      <c r="J247" s="161"/>
      <c r="K247" s="163"/>
      <c r="L247" s="150"/>
      <c r="M247" s="164"/>
      <c r="N247" s="150"/>
      <c r="O247" s="174"/>
      <c r="P247" s="523"/>
      <c r="Q247" s="523"/>
      <c r="R247" s="154"/>
      <c r="S247" s="155"/>
      <c r="T247" s="156"/>
      <c r="U247" s="154"/>
      <c r="V247" s="155"/>
      <c r="W247" s="155"/>
      <c r="X247" s="419"/>
      <c r="Y247" s="157"/>
      <c r="Z247" s="217"/>
      <c r="AA247" s="150"/>
      <c r="AB247" s="151"/>
      <c r="AC247" s="152"/>
      <c r="AD247" s="506"/>
      <c r="AE247" s="166"/>
      <c r="AF247" s="150"/>
      <c r="AG247" s="152"/>
      <c r="AH247" s="150"/>
      <c r="AI247" s="152"/>
      <c r="AJ247" s="150"/>
      <c r="AK247" s="152"/>
      <c r="AL247" s="150"/>
      <c r="AM247" s="151"/>
      <c r="AN247" s="151"/>
      <c r="AO247" s="169"/>
      <c r="AP247" s="169"/>
      <c r="AQ247" s="149"/>
      <c r="AR247" s="324"/>
      <c r="AS247" s="324"/>
      <c r="AT247" s="324"/>
      <c r="AU247" s="324"/>
      <c r="AV247" s="324"/>
      <c r="AW247" s="324"/>
      <c r="AX247" s="150"/>
      <c r="AY247" s="297"/>
      <c r="AZ247" s="297"/>
      <c r="BA247" s="297"/>
      <c r="BB247" s="297"/>
      <c r="BC247" s="152"/>
      <c r="BD247" s="150"/>
      <c r="BE247" s="297"/>
      <c r="BF247" s="297"/>
      <c r="BG247" s="297"/>
      <c r="BH247" s="297"/>
      <c r="BI247" s="152"/>
      <c r="BJ247" s="170"/>
      <c r="BK247" s="148"/>
      <c r="BL247" s="324"/>
      <c r="BM247" s="324"/>
      <c r="BN247" s="170"/>
      <c r="BO247" s="149"/>
      <c r="BP247" s="170"/>
      <c r="BQ247" s="149"/>
      <c r="BR247" s="170"/>
      <c r="BS247" s="171"/>
      <c r="BT247" s="707"/>
    </row>
    <row r="248" spans="1:72" s="2" customFormat="1" ht="24.9" customHeight="1">
      <c r="A248" s="147"/>
      <c r="B248" s="158"/>
      <c r="C248" s="179"/>
      <c r="D248" s="158"/>
      <c r="E248" s="160"/>
      <c r="F248" s="161"/>
      <c r="G248" s="161"/>
      <c r="H248" s="161"/>
      <c r="I248" s="163"/>
      <c r="J248" s="161"/>
      <c r="K248" s="163"/>
      <c r="L248" s="150"/>
      <c r="M248" s="164"/>
      <c r="N248" s="150"/>
      <c r="O248" s="174"/>
      <c r="P248" s="523"/>
      <c r="Q248" s="523"/>
      <c r="R248" s="154"/>
      <c r="S248" s="155"/>
      <c r="T248" s="156"/>
      <c r="U248" s="154"/>
      <c r="V248" s="155"/>
      <c r="W248" s="155"/>
      <c r="X248" s="419"/>
      <c r="Y248" s="157"/>
      <c r="Z248" s="217"/>
      <c r="AA248" s="150"/>
      <c r="AB248" s="151"/>
      <c r="AC248" s="152"/>
      <c r="AD248" s="506"/>
      <c r="AE248" s="166"/>
      <c r="AF248" s="150"/>
      <c r="AG248" s="152"/>
      <c r="AH248" s="150"/>
      <c r="AI248" s="152"/>
      <c r="AJ248" s="150"/>
      <c r="AK248" s="152"/>
      <c r="AL248" s="150"/>
      <c r="AM248" s="151"/>
      <c r="AN248" s="151"/>
      <c r="AO248" s="169"/>
      <c r="AP248" s="169"/>
      <c r="AQ248" s="149"/>
      <c r="AR248" s="324"/>
      <c r="AS248" s="324"/>
      <c r="AT248" s="324"/>
      <c r="AU248" s="324"/>
      <c r="AV248" s="324"/>
      <c r="AW248" s="324"/>
      <c r="AX248" s="150"/>
      <c r="AY248" s="297"/>
      <c r="AZ248" s="297"/>
      <c r="BA248" s="297"/>
      <c r="BB248" s="297"/>
      <c r="BC248" s="152"/>
      <c r="BD248" s="150"/>
      <c r="BE248" s="297"/>
      <c r="BF248" s="297"/>
      <c r="BG248" s="297"/>
      <c r="BH248" s="297"/>
      <c r="BI248" s="152"/>
      <c r="BJ248" s="170"/>
      <c r="BK248" s="148"/>
      <c r="BL248" s="324"/>
      <c r="BM248" s="324"/>
      <c r="BN248" s="170"/>
      <c r="BO248" s="149"/>
      <c r="BP248" s="170"/>
      <c r="BQ248" s="149"/>
      <c r="BR248" s="170"/>
      <c r="BS248" s="171"/>
      <c r="BT248" s="706"/>
    </row>
    <row r="249" spans="1:72" s="2" customFormat="1" ht="24.9" customHeight="1">
      <c r="A249" s="147"/>
      <c r="B249" s="158"/>
      <c r="C249" s="179"/>
      <c r="D249" s="158"/>
      <c r="E249" s="160"/>
      <c r="F249" s="161"/>
      <c r="G249" s="161"/>
      <c r="H249" s="161"/>
      <c r="I249" s="163"/>
      <c r="J249" s="161"/>
      <c r="K249" s="163"/>
      <c r="L249" s="150"/>
      <c r="M249" s="164"/>
      <c r="N249" s="150"/>
      <c r="O249" s="151"/>
      <c r="P249" s="522"/>
      <c r="Q249" s="522"/>
      <c r="R249" s="154"/>
      <c r="S249" s="155"/>
      <c r="T249" s="156"/>
      <c r="U249" s="154"/>
      <c r="V249" s="155"/>
      <c r="W249" s="155"/>
      <c r="X249" s="419"/>
      <c r="Y249" s="157"/>
      <c r="Z249" s="217"/>
      <c r="AA249" s="150"/>
      <c r="AB249" s="151"/>
      <c r="AC249" s="152"/>
      <c r="AD249" s="506"/>
      <c r="AE249" s="166"/>
      <c r="AF249" s="150"/>
      <c r="AG249" s="152"/>
      <c r="AH249" s="150"/>
      <c r="AI249" s="152"/>
      <c r="AJ249" s="150"/>
      <c r="AK249" s="152"/>
      <c r="AL249" s="150"/>
      <c r="AM249" s="151"/>
      <c r="AN249" s="151"/>
      <c r="AO249" s="169"/>
      <c r="AP249" s="169"/>
      <c r="AQ249" s="149"/>
      <c r="AR249" s="324"/>
      <c r="AS249" s="324"/>
      <c r="AT249" s="324"/>
      <c r="AU249" s="324"/>
      <c r="AV249" s="324"/>
      <c r="AW249" s="324"/>
      <c r="AX249" s="150"/>
      <c r="AY249" s="297"/>
      <c r="AZ249" s="297"/>
      <c r="BA249" s="297"/>
      <c r="BB249" s="297"/>
      <c r="BC249" s="152"/>
      <c r="BD249" s="150"/>
      <c r="BE249" s="297"/>
      <c r="BF249" s="297"/>
      <c r="BG249" s="297"/>
      <c r="BH249" s="297"/>
      <c r="BI249" s="152"/>
      <c r="BJ249" s="170"/>
      <c r="BK249" s="148"/>
      <c r="BL249" s="324"/>
      <c r="BM249" s="324"/>
      <c r="BN249" s="170"/>
      <c r="BO249" s="149"/>
      <c r="BP249" s="170"/>
      <c r="BQ249" s="149"/>
      <c r="BR249" s="170"/>
      <c r="BS249" s="171"/>
      <c r="BT249" s="708"/>
    </row>
    <row r="250" spans="1:72" s="2" customFormat="1" ht="24.9" customHeight="1">
      <c r="A250" s="147"/>
      <c r="B250" s="158"/>
      <c r="C250" s="179"/>
      <c r="D250" s="158"/>
      <c r="E250" s="160"/>
      <c r="F250" s="161"/>
      <c r="G250" s="161"/>
      <c r="H250" s="161"/>
      <c r="I250" s="163"/>
      <c r="J250" s="161"/>
      <c r="K250" s="163"/>
      <c r="L250" s="150"/>
      <c r="M250" s="164"/>
      <c r="N250" s="150"/>
      <c r="O250" s="174"/>
      <c r="P250" s="523"/>
      <c r="Q250" s="523"/>
      <c r="R250" s="154"/>
      <c r="S250" s="155"/>
      <c r="T250" s="156"/>
      <c r="U250" s="154"/>
      <c r="V250" s="155"/>
      <c r="W250" s="155"/>
      <c r="X250" s="419"/>
      <c r="Y250" s="157"/>
      <c r="Z250" s="217"/>
      <c r="AA250" s="150"/>
      <c r="AB250" s="151"/>
      <c r="AC250" s="152"/>
      <c r="AD250" s="506"/>
      <c r="AE250" s="166"/>
      <c r="AF250" s="150"/>
      <c r="AG250" s="152"/>
      <c r="AH250" s="150"/>
      <c r="AI250" s="152"/>
      <c r="AJ250" s="150"/>
      <c r="AK250" s="152"/>
      <c r="AL250" s="150"/>
      <c r="AM250" s="151"/>
      <c r="AN250" s="151"/>
      <c r="AO250" s="169"/>
      <c r="AP250" s="169"/>
      <c r="AQ250" s="149"/>
      <c r="AR250" s="324"/>
      <c r="AS250" s="324"/>
      <c r="AT250" s="324"/>
      <c r="AU250" s="324"/>
      <c r="AV250" s="324"/>
      <c r="AW250" s="324"/>
      <c r="AX250" s="150"/>
      <c r="AY250" s="297"/>
      <c r="AZ250" s="297"/>
      <c r="BA250" s="297"/>
      <c r="BB250" s="297"/>
      <c r="BC250" s="152"/>
      <c r="BD250" s="150"/>
      <c r="BE250" s="297"/>
      <c r="BF250" s="297"/>
      <c r="BG250" s="297"/>
      <c r="BH250" s="297"/>
      <c r="BI250" s="152"/>
      <c r="BJ250" s="170"/>
      <c r="BK250" s="148"/>
      <c r="BL250" s="324"/>
      <c r="BM250" s="324"/>
      <c r="BN250" s="170"/>
      <c r="BO250" s="149"/>
      <c r="BP250" s="170"/>
      <c r="BQ250" s="149"/>
      <c r="BR250" s="170"/>
      <c r="BS250" s="171"/>
      <c r="BT250" s="708"/>
    </row>
    <row r="251" spans="1:72" s="2" customFormat="1" ht="24.9" customHeight="1">
      <c r="A251" s="147"/>
      <c r="B251" s="158"/>
      <c r="C251" s="179"/>
      <c r="D251" s="158"/>
      <c r="E251" s="160"/>
      <c r="F251" s="161"/>
      <c r="G251" s="161"/>
      <c r="H251" s="161"/>
      <c r="I251" s="163"/>
      <c r="J251" s="161"/>
      <c r="K251" s="163"/>
      <c r="L251" s="150"/>
      <c r="M251" s="164"/>
      <c r="N251" s="150"/>
      <c r="O251" s="151"/>
      <c r="P251" s="522"/>
      <c r="Q251" s="522"/>
      <c r="R251" s="154"/>
      <c r="S251" s="155"/>
      <c r="T251" s="156"/>
      <c r="U251" s="154"/>
      <c r="V251" s="155"/>
      <c r="W251" s="155"/>
      <c r="X251" s="419"/>
      <c r="Y251" s="157"/>
      <c r="Z251" s="217"/>
      <c r="AA251" s="150"/>
      <c r="AB251" s="151"/>
      <c r="AC251" s="152"/>
      <c r="AD251" s="506"/>
      <c r="AE251" s="166"/>
      <c r="AF251" s="150"/>
      <c r="AG251" s="152"/>
      <c r="AH251" s="150"/>
      <c r="AI251" s="152"/>
      <c r="AJ251" s="150"/>
      <c r="AK251" s="152"/>
      <c r="AL251" s="150"/>
      <c r="AM251" s="151"/>
      <c r="AN251" s="151"/>
      <c r="AO251" s="169"/>
      <c r="AP251" s="169"/>
      <c r="AQ251" s="149"/>
      <c r="AR251" s="324"/>
      <c r="AS251" s="324"/>
      <c r="AT251" s="324"/>
      <c r="AU251" s="324"/>
      <c r="AV251" s="324"/>
      <c r="AW251" s="324"/>
      <c r="AX251" s="150"/>
      <c r="AY251" s="297"/>
      <c r="AZ251" s="297"/>
      <c r="BA251" s="297"/>
      <c r="BB251" s="297"/>
      <c r="BC251" s="152"/>
      <c r="BD251" s="150"/>
      <c r="BE251" s="297"/>
      <c r="BF251" s="297"/>
      <c r="BG251" s="297"/>
      <c r="BH251" s="297"/>
      <c r="BI251" s="152"/>
      <c r="BJ251" s="170"/>
      <c r="BK251" s="148"/>
      <c r="BL251" s="324"/>
      <c r="BM251" s="324"/>
      <c r="BN251" s="170"/>
      <c r="BO251" s="149"/>
      <c r="BP251" s="170"/>
      <c r="BQ251" s="149"/>
      <c r="BR251" s="170"/>
      <c r="BS251" s="171"/>
      <c r="BT251" s="707"/>
    </row>
    <row r="252" spans="1:72" s="2" customFormat="1" ht="24.9" customHeight="1">
      <c r="A252" s="147"/>
      <c r="B252" s="158"/>
      <c r="C252" s="179"/>
      <c r="D252" s="158"/>
      <c r="E252" s="160"/>
      <c r="F252" s="161"/>
      <c r="G252" s="161"/>
      <c r="H252" s="161"/>
      <c r="I252" s="163"/>
      <c r="J252" s="161"/>
      <c r="K252" s="163"/>
      <c r="L252" s="150"/>
      <c r="M252" s="164"/>
      <c r="N252" s="150"/>
      <c r="O252" s="174"/>
      <c r="P252" s="523"/>
      <c r="Q252" s="523"/>
      <c r="R252" s="154"/>
      <c r="S252" s="155"/>
      <c r="T252" s="156"/>
      <c r="U252" s="154"/>
      <c r="V252" s="155"/>
      <c r="W252" s="155"/>
      <c r="X252" s="419"/>
      <c r="Y252" s="157"/>
      <c r="Z252" s="217"/>
      <c r="AA252" s="150"/>
      <c r="AB252" s="151"/>
      <c r="AC252" s="152"/>
      <c r="AD252" s="506"/>
      <c r="AE252" s="166"/>
      <c r="AF252" s="150"/>
      <c r="AG252" s="152"/>
      <c r="AH252" s="150"/>
      <c r="AI252" s="152"/>
      <c r="AJ252" s="150"/>
      <c r="AK252" s="152"/>
      <c r="AL252" s="150"/>
      <c r="AM252" s="151"/>
      <c r="AN252" s="151"/>
      <c r="AO252" s="169"/>
      <c r="AP252" s="169"/>
      <c r="AQ252" s="149"/>
      <c r="AR252" s="324"/>
      <c r="AS252" s="324"/>
      <c r="AT252" s="324"/>
      <c r="AU252" s="324"/>
      <c r="AV252" s="324"/>
      <c r="AW252" s="324"/>
      <c r="AX252" s="150"/>
      <c r="AY252" s="297"/>
      <c r="AZ252" s="297"/>
      <c r="BA252" s="297"/>
      <c r="BB252" s="297"/>
      <c r="BC252" s="152"/>
      <c r="BD252" s="150"/>
      <c r="BE252" s="297"/>
      <c r="BF252" s="297"/>
      <c r="BG252" s="297"/>
      <c r="BH252" s="297"/>
      <c r="BI252" s="152"/>
      <c r="BJ252" s="170"/>
      <c r="BK252" s="148"/>
      <c r="BL252" s="324"/>
      <c r="BM252" s="324"/>
      <c r="BN252" s="170"/>
      <c r="BO252" s="149"/>
      <c r="BP252" s="170"/>
      <c r="BQ252" s="149"/>
      <c r="BR252" s="170"/>
      <c r="BS252" s="171"/>
      <c r="BT252" s="706"/>
    </row>
    <row r="253" spans="1:72" s="2" customFormat="1" ht="24.9" customHeight="1">
      <c r="A253" s="147"/>
      <c r="B253" s="158"/>
      <c r="C253" s="179"/>
      <c r="D253" s="158"/>
      <c r="E253" s="160"/>
      <c r="F253" s="161"/>
      <c r="G253" s="161"/>
      <c r="H253" s="161"/>
      <c r="I253" s="163"/>
      <c r="J253" s="161"/>
      <c r="K253" s="163"/>
      <c r="L253" s="150"/>
      <c r="M253" s="164"/>
      <c r="N253" s="150"/>
      <c r="O253" s="174"/>
      <c r="P253" s="523"/>
      <c r="Q253" s="523"/>
      <c r="R253" s="154"/>
      <c r="S253" s="155"/>
      <c r="T253" s="156"/>
      <c r="U253" s="154"/>
      <c r="V253" s="155"/>
      <c r="W253" s="155"/>
      <c r="X253" s="419"/>
      <c r="Y253" s="157"/>
      <c r="Z253" s="217"/>
      <c r="AA253" s="150"/>
      <c r="AB253" s="151"/>
      <c r="AC253" s="152"/>
      <c r="AD253" s="506"/>
      <c r="AE253" s="166"/>
      <c r="AF253" s="150"/>
      <c r="AG253" s="152"/>
      <c r="AH253" s="150"/>
      <c r="AI253" s="152"/>
      <c r="AJ253" s="150"/>
      <c r="AK253" s="152"/>
      <c r="AL253" s="150"/>
      <c r="AM253" s="151"/>
      <c r="AN253" s="151"/>
      <c r="AO253" s="169"/>
      <c r="AP253" s="169"/>
      <c r="AQ253" s="149"/>
      <c r="AR253" s="324"/>
      <c r="AS253" s="324"/>
      <c r="AT253" s="324"/>
      <c r="AU253" s="324"/>
      <c r="AV253" s="324"/>
      <c r="AW253" s="324"/>
      <c r="AX253" s="150"/>
      <c r="AY253" s="297"/>
      <c r="AZ253" s="297"/>
      <c r="BA253" s="297"/>
      <c r="BB253" s="297"/>
      <c r="BC253" s="152"/>
      <c r="BD253" s="150"/>
      <c r="BE253" s="297"/>
      <c r="BF253" s="297"/>
      <c r="BG253" s="297"/>
      <c r="BH253" s="297"/>
      <c r="BI253" s="152"/>
      <c r="BJ253" s="170"/>
      <c r="BK253" s="148"/>
      <c r="BL253" s="324"/>
      <c r="BM253" s="324"/>
      <c r="BN253" s="170"/>
      <c r="BO253" s="149"/>
      <c r="BP253" s="170"/>
      <c r="BQ253" s="149"/>
      <c r="BR253" s="170"/>
      <c r="BS253" s="171"/>
      <c r="BT253" s="707"/>
    </row>
    <row r="254" spans="1:72" s="2" customFormat="1" ht="24.9" customHeight="1">
      <c r="A254" s="147"/>
      <c r="B254" s="158"/>
      <c r="C254" s="179"/>
      <c r="D254" s="158"/>
      <c r="E254" s="160"/>
      <c r="F254" s="161"/>
      <c r="G254" s="161"/>
      <c r="H254" s="161"/>
      <c r="I254" s="163"/>
      <c r="J254" s="161"/>
      <c r="K254" s="163"/>
      <c r="L254" s="150"/>
      <c r="M254" s="164"/>
      <c r="N254" s="150"/>
      <c r="O254" s="174"/>
      <c r="P254" s="523"/>
      <c r="Q254" s="523"/>
      <c r="R254" s="154"/>
      <c r="S254" s="155"/>
      <c r="T254" s="156"/>
      <c r="U254" s="154"/>
      <c r="V254" s="155"/>
      <c r="W254" s="155"/>
      <c r="X254" s="419"/>
      <c r="Y254" s="157"/>
      <c r="Z254" s="217"/>
      <c r="AA254" s="150"/>
      <c r="AB254" s="151"/>
      <c r="AC254" s="152"/>
      <c r="AD254" s="506"/>
      <c r="AE254" s="166"/>
      <c r="AF254" s="150"/>
      <c r="AG254" s="152"/>
      <c r="AH254" s="150"/>
      <c r="AI254" s="152"/>
      <c r="AJ254" s="150"/>
      <c r="AK254" s="152"/>
      <c r="AL254" s="150"/>
      <c r="AM254" s="151"/>
      <c r="AN254" s="151"/>
      <c r="AO254" s="169"/>
      <c r="AP254" s="169"/>
      <c r="AQ254" s="149"/>
      <c r="AR254" s="324"/>
      <c r="AS254" s="324"/>
      <c r="AT254" s="324"/>
      <c r="AU254" s="324"/>
      <c r="AV254" s="324"/>
      <c r="AW254" s="324"/>
      <c r="AX254" s="150"/>
      <c r="AY254" s="297"/>
      <c r="AZ254" s="297"/>
      <c r="BA254" s="297"/>
      <c r="BB254" s="297"/>
      <c r="BC254" s="152"/>
      <c r="BD254" s="150"/>
      <c r="BE254" s="297"/>
      <c r="BF254" s="297"/>
      <c r="BG254" s="297"/>
      <c r="BH254" s="297"/>
      <c r="BI254" s="152"/>
      <c r="BJ254" s="170"/>
      <c r="BK254" s="148"/>
      <c r="BL254" s="324"/>
      <c r="BM254" s="324"/>
      <c r="BN254" s="170"/>
      <c r="BO254" s="149"/>
      <c r="BP254" s="170"/>
      <c r="BQ254" s="149"/>
      <c r="BR254" s="170"/>
      <c r="BS254" s="171"/>
      <c r="BT254" s="706"/>
    </row>
    <row r="255" spans="1:72" s="2" customFormat="1" ht="24.9" customHeight="1">
      <c r="A255" s="147"/>
      <c r="B255" s="158"/>
      <c r="C255" s="179"/>
      <c r="D255" s="158"/>
      <c r="E255" s="160"/>
      <c r="F255" s="161"/>
      <c r="G255" s="161"/>
      <c r="H255" s="161"/>
      <c r="I255" s="163"/>
      <c r="J255" s="161"/>
      <c r="K255" s="163"/>
      <c r="L255" s="150"/>
      <c r="M255" s="164"/>
      <c r="N255" s="150"/>
      <c r="O255" s="174"/>
      <c r="P255" s="523"/>
      <c r="Q255" s="523"/>
      <c r="R255" s="154"/>
      <c r="S255" s="155"/>
      <c r="T255" s="156"/>
      <c r="U255" s="154"/>
      <c r="V255" s="155"/>
      <c r="W255" s="155"/>
      <c r="X255" s="419"/>
      <c r="Y255" s="157"/>
      <c r="Z255" s="217"/>
      <c r="AA255" s="150"/>
      <c r="AB255" s="151"/>
      <c r="AC255" s="152"/>
      <c r="AD255" s="506"/>
      <c r="AE255" s="166"/>
      <c r="AF255" s="150"/>
      <c r="AG255" s="152"/>
      <c r="AH255" s="150"/>
      <c r="AI255" s="152"/>
      <c r="AJ255" s="150"/>
      <c r="AK255" s="152"/>
      <c r="AL255" s="150"/>
      <c r="AM255" s="151"/>
      <c r="AN255" s="151"/>
      <c r="AO255" s="169"/>
      <c r="AP255" s="169"/>
      <c r="AQ255" s="149"/>
      <c r="AR255" s="324"/>
      <c r="AS255" s="324"/>
      <c r="AT255" s="324"/>
      <c r="AU255" s="324"/>
      <c r="AV255" s="324"/>
      <c r="AW255" s="324"/>
      <c r="AX255" s="150"/>
      <c r="AY255" s="297"/>
      <c r="AZ255" s="297"/>
      <c r="BA255" s="297"/>
      <c r="BB255" s="297"/>
      <c r="BC255" s="152"/>
      <c r="BD255" s="150"/>
      <c r="BE255" s="297"/>
      <c r="BF255" s="297"/>
      <c r="BG255" s="297"/>
      <c r="BH255" s="297"/>
      <c r="BI255" s="152"/>
      <c r="BJ255" s="170"/>
      <c r="BK255" s="148"/>
      <c r="BL255" s="324"/>
      <c r="BM255" s="324"/>
      <c r="BN255" s="170"/>
      <c r="BO255" s="149"/>
      <c r="BP255" s="170"/>
      <c r="BQ255" s="149"/>
      <c r="BR255" s="170"/>
      <c r="BS255" s="171"/>
      <c r="BT255" s="707"/>
    </row>
    <row r="256" spans="1:72" s="2" customFormat="1" ht="24.9" customHeight="1">
      <c r="A256" s="147"/>
      <c r="B256" s="158"/>
      <c r="C256" s="179"/>
      <c r="D256" s="158"/>
      <c r="E256" s="160"/>
      <c r="F256" s="161"/>
      <c r="G256" s="161"/>
      <c r="H256" s="161"/>
      <c r="I256" s="163"/>
      <c r="J256" s="161"/>
      <c r="K256" s="163"/>
      <c r="L256" s="150"/>
      <c r="M256" s="164"/>
      <c r="N256" s="150"/>
      <c r="O256" s="174"/>
      <c r="P256" s="523"/>
      <c r="Q256" s="523"/>
      <c r="R256" s="154"/>
      <c r="S256" s="155"/>
      <c r="T256" s="156"/>
      <c r="U256" s="154"/>
      <c r="V256" s="155"/>
      <c r="W256" s="155"/>
      <c r="X256" s="419"/>
      <c r="Y256" s="157"/>
      <c r="Z256" s="217"/>
      <c r="AA256" s="150"/>
      <c r="AB256" s="151"/>
      <c r="AC256" s="152"/>
      <c r="AD256" s="506"/>
      <c r="AE256" s="166"/>
      <c r="AF256" s="150"/>
      <c r="AG256" s="152"/>
      <c r="AH256" s="150"/>
      <c r="AI256" s="152"/>
      <c r="AJ256" s="150"/>
      <c r="AK256" s="152"/>
      <c r="AL256" s="150"/>
      <c r="AM256" s="151"/>
      <c r="AN256" s="151"/>
      <c r="AO256" s="169"/>
      <c r="AP256" s="169"/>
      <c r="AQ256" s="149"/>
      <c r="AR256" s="324"/>
      <c r="AS256" s="324"/>
      <c r="AT256" s="324"/>
      <c r="AU256" s="324"/>
      <c r="AV256" s="324"/>
      <c r="AW256" s="324"/>
      <c r="AX256" s="150"/>
      <c r="AY256" s="297"/>
      <c r="AZ256" s="297"/>
      <c r="BA256" s="297"/>
      <c r="BB256" s="297"/>
      <c r="BC256" s="152"/>
      <c r="BD256" s="150"/>
      <c r="BE256" s="297"/>
      <c r="BF256" s="297"/>
      <c r="BG256" s="297"/>
      <c r="BH256" s="297"/>
      <c r="BI256" s="152"/>
      <c r="BJ256" s="170"/>
      <c r="BK256" s="148"/>
      <c r="BL256" s="324"/>
      <c r="BM256" s="324"/>
      <c r="BN256" s="170"/>
      <c r="BO256" s="149"/>
      <c r="BP256" s="170"/>
      <c r="BQ256" s="149"/>
      <c r="BR256" s="170"/>
      <c r="BS256" s="171"/>
      <c r="BT256" s="706"/>
    </row>
    <row r="257" spans="1:72" s="2" customFormat="1" ht="24.9" customHeight="1">
      <c r="A257" s="147"/>
      <c r="B257" s="158"/>
      <c r="C257" s="179"/>
      <c r="D257" s="158"/>
      <c r="E257" s="160"/>
      <c r="F257" s="161"/>
      <c r="G257" s="161"/>
      <c r="H257" s="161"/>
      <c r="I257" s="163"/>
      <c r="J257" s="161"/>
      <c r="K257" s="163"/>
      <c r="L257" s="150"/>
      <c r="M257" s="164"/>
      <c r="N257" s="150"/>
      <c r="O257" s="151"/>
      <c r="P257" s="522"/>
      <c r="Q257" s="522"/>
      <c r="R257" s="154"/>
      <c r="S257" s="155"/>
      <c r="T257" s="156"/>
      <c r="U257" s="154"/>
      <c r="V257" s="155"/>
      <c r="W257" s="155"/>
      <c r="X257" s="419"/>
      <c r="Y257" s="157"/>
      <c r="Z257" s="217"/>
      <c r="AA257" s="150"/>
      <c r="AB257" s="151"/>
      <c r="AC257" s="152"/>
      <c r="AD257" s="506"/>
      <c r="AE257" s="166"/>
      <c r="AF257" s="150"/>
      <c r="AG257" s="152"/>
      <c r="AH257" s="150"/>
      <c r="AI257" s="152"/>
      <c r="AJ257" s="150"/>
      <c r="AK257" s="152"/>
      <c r="AL257" s="150"/>
      <c r="AM257" s="151"/>
      <c r="AN257" s="151"/>
      <c r="AO257" s="169"/>
      <c r="AP257" s="169"/>
      <c r="AQ257" s="149"/>
      <c r="AR257" s="324"/>
      <c r="AS257" s="324"/>
      <c r="AT257" s="324"/>
      <c r="AU257" s="324"/>
      <c r="AV257" s="324"/>
      <c r="AW257" s="324"/>
      <c r="AX257" s="150"/>
      <c r="AY257" s="297"/>
      <c r="AZ257" s="297"/>
      <c r="BA257" s="297"/>
      <c r="BB257" s="297"/>
      <c r="BC257" s="152"/>
      <c r="BD257" s="150"/>
      <c r="BE257" s="297"/>
      <c r="BF257" s="297"/>
      <c r="BG257" s="297"/>
      <c r="BH257" s="297"/>
      <c r="BI257" s="152"/>
      <c r="BJ257" s="170"/>
      <c r="BK257" s="148"/>
      <c r="BL257" s="324"/>
      <c r="BM257" s="324"/>
      <c r="BN257" s="170"/>
      <c r="BO257" s="149"/>
      <c r="BP257" s="170"/>
      <c r="BQ257" s="149"/>
      <c r="BR257" s="170"/>
      <c r="BS257" s="171"/>
      <c r="BT257" s="708"/>
    </row>
    <row r="258" spans="1:72" s="2" customFormat="1" ht="24.9" customHeight="1">
      <c r="A258" s="147"/>
      <c r="B258" s="158"/>
      <c r="C258" s="179"/>
      <c r="D258" s="158"/>
      <c r="E258" s="160"/>
      <c r="F258" s="161"/>
      <c r="G258" s="161"/>
      <c r="H258" s="161"/>
      <c r="I258" s="163"/>
      <c r="J258" s="161"/>
      <c r="K258" s="163"/>
      <c r="L258" s="150"/>
      <c r="M258" s="164"/>
      <c r="N258" s="150"/>
      <c r="O258" s="174"/>
      <c r="P258" s="523"/>
      <c r="Q258" s="523"/>
      <c r="R258" s="154"/>
      <c r="S258" s="155"/>
      <c r="T258" s="156"/>
      <c r="U258" s="154"/>
      <c r="V258" s="155"/>
      <c r="W258" s="155"/>
      <c r="X258" s="419"/>
      <c r="Y258" s="157"/>
      <c r="Z258" s="217"/>
      <c r="AA258" s="150"/>
      <c r="AB258" s="151"/>
      <c r="AC258" s="152"/>
      <c r="AD258" s="506"/>
      <c r="AE258" s="166"/>
      <c r="AF258" s="150"/>
      <c r="AG258" s="152"/>
      <c r="AH258" s="150"/>
      <c r="AI258" s="152"/>
      <c r="AJ258" s="150"/>
      <c r="AK258" s="152"/>
      <c r="AL258" s="150"/>
      <c r="AM258" s="151"/>
      <c r="AN258" s="151"/>
      <c r="AO258" s="169"/>
      <c r="AP258" s="169"/>
      <c r="AQ258" s="149"/>
      <c r="AR258" s="324"/>
      <c r="AS258" s="324"/>
      <c r="AT258" s="324"/>
      <c r="AU258" s="324"/>
      <c r="AV258" s="324"/>
      <c r="AW258" s="324"/>
      <c r="AX258" s="150"/>
      <c r="AY258" s="297"/>
      <c r="AZ258" s="297"/>
      <c r="BA258" s="297"/>
      <c r="BB258" s="297"/>
      <c r="BC258" s="152"/>
      <c r="BD258" s="150"/>
      <c r="BE258" s="297"/>
      <c r="BF258" s="297"/>
      <c r="BG258" s="297"/>
      <c r="BH258" s="297"/>
      <c r="BI258" s="152"/>
      <c r="BJ258" s="170"/>
      <c r="BK258" s="148"/>
      <c r="BL258" s="324"/>
      <c r="BM258" s="324"/>
      <c r="BN258" s="170"/>
      <c r="BO258" s="149"/>
      <c r="BP258" s="170"/>
      <c r="BQ258" s="149"/>
      <c r="BR258" s="170"/>
      <c r="BS258" s="171"/>
      <c r="BT258" s="707"/>
    </row>
    <row r="259" spans="1:72" s="2" customFormat="1" ht="24.9" customHeight="1">
      <c r="A259" s="147"/>
      <c r="B259" s="158"/>
      <c r="C259" s="179"/>
      <c r="D259" s="158"/>
      <c r="E259" s="160"/>
      <c r="F259" s="161"/>
      <c r="G259" s="161"/>
      <c r="H259" s="161"/>
      <c r="I259" s="163"/>
      <c r="J259" s="161"/>
      <c r="K259" s="163"/>
      <c r="L259" s="150"/>
      <c r="M259" s="164"/>
      <c r="N259" s="150"/>
      <c r="O259" s="174"/>
      <c r="P259" s="523"/>
      <c r="Q259" s="523"/>
      <c r="R259" s="154"/>
      <c r="S259" s="155"/>
      <c r="T259" s="156"/>
      <c r="U259" s="154"/>
      <c r="V259" s="155"/>
      <c r="W259" s="155"/>
      <c r="X259" s="419"/>
      <c r="Y259" s="157"/>
      <c r="Z259" s="217"/>
      <c r="AA259" s="150"/>
      <c r="AB259" s="151"/>
      <c r="AC259" s="152"/>
      <c r="AD259" s="506"/>
      <c r="AE259" s="166"/>
      <c r="AF259" s="150"/>
      <c r="AG259" s="152"/>
      <c r="AH259" s="150"/>
      <c r="AI259" s="152"/>
      <c r="AJ259" s="150"/>
      <c r="AK259" s="152"/>
      <c r="AL259" s="150"/>
      <c r="AM259" s="151"/>
      <c r="AN259" s="151"/>
      <c r="AO259" s="169"/>
      <c r="AP259" s="169"/>
      <c r="AQ259" s="149"/>
      <c r="AR259" s="324"/>
      <c r="AS259" s="324"/>
      <c r="AT259" s="324"/>
      <c r="AU259" s="324"/>
      <c r="AV259" s="324"/>
      <c r="AW259" s="324"/>
      <c r="AX259" s="150"/>
      <c r="AY259" s="297"/>
      <c r="AZ259" s="297"/>
      <c r="BA259" s="297"/>
      <c r="BB259" s="297"/>
      <c r="BC259" s="152"/>
      <c r="BD259" s="150"/>
      <c r="BE259" s="297"/>
      <c r="BF259" s="297"/>
      <c r="BG259" s="297"/>
      <c r="BH259" s="297"/>
      <c r="BI259" s="152"/>
      <c r="BJ259" s="170"/>
      <c r="BK259" s="148"/>
      <c r="BL259" s="324"/>
      <c r="BM259" s="324"/>
      <c r="BN259" s="170"/>
      <c r="BO259" s="149"/>
      <c r="BP259" s="170"/>
      <c r="BQ259" s="149"/>
      <c r="BR259" s="170"/>
      <c r="BS259" s="171"/>
      <c r="BT259" s="706"/>
    </row>
    <row r="260" spans="1:72" s="2" customFormat="1" ht="24.9" customHeight="1">
      <c r="A260" s="147"/>
      <c r="B260" s="158"/>
      <c r="C260" s="179"/>
      <c r="D260" s="158"/>
      <c r="E260" s="160"/>
      <c r="F260" s="161"/>
      <c r="G260" s="161"/>
      <c r="H260" s="161"/>
      <c r="I260" s="163"/>
      <c r="J260" s="161"/>
      <c r="K260" s="163"/>
      <c r="L260" s="150"/>
      <c r="M260" s="164"/>
      <c r="N260" s="150"/>
      <c r="O260" s="174"/>
      <c r="P260" s="523"/>
      <c r="Q260" s="523"/>
      <c r="R260" s="154"/>
      <c r="S260" s="155"/>
      <c r="T260" s="156"/>
      <c r="U260" s="154"/>
      <c r="V260" s="155"/>
      <c r="W260" s="155"/>
      <c r="X260" s="419"/>
      <c r="Y260" s="157"/>
      <c r="Z260" s="217"/>
      <c r="AA260" s="150"/>
      <c r="AB260" s="151"/>
      <c r="AC260" s="152"/>
      <c r="AD260" s="506"/>
      <c r="AE260" s="166"/>
      <c r="AF260" s="150"/>
      <c r="AG260" s="152"/>
      <c r="AH260" s="150"/>
      <c r="AI260" s="152"/>
      <c r="AJ260" s="150"/>
      <c r="AK260" s="152"/>
      <c r="AL260" s="150"/>
      <c r="AM260" s="151"/>
      <c r="AN260" s="151"/>
      <c r="AO260" s="169"/>
      <c r="AP260" s="169"/>
      <c r="AQ260" s="149"/>
      <c r="AR260" s="324"/>
      <c r="AS260" s="324"/>
      <c r="AT260" s="324"/>
      <c r="AU260" s="324"/>
      <c r="AV260" s="324"/>
      <c r="AW260" s="324"/>
      <c r="AX260" s="150"/>
      <c r="AY260" s="297"/>
      <c r="AZ260" s="297"/>
      <c r="BA260" s="297"/>
      <c r="BB260" s="297"/>
      <c r="BC260" s="152"/>
      <c r="BD260" s="150"/>
      <c r="BE260" s="297"/>
      <c r="BF260" s="297"/>
      <c r="BG260" s="297"/>
      <c r="BH260" s="297"/>
      <c r="BI260" s="152"/>
      <c r="BJ260" s="170"/>
      <c r="BK260" s="148"/>
      <c r="BL260" s="324"/>
      <c r="BM260" s="324"/>
      <c r="BN260" s="170"/>
      <c r="BO260" s="149"/>
      <c r="BP260" s="170"/>
      <c r="BQ260" s="149"/>
      <c r="BR260" s="170"/>
      <c r="BS260" s="171"/>
      <c r="BT260" s="707"/>
    </row>
    <row r="261" spans="1:72" s="2" customFormat="1" ht="24.9" customHeight="1">
      <c r="A261" s="147"/>
      <c r="B261" s="158"/>
      <c r="C261" s="179"/>
      <c r="D261" s="158"/>
      <c r="E261" s="160"/>
      <c r="F261" s="161"/>
      <c r="G261" s="161"/>
      <c r="H261" s="161"/>
      <c r="I261" s="163"/>
      <c r="J261" s="161"/>
      <c r="K261" s="163"/>
      <c r="L261" s="150"/>
      <c r="M261" s="164"/>
      <c r="N261" s="150"/>
      <c r="O261" s="174"/>
      <c r="P261" s="523"/>
      <c r="Q261" s="523"/>
      <c r="R261" s="154"/>
      <c r="S261" s="155"/>
      <c r="T261" s="156"/>
      <c r="U261" s="154"/>
      <c r="V261" s="155"/>
      <c r="W261" s="155"/>
      <c r="X261" s="419"/>
      <c r="Y261" s="157"/>
      <c r="Z261" s="217"/>
      <c r="AA261" s="150"/>
      <c r="AB261" s="151"/>
      <c r="AC261" s="152"/>
      <c r="AD261" s="506"/>
      <c r="AE261" s="166"/>
      <c r="AF261" s="150"/>
      <c r="AG261" s="152"/>
      <c r="AH261" s="150"/>
      <c r="AI261" s="152"/>
      <c r="AJ261" s="150"/>
      <c r="AK261" s="152"/>
      <c r="AL261" s="150"/>
      <c r="AM261" s="151"/>
      <c r="AN261" s="151"/>
      <c r="AO261" s="169"/>
      <c r="AP261" s="169"/>
      <c r="AQ261" s="149"/>
      <c r="AR261" s="324"/>
      <c r="AS261" s="324"/>
      <c r="AT261" s="324"/>
      <c r="AU261" s="324"/>
      <c r="AV261" s="324"/>
      <c r="AW261" s="324"/>
      <c r="AX261" s="150"/>
      <c r="AY261" s="297"/>
      <c r="AZ261" s="297"/>
      <c r="BA261" s="297"/>
      <c r="BB261" s="297"/>
      <c r="BC261" s="152"/>
      <c r="BD261" s="150"/>
      <c r="BE261" s="297"/>
      <c r="BF261" s="297"/>
      <c r="BG261" s="297"/>
      <c r="BH261" s="297"/>
      <c r="BI261" s="152"/>
      <c r="BJ261" s="170"/>
      <c r="BK261" s="148"/>
      <c r="BL261" s="324"/>
      <c r="BM261" s="324"/>
      <c r="BN261" s="170"/>
      <c r="BO261" s="149"/>
      <c r="BP261" s="170"/>
      <c r="BQ261" s="149"/>
      <c r="BR261" s="170"/>
      <c r="BS261" s="171"/>
      <c r="BT261" s="706"/>
    </row>
    <row r="262" spans="1:72" s="2" customFormat="1" ht="24.9" customHeight="1">
      <c r="A262" s="147"/>
      <c r="B262" s="158"/>
      <c r="C262" s="179"/>
      <c r="D262" s="158"/>
      <c r="E262" s="160"/>
      <c r="F262" s="161"/>
      <c r="G262" s="161"/>
      <c r="H262" s="161"/>
      <c r="I262" s="163"/>
      <c r="J262" s="161"/>
      <c r="K262" s="163"/>
      <c r="L262" s="150"/>
      <c r="M262" s="164"/>
      <c r="N262" s="150"/>
      <c r="O262" s="174"/>
      <c r="P262" s="523"/>
      <c r="Q262" s="523"/>
      <c r="R262" s="154"/>
      <c r="S262" s="155"/>
      <c r="T262" s="156"/>
      <c r="U262" s="154"/>
      <c r="V262" s="155"/>
      <c r="W262" s="155"/>
      <c r="X262" s="419"/>
      <c r="Y262" s="157"/>
      <c r="Z262" s="217"/>
      <c r="AA262" s="150"/>
      <c r="AB262" s="151"/>
      <c r="AC262" s="152"/>
      <c r="AD262" s="506"/>
      <c r="AE262" s="166"/>
      <c r="AF262" s="150"/>
      <c r="AG262" s="152"/>
      <c r="AH262" s="150"/>
      <c r="AI262" s="152"/>
      <c r="AJ262" s="150"/>
      <c r="AK262" s="152"/>
      <c r="AL262" s="150"/>
      <c r="AM262" s="151"/>
      <c r="AN262" s="151"/>
      <c r="AO262" s="169"/>
      <c r="AP262" s="169"/>
      <c r="AQ262" s="149"/>
      <c r="AR262" s="324"/>
      <c r="AS262" s="324"/>
      <c r="AT262" s="324"/>
      <c r="AU262" s="324"/>
      <c r="AV262" s="324"/>
      <c r="AW262" s="324"/>
      <c r="AX262" s="150"/>
      <c r="AY262" s="297"/>
      <c r="AZ262" s="297"/>
      <c r="BA262" s="297"/>
      <c r="BB262" s="297"/>
      <c r="BC262" s="152"/>
      <c r="BD262" s="150"/>
      <c r="BE262" s="297"/>
      <c r="BF262" s="297"/>
      <c r="BG262" s="297"/>
      <c r="BH262" s="297"/>
      <c r="BI262" s="152"/>
      <c r="BJ262" s="170"/>
      <c r="BK262" s="148"/>
      <c r="BL262" s="324"/>
      <c r="BM262" s="324"/>
      <c r="BN262" s="170"/>
      <c r="BO262" s="149"/>
      <c r="BP262" s="170"/>
      <c r="BQ262" s="149"/>
      <c r="BR262" s="170"/>
      <c r="BS262" s="171"/>
      <c r="BT262" s="707"/>
    </row>
    <row r="263" spans="1:72" s="2" customFormat="1" ht="24.9" customHeight="1">
      <c r="A263" s="147"/>
      <c r="B263" s="158"/>
      <c r="C263" s="179"/>
      <c r="D263" s="158"/>
      <c r="E263" s="160"/>
      <c r="F263" s="161"/>
      <c r="G263" s="161"/>
      <c r="H263" s="161"/>
      <c r="I263" s="163"/>
      <c r="J263" s="161"/>
      <c r="K263" s="163"/>
      <c r="L263" s="150"/>
      <c r="M263" s="164"/>
      <c r="N263" s="150"/>
      <c r="O263" s="174"/>
      <c r="P263" s="523"/>
      <c r="Q263" s="523"/>
      <c r="R263" s="154"/>
      <c r="S263" s="155"/>
      <c r="T263" s="156"/>
      <c r="U263" s="154"/>
      <c r="V263" s="155"/>
      <c r="W263" s="155"/>
      <c r="X263" s="419"/>
      <c r="Y263" s="157"/>
      <c r="Z263" s="217"/>
      <c r="AA263" s="150"/>
      <c r="AB263" s="151"/>
      <c r="AC263" s="152"/>
      <c r="AD263" s="506"/>
      <c r="AE263" s="166"/>
      <c r="AF263" s="150"/>
      <c r="AG263" s="152"/>
      <c r="AH263" s="150"/>
      <c r="AI263" s="152"/>
      <c r="AJ263" s="150"/>
      <c r="AK263" s="152"/>
      <c r="AL263" s="150"/>
      <c r="AM263" s="151"/>
      <c r="AN263" s="151"/>
      <c r="AO263" s="169"/>
      <c r="AP263" s="169"/>
      <c r="AQ263" s="149"/>
      <c r="AR263" s="324"/>
      <c r="AS263" s="324"/>
      <c r="AT263" s="324"/>
      <c r="AU263" s="324"/>
      <c r="AV263" s="324"/>
      <c r="AW263" s="324"/>
      <c r="AX263" s="150"/>
      <c r="AY263" s="297"/>
      <c r="AZ263" s="297"/>
      <c r="BA263" s="297"/>
      <c r="BB263" s="297"/>
      <c r="BC263" s="152"/>
      <c r="BD263" s="150"/>
      <c r="BE263" s="297"/>
      <c r="BF263" s="297"/>
      <c r="BG263" s="297"/>
      <c r="BH263" s="297"/>
      <c r="BI263" s="152"/>
      <c r="BJ263" s="170"/>
      <c r="BK263" s="148"/>
      <c r="BL263" s="324"/>
      <c r="BM263" s="324"/>
      <c r="BN263" s="170"/>
      <c r="BO263" s="149"/>
      <c r="BP263" s="170"/>
      <c r="BQ263" s="149"/>
      <c r="BR263" s="170"/>
      <c r="BS263" s="171"/>
      <c r="BT263" s="706"/>
    </row>
    <row r="264" spans="1:72" s="2" customFormat="1" ht="24.9" customHeight="1">
      <c r="A264" s="147"/>
      <c r="B264" s="158"/>
      <c r="C264" s="179"/>
      <c r="D264" s="158"/>
      <c r="E264" s="160"/>
      <c r="F264" s="161"/>
      <c r="G264" s="161"/>
      <c r="H264" s="161"/>
      <c r="I264" s="163"/>
      <c r="J264" s="161"/>
      <c r="K264" s="163"/>
      <c r="L264" s="150"/>
      <c r="M264" s="164"/>
      <c r="N264" s="150"/>
      <c r="O264" s="151"/>
      <c r="P264" s="522"/>
      <c r="Q264" s="522"/>
      <c r="R264" s="154"/>
      <c r="S264" s="155"/>
      <c r="T264" s="156"/>
      <c r="U264" s="154"/>
      <c r="V264" s="155"/>
      <c r="W264" s="155"/>
      <c r="X264" s="419"/>
      <c r="Y264" s="157"/>
      <c r="Z264" s="217"/>
      <c r="AA264" s="150"/>
      <c r="AB264" s="151"/>
      <c r="AC264" s="152"/>
      <c r="AD264" s="506"/>
      <c r="AE264" s="166"/>
      <c r="AF264" s="150"/>
      <c r="AG264" s="152"/>
      <c r="AH264" s="150"/>
      <c r="AI264" s="152"/>
      <c r="AJ264" s="150"/>
      <c r="AK264" s="152"/>
      <c r="AL264" s="150"/>
      <c r="AM264" s="151"/>
      <c r="AN264" s="151"/>
      <c r="AO264" s="169"/>
      <c r="AP264" s="169"/>
      <c r="AQ264" s="149"/>
      <c r="AR264" s="324"/>
      <c r="AS264" s="324"/>
      <c r="AT264" s="324"/>
      <c r="AU264" s="324"/>
      <c r="AV264" s="324"/>
      <c r="AW264" s="324"/>
      <c r="AX264" s="150"/>
      <c r="AY264" s="297"/>
      <c r="AZ264" s="297"/>
      <c r="BA264" s="297"/>
      <c r="BB264" s="297"/>
      <c r="BC264" s="152"/>
      <c r="BD264" s="150"/>
      <c r="BE264" s="297"/>
      <c r="BF264" s="297"/>
      <c r="BG264" s="297"/>
      <c r="BH264" s="297"/>
      <c r="BI264" s="152"/>
      <c r="BJ264" s="170"/>
      <c r="BK264" s="148"/>
      <c r="BL264" s="324"/>
      <c r="BM264" s="324"/>
      <c r="BN264" s="170"/>
      <c r="BO264" s="149"/>
      <c r="BP264" s="170"/>
      <c r="BQ264" s="149"/>
      <c r="BR264" s="170"/>
      <c r="BS264" s="171"/>
      <c r="BT264" s="708"/>
    </row>
    <row r="265" spans="1:72" s="2" customFormat="1" ht="24.9" customHeight="1">
      <c r="A265" s="147"/>
      <c r="B265" s="158"/>
      <c r="C265" s="179"/>
      <c r="D265" s="158"/>
      <c r="E265" s="160"/>
      <c r="F265" s="161"/>
      <c r="G265" s="161"/>
      <c r="H265" s="161"/>
      <c r="I265" s="163"/>
      <c r="J265" s="161"/>
      <c r="K265" s="163"/>
      <c r="L265" s="150"/>
      <c r="M265" s="164"/>
      <c r="N265" s="150"/>
      <c r="O265" s="174"/>
      <c r="P265" s="523"/>
      <c r="Q265" s="523"/>
      <c r="R265" s="154"/>
      <c r="S265" s="155"/>
      <c r="T265" s="156"/>
      <c r="U265" s="154"/>
      <c r="V265" s="155"/>
      <c r="W265" s="155"/>
      <c r="X265" s="419"/>
      <c r="Y265" s="157"/>
      <c r="Z265" s="217"/>
      <c r="AA265" s="150"/>
      <c r="AB265" s="151"/>
      <c r="AC265" s="152"/>
      <c r="AD265" s="506"/>
      <c r="AE265" s="166"/>
      <c r="AF265" s="150"/>
      <c r="AG265" s="152"/>
      <c r="AH265" s="150"/>
      <c r="AI265" s="152"/>
      <c r="AJ265" s="150"/>
      <c r="AK265" s="152"/>
      <c r="AL265" s="150"/>
      <c r="AM265" s="151"/>
      <c r="AN265" s="151"/>
      <c r="AO265" s="169"/>
      <c r="AP265" s="169"/>
      <c r="AQ265" s="149"/>
      <c r="AR265" s="324"/>
      <c r="AS265" s="324"/>
      <c r="AT265" s="324"/>
      <c r="AU265" s="324"/>
      <c r="AV265" s="324"/>
      <c r="AW265" s="324"/>
      <c r="AX265" s="150"/>
      <c r="AY265" s="297"/>
      <c r="AZ265" s="297"/>
      <c r="BA265" s="297"/>
      <c r="BB265" s="297"/>
      <c r="BC265" s="152"/>
      <c r="BD265" s="150"/>
      <c r="BE265" s="297"/>
      <c r="BF265" s="297"/>
      <c r="BG265" s="297"/>
      <c r="BH265" s="297"/>
      <c r="BI265" s="152"/>
      <c r="BJ265" s="170"/>
      <c r="BK265" s="148"/>
      <c r="BL265" s="324"/>
      <c r="BM265" s="324"/>
      <c r="BN265" s="170"/>
      <c r="BO265" s="149"/>
      <c r="BP265" s="170"/>
      <c r="BQ265" s="149"/>
      <c r="BR265" s="170"/>
      <c r="BS265" s="171"/>
      <c r="BT265" s="707"/>
    </row>
    <row r="266" spans="1:72" s="2" customFormat="1" ht="24.9" customHeight="1">
      <c r="A266" s="147"/>
      <c r="B266" s="158"/>
      <c r="C266" s="179"/>
      <c r="D266" s="158"/>
      <c r="E266" s="160"/>
      <c r="F266" s="161"/>
      <c r="G266" s="161"/>
      <c r="H266" s="161"/>
      <c r="I266" s="163"/>
      <c r="J266" s="161"/>
      <c r="K266" s="163"/>
      <c r="L266" s="150"/>
      <c r="M266" s="164"/>
      <c r="N266" s="150"/>
      <c r="O266" s="174"/>
      <c r="P266" s="523"/>
      <c r="Q266" s="523"/>
      <c r="R266" s="154"/>
      <c r="S266" s="155"/>
      <c r="T266" s="156"/>
      <c r="U266" s="154"/>
      <c r="V266" s="155"/>
      <c r="W266" s="155"/>
      <c r="X266" s="419"/>
      <c r="Y266" s="157"/>
      <c r="Z266" s="217"/>
      <c r="AA266" s="150"/>
      <c r="AB266" s="151"/>
      <c r="AC266" s="152"/>
      <c r="AD266" s="506"/>
      <c r="AE266" s="166"/>
      <c r="AF266" s="150"/>
      <c r="AG266" s="152"/>
      <c r="AH266" s="150"/>
      <c r="AI266" s="152"/>
      <c r="AJ266" s="150"/>
      <c r="AK266" s="152"/>
      <c r="AL266" s="150"/>
      <c r="AM266" s="151"/>
      <c r="AN266" s="151"/>
      <c r="AO266" s="169"/>
      <c r="AP266" s="169"/>
      <c r="AQ266" s="149"/>
      <c r="AR266" s="324"/>
      <c r="AS266" s="324"/>
      <c r="AT266" s="324"/>
      <c r="AU266" s="324"/>
      <c r="AV266" s="324"/>
      <c r="AW266" s="324"/>
      <c r="AX266" s="150"/>
      <c r="AY266" s="297"/>
      <c r="AZ266" s="297"/>
      <c r="BA266" s="297"/>
      <c r="BB266" s="297"/>
      <c r="BC266" s="152"/>
      <c r="BD266" s="150"/>
      <c r="BE266" s="297"/>
      <c r="BF266" s="297"/>
      <c r="BG266" s="297"/>
      <c r="BH266" s="297"/>
      <c r="BI266" s="152"/>
      <c r="BJ266" s="170"/>
      <c r="BK266" s="148"/>
      <c r="BL266" s="324"/>
      <c r="BM266" s="324"/>
      <c r="BN266" s="170"/>
      <c r="BO266" s="149"/>
      <c r="BP266" s="170"/>
      <c r="BQ266" s="149"/>
      <c r="BR266" s="170"/>
      <c r="BS266" s="171"/>
      <c r="BT266" s="706"/>
    </row>
    <row r="267" spans="1:72" s="2" customFormat="1" ht="24.9" customHeight="1">
      <c r="A267" s="147"/>
      <c r="B267" s="158"/>
      <c r="C267" s="179"/>
      <c r="D267" s="158"/>
      <c r="E267" s="160"/>
      <c r="F267" s="161"/>
      <c r="G267" s="161"/>
      <c r="H267" s="161"/>
      <c r="I267" s="163"/>
      <c r="J267" s="161"/>
      <c r="K267" s="163"/>
      <c r="L267" s="150"/>
      <c r="M267" s="164"/>
      <c r="N267" s="150"/>
      <c r="O267" s="174"/>
      <c r="P267" s="523"/>
      <c r="Q267" s="523"/>
      <c r="R267" s="154"/>
      <c r="S267" s="155"/>
      <c r="T267" s="156"/>
      <c r="U267" s="154"/>
      <c r="V267" s="155"/>
      <c r="W267" s="155"/>
      <c r="X267" s="419"/>
      <c r="Y267" s="157"/>
      <c r="Z267" s="217"/>
      <c r="AA267" s="150"/>
      <c r="AB267" s="151"/>
      <c r="AC267" s="152"/>
      <c r="AD267" s="506"/>
      <c r="AE267" s="166"/>
      <c r="AF267" s="150"/>
      <c r="AG267" s="152"/>
      <c r="AH267" s="150"/>
      <c r="AI267" s="152"/>
      <c r="AJ267" s="150"/>
      <c r="AK267" s="152"/>
      <c r="AL267" s="150"/>
      <c r="AM267" s="151"/>
      <c r="AN267" s="151"/>
      <c r="AO267" s="169"/>
      <c r="AP267" s="169"/>
      <c r="AQ267" s="149"/>
      <c r="AR267" s="324"/>
      <c r="AS267" s="324"/>
      <c r="AT267" s="324"/>
      <c r="AU267" s="324"/>
      <c r="AV267" s="324"/>
      <c r="AW267" s="324"/>
      <c r="AX267" s="150"/>
      <c r="AY267" s="297"/>
      <c r="AZ267" s="297"/>
      <c r="BA267" s="297"/>
      <c r="BB267" s="297"/>
      <c r="BC267" s="152"/>
      <c r="BD267" s="150"/>
      <c r="BE267" s="297"/>
      <c r="BF267" s="297"/>
      <c r="BG267" s="297"/>
      <c r="BH267" s="297"/>
      <c r="BI267" s="152"/>
      <c r="BJ267" s="170"/>
      <c r="BK267" s="148"/>
      <c r="BL267" s="324"/>
      <c r="BM267" s="324"/>
      <c r="BN267" s="170"/>
      <c r="BO267" s="149"/>
      <c r="BP267" s="170"/>
      <c r="BQ267" s="149"/>
      <c r="BR267" s="170"/>
      <c r="BS267" s="171"/>
      <c r="BT267" s="707"/>
    </row>
    <row r="268" spans="1:72" s="2" customFormat="1" ht="24.9" customHeight="1">
      <c r="A268" s="147"/>
      <c r="B268" s="158"/>
      <c r="C268" s="179"/>
      <c r="D268" s="158"/>
      <c r="E268" s="160"/>
      <c r="F268" s="161"/>
      <c r="G268" s="161"/>
      <c r="H268" s="161"/>
      <c r="I268" s="163"/>
      <c r="J268" s="161"/>
      <c r="K268" s="163"/>
      <c r="L268" s="150"/>
      <c r="M268" s="164"/>
      <c r="N268" s="150"/>
      <c r="O268" s="174"/>
      <c r="P268" s="523"/>
      <c r="Q268" s="523"/>
      <c r="R268" s="154"/>
      <c r="S268" s="155"/>
      <c r="T268" s="156"/>
      <c r="U268" s="154"/>
      <c r="V268" s="155"/>
      <c r="W268" s="155"/>
      <c r="X268" s="419"/>
      <c r="Y268" s="157"/>
      <c r="Z268" s="217"/>
      <c r="AA268" s="150"/>
      <c r="AB268" s="151"/>
      <c r="AC268" s="152"/>
      <c r="AD268" s="506"/>
      <c r="AE268" s="166"/>
      <c r="AF268" s="150"/>
      <c r="AG268" s="152"/>
      <c r="AH268" s="150"/>
      <c r="AI268" s="152"/>
      <c r="AJ268" s="150"/>
      <c r="AK268" s="152"/>
      <c r="AL268" s="150"/>
      <c r="AM268" s="151"/>
      <c r="AN268" s="151"/>
      <c r="AO268" s="169"/>
      <c r="AP268" s="169"/>
      <c r="AQ268" s="149"/>
      <c r="AR268" s="324"/>
      <c r="AS268" s="324"/>
      <c r="AT268" s="324"/>
      <c r="AU268" s="324"/>
      <c r="AV268" s="324"/>
      <c r="AW268" s="324"/>
      <c r="AX268" s="150"/>
      <c r="AY268" s="297"/>
      <c r="AZ268" s="297"/>
      <c r="BA268" s="297"/>
      <c r="BB268" s="297"/>
      <c r="BC268" s="152"/>
      <c r="BD268" s="150"/>
      <c r="BE268" s="297"/>
      <c r="BF268" s="297"/>
      <c r="BG268" s="297"/>
      <c r="BH268" s="297"/>
      <c r="BI268" s="152"/>
      <c r="BJ268" s="170"/>
      <c r="BK268" s="148"/>
      <c r="BL268" s="324"/>
      <c r="BM268" s="324"/>
      <c r="BN268" s="170"/>
      <c r="BO268" s="149"/>
      <c r="BP268" s="170"/>
      <c r="BQ268" s="149"/>
      <c r="BR268" s="170"/>
      <c r="BS268" s="171"/>
      <c r="BT268" s="706"/>
    </row>
    <row r="269" spans="1:72" s="2" customFormat="1" ht="24.9" customHeight="1">
      <c r="A269" s="147"/>
      <c r="B269" s="158"/>
      <c r="C269" s="179"/>
      <c r="D269" s="158"/>
      <c r="E269" s="160"/>
      <c r="F269" s="161"/>
      <c r="G269" s="161"/>
      <c r="H269" s="161"/>
      <c r="I269" s="163"/>
      <c r="J269" s="161"/>
      <c r="K269" s="163"/>
      <c r="L269" s="150"/>
      <c r="M269" s="164"/>
      <c r="N269" s="150"/>
      <c r="O269" s="174"/>
      <c r="P269" s="523"/>
      <c r="Q269" s="523"/>
      <c r="R269" s="154"/>
      <c r="S269" s="155"/>
      <c r="T269" s="156"/>
      <c r="U269" s="154"/>
      <c r="V269" s="155"/>
      <c r="W269" s="155"/>
      <c r="X269" s="419"/>
      <c r="Y269" s="157"/>
      <c r="Z269" s="217"/>
      <c r="AA269" s="150"/>
      <c r="AB269" s="151"/>
      <c r="AC269" s="152"/>
      <c r="AD269" s="506"/>
      <c r="AE269" s="166"/>
      <c r="AF269" s="150"/>
      <c r="AG269" s="152"/>
      <c r="AH269" s="150"/>
      <c r="AI269" s="152"/>
      <c r="AJ269" s="150"/>
      <c r="AK269" s="152"/>
      <c r="AL269" s="150"/>
      <c r="AM269" s="151"/>
      <c r="AN269" s="151"/>
      <c r="AO269" s="169"/>
      <c r="AP269" s="169"/>
      <c r="AQ269" s="149"/>
      <c r="AR269" s="324"/>
      <c r="AS269" s="324"/>
      <c r="AT269" s="324"/>
      <c r="AU269" s="324"/>
      <c r="AV269" s="324"/>
      <c r="AW269" s="324"/>
      <c r="AX269" s="150"/>
      <c r="AY269" s="297"/>
      <c r="AZ269" s="297"/>
      <c r="BA269" s="297"/>
      <c r="BB269" s="297"/>
      <c r="BC269" s="152"/>
      <c r="BD269" s="150"/>
      <c r="BE269" s="297"/>
      <c r="BF269" s="297"/>
      <c r="BG269" s="297"/>
      <c r="BH269" s="297"/>
      <c r="BI269" s="152"/>
      <c r="BJ269" s="170"/>
      <c r="BK269" s="148"/>
      <c r="BL269" s="324"/>
      <c r="BM269" s="324"/>
      <c r="BN269" s="170"/>
      <c r="BO269" s="149"/>
      <c r="BP269" s="170"/>
      <c r="BQ269" s="149"/>
      <c r="BR269" s="170"/>
      <c r="BS269" s="171"/>
      <c r="BT269" s="708"/>
    </row>
    <row r="270" spans="1:72" s="2" customFormat="1" ht="24.9" customHeight="1">
      <c r="A270" s="147"/>
      <c r="B270" s="158"/>
      <c r="C270" s="179"/>
      <c r="D270" s="158"/>
      <c r="E270" s="160"/>
      <c r="F270" s="161"/>
      <c r="G270" s="161"/>
      <c r="H270" s="161"/>
      <c r="I270" s="163"/>
      <c r="J270" s="161"/>
      <c r="K270" s="163"/>
      <c r="L270" s="150"/>
      <c r="M270" s="164"/>
      <c r="N270" s="150"/>
      <c r="O270" s="151"/>
      <c r="P270" s="522"/>
      <c r="Q270" s="522"/>
      <c r="R270" s="154"/>
      <c r="S270" s="155"/>
      <c r="T270" s="156"/>
      <c r="U270" s="154"/>
      <c r="V270" s="155"/>
      <c r="W270" s="155"/>
      <c r="X270" s="419"/>
      <c r="Y270" s="157"/>
      <c r="Z270" s="217"/>
      <c r="AA270" s="150"/>
      <c r="AB270" s="151"/>
      <c r="AC270" s="152"/>
      <c r="AD270" s="506"/>
      <c r="AE270" s="166"/>
      <c r="AF270" s="150"/>
      <c r="AG270" s="152"/>
      <c r="AH270" s="150"/>
      <c r="AI270" s="152"/>
      <c r="AJ270" s="150"/>
      <c r="AK270" s="152"/>
      <c r="AL270" s="150"/>
      <c r="AM270" s="151"/>
      <c r="AN270" s="151"/>
      <c r="AO270" s="169"/>
      <c r="AP270" s="169"/>
      <c r="AQ270" s="149"/>
      <c r="AR270" s="324"/>
      <c r="AS270" s="324"/>
      <c r="AT270" s="324"/>
      <c r="AU270" s="324"/>
      <c r="AV270" s="324"/>
      <c r="AW270" s="324"/>
      <c r="AX270" s="150"/>
      <c r="AY270" s="297"/>
      <c r="AZ270" s="297"/>
      <c r="BA270" s="297"/>
      <c r="BB270" s="297"/>
      <c r="BC270" s="152"/>
      <c r="BD270" s="150"/>
      <c r="BE270" s="297"/>
      <c r="BF270" s="297"/>
      <c r="BG270" s="297"/>
      <c r="BH270" s="297"/>
      <c r="BI270" s="152"/>
      <c r="BJ270" s="170"/>
      <c r="BK270" s="148"/>
      <c r="BL270" s="324"/>
      <c r="BM270" s="324"/>
      <c r="BN270" s="170"/>
      <c r="BO270" s="149"/>
      <c r="BP270" s="170"/>
      <c r="BQ270" s="149"/>
      <c r="BR270" s="170"/>
      <c r="BS270" s="171"/>
      <c r="BT270" s="707"/>
    </row>
    <row r="271" spans="1:72" s="2" customFormat="1" ht="24.9" customHeight="1">
      <c r="A271" s="147"/>
      <c r="B271" s="158"/>
      <c r="C271" s="179"/>
      <c r="D271" s="158"/>
      <c r="E271" s="160"/>
      <c r="F271" s="161"/>
      <c r="G271" s="161"/>
      <c r="H271" s="161"/>
      <c r="I271" s="163"/>
      <c r="J271" s="161"/>
      <c r="K271" s="163"/>
      <c r="L271" s="150"/>
      <c r="M271" s="164"/>
      <c r="N271" s="150"/>
      <c r="O271" s="174"/>
      <c r="P271" s="523"/>
      <c r="Q271" s="523"/>
      <c r="R271" s="154"/>
      <c r="S271" s="155"/>
      <c r="T271" s="156"/>
      <c r="U271" s="154"/>
      <c r="V271" s="155"/>
      <c r="W271" s="155"/>
      <c r="X271" s="419"/>
      <c r="Y271" s="157"/>
      <c r="Z271" s="217"/>
      <c r="AA271" s="150"/>
      <c r="AB271" s="151"/>
      <c r="AC271" s="152"/>
      <c r="AD271" s="506"/>
      <c r="AE271" s="166"/>
      <c r="AF271" s="150"/>
      <c r="AG271" s="152"/>
      <c r="AH271" s="150"/>
      <c r="AI271" s="152"/>
      <c r="AJ271" s="150"/>
      <c r="AK271" s="152"/>
      <c r="AL271" s="150"/>
      <c r="AM271" s="151"/>
      <c r="AN271" s="151"/>
      <c r="AO271" s="169"/>
      <c r="AP271" s="169"/>
      <c r="AQ271" s="149"/>
      <c r="AR271" s="324"/>
      <c r="AS271" s="324"/>
      <c r="AT271" s="324"/>
      <c r="AU271" s="324"/>
      <c r="AV271" s="324"/>
      <c r="AW271" s="324"/>
      <c r="AX271" s="150"/>
      <c r="AY271" s="297"/>
      <c r="AZ271" s="297"/>
      <c r="BA271" s="297"/>
      <c r="BB271" s="297"/>
      <c r="BC271" s="152"/>
      <c r="BD271" s="150"/>
      <c r="BE271" s="297"/>
      <c r="BF271" s="297"/>
      <c r="BG271" s="297"/>
      <c r="BH271" s="297"/>
      <c r="BI271" s="152"/>
      <c r="BJ271" s="170"/>
      <c r="BK271" s="148"/>
      <c r="BL271" s="324"/>
      <c r="BM271" s="324"/>
      <c r="BN271" s="170"/>
      <c r="BO271" s="149"/>
      <c r="BP271" s="170"/>
      <c r="BQ271" s="149"/>
      <c r="BR271" s="170"/>
      <c r="BS271" s="171"/>
      <c r="BT271" s="706"/>
    </row>
    <row r="272" spans="1:72" s="2" customFormat="1" ht="24.9" customHeight="1">
      <c r="A272" s="147"/>
      <c r="B272" s="158"/>
      <c r="C272" s="179"/>
      <c r="D272" s="158"/>
      <c r="E272" s="160"/>
      <c r="F272" s="161"/>
      <c r="G272" s="161"/>
      <c r="H272" s="161"/>
      <c r="I272" s="163"/>
      <c r="J272" s="161"/>
      <c r="K272" s="163"/>
      <c r="L272" s="150"/>
      <c r="M272" s="164"/>
      <c r="N272" s="150"/>
      <c r="O272" s="151"/>
      <c r="P272" s="522"/>
      <c r="Q272" s="522"/>
      <c r="R272" s="154"/>
      <c r="S272" s="155"/>
      <c r="T272" s="156"/>
      <c r="U272" s="154"/>
      <c r="V272" s="155"/>
      <c r="W272" s="155"/>
      <c r="X272" s="419"/>
      <c r="Y272" s="157"/>
      <c r="Z272" s="217"/>
      <c r="AA272" s="150"/>
      <c r="AB272" s="151"/>
      <c r="AC272" s="152"/>
      <c r="AD272" s="506"/>
      <c r="AE272" s="166"/>
      <c r="AF272" s="150"/>
      <c r="AG272" s="152"/>
      <c r="AH272" s="150"/>
      <c r="AI272" s="152"/>
      <c r="AJ272" s="150"/>
      <c r="AK272" s="152"/>
      <c r="AL272" s="150"/>
      <c r="AM272" s="151"/>
      <c r="AN272" s="151"/>
      <c r="AO272" s="169"/>
      <c r="AP272" s="169"/>
      <c r="AQ272" s="149"/>
      <c r="AR272" s="324"/>
      <c r="AS272" s="324"/>
      <c r="AT272" s="324"/>
      <c r="AU272" s="324"/>
      <c r="AV272" s="324"/>
      <c r="AW272" s="324"/>
      <c r="AX272" s="150"/>
      <c r="AY272" s="297"/>
      <c r="AZ272" s="297"/>
      <c r="BA272" s="297"/>
      <c r="BB272" s="297"/>
      <c r="BC272" s="152"/>
      <c r="BD272" s="150"/>
      <c r="BE272" s="297"/>
      <c r="BF272" s="297"/>
      <c r="BG272" s="297"/>
      <c r="BH272" s="297"/>
      <c r="BI272" s="152"/>
      <c r="BJ272" s="170"/>
      <c r="BK272" s="148"/>
      <c r="BL272" s="324"/>
      <c r="BM272" s="324"/>
      <c r="BN272" s="170"/>
      <c r="BO272" s="149"/>
      <c r="BP272" s="170"/>
      <c r="BQ272" s="149"/>
      <c r="BR272" s="170"/>
      <c r="BS272" s="171"/>
      <c r="BT272" s="708"/>
    </row>
    <row r="273" spans="1:72" s="2" customFormat="1" ht="24.9" customHeight="1">
      <c r="A273" s="147"/>
      <c r="B273" s="158"/>
      <c r="C273" s="179"/>
      <c r="D273" s="158"/>
      <c r="E273" s="160"/>
      <c r="F273" s="161"/>
      <c r="G273" s="161"/>
      <c r="H273" s="161"/>
      <c r="I273" s="163"/>
      <c r="J273" s="161"/>
      <c r="K273" s="163"/>
      <c r="L273" s="150"/>
      <c r="M273" s="164"/>
      <c r="N273" s="150"/>
      <c r="O273" s="174"/>
      <c r="P273" s="523"/>
      <c r="Q273" s="523"/>
      <c r="R273" s="154"/>
      <c r="S273" s="155"/>
      <c r="T273" s="156"/>
      <c r="U273" s="154"/>
      <c r="V273" s="155"/>
      <c r="W273" s="155"/>
      <c r="X273" s="419"/>
      <c r="Y273" s="157"/>
      <c r="Z273" s="217"/>
      <c r="AA273" s="150"/>
      <c r="AB273" s="151"/>
      <c r="AC273" s="152"/>
      <c r="AD273" s="506"/>
      <c r="AE273" s="166"/>
      <c r="AF273" s="150"/>
      <c r="AG273" s="152"/>
      <c r="AH273" s="150"/>
      <c r="AI273" s="152"/>
      <c r="AJ273" s="150"/>
      <c r="AK273" s="152"/>
      <c r="AL273" s="150"/>
      <c r="AM273" s="151"/>
      <c r="AN273" s="151"/>
      <c r="AO273" s="169"/>
      <c r="AP273" s="169"/>
      <c r="AQ273" s="149"/>
      <c r="AR273" s="324"/>
      <c r="AS273" s="324"/>
      <c r="AT273" s="324"/>
      <c r="AU273" s="324"/>
      <c r="AV273" s="324"/>
      <c r="AW273" s="324"/>
      <c r="AX273" s="150"/>
      <c r="AY273" s="297"/>
      <c r="AZ273" s="297"/>
      <c r="BA273" s="297"/>
      <c r="BB273" s="297"/>
      <c r="BC273" s="152"/>
      <c r="BD273" s="150"/>
      <c r="BE273" s="297"/>
      <c r="BF273" s="297"/>
      <c r="BG273" s="297"/>
      <c r="BH273" s="297"/>
      <c r="BI273" s="152"/>
      <c r="BJ273" s="170"/>
      <c r="BK273" s="148"/>
      <c r="BL273" s="324"/>
      <c r="BM273" s="324"/>
      <c r="BN273" s="170"/>
      <c r="BO273" s="149"/>
      <c r="BP273" s="170"/>
      <c r="BQ273" s="149"/>
      <c r="BR273" s="170"/>
      <c r="BS273" s="171"/>
      <c r="BT273" s="707"/>
    </row>
    <row r="274" spans="1:72" s="2" customFormat="1" ht="24.9" customHeight="1">
      <c r="A274" s="147"/>
      <c r="B274" s="158"/>
      <c r="C274" s="179"/>
      <c r="D274" s="158"/>
      <c r="E274" s="160"/>
      <c r="F274" s="161"/>
      <c r="G274" s="161"/>
      <c r="H274" s="161"/>
      <c r="I274" s="163"/>
      <c r="J274" s="161"/>
      <c r="K274" s="163"/>
      <c r="L274" s="150"/>
      <c r="M274" s="164"/>
      <c r="N274" s="150"/>
      <c r="O274" s="174"/>
      <c r="P274" s="523"/>
      <c r="Q274" s="523"/>
      <c r="R274" s="154"/>
      <c r="S274" s="155"/>
      <c r="T274" s="156"/>
      <c r="U274" s="154"/>
      <c r="V274" s="155"/>
      <c r="W274" s="155"/>
      <c r="X274" s="419"/>
      <c r="Y274" s="157"/>
      <c r="Z274" s="217"/>
      <c r="AA274" s="150"/>
      <c r="AB274" s="151"/>
      <c r="AC274" s="152"/>
      <c r="AD274" s="506"/>
      <c r="AE274" s="166"/>
      <c r="AF274" s="150"/>
      <c r="AG274" s="152"/>
      <c r="AH274" s="150"/>
      <c r="AI274" s="152"/>
      <c r="AJ274" s="150"/>
      <c r="AK274" s="152"/>
      <c r="AL274" s="150"/>
      <c r="AM274" s="151"/>
      <c r="AN274" s="151"/>
      <c r="AO274" s="169"/>
      <c r="AP274" s="169"/>
      <c r="AQ274" s="149"/>
      <c r="AR274" s="324"/>
      <c r="AS274" s="324"/>
      <c r="AT274" s="324"/>
      <c r="AU274" s="324"/>
      <c r="AV274" s="324"/>
      <c r="AW274" s="324"/>
      <c r="AX274" s="150"/>
      <c r="AY274" s="297"/>
      <c r="AZ274" s="297"/>
      <c r="BA274" s="297"/>
      <c r="BB274" s="297"/>
      <c r="BC274" s="152"/>
      <c r="BD274" s="150"/>
      <c r="BE274" s="297"/>
      <c r="BF274" s="297"/>
      <c r="BG274" s="297"/>
      <c r="BH274" s="297"/>
      <c r="BI274" s="152"/>
      <c r="BJ274" s="170"/>
      <c r="BK274" s="148"/>
      <c r="BL274" s="324"/>
      <c r="BM274" s="324"/>
      <c r="BN274" s="170"/>
      <c r="BO274" s="149"/>
      <c r="BP274" s="170"/>
      <c r="BQ274" s="149"/>
      <c r="BR274" s="170"/>
      <c r="BS274" s="171"/>
      <c r="BT274" s="706"/>
    </row>
    <row r="275" spans="1:72" s="2" customFormat="1" ht="24.9" customHeight="1">
      <c r="A275" s="147"/>
      <c r="B275" s="158"/>
      <c r="C275" s="179"/>
      <c r="D275" s="158"/>
      <c r="E275" s="160"/>
      <c r="F275" s="161"/>
      <c r="G275" s="161"/>
      <c r="H275" s="161"/>
      <c r="I275" s="163"/>
      <c r="J275" s="161"/>
      <c r="K275" s="163"/>
      <c r="L275" s="150"/>
      <c r="M275" s="164"/>
      <c r="N275" s="150"/>
      <c r="O275" s="174"/>
      <c r="P275" s="523"/>
      <c r="Q275" s="523"/>
      <c r="R275" s="154"/>
      <c r="S275" s="155"/>
      <c r="T275" s="156"/>
      <c r="U275" s="154"/>
      <c r="V275" s="155"/>
      <c r="W275" s="155"/>
      <c r="X275" s="419"/>
      <c r="Y275" s="157"/>
      <c r="Z275" s="217"/>
      <c r="AA275" s="150"/>
      <c r="AB275" s="151"/>
      <c r="AC275" s="152"/>
      <c r="AD275" s="506"/>
      <c r="AE275" s="166"/>
      <c r="AF275" s="150"/>
      <c r="AG275" s="152"/>
      <c r="AH275" s="150"/>
      <c r="AI275" s="152"/>
      <c r="AJ275" s="150"/>
      <c r="AK275" s="152"/>
      <c r="AL275" s="150"/>
      <c r="AM275" s="151"/>
      <c r="AN275" s="151"/>
      <c r="AO275" s="169"/>
      <c r="AP275" s="169"/>
      <c r="AQ275" s="149"/>
      <c r="AR275" s="324"/>
      <c r="AS275" s="324"/>
      <c r="AT275" s="324"/>
      <c r="AU275" s="324"/>
      <c r="AV275" s="324"/>
      <c r="AW275" s="324"/>
      <c r="AX275" s="150"/>
      <c r="AY275" s="297"/>
      <c r="AZ275" s="297"/>
      <c r="BA275" s="297"/>
      <c r="BB275" s="297"/>
      <c r="BC275" s="152"/>
      <c r="BD275" s="150"/>
      <c r="BE275" s="297"/>
      <c r="BF275" s="297"/>
      <c r="BG275" s="297"/>
      <c r="BH275" s="297"/>
      <c r="BI275" s="152"/>
      <c r="BJ275" s="170"/>
      <c r="BK275" s="148"/>
      <c r="BL275" s="324"/>
      <c r="BM275" s="324"/>
      <c r="BN275" s="170"/>
      <c r="BO275" s="149"/>
      <c r="BP275" s="170"/>
      <c r="BQ275" s="149"/>
      <c r="BR275" s="170"/>
      <c r="BS275" s="171"/>
      <c r="BT275" s="708"/>
    </row>
    <row r="276" spans="1:72" s="2" customFormat="1" ht="24.9" customHeight="1">
      <c r="A276" s="147"/>
      <c r="B276" s="158"/>
      <c r="C276" s="179"/>
      <c r="D276" s="158"/>
      <c r="E276" s="160"/>
      <c r="F276" s="161"/>
      <c r="G276" s="161"/>
      <c r="H276" s="161"/>
      <c r="I276" s="163"/>
      <c r="J276" s="161"/>
      <c r="K276" s="163"/>
      <c r="L276" s="150"/>
      <c r="M276" s="164"/>
      <c r="N276" s="150"/>
      <c r="O276" s="151"/>
      <c r="P276" s="522"/>
      <c r="Q276" s="522"/>
      <c r="R276" s="154"/>
      <c r="S276" s="155"/>
      <c r="T276" s="156"/>
      <c r="U276" s="154"/>
      <c r="V276" s="155"/>
      <c r="W276" s="155"/>
      <c r="X276" s="419"/>
      <c r="Y276" s="157"/>
      <c r="Z276" s="217"/>
      <c r="AA276" s="150"/>
      <c r="AB276" s="151"/>
      <c r="AC276" s="152"/>
      <c r="AD276" s="506"/>
      <c r="AE276" s="166"/>
      <c r="AF276" s="150"/>
      <c r="AG276" s="152"/>
      <c r="AH276" s="150"/>
      <c r="AI276" s="152"/>
      <c r="AJ276" s="150"/>
      <c r="AK276" s="152"/>
      <c r="AL276" s="150"/>
      <c r="AM276" s="151"/>
      <c r="AN276" s="151"/>
      <c r="AO276" s="169"/>
      <c r="AP276" s="169"/>
      <c r="AQ276" s="149"/>
      <c r="AR276" s="324"/>
      <c r="AS276" s="324"/>
      <c r="AT276" s="324"/>
      <c r="AU276" s="324"/>
      <c r="AV276" s="324"/>
      <c r="AW276" s="324"/>
      <c r="AX276" s="150"/>
      <c r="AY276" s="297"/>
      <c r="AZ276" s="297"/>
      <c r="BA276" s="297"/>
      <c r="BB276" s="297"/>
      <c r="BC276" s="152"/>
      <c r="BD276" s="150"/>
      <c r="BE276" s="297"/>
      <c r="BF276" s="297"/>
      <c r="BG276" s="297"/>
      <c r="BH276" s="297"/>
      <c r="BI276" s="152"/>
      <c r="BJ276" s="170"/>
      <c r="BK276" s="148"/>
      <c r="BL276" s="324"/>
      <c r="BM276" s="324"/>
      <c r="BN276" s="170"/>
      <c r="BO276" s="149"/>
      <c r="BP276" s="170"/>
      <c r="BQ276" s="149"/>
      <c r="BR276" s="170"/>
      <c r="BS276" s="171"/>
      <c r="BT276" s="707"/>
    </row>
    <row r="277" spans="1:72" s="2" customFormat="1" ht="24.9" customHeight="1">
      <c r="A277" s="147"/>
      <c r="B277" s="158"/>
      <c r="C277" s="179"/>
      <c r="D277" s="158"/>
      <c r="E277" s="160"/>
      <c r="F277" s="161"/>
      <c r="G277" s="161"/>
      <c r="H277" s="161"/>
      <c r="I277" s="163"/>
      <c r="J277" s="161"/>
      <c r="K277" s="163"/>
      <c r="L277" s="150"/>
      <c r="M277" s="164"/>
      <c r="N277" s="150"/>
      <c r="O277" s="174"/>
      <c r="P277" s="523"/>
      <c r="Q277" s="523"/>
      <c r="R277" s="154"/>
      <c r="S277" s="155"/>
      <c r="T277" s="156"/>
      <c r="U277" s="154"/>
      <c r="V277" s="155"/>
      <c r="W277" s="155"/>
      <c r="X277" s="419"/>
      <c r="Y277" s="157"/>
      <c r="Z277" s="217"/>
      <c r="AA277" s="150"/>
      <c r="AB277" s="151"/>
      <c r="AC277" s="152"/>
      <c r="AD277" s="506"/>
      <c r="AE277" s="166"/>
      <c r="AF277" s="150"/>
      <c r="AG277" s="152"/>
      <c r="AH277" s="150"/>
      <c r="AI277" s="152"/>
      <c r="AJ277" s="150"/>
      <c r="AK277" s="152"/>
      <c r="AL277" s="150"/>
      <c r="AM277" s="151"/>
      <c r="AN277" s="151"/>
      <c r="AO277" s="169"/>
      <c r="AP277" s="169"/>
      <c r="AQ277" s="149"/>
      <c r="AR277" s="324"/>
      <c r="AS277" s="324"/>
      <c r="AT277" s="324"/>
      <c r="AU277" s="324"/>
      <c r="AV277" s="324"/>
      <c r="AW277" s="324"/>
      <c r="AX277" s="150"/>
      <c r="AY277" s="297"/>
      <c r="AZ277" s="297"/>
      <c r="BA277" s="297"/>
      <c r="BB277" s="297"/>
      <c r="BC277" s="152"/>
      <c r="BD277" s="150"/>
      <c r="BE277" s="297"/>
      <c r="BF277" s="297"/>
      <c r="BG277" s="297"/>
      <c r="BH277" s="297"/>
      <c r="BI277" s="152"/>
      <c r="BJ277" s="170"/>
      <c r="BK277" s="148"/>
      <c r="BL277" s="324"/>
      <c r="BM277" s="324"/>
      <c r="BN277" s="170"/>
      <c r="BO277" s="149"/>
      <c r="BP277" s="170"/>
      <c r="BQ277" s="149"/>
      <c r="BR277" s="170"/>
      <c r="BS277" s="171"/>
      <c r="BT277" s="706"/>
    </row>
    <row r="278" spans="1:72" s="2" customFormat="1" ht="24.9" customHeight="1">
      <c r="A278" s="147"/>
      <c r="B278" s="158"/>
      <c r="C278" s="179"/>
      <c r="D278" s="158"/>
      <c r="E278" s="160"/>
      <c r="F278" s="161"/>
      <c r="G278" s="161"/>
      <c r="H278" s="161"/>
      <c r="I278" s="163"/>
      <c r="J278" s="161"/>
      <c r="K278" s="163"/>
      <c r="L278" s="150"/>
      <c r="M278" s="164"/>
      <c r="N278" s="150"/>
      <c r="O278" s="151"/>
      <c r="P278" s="522"/>
      <c r="Q278" s="522"/>
      <c r="R278" s="154"/>
      <c r="S278" s="155"/>
      <c r="T278" s="156"/>
      <c r="U278" s="154"/>
      <c r="V278" s="155"/>
      <c r="W278" s="155"/>
      <c r="X278" s="419"/>
      <c r="Y278" s="157"/>
      <c r="Z278" s="217"/>
      <c r="AA278" s="150"/>
      <c r="AB278" s="151"/>
      <c r="AC278" s="152"/>
      <c r="AD278" s="506"/>
      <c r="AE278" s="166"/>
      <c r="AF278" s="150"/>
      <c r="AG278" s="152"/>
      <c r="AH278" s="150"/>
      <c r="AI278" s="152"/>
      <c r="AJ278" s="150"/>
      <c r="AK278" s="152"/>
      <c r="AL278" s="150"/>
      <c r="AM278" s="151"/>
      <c r="AN278" s="151"/>
      <c r="AO278" s="169"/>
      <c r="AP278" s="169"/>
      <c r="AQ278" s="149"/>
      <c r="AR278" s="324"/>
      <c r="AS278" s="324"/>
      <c r="AT278" s="324"/>
      <c r="AU278" s="324"/>
      <c r="AV278" s="324"/>
      <c r="AW278" s="324"/>
      <c r="AX278" s="150"/>
      <c r="AY278" s="297"/>
      <c r="AZ278" s="297"/>
      <c r="BA278" s="297"/>
      <c r="BB278" s="297"/>
      <c r="BC278" s="152"/>
      <c r="BD278" s="150"/>
      <c r="BE278" s="297"/>
      <c r="BF278" s="297"/>
      <c r="BG278" s="297"/>
      <c r="BH278" s="297"/>
      <c r="BI278" s="152"/>
      <c r="BJ278" s="170"/>
      <c r="BK278" s="148"/>
      <c r="BL278" s="324"/>
      <c r="BM278" s="324"/>
      <c r="BN278" s="170"/>
      <c r="BO278" s="149"/>
      <c r="BP278" s="170"/>
      <c r="BQ278" s="149"/>
      <c r="BR278" s="170"/>
      <c r="BS278" s="171"/>
      <c r="BT278" s="708"/>
    </row>
    <row r="279" spans="1:72" s="2" customFormat="1" ht="24.9" customHeight="1">
      <c r="A279" s="147"/>
      <c r="B279" s="158"/>
      <c r="C279" s="179"/>
      <c r="D279" s="158"/>
      <c r="E279" s="160"/>
      <c r="F279" s="161"/>
      <c r="G279" s="161"/>
      <c r="H279" s="161"/>
      <c r="I279" s="163"/>
      <c r="J279" s="161"/>
      <c r="K279" s="163"/>
      <c r="L279" s="150"/>
      <c r="M279" s="164"/>
      <c r="N279" s="150"/>
      <c r="O279" s="174"/>
      <c r="P279" s="523"/>
      <c r="Q279" s="523"/>
      <c r="R279" s="154"/>
      <c r="S279" s="155"/>
      <c r="T279" s="156"/>
      <c r="U279" s="154"/>
      <c r="V279" s="155"/>
      <c r="W279" s="155"/>
      <c r="X279" s="419"/>
      <c r="Y279" s="157"/>
      <c r="Z279" s="217"/>
      <c r="AA279" s="150"/>
      <c r="AB279" s="151"/>
      <c r="AC279" s="152"/>
      <c r="AD279" s="506"/>
      <c r="AE279" s="166"/>
      <c r="AF279" s="150"/>
      <c r="AG279" s="152"/>
      <c r="AH279" s="150"/>
      <c r="AI279" s="152"/>
      <c r="AJ279" s="150"/>
      <c r="AK279" s="152"/>
      <c r="AL279" s="150"/>
      <c r="AM279" s="151"/>
      <c r="AN279" s="151"/>
      <c r="AO279" s="169"/>
      <c r="AP279" s="169"/>
      <c r="AQ279" s="149"/>
      <c r="AR279" s="324"/>
      <c r="AS279" s="324"/>
      <c r="AT279" s="324"/>
      <c r="AU279" s="324"/>
      <c r="AV279" s="324"/>
      <c r="AW279" s="324"/>
      <c r="AX279" s="150"/>
      <c r="AY279" s="297"/>
      <c r="AZ279" s="297"/>
      <c r="BA279" s="297"/>
      <c r="BB279" s="297"/>
      <c r="BC279" s="152"/>
      <c r="BD279" s="150"/>
      <c r="BE279" s="297"/>
      <c r="BF279" s="297"/>
      <c r="BG279" s="297"/>
      <c r="BH279" s="297"/>
      <c r="BI279" s="152"/>
      <c r="BJ279" s="170"/>
      <c r="BK279" s="148"/>
      <c r="BL279" s="324"/>
      <c r="BM279" s="324"/>
      <c r="BN279" s="170"/>
      <c r="BO279" s="149"/>
      <c r="BP279" s="170"/>
      <c r="BQ279" s="149"/>
      <c r="BR279" s="170"/>
      <c r="BS279" s="171"/>
      <c r="BT279" s="707"/>
    </row>
    <row r="280" spans="1:72" s="2" customFormat="1" ht="24.9" customHeight="1">
      <c r="A280" s="147"/>
      <c r="B280" s="158"/>
      <c r="C280" s="179"/>
      <c r="D280" s="158"/>
      <c r="E280" s="160"/>
      <c r="F280" s="161"/>
      <c r="G280" s="161"/>
      <c r="H280" s="161"/>
      <c r="I280" s="163"/>
      <c r="J280" s="161"/>
      <c r="K280" s="163"/>
      <c r="L280" s="150"/>
      <c r="M280" s="164"/>
      <c r="N280" s="150"/>
      <c r="O280" s="174"/>
      <c r="P280" s="523"/>
      <c r="Q280" s="523"/>
      <c r="R280" s="154"/>
      <c r="S280" s="155"/>
      <c r="T280" s="156"/>
      <c r="U280" s="154"/>
      <c r="V280" s="155"/>
      <c r="W280" s="155"/>
      <c r="X280" s="419"/>
      <c r="Y280" s="157"/>
      <c r="Z280" s="217"/>
      <c r="AA280" s="150"/>
      <c r="AB280" s="151"/>
      <c r="AC280" s="152"/>
      <c r="AD280" s="506"/>
      <c r="AE280" s="166"/>
      <c r="AF280" s="150"/>
      <c r="AG280" s="152"/>
      <c r="AH280" s="150"/>
      <c r="AI280" s="152"/>
      <c r="AJ280" s="150"/>
      <c r="AK280" s="152"/>
      <c r="AL280" s="150"/>
      <c r="AM280" s="151"/>
      <c r="AN280" s="151"/>
      <c r="AO280" s="169"/>
      <c r="AP280" s="169"/>
      <c r="AQ280" s="149"/>
      <c r="AR280" s="324"/>
      <c r="AS280" s="324"/>
      <c r="AT280" s="324"/>
      <c r="AU280" s="324"/>
      <c r="AV280" s="324"/>
      <c r="AW280" s="324"/>
      <c r="AX280" s="150"/>
      <c r="AY280" s="297"/>
      <c r="AZ280" s="297"/>
      <c r="BA280" s="297"/>
      <c r="BB280" s="297"/>
      <c r="BC280" s="152"/>
      <c r="BD280" s="150"/>
      <c r="BE280" s="297"/>
      <c r="BF280" s="297"/>
      <c r="BG280" s="297"/>
      <c r="BH280" s="297"/>
      <c r="BI280" s="152"/>
      <c r="BJ280" s="170"/>
      <c r="BK280" s="148"/>
      <c r="BL280" s="324"/>
      <c r="BM280" s="324"/>
      <c r="BN280" s="170"/>
      <c r="BO280" s="149"/>
      <c r="BP280" s="170"/>
      <c r="BQ280" s="149"/>
      <c r="BR280" s="170"/>
      <c r="BS280" s="171"/>
      <c r="BT280" s="706"/>
    </row>
    <row r="281" spans="1:72" s="2" customFormat="1" ht="24.9" customHeight="1">
      <c r="A281" s="147"/>
      <c r="B281" s="158"/>
      <c r="C281" s="179"/>
      <c r="D281" s="158"/>
      <c r="E281" s="160"/>
      <c r="F281" s="161"/>
      <c r="G281" s="161"/>
      <c r="H281" s="161"/>
      <c r="I281" s="163"/>
      <c r="J281" s="161"/>
      <c r="K281" s="163"/>
      <c r="L281" s="150"/>
      <c r="M281" s="164"/>
      <c r="N281" s="150"/>
      <c r="O281" s="151"/>
      <c r="P281" s="522"/>
      <c r="Q281" s="522"/>
      <c r="R281" s="154"/>
      <c r="S281" s="155"/>
      <c r="T281" s="156"/>
      <c r="U281" s="154"/>
      <c r="V281" s="155"/>
      <c r="W281" s="155"/>
      <c r="X281" s="419"/>
      <c r="Y281" s="157"/>
      <c r="Z281" s="217"/>
      <c r="AA281" s="150"/>
      <c r="AB281" s="151"/>
      <c r="AC281" s="152"/>
      <c r="AD281" s="506"/>
      <c r="AE281" s="166"/>
      <c r="AF281" s="150"/>
      <c r="AG281" s="152"/>
      <c r="AH281" s="150"/>
      <c r="AI281" s="152"/>
      <c r="AJ281" s="150"/>
      <c r="AK281" s="152"/>
      <c r="AL281" s="150"/>
      <c r="AM281" s="151"/>
      <c r="AN281" s="151"/>
      <c r="AO281" s="169"/>
      <c r="AP281" s="169"/>
      <c r="AQ281" s="149"/>
      <c r="AR281" s="324"/>
      <c r="AS281" s="324"/>
      <c r="AT281" s="324"/>
      <c r="AU281" s="324"/>
      <c r="AV281" s="324"/>
      <c r="AW281" s="324"/>
      <c r="AX281" s="150"/>
      <c r="AY281" s="297"/>
      <c r="AZ281" s="297"/>
      <c r="BA281" s="297"/>
      <c r="BB281" s="297"/>
      <c r="BC281" s="152"/>
      <c r="BD281" s="150"/>
      <c r="BE281" s="297"/>
      <c r="BF281" s="297"/>
      <c r="BG281" s="297"/>
      <c r="BH281" s="297"/>
      <c r="BI281" s="152"/>
      <c r="BJ281" s="170"/>
      <c r="BK281" s="148"/>
      <c r="BL281" s="324"/>
      <c r="BM281" s="324"/>
      <c r="BN281" s="170"/>
      <c r="BO281" s="149"/>
      <c r="BP281" s="170"/>
      <c r="BQ281" s="149"/>
      <c r="BR281" s="170"/>
      <c r="BS281" s="171"/>
      <c r="BT281" s="708"/>
    </row>
    <row r="282" spans="1:72" s="2" customFormat="1" ht="24.9" customHeight="1">
      <c r="A282" s="147"/>
      <c r="B282" s="158"/>
      <c r="C282" s="179"/>
      <c r="D282" s="158"/>
      <c r="E282" s="160"/>
      <c r="F282" s="161"/>
      <c r="G282" s="161"/>
      <c r="H282" s="161"/>
      <c r="I282" s="163"/>
      <c r="J282" s="161"/>
      <c r="K282" s="163"/>
      <c r="L282" s="150"/>
      <c r="M282" s="164"/>
      <c r="N282" s="150"/>
      <c r="O282" s="174"/>
      <c r="P282" s="523"/>
      <c r="Q282" s="523"/>
      <c r="R282" s="154"/>
      <c r="S282" s="155"/>
      <c r="T282" s="156"/>
      <c r="U282" s="154"/>
      <c r="V282" s="155"/>
      <c r="W282" s="155"/>
      <c r="X282" s="419"/>
      <c r="Y282" s="157"/>
      <c r="Z282" s="217"/>
      <c r="AA282" s="150"/>
      <c r="AB282" s="151"/>
      <c r="AC282" s="152"/>
      <c r="AD282" s="506"/>
      <c r="AE282" s="166"/>
      <c r="AF282" s="150"/>
      <c r="AG282" s="152"/>
      <c r="AH282" s="150"/>
      <c r="AI282" s="152"/>
      <c r="AJ282" s="150"/>
      <c r="AK282" s="152"/>
      <c r="AL282" s="150"/>
      <c r="AM282" s="151"/>
      <c r="AN282" s="151"/>
      <c r="AO282" s="169"/>
      <c r="AP282" s="169"/>
      <c r="AQ282" s="149"/>
      <c r="AR282" s="324"/>
      <c r="AS282" s="324"/>
      <c r="AT282" s="324"/>
      <c r="AU282" s="324"/>
      <c r="AV282" s="324"/>
      <c r="AW282" s="324"/>
      <c r="AX282" s="150"/>
      <c r="AY282" s="297"/>
      <c r="AZ282" s="297"/>
      <c r="BA282" s="297"/>
      <c r="BB282" s="297"/>
      <c r="BC282" s="152"/>
      <c r="BD282" s="150"/>
      <c r="BE282" s="297"/>
      <c r="BF282" s="297"/>
      <c r="BG282" s="297"/>
      <c r="BH282" s="297"/>
      <c r="BI282" s="152"/>
      <c r="BJ282" s="170"/>
      <c r="BK282" s="148"/>
      <c r="BL282" s="324"/>
      <c r="BM282" s="324"/>
      <c r="BN282" s="170"/>
      <c r="BO282" s="149"/>
      <c r="BP282" s="170"/>
      <c r="BQ282" s="149"/>
      <c r="BR282" s="170"/>
      <c r="BS282" s="171"/>
      <c r="BT282" s="707"/>
    </row>
    <row r="283" spans="1:72" s="2" customFormat="1" ht="24.9" customHeight="1">
      <c r="A283" s="147"/>
      <c r="B283" s="158"/>
      <c r="C283" s="179"/>
      <c r="D283" s="158"/>
      <c r="E283" s="160"/>
      <c r="F283" s="161"/>
      <c r="G283" s="161"/>
      <c r="H283" s="161"/>
      <c r="I283" s="163"/>
      <c r="J283" s="161"/>
      <c r="K283" s="163"/>
      <c r="L283" s="150"/>
      <c r="M283" s="164"/>
      <c r="N283" s="150"/>
      <c r="O283" s="174"/>
      <c r="P283" s="523"/>
      <c r="Q283" s="523"/>
      <c r="R283" s="154"/>
      <c r="S283" s="155"/>
      <c r="T283" s="156"/>
      <c r="U283" s="154"/>
      <c r="V283" s="155"/>
      <c r="W283" s="155"/>
      <c r="X283" s="419"/>
      <c r="Y283" s="157"/>
      <c r="Z283" s="217"/>
      <c r="AA283" s="150"/>
      <c r="AB283" s="151"/>
      <c r="AC283" s="152"/>
      <c r="AD283" s="506"/>
      <c r="AE283" s="166"/>
      <c r="AF283" s="150"/>
      <c r="AG283" s="152"/>
      <c r="AH283" s="150"/>
      <c r="AI283" s="152"/>
      <c r="AJ283" s="150"/>
      <c r="AK283" s="152"/>
      <c r="AL283" s="150"/>
      <c r="AM283" s="151"/>
      <c r="AN283" s="151"/>
      <c r="AO283" s="169"/>
      <c r="AP283" s="169"/>
      <c r="AQ283" s="149"/>
      <c r="AR283" s="324"/>
      <c r="AS283" s="324"/>
      <c r="AT283" s="324"/>
      <c r="AU283" s="324"/>
      <c r="AV283" s="324"/>
      <c r="AW283" s="324"/>
      <c r="AX283" s="150"/>
      <c r="AY283" s="297"/>
      <c r="AZ283" s="297"/>
      <c r="BA283" s="297"/>
      <c r="BB283" s="297"/>
      <c r="BC283" s="152"/>
      <c r="BD283" s="150"/>
      <c r="BE283" s="297"/>
      <c r="BF283" s="297"/>
      <c r="BG283" s="297"/>
      <c r="BH283" s="297"/>
      <c r="BI283" s="152"/>
      <c r="BJ283" s="170"/>
      <c r="BK283" s="148"/>
      <c r="BL283" s="324"/>
      <c r="BM283" s="324"/>
      <c r="BN283" s="170"/>
      <c r="BO283" s="149"/>
      <c r="BP283" s="170"/>
      <c r="BQ283" s="149"/>
      <c r="BR283" s="170"/>
      <c r="BS283" s="171"/>
      <c r="BT283" s="710"/>
    </row>
    <row r="284" spans="1:72" s="2" customFormat="1" ht="24.9" customHeight="1">
      <c r="A284" s="147"/>
      <c r="B284" s="158"/>
      <c r="C284" s="179"/>
      <c r="D284" s="158"/>
      <c r="E284" s="160"/>
      <c r="F284" s="161"/>
      <c r="G284" s="161"/>
      <c r="H284" s="161"/>
      <c r="I284" s="163"/>
      <c r="J284" s="161"/>
      <c r="K284" s="163"/>
      <c r="L284" s="150"/>
      <c r="M284" s="164"/>
      <c r="N284" s="150"/>
      <c r="O284" s="174"/>
      <c r="P284" s="523"/>
      <c r="Q284" s="523"/>
      <c r="R284" s="154"/>
      <c r="S284" s="155"/>
      <c r="T284" s="156"/>
      <c r="U284" s="154"/>
      <c r="V284" s="155"/>
      <c r="W284" s="155"/>
      <c r="X284" s="419"/>
      <c r="Y284" s="157"/>
      <c r="Z284" s="217"/>
      <c r="AA284" s="150"/>
      <c r="AB284" s="151"/>
      <c r="AC284" s="152"/>
      <c r="AD284" s="506"/>
      <c r="AE284" s="166"/>
      <c r="AF284" s="150"/>
      <c r="AG284" s="152"/>
      <c r="AH284" s="150"/>
      <c r="AI284" s="152"/>
      <c r="AJ284" s="150"/>
      <c r="AK284" s="152"/>
      <c r="AL284" s="150"/>
      <c r="AM284" s="151"/>
      <c r="AN284" s="151"/>
      <c r="AO284" s="169"/>
      <c r="AP284" s="169"/>
      <c r="AQ284" s="149"/>
      <c r="AR284" s="324"/>
      <c r="AS284" s="324"/>
      <c r="AT284" s="324"/>
      <c r="AU284" s="324"/>
      <c r="AV284" s="324"/>
      <c r="AW284" s="324"/>
      <c r="AX284" s="150"/>
      <c r="AY284" s="297"/>
      <c r="AZ284" s="297"/>
      <c r="BA284" s="297"/>
      <c r="BB284" s="297"/>
      <c r="BC284" s="152"/>
      <c r="BD284" s="150"/>
      <c r="BE284" s="297"/>
      <c r="BF284" s="297"/>
      <c r="BG284" s="297"/>
      <c r="BH284" s="297"/>
      <c r="BI284" s="152"/>
      <c r="BJ284" s="170"/>
      <c r="BK284" s="148"/>
      <c r="BL284" s="324"/>
      <c r="BM284" s="324"/>
      <c r="BN284" s="170"/>
      <c r="BO284" s="149"/>
      <c r="BP284" s="170"/>
      <c r="BQ284" s="149"/>
      <c r="BR284" s="170"/>
      <c r="BS284" s="171"/>
      <c r="BT284" s="707"/>
    </row>
    <row r="285" spans="1:72" s="2" customFormat="1" ht="24.9" customHeight="1">
      <c r="A285" s="147"/>
      <c r="B285" s="158"/>
      <c r="C285" s="179"/>
      <c r="D285" s="158"/>
      <c r="E285" s="160"/>
      <c r="F285" s="161"/>
      <c r="G285" s="161"/>
      <c r="H285" s="161"/>
      <c r="I285" s="163"/>
      <c r="J285" s="161"/>
      <c r="K285" s="163"/>
      <c r="L285" s="150"/>
      <c r="M285" s="164"/>
      <c r="N285" s="150"/>
      <c r="O285" s="174"/>
      <c r="P285" s="523"/>
      <c r="Q285" s="523"/>
      <c r="R285" s="154"/>
      <c r="S285" s="155"/>
      <c r="T285" s="156"/>
      <c r="U285" s="154"/>
      <c r="V285" s="155"/>
      <c r="W285" s="155"/>
      <c r="X285" s="419"/>
      <c r="Y285" s="157"/>
      <c r="Z285" s="217"/>
      <c r="AA285" s="150"/>
      <c r="AB285" s="151"/>
      <c r="AC285" s="152"/>
      <c r="AD285" s="506"/>
      <c r="AE285" s="166"/>
      <c r="AF285" s="150"/>
      <c r="AG285" s="152"/>
      <c r="AH285" s="150"/>
      <c r="AI285" s="152"/>
      <c r="AJ285" s="150"/>
      <c r="AK285" s="152"/>
      <c r="AL285" s="150"/>
      <c r="AM285" s="151"/>
      <c r="AN285" s="151"/>
      <c r="AO285" s="169"/>
      <c r="AP285" s="169"/>
      <c r="AQ285" s="149"/>
      <c r="AR285" s="324"/>
      <c r="AS285" s="324"/>
      <c r="AT285" s="324"/>
      <c r="AU285" s="324"/>
      <c r="AV285" s="324"/>
      <c r="AW285" s="324"/>
      <c r="AX285" s="150"/>
      <c r="AY285" s="297"/>
      <c r="AZ285" s="297"/>
      <c r="BA285" s="297"/>
      <c r="BB285" s="297"/>
      <c r="BC285" s="152"/>
      <c r="BD285" s="150"/>
      <c r="BE285" s="297"/>
      <c r="BF285" s="297"/>
      <c r="BG285" s="297"/>
      <c r="BH285" s="297"/>
      <c r="BI285" s="152"/>
      <c r="BJ285" s="170"/>
      <c r="BK285" s="148"/>
      <c r="BL285" s="324"/>
      <c r="BM285" s="324"/>
      <c r="BN285" s="170"/>
      <c r="BO285" s="149"/>
      <c r="BP285" s="170"/>
      <c r="BQ285" s="149"/>
      <c r="BR285" s="170"/>
      <c r="BS285" s="171"/>
      <c r="BT285" s="706"/>
    </row>
    <row r="286" spans="1:72" s="2" customFormat="1" ht="24.9" customHeight="1">
      <c r="A286" s="147"/>
      <c r="B286" s="158"/>
      <c r="C286" s="179"/>
      <c r="D286" s="158"/>
      <c r="E286" s="160"/>
      <c r="F286" s="161"/>
      <c r="G286" s="161"/>
      <c r="H286" s="161"/>
      <c r="I286" s="163"/>
      <c r="J286" s="161"/>
      <c r="K286" s="163"/>
      <c r="L286" s="150"/>
      <c r="M286" s="164"/>
      <c r="N286" s="150"/>
      <c r="O286" s="151"/>
      <c r="P286" s="522"/>
      <c r="Q286" s="522"/>
      <c r="R286" s="154"/>
      <c r="S286" s="155"/>
      <c r="T286" s="156"/>
      <c r="U286" s="154"/>
      <c r="V286" s="155"/>
      <c r="W286" s="155"/>
      <c r="X286" s="419"/>
      <c r="Y286" s="157"/>
      <c r="Z286" s="217"/>
      <c r="AA286" s="150"/>
      <c r="AB286" s="151"/>
      <c r="AC286" s="152"/>
      <c r="AD286" s="506"/>
      <c r="AE286" s="166"/>
      <c r="AF286" s="150"/>
      <c r="AG286" s="152"/>
      <c r="AH286" s="150"/>
      <c r="AI286" s="152"/>
      <c r="AJ286" s="150"/>
      <c r="AK286" s="152"/>
      <c r="AL286" s="150"/>
      <c r="AM286" s="151"/>
      <c r="AN286" s="151"/>
      <c r="AO286" s="169"/>
      <c r="AP286" s="169"/>
      <c r="AQ286" s="149"/>
      <c r="AR286" s="324"/>
      <c r="AS286" s="324"/>
      <c r="AT286" s="324"/>
      <c r="AU286" s="324"/>
      <c r="AV286" s="324"/>
      <c r="AW286" s="324"/>
      <c r="AX286" s="150"/>
      <c r="AY286" s="297"/>
      <c r="AZ286" s="297"/>
      <c r="BA286" s="297"/>
      <c r="BB286" s="297"/>
      <c r="BC286" s="152"/>
      <c r="BD286" s="150"/>
      <c r="BE286" s="297"/>
      <c r="BF286" s="297"/>
      <c r="BG286" s="297"/>
      <c r="BH286" s="297"/>
      <c r="BI286" s="152"/>
      <c r="BJ286" s="170"/>
      <c r="BK286" s="148"/>
      <c r="BL286" s="324"/>
      <c r="BM286" s="324"/>
      <c r="BN286" s="170"/>
      <c r="BO286" s="149"/>
      <c r="BP286" s="170"/>
      <c r="BQ286" s="149"/>
      <c r="BR286" s="170"/>
      <c r="BS286" s="171"/>
      <c r="BT286" s="708"/>
    </row>
    <row r="287" spans="1:72" s="2" customFormat="1" ht="24.9" customHeight="1">
      <c r="A287" s="147"/>
      <c r="B287" s="158"/>
      <c r="C287" s="179"/>
      <c r="D287" s="158"/>
      <c r="E287" s="160"/>
      <c r="F287" s="161"/>
      <c r="G287" s="161"/>
      <c r="H287" s="161"/>
      <c r="I287" s="163"/>
      <c r="J287" s="161"/>
      <c r="K287" s="163"/>
      <c r="L287" s="150"/>
      <c r="M287" s="164"/>
      <c r="N287" s="150"/>
      <c r="O287" s="174"/>
      <c r="P287" s="523"/>
      <c r="Q287" s="523"/>
      <c r="R287" s="154"/>
      <c r="S287" s="155"/>
      <c r="T287" s="156"/>
      <c r="U287" s="154"/>
      <c r="V287" s="155"/>
      <c r="W287" s="155"/>
      <c r="X287" s="419"/>
      <c r="Y287" s="157"/>
      <c r="Z287" s="217"/>
      <c r="AA287" s="150"/>
      <c r="AB287" s="151"/>
      <c r="AC287" s="152"/>
      <c r="AD287" s="506"/>
      <c r="AE287" s="166"/>
      <c r="AF287" s="150"/>
      <c r="AG287" s="152"/>
      <c r="AH287" s="150"/>
      <c r="AI287" s="152"/>
      <c r="AJ287" s="150"/>
      <c r="AK287" s="152"/>
      <c r="AL287" s="150"/>
      <c r="AM287" s="151"/>
      <c r="AN287" s="151"/>
      <c r="AO287" s="169"/>
      <c r="AP287" s="169"/>
      <c r="AQ287" s="149"/>
      <c r="AR287" s="324"/>
      <c r="AS287" s="324"/>
      <c r="AT287" s="324"/>
      <c r="AU287" s="324"/>
      <c r="AV287" s="324"/>
      <c r="AW287" s="324"/>
      <c r="AX287" s="150"/>
      <c r="AY287" s="297"/>
      <c r="AZ287" s="297"/>
      <c r="BA287" s="297"/>
      <c r="BB287" s="297"/>
      <c r="BC287" s="152"/>
      <c r="BD287" s="150"/>
      <c r="BE287" s="297"/>
      <c r="BF287" s="297"/>
      <c r="BG287" s="297"/>
      <c r="BH287" s="297"/>
      <c r="BI287" s="152"/>
      <c r="BJ287" s="170"/>
      <c r="BK287" s="148"/>
      <c r="BL287" s="324"/>
      <c r="BM287" s="324"/>
      <c r="BN287" s="170"/>
      <c r="BO287" s="149"/>
      <c r="BP287" s="170"/>
      <c r="BQ287" s="149"/>
      <c r="BR287" s="170"/>
      <c r="BS287" s="171"/>
      <c r="BT287" s="707"/>
    </row>
    <row r="288" spans="1:72" s="2" customFormat="1" ht="24.9" customHeight="1">
      <c r="A288" s="147"/>
      <c r="B288" s="158"/>
      <c r="C288" s="179"/>
      <c r="D288" s="158"/>
      <c r="E288" s="160"/>
      <c r="F288" s="161"/>
      <c r="G288" s="161"/>
      <c r="H288" s="161"/>
      <c r="I288" s="163"/>
      <c r="J288" s="161"/>
      <c r="K288" s="163"/>
      <c r="L288" s="150"/>
      <c r="M288" s="164"/>
      <c r="N288" s="150"/>
      <c r="O288" s="174"/>
      <c r="P288" s="523"/>
      <c r="Q288" s="523"/>
      <c r="R288" s="154"/>
      <c r="S288" s="155"/>
      <c r="T288" s="156"/>
      <c r="U288" s="154"/>
      <c r="V288" s="155"/>
      <c r="W288" s="155"/>
      <c r="X288" s="419"/>
      <c r="Y288" s="157"/>
      <c r="Z288" s="217"/>
      <c r="AA288" s="150"/>
      <c r="AB288" s="151"/>
      <c r="AC288" s="152"/>
      <c r="AD288" s="506"/>
      <c r="AE288" s="166"/>
      <c r="AF288" s="150"/>
      <c r="AG288" s="152"/>
      <c r="AH288" s="150"/>
      <c r="AI288" s="152"/>
      <c r="AJ288" s="150"/>
      <c r="AK288" s="152"/>
      <c r="AL288" s="150"/>
      <c r="AM288" s="151"/>
      <c r="AN288" s="151"/>
      <c r="AO288" s="169"/>
      <c r="AP288" s="169"/>
      <c r="AQ288" s="149"/>
      <c r="AR288" s="324"/>
      <c r="AS288" s="324"/>
      <c r="AT288" s="324"/>
      <c r="AU288" s="324"/>
      <c r="AV288" s="324"/>
      <c r="AW288" s="324"/>
      <c r="AX288" s="150"/>
      <c r="AY288" s="297"/>
      <c r="AZ288" s="297"/>
      <c r="BA288" s="297"/>
      <c r="BB288" s="297"/>
      <c r="BC288" s="152"/>
      <c r="BD288" s="150"/>
      <c r="BE288" s="297"/>
      <c r="BF288" s="297"/>
      <c r="BG288" s="297"/>
      <c r="BH288" s="297"/>
      <c r="BI288" s="152"/>
      <c r="BJ288" s="170"/>
      <c r="BK288" s="148"/>
      <c r="BL288" s="324"/>
      <c r="BM288" s="324"/>
      <c r="BN288" s="170"/>
      <c r="BO288" s="149"/>
      <c r="BP288" s="170"/>
      <c r="BQ288" s="149"/>
      <c r="BR288" s="170"/>
      <c r="BS288" s="171"/>
      <c r="BT288" s="706"/>
    </row>
    <row r="289" spans="1:72" s="2" customFormat="1" ht="24.9" customHeight="1">
      <c r="A289" s="147"/>
      <c r="B289" s="158"/>
      <c r="C289" s="179"/>
      <c r="D289" s="158"/>
      <c r="E289" s="160"/>
      <c r="F289" s="161"/>
      <c r="G289" s="161"/>
      <c r="H289" s="161"/>
      <c r="I289" s="163"/>
      <c r="J289" s="161"/>
      <c r="K289" s="163"/>
      <c r="L289" s="150"/>
      <c r="M289" s="164"/>
      <c r="N289" s="150"/>
      <c r="O289" s="174"/>
      <c r="P289" s="523"/>
      <c r="Q289" s="523"/>
      <c r="R289" s="154"/>
      <c r="S289" s="155"/>
      <c r="T289" s="156"/>
      <c r="U289" s="154"/>
      <c r="V289" s="155"/>
      <c r="W289" s="155"/>
      <c r="X289" s="419"/>
      <c r="Y289" s="157"/>
      <c r="Z289" s="217"/>
      <c r="AA289" s="150"/>
      <c r="AB289" s="151"/>
      <c r="AC289" s="152"/>
      <c r="AD289" s="506"/>
      <c r="AE289" s="166"/>
      <c r="AF289" s="150"/>
      <c r="AG289" s="152"/>
      <c r="AH289" s="150"/>
      <c r="AI289" s="152"/>
      <c r="AJ289" s="150"/>
      <c r="AK289" s="152"/>
      <c r="AL289" s="150"/>
      <c r="AM289" s="151"/>
      <c r="AN289" s="151"/>
      <c r="AO289" s="169"/>
      <c r="AP289" s="169"/>
      <c r="AQ289" s="149"/>
      <c r="AR289" s="324"/>
      <c r="AS289" s="324"/>
      <c r="AT289" s="324"/>
      <c r="AU289" s="324"/>
      <c r="AV289" s="324"/>
      <c r="AW289" s="324"/>
      <c r="AX289" s="150"/>
      <c r="AY289" s="297"/>
      <c r="AZ289" s="297"/>
      <c r="BA289" s="297"/>
      <c r="BB289" s="297"/>
      <c r="BC289" s="152"/>
      <c r="BD289" s="150"/>
      <c r="BE289" s="297"/>
      <c r="BF289" s="297"/>
      <c r="BG289" s="297"/>
      <c r="BH289" s="297"/>
      <c r="BI289" s="152"/>
      <c r="BJ289" s="170"/>
      <c r="BK289" s="148"/>
      <c r="BL289" s="324"/>
      <c r="BM289" s="324"/>
      <c r="BN289" s="170"/>
      <c r="BO289" s="149"/>
      <c r="BP289" s="170"/>
      <c r="BQ289" s="149"/>
      <c r="BR289" s="170"/>
      <c r="BS289" s="171"/>
      <c r="BT289" s="707"/>
    </row>
    <row r="290" spans="1:72" s="2" customFormat="1" ht="24.9" customHeight="1">
      <c r="A290" s="147"/>
      <c r="B290" s="158"/>
      <c r="C290" s="179"/>
      <c r="D290" s="158"/>
      <c r="E290" s="160"/>
      <c r="F290" s="161"/>
      <c r="G290" s="161"/>
      <c r="H290" s="161"/>
      <c r="I290" s="163"/>
      <c r="J290" s="161"/>
      <c r="K290" s="163"/>
      <c r="L290" s="150"/>
      <c r="M290" s="164"/>
      <c r="N290" s="150"/>
      <c r="O290" s="174"/>
      <c r="P290" s="523"/>
      <c r="Q290" s="523"/>
      <c r="R290" s="154"/>
      <c r="S290" s="155"/>
      <c r="T290" s="156"/>
      <c r="U290" s="154"/>
      <c r="V290" s="155"/>
      <c r="W290" s="155"/>
      <c r="X290" s="419"/>
      <c r="Y290" s="157"/>
      <c r="Z290" s="217"/>
      <c r="AA290" s="150"/>
      <c r="AB290" s="151"/>
      <c r="AC290" s="152"/>
      <c r="AD290" s="506"/>
      <c r="AE290" s="166"/>
      <c r="AF290" s="150"/>
      <c r="AG290" s="152"/>
      <c r="AH290" s="150"/>
      <c r="AI290" s="152"/>
      <c r="AJ290" s="150"/>
      <c r="AK290" s="152"/>
      <c r="AL290" s="150"/>
      <c r="AM290" s="151"/>
      <c r="AN290" s="151"/>
      <c r="AO290" s="169"/>
      <c r="AP290" s="169"/>
      <c r="AQ290" s="149"/>
      <c r="AR290" s="324"/>
      <c r="AS290" s="324"/>
      <c r="AT290" s="324"/>
      <c r="AU290" s="324"/>
      <c r="AV290" s="324"/>
      <c r="AW290" s="324"/>
      <c r="AX290" s="150"/>
      <c r="AY290" s="297"/>
      <c r="AZ290" s="297"/>
      <c r="BA290" s="297"/>
      <c r="BB290" s="297"/>
      <c r="BC290" s="152"/>
      <c r="BD290" s="150"/>
      <c r="BE290" s="297"/>
      <c r="BF290" s="297"/>
      <c r="BG290" s="297"/>
      <c r="BH290" s="297"/>
      <c r="BI290" s="152"/>
      <c r="BJ290" s="170"/>
      <c r="BK290" s="148"/>
      <c r="BL290" s="324"/>
      <c r="BM290" s="324"/>
      <c r="BN290" s="170"/>
      <c r="BO290" s="149"/>
      <c r="BP290" s="170"/>
      <c r="BQ290" s="149"/>
      <c r="BR290" s="170"/>
      <c r="BS290" s="171"/>
      <c r="BT290" s="706"/>
    </row>
    <row r="291" spans="1:72" s="2" customFormat="1" ht="24.9" customHeight="1">
      <c r="A291" s="147"/>
      <c r="B291" s="158"/>
      <c r="C291" s="179"/>
      <c r="D291" s="158"/>
      <c r="E291" s="160"/>
      <c r="F291" s="161"/>
      <c r="G291" s="161"/>
      <c r="H291" s="161"/>
      <c r="I291" s="163"/>
      <c r="J291" s="161"/>
      <c r="K291" s="163"/>
      <c r="L291" s="150"/>
      <c r="M291" s="164"/>
      <c r="N291" s="150"/>
      <c r="O291" s="174"/>
      <c r="P291" s="523"/>
      <c r="Q291" s="523"/>
      <c r="R291" s="154"/>
      <c r="S291" s="155"/>
      <c r="T291" s="156"/>
      <c r="U291" s="154"/>
      <c r="V291" s="155"/>
      <c r="W291" s="155"/>
      <c r="X291" s="419"/>
      <c r="Y291" s="157"/>
      <c r="Z291" s="217"/>
      <c r="AA291" s="150"/>
      <c r="AB291" s="151"/>
      <c r="AC291" s="152"/>
      <c r="AD291" s="506"/>
      <c r="AE291" s="166"/>
      <c r="AF291" s="150"/>
      <c r="AG291" s="152"/>
      <c r="AH291" s="150"/>
      <c r="AI291" s="152"/>
      <c r="AJ291" s="150"/>
      <c r="AK291" s="152"/>
      <c r="AL291" s="150"/>
      <c r="AM291" s="151"/>
      <c r="AN291" s="151"/>
      <c r="AO291" s="169"/>
      <c r="AP291" s="169"/>
      <c r="AQ291" s="149"/>
      <c r="AR291" s="324"/>
      <c r="AS291" s="324"/>
      <c r="AT291" s="324"/>
      <c r="AU291" s="324"/>
      <c r="AV291" s="324"/>
      <c r="AW291" s="324"/>
      <c r="AX291" s="150"/>
      <c r="AY291" s="297"/>
      <c r="AZ291" s="297"/>
      <c r="BA291" s="297"/>
      <c r="BB291" s="297"/>
      <c r="BC291" s="152"/>
      <c r="BD291" s="150"/>
      <c r="BE291" s="297"/>
      <c r="BF291" s="297"/>
      <c r="BG291" s="297"/>
      <c r="BH291" s="297"/>
      <c r="BI291" s="152"/>
      <c r="BJ291" s="170"/>
      <c r="BK291" s="148"/>
      <c r="BL291" s="324"/>
      <c r="BM291" s="324"/>
      <c r="BN291" s="170"/>
      <c r="BO291" s="149"/>
      <c r="BP291" s="170"/>
      <c r="BQ291" s="149"/>
      <c r="BR291" s="170"/>
      <c r="BS291" s="171"/>
      <c r="BT291" s="707"/>
    </row>
    <row r="292" spans="1:72" s="2" customFormat="1" ht="24.9" customHeight="1">
      <c r="A292" s="147"/>
      <c r="B292" s="158"/>
      <c r="C292" s="179"/>
      <c r="D292" s="158"/>
      <c r="E292" s="160"/>
      <c r="F292" s="161"/>
      <c r="G292" s="161"/>
      <c r="H292" s="161"/>
      <c r="I292" s="163"/>
      <c r="J292" s="161"/>
      <c r="K292" s="163"/>
      <c r="L292" s="150"/>
      <c r="M292" s="164"/>
      <c r="N292" s="150"/>
      <c r="O292" s="174"/>
      <c r="P292" s="523"/>
      <c r="Q292" s="523"/>
      <c r="R292" s="154"/>
      <c r="S292" s="155"/>
      <c r="T292" s="156"/>
      <c r="U292" s="154"/>
      <c r="V292" s="155"/>
      <c r="W292" s="155"/>
      <c r="X292" s="419"/>
      <c r="Y292" s="157"/>
      <c r="Z292" s="217"/>
      <c r="AA292" s="150"/>
      <c r="AB292" s="151"/>
      <c r="AC292" s="152"/>
      <c r="AD292" s="506"/>
      <c r="AE292" s="166"/>
      <c r="AF292" s="150"/>
      <c r="AG292" s="152"/>
      <c r="AH292" s="150"/>
      <c r="AI292" s="152"/>
      <c r="AJ292" s="150"/>
      <c r="AK292" s="152"/>
      <c r="AL292" s="150"/>
      <c r="AM292" s="151"/>
      <c r="AN292" s="151"/>
      <c r="AO292" s="169"/>
      <c r="AP292" s="169"/>
      <c r="AQ292" s="149"/>
      <c r="AR292" s="324"/>
      <c r="AS292" s="324"/>
      <c r="AT292" s="324"/>
      <c r="AU292" s="324"/>
      <c r="AV292" s="324"/>
      <c r="AW292" s="324"/>
      <c r="AX292" s="150"/>
      <c r="AY292" s="297"/>
      <c r="AZ292" s="297"/>
      <c r="BA292" s="297"/>
      <c r="BB292" s="297"/>
      <c r="BC292" s="152"/>
      <c r="BD292" s="150"/>
      <c r="BE292" s="297"/>
      <c r="BF292" s="297"/>
      <c r="BG292" s="297"/>
      <c r="BH292" s="297"/>
      <c r="BI292" s="152"/>
      <c r="BJ292" s="170"/>
      <c r="BK292" s="148"/>
      <c r="BL292" s="324"/>
      <c r="BM292" s="324"/>
      <c r="BN292" s="170"/>
      <c r="BO292" s="149"/>
      <c r="BP292" s="170"/>
      <c r="BQ292" s="149"/>
      <c r="BR292" s="170"/>
      <c r="BS292" s="171"/>
      <c r="BT292" s="706"/>
    </row>
    <row r="293" spans="1:72" s="2" customFormat="1" ht="24.9" customHeight="1">
      <c r="A293" s="147"/>
      <c r="B293" s="158"/>
      <c r="C293" s="179"/>
      <c r="D293" s="158"/>
      <c r="E293" s="160"/>
      <c r="F293" s="161"/>
      <c r="G293" s="161"/>
      <c r="H293" s="161"/>
      <c r="I293" s="163"/>
      <c r="J293" s="161"/>
      <c r="K293" s="163"/>
      <c r="L293" s="150"/>
      <c r="M293" s="164"/>
      <c r="N293" s="150"/>
      <c r="O293" s="151"/>
      <c r="P293" s="522"/>
      <c r="Q293" s="522"/>
      <c r="R293" s="154"/>
      <c r="S293" s="155"/>
      <c r="T293" s="156"/>
      <c r="U293" s="154"/>
      <c r="V293" s="155"/>
      <c r="W293" s="155"/>
      <c r="X293" s="419"/>
      <c r="Y293" s="157"/>
      <c r="Z293" s="217"/>
      <c r="AA293" s="150"/>
      <c r="AB293" s="151"/>
      <c r="AC293" s="152"/>
      <c r="AD293" s="506"/>
      <c r="AE293" s="166"/>
      <c r="AF293" s="150"/>
      <c r="AG293" s="152"/>
      <c r="AH293" s="150"/>
      <c r="AI293" s="152"/>
      <c r="AJ293" s="150"/>
      <c r="AK293" s="152"/>
      <c r="AL293" s="150"/>
      <c r="AM293" s="151"/>
      <c r="AN293" s="151"/>
      <c r="AO293" s="169"/>
      <c r="AP293" s="169"/>
      <c r="AQ293" s="149"/>
      <c r="AR293" s="324"/>
      <c r="AS293" s="324"/>
      <c r="AT293" s="324"/>
      <c r="AU293" s="324"/>
      <c r="AV293" s="324"/>
      <c r="AW293" s="324"/>
      <c r="AX293" s="150"/>
      <c r="AY293" s="297"/>
      <c r="AZ293" s="297"/>
      <c r="BA293" s="297"/>
      <c r="BB293" s="297"/>
      <c r="BC293" s="152"/>
      <c r="BD293" s="150"/>
      <c r="BE293" s="297"/>
      <c r="BF293" s="297"/>
      <c r="BG293" s="297"/>
      <c r="BH293" s="297"/>
      <c r="BI293" s="152"/>
      <c r="BJ293" s="170"/>
      <c r="BK293" s="148"/>
      <c r="BL293" s="324"/>
      <c r="BM293" s="324"/>
      <c r="BN293" s="170"/>
      <c r="BO293" s="149"/>
      <c r="BP293" s="170"/>
      <c r="BQ293" s="149"/>
      <c r="BR293" s="170"/>
      <c r="BS293" s="171"/>
      <c r="BT293" s="708"/>
    </row>
    <row r="294" spans="1:72" s="2" customFormat="1" ht="24.9" customHeight="1">
      <c r="A294" s="147"/>
      <c r="B294" s="158"/>
      <c r="C294" s="179"/>
      <c r="D294" s="158"/>
      <c r="E294" s="160"/>
      <c r="F294" s="161"/>
      <c r="G294" s="161"/>
      <c r="H294" s="161"/>
      <c r="I294" s="163"/>
      <c r="J294" s="161"/>
      <c r="K294" s="163"/>
      <c r="L294" s="150"/>
      <c r="M294" s="164"/>
      <c r="N294" s="150"/>
      <c r="O294" s="174"/>
      <c r="P294" s="523"/>
      <c r="Q294" s="523"/>
      <c r="R294" s="154"/>
      <c r="S294" s="155"/>
      <c r="T294" s="156"/>
      <c r="U294" s="154"/>
      <c r="V294" s="155"/>
      <c r="W294" s="155"/>
      <c r="X294" s="419"/>
      <c r="Y294" s="157"/>
      <c r="Z294" s="217"/>
      <c r="AA294" s="150"/>
      <c r="AB294" s="151"/>
      <c r="AC294" s="152"/>
      <c r="AD294" s="506"/>
      <c r="AE294" s="166"/>
      <c r="AF294" s="150"/>
      <c r="AG294" s="152"/>
      <c r="AH294" s="150"/>
      <c r="AI294" s="152"/>
      <c r="AJ294" s="150"/>
      <c r="AK294" s="152"/>
      <c r="AL294" s="150"/>
      <c r="AM294" s="151"/>
      <c r="AN294" s="151"/>
      <c r="AO294" s="169"/>
      <c r="AP294" s="169"/>
      <c r="AQ294" s="149"/>
      <c r="AR294" s="324"/>
      <c r="AS294" s="324"/>
      <c r="AT294" s="324"/>
      <c r="AU294" s="324"/>
      <c r="AV294" s="324"/>
      <c r="AW294" s="324"/>
      <c r="AX294" s="150"/>
      <c r="AY294" s="297"/>
      <c r="AZ294" s="297"/>
      <c r="BA294" s="297"/>
      <c r="BB294" s="297"/>
      <c r="BC294" s="152"/>
      <c r="BD294" s="150"/>
      <c r="BE294" s="297"/>
      <c r="BF294" s="297"/>
      <c r="BG294" s="297"/>
      <c r="BH294" s="297"/>
      <c r="BI294" s="152"/>
      <c r="BJ294" s="170"/>
      <c r="BK294" s="148"/>
      <c r="BL294" s="324"/>
      <c r="BM294" s="324"/>
      <c r="BN294" s="170"/>
      <c r="BO294" s="149"/>
      <c r="BP294" s="170"/>
      <c r="BQ294" s="149"/>
      <c r="BR294" s="170"/>
      <c r="BS294" s="171"/>
      <c r="BT294" s="707"/>
    </row>
    <row r="295" spans="1:72" s="2" customFormat="1" ht="24.9" customHeight="1">
      <c r="A295" s="147"/>
      <c r="B295" s="158"/>
      <c r="C295" s="179"/>
      <c r="D295" s="158"/>
      <c r="E295" s="160"/>
      <c r="F295" s="161"/>
      <c r="G295" s="161"/>
      <c r="H295" s="161"/>
      <c r="I295" s="163"/>
      <c r="J295" s="161"/>
      <c r="K295" s="163"/>
      <c r="L295" s="150"/>
      <c r="M295" s="164"/>
      <c r="N295" s="150"/>
      <c r="O295" s="174"/>
      <c r="P295" s="523"/>
      <c r="Q295" s="523"/>
      <c r="R295" s="154"/>
      <c r="S295" s="155"/>
      <c r="T295" s="156"/>
      <c r="U295" s="154"/>
      <c r="V295" s="155"/>
      <c r="W295" s="155"/>
      <c r="X295" s="419"/>
      <c r="Y295" s="157"/>
      <c r="Z295" s="217"/>
      <c r="AA295" s="150"/>
      <c r="AB295" s="151"/>
      <c r="AC295" s="152"/>
      <c r="AD295" s="506"/>
      <c r="AE295" s="166"/>
      <c r="AF295" s="150"/>
      <c r="AG295" s="152"/>
      <c r="AH295" s="150"/>
      <c r="AI295" s="152"/>
      <c r="AJ295" s="150"/>
      <c r="AK295" s="152"/>
      <c r="AL295" s="150"/>
      <c r="AM295" s="151"/>
      <c r="AN295" s="151"/>
      <c r="AO295" s="169"/>
      <c r="AP295" s="169"/>
      <c r="AQ295" s="149"/>
      <c r="AR295" s="324"/>
      <c r="AS295" s="324"/>
      <c r="AT295" s="324"/>
      <c r="AU295" s="324"/>
      <c r="AV295" s="324"/>
      <c r="AW295" s="324"/>
      <c r="AX295" s="150"/>
      <c r="AY295" s="297"/>
      <c r="AZ295" s="297"/>
      <c r="BA295" s="297"/>
      <c r="BB295" s="297"/>
      <c r="BC295" s="152"/>
      <c r="BD295" s="150"/>
      <c r="BE295" s="297"/>
      <c r="BF295" s="297"/>
      <c r="BG295" s="297"/>
      <c r="BH295" s="297"/>
      <c r="BI295" s="152"/>
      <c r="BJ295" s="170"/>
      <c r="BK295" s="148"/>
      <c r="BL295" s="324"/>
      <c r="BM295" s="324"/>
      <c r="BN295" s="170"/>
      <c r="BO295" s="149"/>
      <c r="BP295" s="170"/>
      <c r="BQ295" s="149"/>
      <c r="BR295" s="170"/>
      <c r="BS295" s="171"/>
      <c r="BT295" s="706"/>
    </row>
    <row r="296" spans="1:72" s="2" customFormat="1" ht="24.9" customHeight="1">
      <c r="A296" s="147"/>
      <c r="B296" s="158"/>
      <c r="C296" s="179"/>
      <c r="D296" s="158"/>
      <c r="E296" s="160"/>
      <c r="F296" s="161"/>
      <c r="G296" s="161"/>
      <c r="H296" s="161"/>
      <c r="I296" s="163"/>
      <c r="J296" s="161"/>
      <c r="K296" s="163"/>
      <c r="L296" s="150"/>
      <c r="M296" s="164"/>
      <c r="N296" s="150"/>
      <c r="O296" s="174"/>
      <c r="P296" s="523"/>
      <c r="Q296" s="523"/>
      <c r="R296" s="154"/>
      <c r="S296" s="155"/>
      <c r="T296" s="156"/>
      <c r="U296" s="154"/>
      <c r="V296" s="155"/>
      <c r="W296" s="155"/>
      <c r="X296" s="419"/>
      <c r="Y296" s="157"/>
      <c r="Z296" s="217"/>
      <c r="AA296" s="150"/>
      <c r="AB296" s="151"/>
      <c r="AC296" s="152"/>
      <c r="AD296" s="506"/>
      <c r="AE296" s="166"/>
      <c r="AF296" s="150"/>
      <c r="AG296" s="152"/>
      <c r="AH296" s="150"/>
      <c r="AI296" s="152"/>
      <c r="AJ296" s="150"/>
      <c r="AK296" s="152"/>
      <c r="AL296" s="150"/>
      <c r="AM296" s="151"/>
      <c r="AN296" s="151"/>
      <c r="AO296" s="169"/>
      <c r="AP296" s="169"/>
      <c r="AQ296" s="149"/>
      <c r="AR296" s="324"/>
      <c r="AS296" s="324"/>
      <c r="AT296" s="324"/>
      <c r="AU296" s="324"/>
      <c r="AV296" s="324"/>
      <c r="AW296" s="324"/>
      <c r="AX296" s="150"/>
      <c r="AY296" s="297"/>
      <c r="AZ296" s="297"/>
      <c r="BA296" s="297"/>
      <c r="BB296" s="297"/>
      <c r="BC296" s="152"/>
      <c r="BD296" s="150"/>
      <c r="BE296" s="297"/>
      <c r="BF296" s="297"/>
      <c r="BG296" s="297"/>
      <c r="BH296" s="297"/>
      <c r="BI296" s="152"/>
      <c r="BJ296" s="170"/>
      <c r="BK296" s="148"/>
      <c r="BL296" s="324"/>
      <c r="BM296" s="324"/>
      <c r="BN296" s="170"/>
      <c r="BO296" s="149"/>
      <c r="BP296" s="170"/>
      <c r="BQ296" s="149"/>
      <c r="BR296" s="170"/>
      <c r="BS296" s="171"/>
      <c r="BT296" s="707"/>
    </row>
    <row r="297" spans="1:72" s="2" customFormat="1" ht="24.9" customHeight="1">
      <c r="A297" s="147"/>
      <c r="B297" s="158"/>
      <c r="C297" s="179"/>
      <c r="D297" s="158"/>
      <c r="E297" s="160"/>
      <c r="F297" s="161"/>
      <c r="G297" s="161"/>
      <c r="H297" s="161"/>
      <c r="I297" s="163"/>
      <c r="J297" s="161"/>
      <c r="K297" s="163"/>
      <c r="L297" s="150"/>
      <c r="M297" s="164"/>
      <c r="N297" s="150"/>
      <c r="O297" s="174"/>
      <c r="P297" s="523"/>
      <c r="Q297" s="523"/>
      <c r="R297" s="154"/>
      <c r="S297" s="155"/>
      <c r="T297" s="156"/>
      <c r="U297" s="154"/>
      <c r="V297" s="155"/>
      <c r="W297" s="155"/>
      <c r="X297" s="419"/>
      <c r="Y297" s="157"/>
      <c r="Z297" s="217"/>
      <c r="AA297" s="150"/>
      <c r="AB297" s="151"/>
      <c r="AC297" s="152"/>
      <c r="AD297" s="506"/>
      <c r="AE297" s="166"/>
      <c r="AF297" s="150"/>
      <c r="AG297" s="152"/>
      <c r="AH297" s="150"/>
      <c r="AI297" s="152"/>
      <c r="AJ297" s="150"/>
      <c r="AK297" s="152"/>
      <c r="AL297" s="150"/>
      <c r="AM297" s="151"/>
      <c r="AN297" s="151"/>
      <c r="AO297" s="169"/>
      <c r="AP297" s="169"/>
      <c r="AQ297" s="149"/>
      <c r="AR297" s="324"/>
      <c r="AS297" s="324"/>
      <c r="AT297" s="324"/>
      <c r="AU297" s="324"/>
      <c r="AV297" s="324"/>
      <c r="AW297" s="324"/>
      <c r="AX297" s="150"/>
      <c r="AY297" s="297"/>
      <c r="AZ297" s="297"/>
      <c r="BA297" s="297"/>
      <c r="BB297" s="297"/>
      <c r="BC297" s="152"/>
      <c r="BD297" s="150"/>
      <c r="BE297" s="297"/>
      <c r="BF297" s="297"/>
      <c r="BG297" s="297"/>
      <c r="BH297" s="297"/>
      <c r="BI297" s="152"/>
      <c r="BJ297" s="170"/>
      <c r="BK297" s="148"/>
      <c r="BL297" s="324"/>
      <c r="BM297" s="324"/>
      <c r="BN297" s="170"/>
      <c r="BO297" s="149"/>
      <c r="BP297" s="170"/>
      <c r="BQ297" s="149"/>
      <c r="BR297" s="170"/>
      <c r="BS297" s="171"/>
      <c r="BT297" s="706"/>
    </row>
    <row r="298" spans="1:72" s="2" customFormat="1" ht="24.9" customHeight="1">
      <c r="A298" s="147"/>
      <c r="B298" s="158"/>
      <c r="C298" s="179"/>
      <c r="D298" s="158"/>
      <c r="E298" s="160"/>
      <c r="F298" s="161"/>
      <c r="G298" s="161"/>
      <c r="H298" s="161"/>
      <c r="I298" s="163"/>
      <c r="J298" s="161"/>
      <c r="K298" s="163"/>
      <c r="L298" s="150"/>
      <c r="M298" s="164"/>
      <c r="N298" s="150"/>
      <c r="O298" s="174"/>
      <c r="P298" s="523"/>
      <c r="Q298" s="523"/>
      <c r="R298" s="154"/>
      <c r="S298" s="155"/>
      <c r="T298" s="156"/>
      <c r="U298" s="154"/>
      <c r="V298" s="155"/>
      <c r="W298" s="155"/>
      <c r="X298" s="419"/>
      <c r="Y298" s="157"/>
      <c r="Z298" s="217"/>
      <c r="AA298" s="150"/>
      <c r="AB298" s="151"/>
      <c r="AC298" s="152"/>
      <c r="AD298" s="506"/>
      <c r="AE298" s="166"/>
      <c r="AF298" s="150"/>
      <c r="AG298" s="152"/>
      <c r="AH298" s="150"/>
      <c r="AI298" s="152"/>
      <c r="AJ298" s="150"/>
      <c r="AK298" s="152"/>
      <c r="AL298" s="150"/>
      <c r="AM298" s="151"/>
      <c r="AN298" s="151"/>
      <c r="AO298" s="169"/>
      <c r="AP298" s="169"/>
      <c r="AQ298" s="149"/>
      <c r="AR298" s="324"/>
      <c r="AS298" s="324"/>
      <c r="AT298" s="324"/>
      <c r="AU298" s="324"/>
      <c r="AV298" s="324"/>
      <c r="AW298" s="324"/>
      <c r="AX298" s="150"/>
      <c r="AY298" s="297"/>
      <c r="AZ298" s="297"/>
      <c r="BA298" s="297"/>
      <c r="BB298" s="297"/>
      <c r="BC298" s="152"/>
      <c r="BD298" s="150"/>
      <c r="BE298" s="297"/>
      <c r="BF298" s="297"/>
      <c r="BG298" s="297"/>
      <c r="BH298" s="297"/>
      <c r="BI298" s="152"/>
      <c r="BJ298" s="170"/>
      <c r="BK298" s="148"/>
      <c r="BL298" s="324"/>
      <c r="BM298" s="324"/>
      <c r="BN298" s="170"/>
      <c r="BO298" s="149"/>
      <c r="BP298" s="170"/>
      <c r="BQ298" s="149"/>
      <c r="BR298" s="170"/>
      <c r="BS298" s="171"/>
      <c r="BT298" s="708"/>
    </row>
    <row r="299" spans="1:72" s="2" customFormat="1" ht="24.9" customHeight="1">
      <c r="A299" s="147"/>
      <c r="B299" s="158"/>
      <c r="C299" s="179"/>
      <c r="D299" s="158"/>
      <c r="E299" s="160"/>
      <c r="F299" s="161"/>
      <c r="G299" s="161"/>
      <c r="H299" s="161"/>
      <c r="I299" s="163"/>
      <c r="J299" s="161"/>
      <c r="K299" s="163"/>
      <c r="L299" s="150"/>
      <c r="M299" s="164"/>
      <c r="N299" s="150"/>
      <c r="O299" s="151"/>
      <c r="P299" s="522"/>
      <c r="Q299" s="522"/>
      <c r="R299" s="154"/>
      <c r="S299" s="155"/>
      <c r="T299" s="156"/>
      <c r="U299" s="154"/>
      <c r="V299" s="155"/>
      <c r="W299" s="155"/>
      <c r="X299" s="419"/>
      <c r="Y299" s="157"/>
      <c r="Z299" s="217"/>
      <c r="AA299" s="150"/>
      <c r="AB299" s="151"/>
      <c r="AC299" s="152"/>
      <c r="AD299" s="506"/>
      <c r="AE299" s="166"/>
      <c r="AF299" s="150"/>
      <c r="AG299" s="152"/>
      <c r="AH299" s="150"/>
      <c r="AI299" s="152"/>
      <c r="AJ299" s="150"/>
      <c r="AK299" s="152"/>
      <c r="AL299" s="150"/>
      <c r="AM299" s="151"/>
      <c r="AN299" s="151"/>
      <c r="AO299" s="169"/>
      <c r="AP299" s="169"/>
      <c r="AQ299" s="149"/>
      <c r="AR299" s="324"/>
      <c r="AS299" s="324"/>
      <c r="AT299" s="324"/>
      <c r="AU299" s="324"/>
      <c r="AV299" s="324"/>
      <c r="AW299" s="324"/>
      <c r="AX299" s="150"/>
      <c r="AY299" s="297"/>
      <c r="AZ299" s="297"/>
      <c r="BA299" s="297"/>
      <c r="BB299" s="297"/>
      <c r="BC299" s="152"/>
      <c r="BD299" s="150"/>
      <c r="BE299" s="297"/>
      <c r="BF299" s="297"/>
      <c r="BG299" s="297"/>
      <c r="BH299" s="297"/>
      <c r="BI299" s="152"/>
      <c r="BJ299" s="170"/>
      <c r="BK299" s="148"/>
      <c r="BL299" s="324"/>
      <c r="BM299" s="324"/>
      <c r="BN299" s="170"/>
      <c r="BO299" s="149"/>
      <c r="BP299" s="170"/>
      <c r="BQ299" s="149"/>
      <c r="BR299" s="170"/>
      <c r="BS299" s="171"/>
      <c r="BT299" s="707"/>
    </row>
    <row r="300" spans="1:72" s="2" customFormat="1" ht="24.9" customHeight="1">
      <c r="A300" s="147"/>
      <c r="B300" s="158"/>
      <c r="C300" s="179"/>
      <c r="D300" s="158"/>
      <c r="E300" s="160"/>
      <c r="F300" s="161"/>
      <c r="G300" s="161"/>
      <c r="H300" s="161"/>
      <c r="I300" s="163"/>
      <c r="J300" s="161"/>
      <c r="K300" s="163"/>
      <c r="L300" s="150"/>
      <c r="M300" s="164"/>
      <c r="N300" s="150"/>
      <c r="O300" s="174"/>
      <c r="P300" s="523"/>
      <c r="Q300" s="523"/>
      <c r="R300" s="154"/>
      <c r="S300" s="155"/>
      <c r="T300" s="156"/>
      <c r="U300" s="154"/>
      <c r="V300" s="155"/>
      <c r="W300" s="155"/>
      <c r="X300" s="419"/>
      <c r="Y300" s="157"/>
      <c r="Z300" s="217"/>
      <c r="AA300" s="150"/>
      <c r="AB300" s="151"/>
      <c r="AC300" s="152"/>
      <c r="AD300" s="506"/>
      <c r="AE300" s="166"/>
      <c r="AF300" s="150"/>
      <c r="AG300" s="152"/>
      <c r="AH300" s="150"/>
      <c r="AI300" s="152"/>
      <c r="AJ300" s="150"/>
      <c r="AK300" s="152"/>
      <c r="AL300" s="150"/>
      <c r="AM300" s="151"/>
      <c r="AN300" s="151"/>
      <c r="AO300" s="169"/>
      <c r="AP300" s="169"/>
      <c r="AQ300" s="149"/>
      <c r="AR300" s="324"/>
      <c r="AS300" s="324"/>
      <c r="AT300" s="324"/>
      <c r="AU300" s="324"/>
      <c r="AV300" s="324"/>
      <c r="AW300" s="324"/>
      <c r="AX300" s="150"/>
      <c r="AY300" s="297"/>
      <c r="AZ300" s="297"/>
      <c r="BA300" s="297"/>
      <c r="BB300" s="297"/>
      <c r="BC300" s="152"/>
      <c r="BD300" s="150"/>
      <c r="BE300" s="297"/>
      <c r="BF300" s="297"/>
      <c r="BG300" s="297"/>
      <c r="BH300" s="297"/>
      <c r="BI300" s="152"/>
      <c r="BJ300" s="170"/>
      <c r="BK300" s="148"/>
      <c r="BL300" s="324"/>
      <c r="BM300" s="324"/>
      <c r="BN300" s="170"/>
      <c r="BO300" s="149"/>
      <c r="BP300" s="170"/>
      <c r="BQ300" s="149"/>
      <c r="BR300" s="170"/>
      <c r="BS300" s="171"/>
      <c r="BT300" s="706"/>
    </row>
    <row r="301" spans="1:72" s="2" customFormat="1" ht="24.9" customHeight="1">
      <c r="A301" s="147"/>
      <c r="B301" s="158"/>
      <c r="C301" s="179"/>
      <c r="D301" s="158"/>
      <c r="E301" s="160"/>
      <c r="F301" s="161"/>
      <c r="G301" s="161"/>
      <c r="H301" s="161"/>
      <c r="I301" s="163"/>
      <c r="J301" s="161"/>
      <c r="K301" s="163"/>
      <c r="L301" s="150"/>
      <c r="M301" s="164"/>
      <c r="N301" s="150"/>
      <c r="O301" s="151"/>
      <c r="P301" s="522"/>
      <c r="Q301" s="522"/>
      <c r="R301" s="154"/>
      <c r="S301" s="155"/>
      <c r="T301" s="156"/>
      <c r="U301" s="154"/>
      <c r="V301" s="155"/>
      <c r="W301" s="155"/>
      <c r="X301" s="419"/>
      <c r="Y301" s="157"/>
      <c r="Z301" s="217"/>
      <c r="AA301" s="150"/>
      <c r="AB301" s="151"/>
      <c r="AC301" s="152"/>
      <c r="AD301" s="506"/>
      <c r="AE301" s="166"/>
      <c r="AF301" s="150"/>
      <c r="AG301" s="152"/>
      <c r="AH301" s="150"/>
      <c r="AI301" s="152"/>
      <c r="AJ301" s="150"/>
      <c r="AK301" s="152"/>
      <c r="AL301" s="150"/>
      <c r="AM301" s="151"/>
      <c r="AN301" s="151"/>
      <c r="AO301" s="169"/>
      <c r="AP301" s="169"/>
      <c r="AQ301" s="149"/>
      <c r="AR301" s="324"/>
      <c r="AS301" s="324"/>
      <c r="AT301" s="324"/>
      <c r="AU301" s="324"/>
      <c r="AV301" s="324"/>
      <c r="AW301" s="324"/>
      <c r="AX301" s="150"/>
      <c r="AY301" s="297"/>
      <c r="AZ301" s="297"/>
      <c r="BA301" s="297"/>
      <c r="BB301" s="297"/>
      <c r="BC301" s="152"/>
      <c r="BD301" s="150"/>
      <c r="BE301" s="297"/>
      <c r="BF301" s="297"/>
      <c r="BG301" s="297"/>
      <c r="BH301" s="297"/>
      <c r="BI301" s="152"/>
      <c r="BJ301" s="170"/>
      <c r="BK301" s="148"/>
      <c r="BL301" s="324"/>
      <c r="BM301" s="324"/>
      <c r="BN301" s="170"/>
      <c r="BO301" s="149"/>
      <c r="BP301" s="170"/>
      <c r="BQ301" s="149"/>
      <c r="BR301" s="170"/>
      <c r="BS301" s="171"/>
      <c r="BT301" s="708"/>
    </row>
    <row r="302" spans="1:72" s="2" customFormat="1" ht="24.9" customHeight="1">
      <c r="A302" s="147"/>
      <c r="B302" s="158"/>
      <c r="C302" s="179"/>
      <c r="D302" s="158"/>
      <c r="E302" s="160"/>
      <c r="F302" s="161"/>
      <c r="G302" s="161"/>
      <c r="H302" s="161"/>
      <c r="I302" s="163"/>
      <c r="J302" s="161"/>
      <c r="K302" s="163"/>
      <c r="L302" s="150"/>
      <c r="M302" s="164"/>
      <c r="N302" s="150"/>
      <c r="O302" s="174"/>
      <c r="P302" s="523"/>
      <c r="Q302" s="523"/>
      <c r="R302" s="154"/>
      <c r="S302" s="155"/>
      <c r="T302" s="156"/>
      <c r="U302" s="154"/>
      <c r="V302" s="155"/>
      <c r="W302" s="155"/>
      <c r="X302" s="419"/>
      <c r="Y302" s="157"/>
      <c r="Z302" s="217"/>
      <c r="AA302" s="150"/>
      <c r="AB302" s="151"/>
      <c r="AC302" s="152"/>
      <c r="AD302" s="506"/>
      <c r="AE302" s="166"/>
      <c r="AF302" s="150"/>
      <c r="AG302" s="152"/>
      <c r="AH302" s="150"/>
      <c r="AI302" s="152"/>
      <c r="AJ302" s="150"/>
      <c r="AK302" s="152"/>
      <c r="AL302" s="150"/>
      <c r="AM302" s="151"/>
      <c r="AN302" s="151"/>
      <c r="AO302" s="169"/>
      <c r="AP302" s="169"/>
      <c r="AQ302" s="149"/>
      <c r="AR302" s="324"/>
      <c r="AS302" s="324"/>
      <c r="AT302" s="324"/>
      <c r="AU302" s="324"/>
      <c r="AV302" s="324"/>
      <c r="AW302" s="324"/>
      <c r="AX302" s="150"/>
      <c r="AY302" s="297"/>
      <c r="AZ302" s="297"/>
      <c r="BA302" s="297"/>
      <c r="BB302" s="297"/>
      <c r="BC302" s="152"/>
      <c r="BD302" s="150"/>
      <c r="BE302" s="297"/>
      <c r="BF302" s="297"/>
      <c r="BG302" s="297"/>
      <c r="BH302" s="297"/>
      <c r="BI302" s="152"/>
      <c r="BJ302" s="170"/>
      <c r="BK302" s="148"/>
      <c r="BL302" s="324"/>
      <c r="BM302" s="324"/>
      <c r="BN302" s="170"/>
      <c r="BO302" s="149"/>
      <c r="BP302" s="170"/>
      <c r="BQ302" s="149"/>
      <c r="BR302" s="170"/>
      <c r="BS302" s="171"/>
      <c r="BT302" s="708"/>
    </row>
    <row r="303" spans="1:72" s="2" customFormat="1" ht="24.9" customHeight="1">
      <c r="A303" s="147"/>
      <c r="B303" s="158"/>
      <c r="C303" s="179"/>
      <c r="D303" s="158"/>
      <c r="E303" s="160"/>
      <c r="F303" s="161"/>
      <c r="G303" s="161"/>
      <c r="H303" s="161"/>
      <c r="I303" s="163"/>
      <c r="J303" s="161"/>
      <c r="K303" s="163"/>
      <c r="L303" s="150"/>
      <c r="M303" s="164"/>
      <c r="N303" s="150"/>
      <c r="O303" s="151"/>
      <c r="P303" s="522"/>
      <c r="Q303" s="522"/>
      <c r="R303" s="154"/>
      <c r="S303" s="155"/>
      <c r="T303" s="156"/>
      <c r="U303" s="154"/>
      <c r="V303" s="155"/>
      <c r="W303" s="155"/>
      <c r="X303" s="419"/>
      <c r="Y303" s="157"/>
      <c r="Z303" s="217"/>
      <c r="AA303" s="150"/>
      <c r="AB303" s="151"/>
      <c r="AC303" s="152"/>
      <c r="AD303" s="506"/>
      <c r="AE303" s="166"/>
      <c r="AF303" s="150"/>
      <c r="AG303" s="152"/>
      <c r="AH303" s="150"/>
      <c r="AI303" s="152"/>
      <c r="AJ303" s="150"/>
      <c r="AK303" s="152"/>
      <c r="AL303" s="150"/>
      <c r="AM303" s="151"/>
      <c r="AN303" s="151"/>
      <c r="AO303" s="169"/>
      <c r="AP303" s="169"/>
      <c r="AQ303" s="149"/>
      <c r="AR303" s="324"/>
      <c r="AS303" s="324"/>
      <c r="AT303" s="324"/>
      <c r="AU303" s="324"/>
      <c r="AV303" s="324"/>
      <c r="AW303" s="324"/>
      <c r="AX303" s="150"/>
      <c r="AY303" s="297"/>
      <c r="AZ303" s="297"/>
      <c r="BA303" s="297"/>
      <c r="BB303" s="297"/>
      <c r="BC303" s="152"/>
      <c r="BD303" s="150"/>
      <c r="BE303" s="297"/>
      <c r="BF303" s="297"/>
      <c r="BG303" s="297"/>
      <c r="BH303" s="297"/>
      <c r="BI303" s="152"/>
      <c r="BJ303" s="170"/>
      <c r="BK303" s="148"/>
      <c r="BL303" s="324"/>
      <c r="BM303" s="324"/>
      <c r="BN303" s="170"/>
      <c r="BO303" s="149"/>
      <c r="BP303" s="170"/>
      <c r="BQ303" s="149"/>
      <c r="BR303" s="170"/>
      <c r="BS303" s="171"/>
      <c r="BT303" s="707"/>
    </row>
    <row r="304" spans="1:72" s="2" customFormat="1" ht="24.9" customHeight="1">
      <c r="A304" s="147"/>
      <c r="B304" s="158"/>
      <c r="C304" s="179"/>
      <c r="D304" s="158"/>
      <c r="E304" s="160"/>
      <c r="F304" s="161"/>
      <c r="G304" s="161"/>
      <c r="H304" s="161"/>
      <c r="I304" s="163"/>
      <c r="J304" s="161"/>
      <c r="K304" s="163"/>
      <c r="L304" s="150"/>
      <c r="M304" s="164"/>
      <c r="N304" s="150"/>
      <c r="O304" s="174"/>
      <c r="P304" s="523"/>
      <c r="Q304" s="523"/>
      <c r="R304" s="154"/>
      <c r="S304" s="155"/>
      <c r="T304" s="156"/>
      <c r="U304" s="154"/>
      <c r="V304" s="155"/>
      <c r="W304" s="155"/>
      <c r="X304" s="419"/>
      <c r="Y304" s="157"/>
      <c r="Z304" s="217"/>
      <c r="AA304" s="150"/>
      <c r="AB304" s="151"/>
      <c r="AC304" s="152"/>
      <c r="AD304" s="506"/>
      <c r="AE304" s="166"/>
      <c r="AF304" s="150"/>
      <c r="AG304" s="152"/>
      <c r="AH304" s="150"/>
      <c r="AI304" s="152"/>
      <c r="AJ304" s="150"/>
      <c r="AK304" s="152"/>
      <c r="AL304" s="150"/>
      <c r="AM304" s="151"/>
      <c r="AN304" s="151"/>
      <c r="AO304" s="169"/>
      <c r="AP304" s="169"/>
      <c r="AQ304" s="149"/>
      <c r="AR304" s="324"/>
      <c r="AS304" s="324"/>
      <c r="AT304" s="324"/>
      <c r="AU304" s="324"/>
      <c r="AV304" s="324"/>
      <c r="AW304" s="324"/>
      <c r="AX304" s="150"/>
      <c r="AY304" s="297"/>
      <c r="AZ304" s="297"/>
      <c r="BA304" s="297"/>
      <c r="BB304" s="297"/>
      <c r="BC304" s="152"/>
      <c r="BD304" s="150"/>
      <c r="BE304" s="297"/>
      <c r="BF304" s="297"/>
      <c r="BG304" s="297"/>
      <c r="BH304" s="297"/>
      <c r="BI304" s="152"/>
      <c r="BJ304" s="170"/>
      <c r="BK304" s="148"/>
      <c r="BL304" s="324"/>
      <c r="BM304" s="324"/>
      <c r="BN304" s="170"/>
      <c r="BO304" s="149"/>
      <c r="BP304" s="170"/>
      <c r="BQ304" s="149"/>
      <c r="BR304" s="170"/>
      <c r="BS304" s="171"/>
      <c r="BT304" s="706"/>
    </row>
    <row r="305" spans="1:72" s="2" customFormat="1" ht="24.9" customHeight="1">
      <c r="A305" s="147"/>
      <c r="B305" s="158"/>
      <c r="C305" s="179"/>
      <c r="D305" s="158"/>
      <c r="E305" s="160"/>
      <c r="F305" s="161"/>
      <c r="G305" s="161"/>
      <c r="H305" s="161"/>
      <c r="I305" s="163"/>
      <c r="J305" s="161"/>
      <c r="K305" s="163"/>
      <c r="L305" s="150"/>
      <c r="M305" s="164"/>
      <c r="N305" s="150"/>
      <c r="O305" s="174"/>
      <c r="P305" s="523"/>
      <c r="Q305" s="523"/>
      <c r="R305" s="154"/>
      <c r="S305" s="155"/>
      <c r="T305" s="156"/>
      <c r="U305" s="154"/>
      <c r="V305" s="155"/>
      <c r="W305" s="155"/>
      <c r="X305" s="419"/>
      <c r="Y305" s="157"/>
      <c r="Z305" s="217"/>
      <c r="AA305" s="150"/>
      <c r="AB305" s="151"/>
      <c r="AC305" s="152"/>
      <c r="AD305" s="506"/>
      <c r="AE305" s="166"/>
      <c r="AF305" s="150"/>
      <c r="AG305" s="152"/>
      <c r="AH305" s="150"/>
      <c r="AI305" s="152"/>
      <c r="AJ305" s="150"/>
      <c r="AK305" s="152"/>
      <c r="AL305" s="150"/>
      <c r="AM305" s="151"/>
      <c r="AN305" s="151"/>
      <c r="AO305" s="169"/>
      <c r="AP305" s="169"/>
      <c r="AQ305" s="149"/>
      <c r="AR305" s="324"/>
      <c r="AS305" s="324"/>
      <c r="AT305" s="324"/>
      <c r="AU305" s="324"/>
      <c r="AV305" s="324"/>
      <c r="AW305" s="324"/>
      <c r="AX305" s="150"/>
      <c r="AY305" s="297"/>
      <c r="AZ305" s="297"/>
      <c r="BA305" s="297"/>
      <c r="BB305" s="297"/>
      <c r="BC305" s="152"/>
      <c r="BD305" s="150"/>
      <c r="BE305" s="297"/>
      <c r="BF305" s="297"/>
      <c r="BG305" s="297"/>
      <c r="BH305" s="297"/>
      <c r="BI305" s="152"/>
      <c r="BJ305" s="170"/>
      <c r="BK305" s="148"/>
      <c r="BL305" s="324"/>
      <c r="BM305" s="324"/>
      <c r="BN305" s="170"/>
      <c r="BO305" s="149"/>
      <c r="BP305" s="170"/>
      <c r="BQ305" s="149"/>
      <c r="BR305" s="170"/>
      <c r="BS305" s="171"/>
      <c r="BT305" s="708"/>
    </row>
    <row r="306" spans="1:72" s="2" customFormat="1" ht="24.9" customHeight="1">
      <c r="A306" s="147"/>
      <c r="B306" s="158"/>
      <c r="C306" s="179"/>
      <c r="D306" s="158"/>
      <c r="E306" s="160"/>
      <c r="F306" s="161"/>
      <c r="G306" s="161"/>
      <c r="H306" s="161"/>
      <c r="I306" s="163"/>
      <c r="J306" s="161"/>
      <c r="K306" s="163"/>
      <c r="L306" s="150"/>
      <c r="M306" s="164"/>
      <c r="N306" s="150"/>
      <c r="O306" s="151"/>
      <c r="P306" s="522"/>
      <c r="Q306" s="522"/>
      <c r="R306" s="154"/>
      <c r="S306" s="155"/>
      <c r="T306" s="156"/>
      <c r="U306" s="154"/>
      <c r="V306" s="155"/>
      <c r="W306" s="155"/>
      <c r="X306" s="419"/>
      <c r="Y306" s="157"/>
      <c r="Z306" s="217"/>
      <c r="AA306" s="150"/>
      <c r="AB306" s="151"/>
      <c r="AC306" s="152"/>
      <c r="AD306" s="506"/>
      <c r="AE306" s="166"/>
      <c r="AF306" s="150"/>
      <c r="AG306" s="152"/>
      <c r="AH306" s="150"/>
      <c r="AI306" s="152"/>
      <c r="AJ306" s="150"/>
      <c r="AK306" s="152"/>
      <c r="AL306" s="150"/>
      <c r="AM306" s="151"/>
      <c r="AN306" s="151"/>
      <c r="AO306" s="169"/>
      <c r="AP306" s="169"/>
      <c r="AQ306" s="149"/>
      <c r="AR306" s="324"/>
      <c r="AS306" s="324"/>
      <c r="AT306" s="324"/>
      <c r="AU306" s="324"/>
      <c r="AV306" s="324"/>
      <c r="AW306" s="324"/>
      <c r="AX306" s="150"/>
      <c r="AY306" s="297"/>
      <c r="AZ306" s="297"/>
      <c r="BA306" s="297"/>
      <c r="BB306" s="297"/>
      <c r="BC306" s="152"/>
      <c r="BD306" s="150"/>
      <c r="BE306" s="297"/>
      <c r="BF306" s="297"/>
      <c r="BG306" s="297"/>
      <c r="BH306" s="297"/>
      <c r="BI306" s="152"/>
      <c r="BJ306" s="170"/>
      <c r="BK306" s="148"/>
      <c r="BL306" s="324"/>
      <c r="BM306" s="324"/>
      <c r="BN306" s="170"/>
      <c r="BO306" s="149"/>
      <c r="BP306" s="170"/>
      <c r="BQ306" s="149"/>
      <c r="BR306" s="170"/>
      <c r="BS306" s="171"/>
      <c r="BT306" s="707"/>
    </row>
    <row r="307" spans="1:72" s="2" customFormat="1" ht="24.9" customHeight="1">
      <c r="A307" s="147"/>
      <c r="B307" s="158"/>
      <c r="C307" s="179"/>
      <c r="D307" s="158"/>
      <c r="E307" s="160"/>
      <c r="F307" s="161"/>
      <c r="G307" s="161"/>
      <c r="H307" s="161"/>
      <c r="I307" s="163"/>
      <c r="J307" s="161"/>
      <c r="K307" s="163"/>
      <c r="L307" s="150"/>
      <c r="M307" s="164"/>
      <c r="N307" s="150"/>
      <c r="O307" s="174"/>
      <c r="P307" s="523"/>
      <c r="Q307" s="523"/>
      <c r="R307" s="154"/>
      <c r="S307" s="155"/>
      <c r="T307" s="156"/>
      <c r="U307" s="154"/>
      <c r="V307" s="155"/>
      <c r="W307" s="155"/>
      <c r="X307" s="419"/>
      <c r="Y307" s="157"/>
      <c r="Z307" s="217"/>
      <c r="AA307" s="150"/>
      <c r="AB307" s="151"/>
      <c r="AC307" s="152"/>
      <c r="AD307" s="506"/>
      <c r="AE307" s="166"/>
      <c r="AF307" s="150"/>
      <c r="AG307" s="152"/>
      <c r="AH307" s="150"/>
      <c r="AI307" s="152"/>
      <c r="AJ307" s="150"/>
      <c r="AK307" s="152"/>
      <c r="AL307" s="150"/>
      <c r="AM307" s="151"/>
      <c r="AN307" s="151"/>
      <c r="AO307" s="169"/>
      <c r="AP307" s="169"/>
      <c r="AQ307" s="149"/>
      <c r="AR307" s="324"/>
      <c r="AS307" s="324"/>
      <c r="AT307" s="324"/>
      <c r="AU307" s="324"/>
      <c r="AV307" s="324"/>
      <c r="AW307" s="324"/>
      <c r="AX307" s="150"/>
      <c r="AY307" s="297"/>
      <c r="AZ307" s="297"/>
      <c r="BA307" s="297"/>
      <c r="BB307" s="297"/>
      <c r="BC307" s="152"/>
      <c r="BD307" s="150"/>
      <c r="BE307" s="297"/>
      <c r="BF307" s="297"/>
      <c r="BG307" s="297"/>
      <c r="BH307" s="297"/>
      <c r="BI307" s="152"/>
      <c r="BJ307" s="170"/>
      <c r="BK307" s="148"/>
      <c r="BL307" s="324"/>
      <c r="BM307" s="324"/>
      <c r="BN307" s="170"/>
      <c r="BO307" s="149"/>
      <c r="BP307" s="170"/>
      <c r="BQ307" s="149"/>
      <c r="BR307" s="170"/>
      <c r="BS307" s="171"/>
      <c r="BT307" s="706"/>
    </row>
    <row r="308" spans="1:72" s="2" customFormat="1" ht="24.9" customHeight="1">
      <c r="A308" s="147"/>
      <c r="B308" s="158"/>
      <c r="C308" s="179"/>
      <c r="D308" s="158"/>
      <c r="E308" s="160"/>
      <c r="F308" s="161"/>
      <c r="G308" s="161"/>
      <c r="H308" s="161"/>
      <c r="I308" s="163"/>
      <c r="J308" s="161"/>
      <c r="K308" s="163"/>
      <c r="L308" s="150"/>
      <c r="M308" s="164"/>
      <c r="N308" s="150"/>
      <c r="O308" s="174"/>
      <c r="P308" s="523"/>
      <c r="Q308" s="523"/>
      <c r="R308" s="154"/>
      <c r="S308" s="155"/>
      <c r="T308" s="156"/>
      <c r="U308" s="154"/>
      <c r="V308" s="155"/>
      <c r="W308" s="155"/>
      <c r="X308" s="419"/>
      <c r="Y308" s="157"/>
      <c r="Z308" s="217"/>
      <c r="AA308" s="150"/>
      <c r="AB308" s="151"/>
      <c r="AC308" s="152"/>
      <c r="AD308" s="506"/>
      <c r="AE308" s="166"/>
      <c r="AF308" s="150"/>
      <c r="AG308" s="152"/>
      <c r="AH308" s="150"/>
      <c r="AI308" s="152"/>
      <c r="AJ308" s="150"/>
      <c r="AK308" s="152"/>
      <c r="AL308" s="150"/>
      <c r="AM308" s="151"/>
      <c r="AN308" s="151"/>
      <c r="AO308" s="169"/>
      <c r="AP308" s="169"/>
      <c r="AQ308" s="149"/>
      <c r="AR308" s="324"/>
      <c r="AS308" s="324"/>
      <c r="AT308" s="324"/>
      <c r="AU308" s="324"/>
      <c r="AV308" s="324"/>
      <c r="AW308" s="324"/>
      <c r="AX308" s="150"/>
      <c r="AY308" s="297"/>
      <c r="AZ308" s="297"/>
      <c r="BA308" s="297"/>
      <c r="BB308" s="297"/>
      <c r="BC308" s="152"/>
      <c r="BD308" s="150"/>
      <c r="BE308" s="297"/>
      <c r="BF308" s="297"/>
      <c r="BG308" s="297"/>
      <c r="BH308" s="297"/>
      <c r="BI308" s="152"/>
      <c r="BJ308" s="170"/>
      <c r="BK308" s="148"/>
      <c r="BL308" s="324"/>
      <c r="BM308" s="324"/>
      <c r="BN308" s="170"/>
      <c r="BO308" s="149"/>
      <c r="BP308" s="170"/>
      <c r="BQ308" s="149"/>
      <c r="BR308" s="170"/>
      <c r="BS308" s="171"/>
      <c r="BT308" s="708"/>
    </row>
    <row r="309" spans="1:72" s="2" customFormat="1" ht="24.9" customHeight="1">
      <c r="A309" s="147"/>
      <c r="B309" s="158"/>
      <c r="C309" s="179"/>
      <c r="D309" s="158"/>
      <c r="E309" s="160"/>
      <c r="F309" s="161"/>
      <c r="G309" s="161"/>
      <c r="H309" s="161"/>
      <c r="I309" s="163"/>
      <c r="J309" s="161"/>
      <c r="K309" s="163"/>
      <c r="L309" s="150"/>
      <c r="M309" s="164"/>
      <c r="N309" s="150"/>
      <c r="O309" s="151"/>
      <c r="P309" s="522"/>
      <c r="Q309" s="522"/>
      <c r="R309" s="154"/>
      <c r="S309" s="155"/>
      <c r="T309" s="156"/>
      <c r="U309" s="154"/>
      <c r="V309" s="155"/>
      <c r="W309" s="155"/>
      <c r="X309" s="419"/>
      <c r="Y309" s="157"/>
      <c r="Z309" s="217"/>
      <c r="AA309" s="150"/>
      <c r="AB309" s="151"/>
      <c r="AC309" s="152"/>
      <c r="AD309" s="506"/>
      <c r="AE309" s="166"/>
      <c r="AF309" s="150"/>
      <c r="AG309" s="152"/>
      <c r="AH309" s="150"/>
      <c r="AI309" s="152"/>
      <c r="AJ309" s="150"/>
      <c r="AK309" s="152"/>
      <c r="AL309" s="150"/>
      <c r="AM309" s="151"/>
      <c r="AN309" s="151"/>
      <c r="AO309" s="169"/>
      <c r="AP309" s="169"/>
      <c r="AQ309" s="149"/>
      <c r="AR309" s="324"/>
      <c r="AS309" s="324"/>
      <c r="AT309" s="324"/>
      <c r="AU309" s="324"/>
      <c r="AV309" s="324"/>
      <c r="AW309" s="324"/>
      <c r="AX309" s="150"/>
      <c r="AY309" s="297"/>
      <c r="AZ309" s="297"/>
      <c r="BA309" s="297"/>
      <c r="BB309" s="297"/>
      <c r="BC309" s="152"/>
      <c r="BD309" s="150"/>
      <c r="BE309" s="297"/>
      <c r="BF309" s="297"/>
      <c r="BG309" s="297"/>
      <c r="BH309" s="297"/>
      <c r="BI309" s="152"/>
      <c r="BJ309" s="170"/>
      <c r="BK309" s="148"/>
      <c r="BL309" s="324"/>
      <c r="BM309" s="324"/>
      <c r="BN309" s="170"/>
      <c r="BO309" s="149"/>
      <c r="BP309" s="170"/>
      <c r="BQ309" s="149"/>
      <c r="BR309" s="170"/>
      <c r="BS309" s="171"/>
      <c r="BT309" s="707"/>
    </row>
    <row r="310" spans="1:72" s="2" customFormat="1" ht="24.9" customHeight="1">
      <c r="A310" s="147"/>
      <c r="B310" s="158"/>
      <c r="C310" s="179"/>
      <c r="D310" s="158"/>
      <c r="E310" s="160"/>
      <c r="F310" s="161"/>
      <c r="G310" s="161"/>
      <c r="H310" s="161"/>
      <c r="I310" s="163"/>
      <c r="J310" s="161"/>
      <c r="K310" s="163"/>
      <c r="L310" s="150"/>
      <c r="M310" s="164"/>
      <c r="N310" s="150"/>
      <c r="O310" s="174"/>
      <c r="P310" s="523"/>
      <c r="Q310" s="523"/>
      <c r="R310" s="154"/>
      <c r="S310" s="155"/>
      <c r="T310" s="156"/>
      <c r="U310" s="154"/>
      <c r="V310" s="155"/>
      <c r="W310" s="155"/>
      <c r="X310" s="419"/>
      <c r="Y310" s="157"/>
      <c r="Z310" s="217"/>
      <c r="AA310" s="150"/>
      <c r="AB310" s="151"/>
      <c r="AC310" s="152"/>
      <c r="AD310" s="506"/>
      <c r="AE310" s="166"/>
      <c r="AF310" s="150"/>
      <c r="AG310" s="152"/>
      <c r="AH310" s="150"/>
      <c r="AI310" s="152"/>
      <c r="AJ310" s="150"/>
      <c r="AK310" s="152"/>
      <c r="AL310" s="150"/>
      <c r="AM310" s="151"/>
      <c r="AN310" s="151"/>
      <c r="AO310" s="169"/>
      <c r="AP310" s="169"/>
      <c r="AQ310" s="149"/>
      <c r="AR310" s="324"/>
      <c r="AS310" s="324"/>
      <c r="AT310" s="324"/>
      <c r="AU310" s="324"/>
      <c r="AV310" s="324"/>
      <c r="AW310" s="324"/>
      <c r="AX310" s="150"/>
      <c r="AY310" s="297"/>
      <c r="AZ310" s="297"/>
      <c r="BA310" s="297"/>
      <c r="BB310" s="297"/>
      <c r="BC310" s="152"/>
      <c r="BD310" s="150"/>
      <c r="BE310" s="297"/>
      <c r="BF310" s="297"/>
      <c r="BG310" s="297"/>
      <c r="BH310" s="297"/>
      <c r="BI310" s="152"/>
      <c r="BJ310" s="170"/>
      <c r="BK310" s="148"/>
      <c r="BL310" s="324"/>
      <c r="BM310" s="324"/>
      <c r="BN310" s="170"/>
      <c r="BO310" s="149"/>
      <c r="BP310" s="170"/>
      <c r="BQ310" s="149"/>
      <c r="BR310" s="170"/>
      <c r="BS310" s="171"/>
      <c r="BT310" s="706"/>
    </row>
    <row r="311" spans="1:72" s="2" customFormat="1" ht="24.9" customHeight="1">
      <c r="A311" s="147"/>
      <c r="B311" s="158"/>
      <c r="C311" s="179"/>
      <c r="D311" s="158"/>
      <c r="E311" s="160"/>
      <c r="F311" s="161"/>
      <c r="G311" s="161"/>
      <c r="H311" s="161"/>
      <c r="I311" s="163"/>
      <c r="J311" s="161"/>
      <c r="K311" s="163"/>
      <c r="L311" s="150"/>
      <c r="M311" s="164"/>
      <c r="N311" s="150"/>
      <c r="O311" s="151"/>
      <c r="P311" s="522"/>
      <c r="Q311" s="522"/>
      <c r="R311" s="154"/>
      <c r="S311" s="155"/>
      <c r="T311" s="156"/>
      <c r="U311" s="154"/>
      <c r="V311" s="155"/>
      <c r="W311" s="155"/>
      <c r="X311" s="419"/>
      <c r="Y311" s="157"/>
      <c r="Z311" s="217"/>
      <c r="AA311" s="150"/>
      <c r="AB311" s="151"/>
      <c r="AC311" s="152"/>
      <c r="AD311" s="506"/>
      <c r="AE311" s="166"/>
      <c r="AF311" s="150"/>
      <c r="AG311" s="152"/>
      <c r="AH311" s="150"/>
      <c r="AI311" s="152"/>
      <c r="AJ311" s="150"/>
      <c r="AK311" s="152"/>
      <c r="AL311" s="150"/>
      <c r="AM311" s="151"/>
      <c r="AN311" s="151"/>
      <c r="AO311" s="169"/>
      <c r="AP311" s="169"/>
      <c r="AQ311" s="149"/>
      <c r="AR311" s="324"/>
      <c r="AS311" s="324"/>
      <c r="AT311" s="324"/>
      <c r="AU311" s="324"/>
      <c r="AV311" s="324"/>
      <c r="AW311" s="324"/>
      <c r="AX311" s="150"/>
      <c r="AY311" s="297"/>
      <c r="AZ311" s="297"/>
      <c r="BA311" s="297"/>
      <c r="BB311" s="297"/>
      <c r="BC311" s="152"/>
      <c r="BD311" s="150"/>
      <c r="BE311" s="297"/>
      <c r="BF311" s="297"/>
      <c r="BG311" s="297"/>
      <c r="BH311" s="297"/>
      <c r="BI311" s="152"/>
      <c r="BJ311" s="170"/>
      <c r="BK311" s="148"/>
      <c r="BL311" s="324"/>
      <c r="BM311" s="324"/>
      <c r="BN311" s="170"/>
      <c r="BO311" s="149"/>
      <c r="BP311" s="170"/>
      <c r="BQ311" s="149"/>
      <c r="BR311" s="170"/>
      <c r="BS311" s="171"/>
      <c r="BT311" s="708"/>
    </row>
    <row r="312" spans="1:72" s="2" customFormat="1" ht="24.9" customHeight="1">
      <c r="A312" s="147"/>
      <c r="B312" s="158"/>
      <c r="C312" s="179"/>
      <c r="D312" s="158"/>
      <c r="E312" s="160"/>
      <c r="F312" s="161"/>
      <c r="G312" s="161"/>
      <c r="H312" s="161"/>
      <c r="I312" s="163"/>
      <c r="J312" s="161"/>
      <c r="K312" s="163"/>
      <c r="L312" s="150"/>
      <c r="M312" s="164"/>
      <c r="N312" s="150"/>
      <c r="O312" s="174"/>
      <c r="P312" s="523"/>
      <c r="Q312" s="523"/>
      <c r="R312" s="154"/>
      <c r="S312" s="155"/>
      <c r="T312" s="156"/>
      <c r="U312" s="154"/>
      <c r="V312" s="155"/>
      <c r="W312" s="155"/>
      <c r="X312" s="419"/>
      <c r="Y312" s="157"/>
      <c r="Z312" s="217"/>
      <c r="AA312" s="150"/>
      <c r="AB312" s="151"/>
      <c r="AC312" s="152"/>
      <c r="AD312" s="506"/>
      <c r="AE312" s="166"/>
      <c r="AF312" s="150"/>
      <c r="AG312" s="152"/>
      <c r="AH312" s="150"/>
      <c r="AI312" s="152"/>
      <c r="AJ312" s="150"/>
      <c r="AK312" s="152"/>
      <c r="AL312" s="150"/>
      <c r="AM312" s="151"/>
      <c r="AN312" s="151"/>
      <c r="AO312" s="169"/>
      <c r="AP312" s="169"/>
      <c r="AQ312" s="149"/>
      <c r="AR312" s="324"/>
      <c r="AS312" s="324"/>
      <c r="AT312" s="324"/>
      <c r="AU312" s="324"/>
      <c r="AV312" s="324"/>
      <c r="AW312" s="324"/>
      <c r="AX312" s="150"/>
      <c r="AY312" s="297"/>
      <c r="AZ312" s="297"/>
      <c r="BA312" s="297"/>
      <c r="BB312" s="297"/>
      <c r="BC312" s="152"/>
      <c r="BD312" s="150"/>
      <c r="BE312" s="297"/>
      <c r="BF312" s="297"/>
      <c r="BG312" s="297"/>
      <c r="BH312" s="297"/>
      <c r="BI312" s="152"/>
      <c r="BJ312" s="170"/>
      <c r="BK312" s="148"/>
      <c r="BL312" s="324"/>
      <c r="BM312" s="324"/>
      <c r="BN312" s="170"/>
      <c r="BO312" s="149"/>
      <c r="BP312" s="170"/>
      <c r="BQ312" s="149"/>
      <c r="BR312" s="170"/>
      <c r="BS312" s="171"/>
      <c r="BT312" s="707"/>
    </row>
    <row r="313" spans="1:72" s="2" customFormat="1" ht="24.9" customHeight="1">
      <c r="A313" s="147"/>
      <c r="B313" s="158"/>
      <c r="C313" s="179"/>
      <c r="D313" s="158"/>
      <c r="E313" s="160"/>
      <c r="F313" s="161"/>
      <c r="G313" s="161"/>
      <c r="H313" s="161"/>
      <c r="I313" s="163"/>
      <c r="J313" s="161"/>
      <c r="K313" s="163"/>
      <c r="L313" s="150"/>
      <c r="M313" s="164"/>
      <c r="N313" s="150"/>
      <c r="O313" s="174"/>
      <c r="P313" s="523"/>
      <c r="Q313" s="523"/>
      <c r="R313" s="154"/>
      <c r="S313" s="155"/>
      <c r="T313" s="156"/>
      <c r="U313" s="154"/>
      <c r="V313" s="155"/>
      <c r="W313" s="155"/>
      <c r="X313" s="419"/>
      <c r="Y313" s="157"/>
      <c r="Z313" s="217"/>
      <c r="AA313" s="150"/>
      <c r="AB313" s="151"/>
      <c r="AC313" s="152"/>
      <c r="AD313" s="506"/>
      <c r="AE313" s="166"/>
      <c r="AF313" s="150"/>
      <c r="AG313" s="152"/>
      <c r="AH313" s="150"/>
      <c r="AI313" s="152"/>
      <c r="AJ313" s="150"/>
      <c r="AK313" s="152"/>
      <c r="AL313" s="150"/>
      <c r="AM313" s="151"/>
      <c r="AN313" s="151"/>
      <c r="AO313" s="169"/>
      <c r="AP313" s="169"/>
      <c r="AQ313" s="149"/>
      <c r="AR313" s="324"/>
      <c r="AS313" s="324"/>
      <c r="AT313" s="324"/>
      <c r="AU313" s="324"/>
      <c r="AV313" s="324"/>
      <c r="AW313" s="324"/>
      <c r="AX313" s="150"/>
      <c r="AY313" s="297"/>
      <c r="AZ313" s="297"/>
      <c r="BA313" s="297"/>
      <c r="BB313" s="297"/>
      <c r="BC313" s="152"/>
      <c r="BD313" s="150"/>
      <c r="BE313" s="297"/>
      <c r="BF313" s="297"/>
      <c r="BG313" s="297"/>
      <c r="BH313" s="297"/>
      <c r="BI313" s="152"/>
      <c r="BJ313" s="170"/>
      <c r="BK313" s="148"/>
      <c r="BL313" s="324"/>
      <c r="BM313" s="324"/>
      <c r="BN313" s="170"/>
      <c r="BO313" s="149"/>
      <c r="BP313" s="170"/>
      <c r="BQ313" s="149"/>
      <c r="BR313" s="170"/>
      <c r="BS313" s="171"/>
      <c r="BT313" s="706"/>
    </row>
    <row r="314" spans="1:72" s="2" customFormat="1" ht="24.9" customHeight="1">
      <c r="A314" s="147"/>
      <c r="B314" s="158"/>
      <c r="C314" s="179"/>
      <c r="D314" s="158"/>
      <c r="E314" s="160"/>
      <c r="F314" s="161"/>
      <c r="G314" s="161"/>
      <c r="H314" s="161"/>
      <c r="I314" s="163"/>
      <c r="J314" s="161"/>
      <c r="K314" s="163"/>
      <c r="L314" s="150"/>
      <c r="M314" s="164"/>
      <c r="N314" s="150"/>
      <c r="O314" s="174"/>
      <c r="P314" s="523"/>
      <c r="Q314" s="523"/>
      <c r="R314" s="154"/>
      <c r="S314" s="155"/>
      <c r="T314" s="156"/>
      <c r="U314" s="154"/>
      <c r="V314" s="155"/>
      <c r="W314" s="155"/>
      <c r="X314" s="419"/>
      <c r="Y314" s="157"/>
      <c r="Z314" s="217"/>
      <c r="AA314" s="150"/>
      <c r="AB314" s="151"/>
      <c r="AC314" s="152"/>
      <c r="AD314" s="506"/>
      <c r="AE314" s="166"/>
      <c r="AF314" s="150"/>
      <c r="AG314" s="152"/>
      <c r="AH314" s="150"/>
      <c r="AI314" s="152"/>
      <c r="AJ314" s="150"/>
      <c r="AK314" s="152"/>
      <c r="AL314" s="150"/>
      <c r="AM314" s="151"/>
      <c r="AN314" s="151"/>
      <c r="AO314" s="169"/>
      <c r="AP314" s="169"/>
      <c r="AQ314" s="149"/>
      <c r="AR314" s="324"/>
      <c r="AS314" s="324"/>
      <c r="AT314" s="324"/>
      <c r="AU314" s="324"/>
      <c r="AV314" s="324"/>
      <c r="AW314" s="324"/>
      <c r="AX314" s="150"/>
      <c r="AY314" s="297"/>
      <c r="AZ314" s="297"/>
      <c r="BA314" s="297"/>
      <c r="BB314" s="297"/>
      <c r="BC314" s="152"/>
      <c r="BD314" s="150"/>
      <c r="BE314" s="297"/>
      <c r="BF314" s="297"/>
      <c r="BG314" s="297"/>
      <c r="BH314" s="297"/>
      <c r="BI314" s="152"/>
      <c r="BJ314" s="170"/>
      <c r="BK314" s="148"/>
      <c r="BL314" s="324"/>
      <c r="BM314" s="324"/>
      <c r="BN314" s="170"/>
      <c r="BO314" s="149"/>
      <c r="BP314" s="170"/>
      <c r="BQ314" s="149"/>
      <c r="BR314" s="170"/>
      <c r="BS314" s="171"/>
      <c r="BT314" s="707"/>
    </row>
    <row r="315" spans="1:72" s="2" customFormat="1" ht="24.9" customHeight="1">
      <c r="A315" s="147"/>
      <c r="B315" s="158"/>
      <c r="C315" s="179"/>
      <c r="D315" s="158"/>
      <c r="E315" s="160"/>
      <c r="F315" s="161"/>
      <c r="G315" s="161"/>
      <c r="H315" s="161"/>
      <c r="I315" s="163"/>
      <c r="J315" s="161"/>
      <c r="K315" s="163"/>
      <c r="L315" s="150"/>
      <c r="M315" s="164"/>
      <c r="N315" s="150"/>
      <c r="O315" s="174"/>
      <c r="P315" s="523"/>
      <c r="Q315" s="523"/>
      <c r="R315" s="154"/>
      <c r="S315" s="155"/>
      <c r="T315" s="156"/>
      <c r="U315" s="154"/>
      <c r="V315" s="155"/>
      <c r="W315" s="155"/>
      <c r="X315" s="419"/>
      <c r="Y315" s="157"/>
      <c r="Z315" s="217"/>
      <c r="AA315" s="150"/>
      <c r="AB315" s="151"/>
      <c r="AC315" s="152"/>
      <c r="AD315" s="506"/>
      <c r="AE315" s="166"/>
      <c r="AF315" s="150"/>
      <c r="AG315" s="152"/>
      <c r="AH315" s="150"/>
      <c r="AI315" s="152"/>
      <c r="AJ315" s="150"/>
      <c r="AK315" s="152"/>
      <c r="AL315" s="150"/>
      <c r="AM315" s="151"/>
      <c r="AN315" s="151"/>
      <c r="AO315" s="169"/>
      <c r="AP315" s="169"/>
      <c r="AQ315" s="149"/>
      <c r="AR315" s="324"/>
      <c r="AS315" s="324"/>
      <c r="AT315" s="324"/>
      <c r="AU315" s="324"/>
      <c r="AV315" s="324"/>
      <c r="AW315" s="324"/>
      <c r="AX315" s="150"/>
      <c r="AY315" s="297"/>
      <c r="AZ315" s="297"/>
      <c r="BA315" s="297"/>
      <c r="BB315" s="297"/>
      <c r="BC315" s="152"/>
      <c r="BD315" s="150"/>
      <c r="BE315" s="297"/>
      <c r="BF315" s="297"/>
      <c r="BG315" s="297"/>
      <c r="BH315" s="297"/>
      <c r="BI315" s="152"/>
      <c r="BJ315" s="170"/>
      <c r="BK315" s="148"/>
      <c r="BL315" s="324"/>
      <c r="BM315" s="324"/>
      <c r="BN315" s="170"/>
      <c r="BO315" s="149"/>
      <c r="BP315" s="170"/>
      <c r="BQ315" s="149"/>
      <c r="BR315" s="170"/>
      <c r="BS315" s="171"/>
      <c r="BT315" s="706"/>
    </row>
    <row r="316" spans="1:72" s="2" customFormat="1" ht="24.9" customHeight="1">
      <c r="A316" s="147"/>
      <c r="B316" s="158"/>
      <c r="C316" s="179"/>
      <c r="D316" s="158"/>
      <c r="E316" s="160"/>
      <c r="F316" s="161"/>
      <c r="G316" s="161"/>
      <c r="H316" s="161"/>
      <c r="I316" s="163"/>
      <c r="J316" s="161"/>
      <c r="K316" s="163"/>
      <c r="L316" s="150"/>
      <c r="M316" s="164"/>
      <c r="N316" s="150"/>
      <c r="O316" s="174"/>
      <c r="P316" s="523"/>
      <c r="Q316" s="523"/>
      <c r="R316" s="154"/>
      <c r="S316" s="155"/>
      <c r="T316" s="156"/>
      <c r="U316" s="154"/>
      <c r="V316" s="155"/>
      <c r="W316" s="155"/>
      <c r="X316" s="419"/>
      <c r="Y316" s="157"/>
      <c r="Z316" s="217"/>
      <c r="AA316" s="150"/>
      <c r="AB316" s="151"/>
      <c r="AC316" s="152"/>
      <c r="AD316" s="506"/>
      <c r="AE316" s="166"/>
      <c r="AF316" s="150"/>
      <c r="AG316" s="152"/>
      <c r="AH316" s="150"/>
      <c r="AI316" s="152"/>
      <c r="AJ316" s="150"/>
      <c r="AK316" s="152"/>
      <c r="AL316" s="150"/>
      <c r="AM316" s="151"/>
      <c r="AN316" s="151"/>
      <c r="AO316" s="169"/>
      <c r="AP316" s="169"/>
      <c r="AQ316" s="149"/>
      <c r="AR316" s="324"/>
      <c r="AS316" s="324"/>
      <c r="AT316" s="324"/>
      <c r="AU316" s="324"/>
      <c r="AV316" s="324"/>
      <c r="AW316" s="324"/>
      <c r="AX316" s="150"/>
      <c r="AY316" s="297"/>
      <c r="AZ316" s="297"/>
      <c r="BA316" s="297"/>
      <c r="BB316" s="297"/>
      <c r="BC316" s="152"/>
      <c r="BD316" s="150"/>
      <c r="BE316" s="297"/>
      <c r="BF316" s="297"/>
      <c r="BG316" s="297"/>
      <c r="BH316" s="297"/>
      <c r="BI316" s="152"/>
      <c r="BJ316" s="170"/>
      <c r="BK316" s="148"/>
      <c r="BL316" s="324"/>
      <c r="BM316" s="324"/>
      <c r="BN316" s="170"/>
      <c r="BO316" s="149"/>
      <c r="BP316" s="170"/>
      <c r="BQ316" s="149"/>
      <c r="BR316" s="170"/>
      <c r="BS316" s="171"/>
      <c r="BT316" s="707"/>
    </row>
    <row r="317" spans="1:72" s="2" customFormat="1" ht="24.9" customHeight="1">
      <c r="A317" s="147"/>
      <c r="B317" s="158"/>
      <c r="C317" s="179"/>
      <c r="D317" s="158"/>
      <c r="E317" s="160"/>
      <c r="F317" s="161"/>
      <c r="G317" s="161"/>
      <c r="H317" s="161"/>
      <c r="I317" s="163"/>
      <c r="J317" s="161"/>
      <c r="K317" s="163"/>
      <c r="L317" s="150"/>
      <c r="M317" s="164"/>
      <c r="N317" s="150"/>
      <c r="O317" s="174"/>
      <c r="P317" s="523"/>
      <c r="Q317" s="523"/>
      <c r="R317" s="154"/>
      <c r="S317" s="155"/>
      <c r="T317" s="156"/>
      <c r="U317" s="154"/>
      <c r="V317" s="155"/>
      <c r="W317" s="155"/>
      <c r="X317" s="419"/>
      <c r="Y317" s="157"/>
      <c r="Z317" s="217"/>
      <c r="AA317" s="150"/>
      <c r="AB317" s="151"/>
      <c r="AC317" s="152"/>
      <c r="AD317" s="506"/>
      <c r="AE317" s="166"/>
      <c r="AF317" s="150"/>
      <c r="AG317" s="152"/>
      <c r="AH317" s="150"/>
      <c r="AI317" s="152"/>
      <c r="AJ317" s="150"/>
      <c r="AK317" s="152"/>
      <c r="AL317" s="150"/>
      <c r="AM317" s="151"/>
      <c r="AN317" s="151"/>
      <c r="AO317" s="169"/>
      <c r="AP317" s="169"/>
      <c r="AQ317" s="149"/>
      <c r="AR317" s="324"/>
      <c r="AS317" s="324"/>
      <c r="AT317" s="324"/>
      <c r="AU317" s="324"/>
      <c r="AV317" s="324"/>
      <c r="AW317" s="324"/>
      <c r="AX317" s="150"/>
      <c r="AY317" s="297"/>
      <c r="AZ317" s="297"/>
      <c r="BA317" s="297"/>
      <c r="BB317" s="297"/>
      <c r="BC317" s="152"/>
      <c r="BD317" s="150"/>
      <c r="BE317" s="297"/>
      <c r="BF317" s="297"/>
      <c r="BG317" s="297"/>
      <c r="BH317" s="297"/>
      <c r="BI317" s="152"/>
      <c r="BJ317" s="170"/>
      <c r="BK317" s="148"/>
      <c r="BL317" s="324"/>
      <c r="BM317" s="324"/>
      <c r="BN317" s="170"/>
      <c r="BO317" s="149"/>
      <c r="BP317" s="170"/>
      <c r="BQ317" s="149"/>
      <c r="BR317" s="170"/>
      <c r="BS317" s="171"/>
      <c r="BT317" s="706"/>
    </row>
    <row r="318" spans="1:72" s="2" customFormat="1" ht="24.9" customHeight="1">
      <c r="A318" s="147"/>
      <c r="B318" s="158"/>
      <c r="C318" s="179"/>
      <c r="D318" s="158"/>
      <c r="E318" s="160"/>
      <c r="F318" s="161"/>
      <c r="G318" s="161"/>
      <c r="H318" s="161"/>
      <c r="I318" s="163"/>
      <c r="J318" s="161"/>
      <c r="K318" s="163"/>
      <c r="L318" s="150"/>
      <c r="M318" s="164"/>
      <c r="N318" s="150"/>
      <c r="O318" s="151"/>
      <c r="P318" s="522"/>
      <c r="Q318" s="522"/>
      <c r="R318" s="154"/>
      <c r="S318" s="155"/>
      <c r="T318" s="156"/>
      <c r="U318" s="154"/>
      <c r="V318" s="155"/>
      <c r="W318" s="155"/>
      <c r="X318" s="419"/>
      <c r="Y318" s="157"/>
      <c r="Z318" s="217"/>
      <c r="AA318" s="150"/>
      <c r="AB318" s="151"/>
      <c r="AC318" s="152"/>
      <c r="AD318" s="506"/>
      <c r="AE318" s="166"/>
      <c r="AF318" s="150"/>
      <c r="AG318" s="152"/>
      <c r="AH318" s="150"/>
      <c r="AI318" s="152"/>
      <c r="AJ318" s="150"/>
      <c r="AK318" s="152"/>
      <c r="AL318" s="150"/>
      <c r="AM318" s="151"/>
      <c r="AN318" s="151"/>
      <c r="AO318" s="169"/>
      <c r="AP318" s="169"/>
      <c r="AQ318" s="149"/>
      <c r="AR318" s="324"/>
      <c r="AS318" s="324"/>
      <c r="AT318" s="324"/>
      <c r="AU318" s="324"/>
      <c r="AV318" s="324"/>
      <c r="AW318" s="324"/>
      <c r="AX318" s="150"/>
      <c r="AY318" s="297"/>
      <c r="AZ318" s="297"/>
      <c r="BA318" s="297"/>
      <c r="BB318" s="297"/>
      <c r="BC318" s="152"/>
      <c r="BD318" s="150"/>
      <c r="BE318" s="297"/>
      <c r="BF318" s="297"/>
      <c r="BG318" s="297"/>
      <c r="BH318" s="297"/>
      <c r="BI318" s="152"/>
      <c r="BJ318" s="170"/>
      <c r="BK318" s="148"/>
      <c r="BL318" s="324"/>
      <c r="BM318" s="324"/>
      <c r="BN318" s="170"/>
      <c r="BO318" s="149"/>
      <c r="BP318" s="170"/>
      <c r="BQ318" s="149"/>
      <c r="BR318" s="170"/>
      <c r="BS318" s="171"/>
      <c r="BT318" s="708"/>
    </row>
    <row r="319" spans="1:72" s="2" customFormat="1" ht="24.9" customHeight="1">
      <c r="A319" s="147"/>
      <c r="B319" s="158"/>
      <c r="C319" s="179"/>
      <c r="D319" s="158"/>
      <c r="E319" s="160"/>
      <c r="F319" s="161"/>
      <c r="G319" s="161"/>
      <c r="H319" s="161"/>
      <c r="I319" s="163"/>
      <c r="J319" s="161"/>
      <c r="K319" s="163"/>
      <c r="L319" s="150"/>
      <c r="M319" s="164"/>
      <c r="N319" s="150"/>
      <c r="O319" s="174"/>
      <c r="P319" s="523"/>
      <c r="Q319" s="523"/>
      <c r="R319" s="154"/>
      <c r="S319" s="155"/>
      <c r="T319" s="156"/>
      <c r="U319" s="154"/>
      <c r="V319" s="155"/>
      <c r="W319" s="155"/>
      <c r="X319" s="419"/>
      <c r="Y319" s="157"/>
      <c r="Z319" s="217"/>
      <c r="AA319" s="150"/>
      <c r="AB319" s="151"/>
      <c r="AC319" s="152"/>
      <c r="AD319" s="506"/>
      <c r="AE319" s="166"/>
      <c r="AF319" s="150"/>
      <c r="AG319" s="152"/>
      <c r="AH319" s="150"/>
      <c r="AI319" s="152"/>
      <c r="AJ319" s="150"/>
      <c r="AK319" s="152"/>
      <c r="AL319" s="150"/>
      <c r="AM319" s="151"/>
      <c r="AN319" s="151"/>
      <c r="AO319" s="169"/>
      <c r="AP319" s="169"/>
      <c r="AQ319" s="149"/>
      <c r="AR319" s="324"/>
      <c r="AS319" s="324"/>
      <c r="AT319" s="324"/>
      <c r="AU319" s="324"/>
      <c r="AV319" s="324"/>
      <c r="AW319" s="324"/>
      <c r="AX319" s="150"/>
      <c r="AY319" s="297"/>
      <c r="AZ319" s="297"/>
      <c r="BA319" s="297"/>
      <c r="BB319" s="297"/>
      <c r="BC319" s="152"/>
      <c r="BD319" s="150"/>
      <c r="BE319" s="297"/>
      <c r="BF319" s="297"/>
      <c r="BG319" s="297"/>
      <c r="BH319" s="297"/>
      <c r="BI319" s="152"/>
      <c r="BJ319" s="170"/>
      <c r="BK319" s="148"/>
      <c r="BL319" s="324"/>
      <c r="BM319" s="324"/>
      <c r="BN319" s="170"/>
      <c r="BO319" s="149"/>
      <c r="BP319" s="170"/>
      <c r="BQ319" s="149"/>
      <c r="BR319" s="170"/>
      <c r="BS319" s="171"/>
      <c r="BT319" s="707"/>
    </row>
    <row r="320" spans="1:72" s="2" customFormat="1" ht="24.9" customHeight="1">
      <c r="A320" s="147"/>
      <c r="B320" s="158"/>
      <c r="C320" s="179"/>
      <c r="D320" s="158"/>
      <c r="E320" s="160"/>
      <c r="F320" s="161"/>
      <c r="G320" s="161"/>
      <c r="H320" s="161"/>
      <c r="I320" s="163"/>
      <c r="J320" s="161"/>
      <c r="K320" s="163"/>
      <c r="L320" s="150"/>
      <c r="M320" s="164"/>
      <c r="N320" s="150"/>
      <c r="O320" s="174"/>
      <c r="P320" s="523"/>
      <c r="Q320" s="523"/>
      <c r="R320" s="154"/>
      <c r="S320" s="155"/>
      <c r="T320" s="156"/>
      <c r="U320" s="154"/>
      <c r="V320" s="155"/>
      <c r="W320" s="155"/>
      <c r="X320" s="419"/>
      <c r="Y320" s="157"/>
      <c r="Z320" s="217"/>
      <c r="AA320" s="150"/>
      <c r="AB320" s="151"/>
      <c r="AC320" s="152"/>
      <c r="AD320" s="506"/>
      <c r="AE320" s="166"/>
      <c r="AF320" s="150"/>
      <c r="AG320" s="152"/>
      <c r="AH320" s="150"/>
      <c r="AI320" s="152"/>
      <c r="AJ320" s="150"/>
      <c r="AK320" s="152"/>
      <c r="AL320" s="150"/>
      <c r="AM320" s="151"/>
      <c r="AN320" s="151"/>
      <c r="AO320" s="169"/>
      <c r="AP320" s="169"/>
      <c r="AQ320" s="149"/>
      <c r="AR320" s="324"/>
      <c r="AS320" s="324"/>
      <c r="AT320" s="324"/>
      <c r="AU320" s="324"/>
      <c r="AV320" s="324"/>
      <c r="AW320" s="324"/>
      <c r="AX320" s="150"/>
      <c r="AY320" s="297"/>
      <c r="AZ320" s="297"/>
      <c r="BA320" s="297"/>
      <c r="BB320" s="297"/>
      <c r="BC320" s="152"/>
      <c r="BD320" s="150"/>
      <c r="BE320" s="297"/>
      <c r="BF320" s="297"/>
      <c r="BG320" s="297"/>
      <c r="BH320" s="297"/>
      <c r="BI320" s="152"/>
      <c r="BJ320" s="170"/>
      <c r="BK320" s="148"/>
      <c r="BL320" s="324"/>
      <c r="BM320" s="324"/>
      <c r="BN320" s="170"/>
      <c r="BO320" s="149"/>
      <c r="BP320" s="170"/>
      <c r="BQ320" s="149"/>
      <c r="BR320" s="170"/>
      <c r="BS320" s="171"/>
      <c r="BT320" s="706"/>
    </row>
    <row r="321" spans="1:72" s="2" customFormat="1" ht="24.9" customHeight="1">
      <c r="A321" s="147"/>
      <c r="B321" s="158"/>
      <c r="C321" s="179"/>
      <c r="D321" s="158"/>
      <c r="E321" s="160"/>
      <c r="F321" s="161"/>
      <c r="G321" s="161"/>
      <c r="H321" s="161"/>
      <c r="I321" s="163"/>
      <c r="J321" s="161"/>
      <c r="K321" s="163"/>
      <c r="L321" s="150"/>
      <c r="M321" s="164"/>
      <c r="N321" s="150"/>
      <c r="O321" s="151"/>
      <c r="P321" s="522"/>
      <c r="Q321" s="522"/>
      <c r="R321" s="154"/>
      <c r="S321" s="155"/>
      <c r="T321" s="156"/>
      <c r="U321" s="154"/>
      <c r="V321" s="155"/>
      <c r="W321" s="155"/>
      <c r="X321" s="419"/>
      <c r="Y321" s="157"/>
      <c r="Z321" s="217"/>
      <c r="AA321" s="150"/>
      <c r="AB321" s="151"/>
      <c r="AC321" s="152"/>
      <c r="AD321" s="506"/>
      <c r="AE321" s="166"/>
      <c r="AF321" s="150"/>
      <c r="AG321" s="152"/>
      <c r="AH321" s="150"/>
      <c r="AI321" s="152"/>
      <c r="AJ321" s="150"/>
      <c r="AK321" s="152"/>
      <c r="AL321" s="150"/>
      <c r="AM321" s="151"/>
      <c r="AN321" s="151"/>
      <c r="AO321" s="169"/>
      <c r="AP321" s="169"/>
      <c r="AQ321" s="149"/>
      <c r="AR321" s="324"/>
      <c r="AS321" s="324"/>
      <c r="AT321" s="324"/>
      <c r="AU321" s="324"/>
      <c r="AV321" s="324"/>
      <c r="AW321" s="324"/>
      <c r="AX321" s="150"/>
      <c r="AY321" s="297"/>
      <c r="AZ321" s="297"/>
      <c r="BA321" s="297"/>
      <c r="BB321" s="297"/>
      <c r="BC321" s="152"/>
      <c r="BD321" s="150"/>
      <c r="BE321" s="297"/>
      <c r="BF321" s="297"/>
      <c r="BG321" s="297"/>
      <c r="BH321" s="297"/>
      <c r="BI321" s="152"/>
      <c r="BJ321" s="170"/>
      <c r="BK321" s="148"/>
      <c r="BL321" s="324"/>
      <c r="BM321" s="324"/>
      <c r="BN321" s="170"/>
      <c r="BO321" s="149"/>
      <c r="BP321" s="170"/>
      <c r="BQ321" s="149"/>
      <c r="BR321" s="170"/>
      <c r="BS321" s="171"/>
      <c r="BT321" s="708"/>
    </row>
    <row r="322" spans="1:72" s="2" customFormat="1" ht="24.9" customHeight="1">
      <c r="A322" s="147"/>
      <c r="B322" s="158"/>
      <c r="C322" s="179"/>
      <c r="D322" s="158"/>
      <c r="E322" s="160"/>
      <c r="F322" s="161"/>
      <c r="G322" s="161"/>
      <c r="H322" s="161"/>
      <c r="I322" s="163"/>
      <c r="J322" s="161"/>
      <c r="K322" s="163"/>
      <c r="L322" s="150"/>
      <c r="M322" s="164"/>
      <c r="N322" s="150"/>
      <c r="O322" s="174"/>
      <c r="P322" s="523"/>
      <c r="Q322" s="523"/>
      <c r="R322" s="154"/>
      <c r="S322" s="155"/>
      <c r="T322" s="156"/>
      <c r="U322" s="154"/>
      <c r="V322" s="155"/>
      <c r="W322" s="155"/>
      <c r="X322" s="419"/>
      <c r="Y322" s="157"/>
      <c r="Z322" s="217"/>
      <c r="AA322" s="150"/>
      <c r="AB322" s="151"/>
      <c r="AC322" s="152"/>
      <c r="AD322" s="506"/>
      <c r="AE322" s="166"/>
      <c r="AF322" s="150"/>
      <c r="AG322" s="152"/>
      <c r="AH322" s="150"/>
      <c r="AI322" s="152"/>
      <c r="AJ322" s="150"/>
      <c r="AK322" s="152"/>
      <c r="AL322" s="150"/>
      <c r="AM322" s="151"/>
      <c r="AN322" s="151"/>
      <c r="AO322" s="169"/>
      <c r="AP322" s="169"/>
      <c r="AQ322" s="149"/>
      <c r="AR322" s="324"/>
      <c r="AS322" s="324"/>
      <c r="AT322" s="324"/>
      <c r="AU322" s="324"/>
      <c r="AV322" s="324"/>
      <c r="AW322" s="324"/>
      <c r="AX322" s="150"/>
      <c r="AY322" s="297"/>
      <c r="AZ322" s="297"/>
      <c r="BA322" s="297"/>
      <c r="BB322" s="297"/>
      <c r="BC322" s="152"/>
      <c r="BD322" s="150"/>
      <c r="BE322" s="297"/>
      <c r="BF322" s="297"/>
      <c r="BG322" s="297"/>
      <c r="BH322" s="297"/>
      <c r="BI322" s="152"/>
      <c r="BJ322" s="170"/>
      <c r="BK322" s="148"/>
      <c r="BL322" s="324"/>
      <c r="BM322" s="324"/>
      <c r="BN322" s="170"/>
      <c r="BO322" s="149"/>
      <c r="BP322" s="170"/>
      <c r="BQ322" s="149"/>
      <c r="BR322" s="170"/>
      <c r="BS322" s="171"/>
      <c r="BT322" s="708"/>
    </row>
    <row r="323" spans="1:72" s="2" customFormat="1" ht="24.9" customHeight="1">
      <c r="A323" s="147"/>
      <c r="B323" s="158"/>
      <c r="C323" s="179"/>
      <c r="D323" s="158"/>
      <c r="E323" s="160"/>
      <c r="F323" s="161"/>
      <c r="G323" s="161"/>
      <c r="H323" s="161"/>
      <c r="I323" s="163"/>
      <c r="J323" s="161"/>
      <c r="K323" s="163"/>
      <c r="L323" s="150"/>
      <c r="M323" s="164"/>
      <c r="N323" s="150"/>
      <c r="O323" s="151"/>
      <c r="P323" s="522"/>
      <c r="Q323" s="522"/>
      <c r="R323" s="154"/>
      <c r="S323" s="155"/>
      <c r="T323" s="156"/>
      <c r="U323" s="154"/>
      <c r="V323" s="155"/>
      <c r="W323" s="155"/>
      <c r="X323" s="419"/>
      <c r="Y323" s="157"/>
      <c r="Z323" s="217"/>
      <c r="AA323" s="150"/>
      <c r="AB323" s="151"/>
      <c r="AC323" s="152"/>
      <c r="AD323" s="506"/>
      <c r="AE323" s="166"/>
      <c r="AF323" s="150"/>
      <c r="AG323" s="152"/>
      <c r="AH323" s="150"/>
      <c r="AI323" s="152"/>
      <c r="AJ323" s="150"/>
      <c r="AK323" s="152"/>
      <c r="AL323" s="150"/>
      <c r="AM323" s="151"/>
      <c r="AN323" s="151"/>
      <c r="AO323" s="169"/>
      <c r="AP323" s="169"/>
      <c r="AQ323" s="149"/>
      <c r="AR323" s="324"/>
      <c r="AS323" s="324"/>
      <c r="AT323" s="324"/>
      <c r="AU323" s="324"/>
      <c r="AV323" s="324"/>
      <c r="AW323" s="324"/>
      <c r="AX323" s="150"/>
      <c r="AY323" s="297"/>
      <c r="AZ323" s="297"/>
      <c r="BA323" s="297"/>
      <c r="BB323" s="297"/>
      <c r="BC323" s="152"/>
      <c r="BD323" s="150"/>
      <c r="BE323" s="297"/>
      <c r="BF323" s="297"/>
      <c r="BG323" s="297"/>
      <c r="BH323" s="297"/>
      <c r="BI323" s="152"/>
      <c r="BJ323" s="170"/>
      <c r="BK323" s="148"/>
      <c r="BL323" s="324"/>
      <c r="BM323" s="324"/>
      <c r="BN323" s="170"/>
      <c r="BO323" s="149"/>
      <c r="BP323" s="170"/>
      <c r="BQ323" s="149"/>
      <c r="BR323" s="170"/>
      <c r="BS323" s="171"/>
      <c r="BT323" s="707"/>
    </row>
    <row r="324" spans="1:72" s="2" customFormat="1" ht="24.9" customHeight="1">
      <c r="A324" s="147"/>
      <c r="B324" s="158"/>
      <c r="C324" s="179"/>
      <c r="D324" s="158"/>
      <c r="E324" s="160"/>
      <c r="F324" s="161"/>
      <c r="G324" s="161"/>
      <c r="H324" s="161"/>
      <c r="I324" s="163"/>
      <c r="J324" s="161"/>
      <c r="K324" s="163"/>
      <c r="L324" s="150"/>
      <c r="M324" s="164"/>
      <c r="N324" s="150"/>
      <c r="O324" s="174"/>
      <c r="P324" s="523"/>
      <c r="Q324" s="523"/>
      <c r="R324" s="154"/>
      <c r="S324" s="155"/>
      <c r="T324" s="156"/>
      <c r="U324" s="154"/>
      <c r="V324" s="155"/>
      <c r="W324" s="155"/>
      <c r="X324" s="419"/>
      <c r="Y324" s="157"/>
      <c r="Z324" s="217"/>
      <c r="AA324" s="150"/>
      <c r="AB324" s="151"/>
      <c r="AC324" s="152"/>
      <c r="AD324" s="506"/>
      <c r="AE324" s="166"/>
      <c r="AF324" s="150"/>
      <c r="AG324" s="152"/>
      <c r="AH324" s="150"/>
      <c r="AI324" s="152"/>
      <c r="AJ324" s="150"/>
      <c r="AK324" s="152"/>
      <c r="AL324" s="150"/>
      <c r="AM324" s="151"/>
      <c r="AN324" s="151"/>
      <c r="AO324" s="169"/>
      <c r="AP324" s="169"/>
      <c r="AQ324" s="149"/>
      <c r="AR324" s="324"/>
      <c r="AS324" s="324"/>
      <c r="AT324" s="324"/>
      <c r="AU324" s="324"/>
      <c r="AV324" s="324"/>
      <c r="AW324" s="324"/>
      <c r="AX324" s="150"/>
      <c r="AY324" s="297"/>
      <c r="AZ324" s="297"/>
      <c r="BA324" s="297"/>
      <c r="BB324" s="297"/>
      <c r="BC324" s="152"/>
      <c r="BD324" s="150"/>
      <c r="BE324" s="297"/>
      <c r="BF324" s="297"/>
      <c r="BG324" s="297"/>
      <c r="BH324" s="297"/>
      <c r="BI324" s="152"/>
      <c r="BJ324" s="170"/>
      <c r="BK324" s="148"/>
      <c r="BL324" s="324"/>
      <c r="BM324" s="324"/>
      <c r="BN324" s="170"/>
      <c r="BO324" s="149"/>
      <c r="BP324" s="170"/>
      <c r="BQ324" s="149"/>
      <c r="BR324" s="170"/>
      <c r="BS324" s="171"/>
      <c r="BT324" s="706"/>
    </row>
    <row r="325" spans="1:72" s="2" customFormat="1" ht="24.9" customHeight="1">
      <c r="A325" s="147"/>
      <c r="B325" s="158"/>
      <c r="C325" s="179"/>
      <c r="D325" s="158"/>
      <c r="E325" s="160"/>
      <c r="F325" s="161"/>
      <c r="G325" s="161"/>
      <c r="H325" s="161"/>
      <c r="I325" s="163"/>
      <c r="J325" s="161"/>
      <c r="K325" s="163"/>
      <c r="L325" s="150"/>
      <c r="M325" s="164"/>
      <c r="N325" s="150"/>
      <c r="O325" s="174"/>
      <c r="P325" s="523"/>
      <c r="Q325" s="523"/>
      <c r="R325" s="154"/>
      <c r="S325" s="155"/>
      <c r="T325" s="156"/>
      <c r="U325" s="154"/>
      <c r="V325" s="155"/>
      <c r="W325" s="155"/>
      <c r="X325" s="419"/>
      <c r="Y325" s="157"/>
      <c r="Z325" s="217"/>
      <c r="AA325" s="150"/>
      <c r="AB325" s="151"/>
      <c r="AC325" s="152"/>
      <c r="AD325" s="506"/>
      <c r="AE325" s="166"/>
      <c r="AF325" s="150"/>
      <c r="AG325" s="152"/>
      <c r="AH325" s="150"/>
      <c r="AI325" s="152"/>
      <c r="AJ325" s="150"/>
      <c r="AK325" s="152"/>
      <c r="AL325" s="150"/>
      <c r="AM325" s="151"/>
      <c r="AN325" s="151"/>
      <c r="AO325" s="169"/>
      <c r="AP325" s="169"/>
      <c r="AQ325" s="149"/>
      <c r="AR325" s="324"/>
      <c r="AS325" s="324"/>
      <c r="AT325" s="324"/>
      <c r="AU325" s="324"/>
      <c r="AV325" s="324"/>
      <c r="AW325" s="324"/>
      <c r="AX325" s="150"/>
      <c r="AY325" s="297"/>
      <c r="AZ325" s="297"/>
      <c r="BA325" s="297"/>
      <c r="BB325" s="297"/>
      <c r="BC325" s="152"/>
      <c r="BD325" s="150"/>
      <c r="BE325" s="297"/>
      <c r="BF325" s="297"/>
      <c r="BG325" s="297"/>
      <c r="BH325" s="297"/>
      <c r="BI325" s="152"/>
      <c r="BJ325" s="170"/>
      <c r="BK325" s="148"/>
      <c r="BL325" s="324"/>
      <c r="BM325" s="324"/>
      <c r="BN325" s="170"/>
      <c r="BO325" s="149"/>
      <c r="BP325" s="170"/>
      <c r="BQ325" s="149"/>
      <c r="BR325" s="170"/>
      <c r="BS325" s="171"/>
      <c r="BT325" s="707"/>
    </row>
    <row r="326" spans="1:72" s="2" customFormat="1" ht="24.9" customHeight="1">
      <c r="A326" s="147"/>
      <c r="B326" s="158"/>
      <c r="C326" s="179"/>
      <c r="D326" s="158"/>
      <c r="E326" s="160"/>
      <c r="F326" s="161"/>
      <c r="G326" s="161"/>
      <c r="H326" s="161"/>
      <c r="I326" s="163"/>
      <c r="J326" s="161"/>
      <c r="K326" s="163"/>
      <c r="L326" s="150"/>
      <c r="M326" s="164"/>
      <c r="N326" s="150"/>
      <c r="O326" s="174"/>
      <c r="P326" s="523"/>
      <c r="Q326" s="523"/>
      <c r="R326" s="154"/>
      <c r="S326" s="155"/>
      <c r="T326" s="156"/>
      <c r="U326" s="154"/>
      <c r="V326" s="155"/>
      <c r="W326" s="155"/>
      <c r="X326" s="419"/>
      <c r="Y326" s="157"/>
      <c r="Z326" s="217"/>
      <c r="AA326" s="150"/>
      <c r="AB326" s="151"/>
      <c r="AC326" s="152"/>
      <c r="AD326" s="506"/>
      <c r="AE326" s="166"/>
      <c r="AF326" s="150"/>
      <c r="AG326" s="152"/>
      <c r="AH326" s="150"/>
      <c r="AI326" s="152"/>
      <c r="AJ326" s="150"/>
      <c r="AK326" s="152"/>
      <c r="AL326" s="150"/>
      <c r="AM326" s="151"/>
      <c r="AN326" s="151"/>
      <c r="AO326" s="169"/>
      <c r="AP326" s="169"/>
      <c r="AQ326" s="149"/>
      <c r="AR326" s="324"/>
      <c r="AS326" s="324"/>
      <c r="AT326" s="324"/>
      <c r="AU326" s="324"/>
      <c r="AV326" s="324"/>
      <c r="AW326" s="324"/>
      <c r="AX326" s="150"/>
      <c r="AY326" s="297"/>
      <c r="AZ326" s="297"/>
      <c r="BA326" s="297"/>
      <c r="BB326" s="297"/>
      <c r="BC326" s="152"/>
      <c r="BD326" s="150"/>
      <c r="BE326" s="297"/>
      <c r="BF326" s="297"/>
      <c r="BG326" s="297"/>
      <c r="BH326" s="297"/>
      <c r="BI326" s="152"/>
      <c r="BJ326" s="170"/>
      <c r="BK326" s="148"/>
      <c r="BL326" s="324"/>
      <c r="BM326" s="324"/>
      <c r="BN326" s="170"/>
      <c r="BO326" s="149"/>
      <c r="BP326" s="170"/>
      <c r="BQ326" s="149"/>
      <c r="BR326" s="170"/>
      <c r="BS326" s="171"/>
      <c r="BT326" s="706"/>
    </row>
    <row r="327" spans="1:72" s="2" customFormat="1" ht="24.9" customHeight="1">
      <c r="A327" s="147"/>
      <c r="B327" s="158"/>
      <c r="C327" s="179"/>
      <c r="D327" s="158"/>
      <c r="E327" s="160"/>
      <c r="F327" s="161"/>
      <c r="G327" s="161"/>
      <c r="H327" s="161"/>
      <c r="I327" s="163"/>
      <c r="J327" s="161"/>
      <c r="K327" s="163"/>
      <c r="L327" s="150"/>
      <c r="M327" s="164"/>
      <c r="N327" s="150"/>
      <c r="O327" s="151"/>
      <c r="P327" s="522"/>
      <c r="Q327" s="522"/>
      <c r="R327" s="154"/>
      <c r="S327" s="155"/>
      <c r="T327" s="156"/>
      <c r="U327" s="154"/>
      <c r="V327" s="155"/>
      <c r="W327" s="155"/>
      <c r="X327" s="419"/>
      <c r="Y327" s="157"/>
      <c r="Z327" s="217"/>
      <c r="AA327" s="150"/>
      <c r="AB327" s="151"/>
      <c r="AC327" s="152"/>
      <c r="AD327" s="506"/>
      <c r="AE327" s="166"/>
      <c r="AF327" s="150"/>
      <c r="AG327" s="152"/>
      <c r="AH327" s="150"/>
      <c r="AI327" s="152"/>
      <c r="AJ327" s="150"/>
      <c r="AK327" s="152"/>
      <c r="AL327" s="150"/>
      <c r="AM327" s="151"/>
      <c r="AN327" s="151"/>
      <c r="AO327" s="169"/>
      <c r="AP327" s="169"/>
      <c r="AQ327" s="149"/>
      <c r="AR327" s="324"/>
      <c r="AS327" s="324"/>
      <c r="AT327" s="324"/>
      <c r="AU327" s="324"/>
      <c r="AV327" s="324"/>
      <c r="AW327" s="324"/>
      <c r="AX327" s="150"/>
      <c r="AY327" s="297"/>
      <c r="AZ327" s="297"/>
      <c r="BA327" s="297"/>
      <c r="BB327" s="297"/>
      <c r="BC327" s="152"/>
      <c r="BD327" s="150"/>
      <c r="BE327" s="297"/>
      <c r="BF327" s="297"/>
      <c r="BG327" s="297"/>
      <c r="BH327" s="297"/>
      <c r="BI327" s="152"/>
      <c r="BJ327" s="170"/>
      <c r="BK327" s="148"/>
      <c r="BL327" s="324"/>
      <c r="BM327" s="324"/>
      <c r="BN327" s="170"/>
      <c r="BO327" s="149"/>
      <c r="BP327" s="170"/>
      <c r="BQ327" s="149"/>
      <c r="BR327" s="170"/>
      <c r="BS327" s="171"/>
      <c r="BT327" s="708"/>
    </row>
    <row r="328" spans="1:72" s="2" customFormat="1" ht="24.9" customHeight="1">
      <c r="A328" s="147"/>
      <c r="B328" s="158"/>
      <c r="C328" s="179"/>
      <c r="D328" s="158"/>
      <c r="E328" s="160"/>
      <c r="F328" s="161"/>
      <c r="G328" s="161"/>
      <c r="H328" s="161"/>
      <c r="I328" s="163"/>
      <c r="J328" s="161"/>
      <c r="K328" s="163"/>
      <c r="L328" s="150"/>
      <c r="M328" s="164"/>
      <c r="N328" s="150"/>
      <c r="O328" s="174"/>
      <c r="P328" s="523"/>
      <c r="Q328" s="523"/>
      <c r="R328" s="154"/>
      <c r="S328" s="155"/>
      <c r="T328" s="156"/>
      <c r="U328" s="154"/>
      <c r="V328" s="155"/>
      <c r="W328" s="155"/>
      <c r="X328" s="419"/>
      <c r="Y328" s="157"/>
      <c r="Z328" s="217"/>
      <c r="AA328" s="150"/>
      <c r="AB328" s="151"/>
      <c r="AC328" s="152"/>
      <c r="AD328" s="506"/>
      <c r="AE328" s="166"/>
      <c r="AF328" s="150"/>
      <c r="AG328" s="152"/>
      <c r="AH328" s="150"/>
      <c r="AI328" s="152"/>
      <c r="AJ328" s="150"/>
      <c r="AK328" s="152"/>
      <c r="AL328" s="150"/>
      <c r="AM328" s="151"/>
      <c r="AN328" s="151"/>
      <c r="AO328" s="169"/>
      <c r="AP328" s="169"/>
      <c r="AQ328" s="149"/>
      <c r="AR328" s="324"/>
      <c r="AS328" s="324"/>
      <c r="AT328" s="324"/>
      <c r="AU328" s="324"/>
      <c r="AV328" s="324"/>
      <c r="AW328" s="324"/>
      <c r="AX328" s="150"/>
      <c r="AY328" s="297"/>
      <c r="AZ328" s="297"/>
      <c r="BA328" s="297"/>
      <c r="BB328" s="297"/>
      <c r="BC328" s="152"/>
      <c r="BD328" s="150"/>
      <c r="BE328" s="297"/>
      <c r="BF328" s="297"/>
      <c r="BG328" s="297"/>
      <c r="BH328" s="297"/>
      <c r="BI328" s="152"/>
      <c r="BJ328" s="170"/>
      <c r="BK328" s="148"/>
      <c r="BL328" s="324"/>
      <c r="BM328" s="324"/>
      <c r="BN328" s="170"/>
      <c r="BO328" s="149"/>
      <c r="BP328" s="170"/>
      <c r="BQ328" s="149"/>
      <c r="BR328" s="170"/>
      <c r="BS328" s="171"/>
      <c r="BT328" s="707"/>
    </row>
    <row r="329" spans="1:72" s="2" customFormat="1" ht="24.9" customHeight="1">
      <c r="A329" s="147"/>
      <c r="B329" s="158"/>
      <c r="C329" s="179"/>
      <c r="D329" s="158"/>
      <c r="E329" s="160"/>
      <c r="F329" s="161"/>
      <c r="G329" s="161"/>
      <c r="H329" s="161"/>
      <c r="I329" s="163"/>
      <c r="J329" s="161"/>
      <c r="K329" s="163"/>
      <c r="L329" s="150"/>
      <c r="M329" s="164"/>
      <c r="N329" s="150"/>
      <c r="O329" s="174"/>
      <c r="P329" s="523"/>
      <c r="Q329" s="523"/>
      <c r="R329" s="154"/>
      <c r="S329" s="155"/>
      <c r="T329" s="156"/>
      <c r="U329" s="154"/>
      <c r="V329" s="155"/>
      <c r="W329" s="155"/>
      <c r="X329" s="419"/>
      <c r="Y329" s="157"/>
      <c r="Z329" s="217"/>
      <c r="AA329" s="150"/>
      <c r="AB329" s="151"/>
      <c r="AC329" s="152"/>
      <c r="AD329" s="506"/>
      <c r="AE329" s="166"/>
      <c r="AF329" s="150"/>
      <c r="AG329" s="152"/>
      <c r="AH329" s="150"/>
      <c r="AI329" s="152"/>
      <c r="AJ329" s="150"/>
      <c r="AK329" s="152"/>
      <c r="AL329" s="150"/>
      <c r="AM329" s="151"/>
      <c r="AN329" s="151"/>
      <c r="AO329" s="169"/>
      <c r="AP329" s="169"/>
      <c r="AQ329" s="149"/>
      <c r="AR329" s="324"/>
      <c r="AS329" s="324"/>
      <c r="AT329" s="324"/>
      <c r="AU329" s="324"/>
      <c r="AV329" s="324"/>
      <c r="AW329" s="324"/>
      <c r="AX329" s="150"/>
      <c r="AY329" s="297"/>
      <c r="AZ329" s="297"/>
      <c r="BA329" s="297"/>
      <c r="BB329" s="297"/>
      <c r="BC329" s="152"/>
      <c r="BD329" s="150"/>
      <c r="BE329" s="297"/>
      <c r="BF329" s="297"/>
      <c r="BG329" s="297"/>
      <c r="BH329" s="297"/>
      <c r="BI329" s="152"/>
      <c r="BJ329" s="170"/>
      <c r="BK329" s="148"/>
      <c r="BL329" s="324"/>
      <c r="BM329" s="324"/>
      <c r="BN329" s="170"/>
      <c r="BO329" s="149"/>
      <c r="BP329" s="170"/>
      <c r="BQ329" s="149"/>
      <c r="BR329" s="170"/>
      <c r="BS329" s="171"/>
      <c r="BT329" s="706"/>
    </row>
    <row r="330" spans="1:72" s="2" customFormat="1" ht="24.9" customHeight="1">
      <c r="A330" s="147"/>
      <c r="B330" s="158"/>
      <c r="C330" s="179"/>
      <c r="D330" s="158"/>
      <c r="E330" s="160"/>
      <c r="F330" s="161"/>
      <c r="G330" s="161"/>
      <c r="H330" s="161"/>
      <c r="I330" s="163"/>
      <c r="J330" s="161"/>
      <c r="K330" s="163"/>
      <c r="L330" s="150"/>
      <c r="M330" s="164"/>
      <c r="N330" s="150"/>
      <c r="O330" s="174"/>
      <c r="P330" s="523"/>
      <c r="Q330" s="523"/>
      <c r="R330" s="154"/>
      <c r="S330" s="155"/>
      <c r="T330" s="156"/>
      <c r="U330" s="154"/>
      <c r="V330" s="155"/>
      <c r="W330" s="155"/>
      <c r="X330" s="419"/>
      <c r="Y330" s="157"/>
      <c r="Z330" s="217"/>
      <c r="AA330" s="150"/>
      <c r="AB330" s="151"/>
      <c r="AC330" s="152"/>
      <c r="AD330" s="506"/>
      <c r="AE330" s="166"/>
      <c r="AF330" s="150"/>
      <c r="AG330" s="152"/>
      <c r="AH330" s="150"/>
      <c r="AI330" s="152"/>
      <c r="AJ330" s="150"/>
      <c r="AK330" s="152"/>
      <c r="AL330" s="150"/>
      <c r="AM330" s="151"/>
      <c r="AN330" s="151"/>
      <c r="AO330" s="169"/>
      <c r="AP330" s="169"/>
      <c r="AQ330" s="149"/>
      <c r="AR330" s="324"/>
      <c r="AS330" s="324"/>
      <c r="AT330" s="324"/>
      <c r="AU330" s="324"/>
      <c r="AV330" s="324"/>
      <c r="AW330" s="324"/>
      <c r="AX330" s="150"/>
      <c r="AY330" s="297"/>
      <c r="AZ330" s="297"/>
      <c r="BA330" s="297"/>
      <c r="BB330" s="297"/>
      <c r="BC330" s="152"/>
      <c r="BD330" s="150"/>
      <c r="BE330" s="297"/>
      <c r="BF330" s="297"/>
      <c r="BG330" s="297"/>
      <c r="BH330" s="297"/>
      <c r="BI330" s="152"/>
      <c r="BJ330" s="170"/>
      <c r="BK330" s="148"/>
      <c r="BL330" s="324"/>
      <c r="BM330" s="324"/>
      <c r="BN330" s="170"/>
      <c r="BO330" s="149"/>
      <c r="BP330" s="170"/>
      <c r="BQ330" s="149"/>
      <c r="BR330" s="170"/>
      <c r="BS330" s="171"/>
      <c r="BT330" s="707"/>
    </row>
    <row r="331" spans="1:72" s="2" customFormat="1" ht="24.9" customHeight="1">
      <c r="A331" s="147"/>
      <c r="B331" s="158"/>
      <c r="C331" s="179"/>
      <c r="D331" s="158"/>
      <c r="E331" s="160"/>
      <c r="F331" s="161"/>
      <c r="G331" s="161"/>
      <c r="H331" s="161"/>
      <c r="I331" s="163"/>
      <c r="J331" s="161"/>
      <c r="K331" s="163"/>
      <c r="L331" s="150"/>
      <c r="M331" s="164"/>
      <c r="N331" s="150"/>
      <c r="O331" s="174"/>
      <c r="P331" s="523"/>
      <c r="Q331" s="523"/>
      <c r="R331" s="154"/>
      <c r="S331" s="155"/>
      <c r="T331" s="156"/>
      <c r="U331" s="154"/>
      <c r="V331" s="155"/>
      <c r="W331" s="155"/>
      <c r="X331" s="419"/>
      <c r="Y331" s="157"/>
      <c r="Z331" s="217"/>
      <c r="AA331" s="150"/>
      <c r="AB331" s="151"/>
      <c r="AC331" s="152"/>
      <c r="AD331" s="506"/>
      <c r="AE331" s="166"/>
      <c r="AF331" s="150"/>
      <c r="AG331" s="152"/>
      <c r="AH331" s="150"/>
      <c r="AI331" s="152"/>
      <c r="AJ331" s="150"/>
      <c r="AK331" s="152"/>
      <c r="AL331" s="150"/>
      <c r="AM331" s="151"/>
      <c r="AN331" s="151"/>
      <c r="AO331" s="169"/>
      <c r="AP331" s="169"/>
      <c r="AQ331" s="149"/>
      <c r="AR331" s="324"/>
      <c r="AS331" s="324"/>
      <c r="AT331" s="324"/>
      <c r="AU331" s="324"/>
      <c r="AV331" s="324"/>
      <c r="AW331" s="324"/>
      <c r="AX331" s="150"/>
      <c r="AY331" s="297"/>
      <c r="AZ331" s="297"/>
      <c r="BA331" s="297"/>
      <c r="BB331" s="297"/>
      <c r="BC331" s="152"/>
      <c r="BD331" s="150"/>
      <c r="BE331" s="297"/>
      <c r="BF331" s="297"/>
      <c r="BG331" s="297"/>
      <c r="BH331" s="297"/>
      <c r="BI331" s="152"/>
      <c r="BJ331" s="170"/>
      <c r="BK331" s="148"/>
      <c r="BL331" s="324"/>
      <c r="BM331" s="324"/>
      <c r="BN331" s="170"/>
      <c r="BO331" s="149"/>
      <c r="BP331" s="170"/>
      <c r="BQ331" s="149"/>
      <c r="BR331" s="170"/>
      <c r="BS331" s="171"/>
      <c r="BT331" s="706"/>
    </row>
    <row r="332" spans="1:72" s="2" customFormat="1" ht="24.9" customHeight="1">
      <c r="A332" s="147"/>
      <c r="B332" s="158"/>
      <c r="C332" s="179"/>
      <c r="D332" s="158"/>
      <c r="E332" s="160"/>
      <c r="F332" s="161"/>
      <c r="G332" s="161"/>
      <c r="H332" s="161"/>
      <c r="I332" s="163"/>
      <c r="J332" s="161"/>
      <c r="K332" s="163"/>
      <c r="L332" s="150"/>
      <c r="M332" s="164"/>
      <c r="N332" s="150"/>
      <c r="O332" s="174"/>
      <c r="P332" s="523"/>
      <c r="Q332" s="523"/>
      <c r="R332" s="154"/>
      <c r="S332" s="155"/>
      <c r="T332" s="156"/>
      <c r="U332" s="154"/>
      <c r="V332" s="155"/>
      <c r="W332" s="155"/>
      <c r="X332" s="419"/>
      <c r="Y332" s="157"/>
      <c r="Z332" s="217"/>
      <c r="AA332" s="150"/>
      <c r="AB332" s="151"/>
      <c r="AC332" s="152"/>
      <c r="AD332" s="506"/>
      <c r="AE332" s="166"/>
      <c r="AF332" s="150"/>
      <c r="AG332" s="152"/>
      <c r="AH332" s="150"/>
      <c r="AI332" s="152"/>
      <c r="AJ332" s="150"/>
      <c r="AK332" s="152"/>
      <c r="AL332" s="150"/>
      <c r="AM332" s="151"/>
      <c r="AN332" s="151"/>
      <c r="AO332" s="169"/>
      <c r="AP332" s="169"/>
      <c r="AQ332" s="149"/>
      <c r="AR332" s="324"/>
      <c r="AS332" s="324"/>
      <c r="AT332" s="324"/>
      <c r="AU332" s="324"/>
      <c r="AV332" s="324"/>
      <c r="AW332" s="324"/>
      <c r="AX332" s="150"/>
      <c r="AY332" s="297"/>
      <c r="AZ332" s="297"/>
      <c r="BA332" s="297"/>
      <c r="BB332" s="297"/>
      <c r="BC332" s="152"/>
      <c r="BD332" s="150"/>
      <c r="BE332" s="297"/>
      <c r="BF332" s="297"/>
      <c r="BG332" s="297"/>
      <c r="BH332" s="297"/>
      <c r="BI332" s="152"/>
      <c r="BJ332" s="170"/>
      <c r="BK332" s="148"/>
      <c r="BL332" s="324"/>
      <c r="BM332" s="324"/>
      <c r="BN332" s="170"/>
      <c r="BO332" s="149"/>
      <c r="BP332" s="170"/>
      <c r="BQ332" s="149"/>
      <c r="BR332" s="170"/>
      <c r="BS332" s="171"/>
      <c r="BT332" s="707"/>
    </row>
    <row r="333" spans="1:72" s="2" customFormat="1" ht="24.9" customHeight="1">
      <c r="A333" s="147"/>
      <c r="B333" s="158"/>
      <c r="C333" s="179"/>
      <c r="D333" s="158"/>
      <c r="E333" s="160"/>
      <c r="F333" s="161"/>
      <c r="G333" s="161"/>
      <c r="H333" s="161"/>
      <c r="I333" s="163"/>
      <c r="J333" s="161"/>
      <c r="K333" s="163"/>
      <c r="L333" s="150"/>
      <c r="M333" s="164"/>
      <c r="N333" s="150"/>
      <c r="O333" s="174"/>
      <c r="P333" s="523"/>
      <c r="Q333" s="523"/>
      <c r="R333" s="154"/>
      <c r="S333" s="155"/>
      <c r="T333" s="156"/>
      <c r="U333" s="154"/>
      <c r="V333" s="155"/>
      <c r="W333" s="155"/>
      <c r="X333" s="419"/>
      <c r="Y333" s="157"/>
      <c r="Z333" s="217"/>
      <c r="AA333" s="150"/>
      <c r="AB333" s="151"/>
      <c r="AC333" s="152"/>
      <c r="AD333" s="506"/>
      <c r="AE333" s="166"/>
      <c r="AF333" s="150"/>
      <c r="AG333" s="152"/>
      <c r="AH333" s="150"/>
      <c r="AI333" s="152"/>
      <c r="AJ333" s="150"/>
      <c r="AK333" s="152"/>
      <c r="AL333" s="150"/>
      <c r="AM333" s="151"/>
      <c r="AN333" s="151"/>
      <c r="AO333" s="169"/>
      <c r="AP333" s="169"/>
      <c r="AQ333" s="149"/>
      <c r="AR333" s="324"/>
      <c r="AS333" s="324"/>
      <c r="AT333" s="324"/>
      <c r="AU333" s="324"/>
      <c r="AV333" s="324"/>
      <c r="AW333" s="324"/>
      <c r="AX333" s="150"/>
      <c r="AY333" s="297"/>
      <c r="AZ333" s="297"/>
      <c r="BA333" s="297"/>
      <c r="BB333" s="297"/>
      <c r="BC333" s="152"/>
      <c r="BD333" s="150"/>
      <c r="BE333" s="297"/>
      <c r="BF333" s="297"/>
      <c r="BG333" s="297"/>
      <c r="BH333" s="297"/>
      <c r="BI333" s="152"/>
      <c r="BJ333" s="170"/>
      <c r="BK333" s="148"/>
      <c r="BL333" s="324"/>
      <c r="BM333" s="324"/>
      <c r="BN333" s="170"/>
      <c r="BO333" s="149"/>
      <c r="BP333" s="170"/>
      <c r="BQ333" s="149"/>
      <c r="BR333" s="170"/>
      <c r="BS333" s="171"/>
      <c r="BT333" s="706"/>
    </row>
    <row r="334" spans="1:72" s="2" customFormat="1" ht="24.9" customHeight="1">
      <c r="A334" s="147"/>
      <c r="B334" s="158"/>
      <c r="C334" s="179"/>
      <c r="D334" s="158"/>
      <c r="E334" s="160"/>
      <c r="F334" s="161"/>
      <c r="G334" s="161"/>
      <c r="H334" s="161"/>
      <c r="I334" s="163"/>
      <c r="J334" s="161"/>
      <c r="K334" s="163"/>
      <c r="L334" s="150"/>
      <c r="M334" s="164"/>
      <c r="N334" s="150"/>
      <c r="O334" s="151"/>
      <c r="P334" s="522"/>
      <c r="Q334" s="522"/>
      <c r="R334" s="154"/>
      <c r="S334" s="155"/>
      <c r="T334" s="156"/>
      <c r="U334" s="154"/>
      <c r="V334" s="155"/>
      <c r="W334" s="155"/>
      <c r="X334" s="419"/>
      <c r="Y334" s="157"/>
      <c r="Z334" s="217"/>
      <c r="AA334" s="150"/>
      <c r="AB334" s="151"/>
      <c r="AC334" s="152"/>
      <c r="AD334" s="506"/>
      <c r="AE334" s="166"/>
      <c r="AF334" s="150"/>
      <c r="AG334" s="152"/>
      <c r="AH334" s="150"/>
      <c r="AI334" s="152"/>
      <c r="AJ334" s="150"/>
      <c r="AK334" s="152"/>
      <c r="AL334" s="150"/>
      <c r="AM334" s="151"/>
      <c r="AN334" s="151"/>
      <c r="AO334" s="169"/>
      <c r="AP334" s="169"/>
      <c r="AQ334" s="149"/>
      <c r="AR334" s="324"/>
      <c r="AS334" s="324"/>
      <c r="AT334" s="324"/>
      <c r="AU334" s="324"/>
      <c r="AV334" s="324"/>
      <c r="AW334" s="324"/>
      <c r="AX334" s="150"/>
      <c r="AY334" s="297"/>
      <c r="AZ334" s="297"/>
      <c r="BA334" s="297"/>
      <c r="BB334" s="297"/>
      <c r="BC334" s="152"/>
      <c r="BD334" s="150"/>
      <c r="BE334" s="297"/>
      <c r="BF334" s="297"/>
      <c r="BG334" s="297"/>
      <c r="BH334" s="297"/>
      <c r="BI334" s="152"/>
      <c r="BJ334" s="170"/>
      <c r="BK334" s="148"/>
      <c r="BL334" s="324"/>
      <c r="BM334" s="324"/>
      <c r="BN334" s="170"/>
      <c r="BO334" s="149"/>
      <c r="BP334" s="170"/>
      <c r="BQ334" s="149"/>
      <c r="BR334" s="170"/>
      <c r="BS334" s="171"/>
      <c r="BT334" s="708"/>
    </row>
    <row r="335" spans="1:72" s="2" customFormat="1" ht="24.9" customHeight="1">
      <c r="A335" s="147"/>
      <c r="B335" s="158"/>
      <c r="C335" s="179"/>
      <c r="D335" s="158"/>
      <c r="E335" s="160"/>
      <c r="F335" s="161"/>
      <c r="G335" s="161"/>
      <c r="H335" s="161"/>
      <c r="I335" s="163"/>
      <c r="J335" s="161"/>
      <c r="K335" s="163"/>
      <c r="L335" s="150"/>
      <c r="M335" s="164"/>
      <c r="N335" s="150"/>
      <c r="O335" s="174"/>
      <c r="P335" s="523"/>
      <c r="Q335" s="523"/>
      <c r="R335" s="154"/>
      <c r="S335" s="155"/>
      <c r="T335" s="156"/>
      <c r="U335" s="154"/>
      <c r="V335" s="155"/>
      <c r="W335" s="155"/>
      <c r="X335" s="419"/>
      <c r="Y335" s="157"/>
      <c r="Z335" s="217"/>
      <c r="AA335" s="150"/>
      <c r="AB335" s="151"/>
      <c r="AC335" s="152"/>
      <c r="AD335" s="506"/>
      <c r="AE335" s="166"/>
      <c r="AF335" s="150"/>
      <c r="AG335" s="152"/>
      <c r="AH335" s="150"/>
      <c r="AI335" s="152"/>
      <c r="AJ335" s="150"/>
      <c r="AK335" s="152"/>
      <c r="AL335" s="150"/>
      <c r="AM335" s="151"/>
      <c r="AN335" s="151"/>
      <c r="AO335" s="169"/>
      <c r="AP335" s="169"/>
      <c r="AQ335" s="149"/>
      <c r="AR335" s="324"/>
      <c r="AS335" s="324"/>
      <c r="AT335" s="324"/>
      <c r="AU335" s="324"/>
      <c r="AV335" s="324"/>
      <c r="AW335" s="324"/>
      <c r="AX335" s="150"/>
      <c r="AY335" s="297"/>
      <c r="AZ335" s="297"/>
      <c r="BA335" s="297"/>
      <c r="BB335" s="297"/>
      <c r="BC335" s="152"/>
      <c r="BD335" s="150"/>
      <c r="BE335" s="297"/>
      <c r="BF335" s="297"/>
      <c r="BG335" s="297"/>
      <c r="BH335" s="297"/>
      <c r="BI335" s="152"/>
      <c r="BJ335" s="170"/>
      <c r="BK335" s="148"/>
      <c r="BL335" s="324"/>
      <c r="BM335" s="324"/>
      <c r="BN335" s="170"/>
      <c r="BO335" s="149"/>
      <c r="BP335" s="170"/>
      <c r="BQ335" s="149"/>
      <c r="BR335" s="170"/>
      <c r="BS335" s="171"/>
      <c r="BT335" s="707"/>
    </row>
    <row r="336" spans="1:72" s="2" customFormat="1" ht="24.9" customHeight="1">
      <c r="A336" s="147"/>
      <c r="B336" s="158"/>
      <c r="C336" s="179"/>
      <c r="D336" s="158"/>
      <c r="E336" s="160"/>
      <c r="F336" s="161"/>
      <c r="G336" s="161"/>
      <c r="H336" s="161"/>
      <c r="I336" s="163"/>
      <c r="J336" s="161"/>
      <c r="K336" s="163"/>
      <c r="L336" s="150"/>
      <c r="M336" s="164"/>
      <c r="N336" s="150"/>
      <c r="O336" s="174"/>
      <c r="P336" s="523"/>
      <c r="Q336" s="523"/>
      <c r="R336" s="154"/>
      <c r="S336" s="155"/>
      <c r="T336" s="156"/>
      <c r="U336" s="154"/>
      <c r="V336" s="155"/>
      <c r="W336" s="155"/>
      <c r="X336" s="419"/>
      <c r="Y336" s="157"/>
      <c r="Z336" s="217"/>
      <c r="AA336" s="150"/>
      <c r="AB336" s="151"/>
      <c r="AC336" s="152"/>
      <c r="AD336" s="506"/>
      <c r="AE336" s="166"/>
      <c r="AF336" s="150"/>
      <c r="AG336" s="152"/>
      <c r="AH336" s="150"/>
      <c r="AI336" s="152"/>
      <c r="AJ336" s="150"/>
      <c r="AK336" s="152"/>
      <c r="AL336" s="150"/>
      <c r="AM336" s="151"/>
      <c r="AN336" s="151"/>
      <c r="AO336" s="169"/>
      <c r="AP336" s="169"/>
      <c r="AQ336" s="149"/>
      <c r="AR336" s="324"/>
      <c r="AS336" s="324"/>
      <c r="AT336" s="324"/>
      <c r="AU336" s="324"/>
      <c r="AV336" s="324"/>
      <c r="AW336" s="324"/>
      <c r="AX336" s="150"/>
      <c r="AY336" s="297"/>
      <c r="AZ336" s="297"/>
      <c r="BA336" s="297"/>
      <c r="BB336" s="297"/>
      <c r="BC336" s="152"/>
      <c r="BD336" s="150"/>
      <c r="BE336" s="297"/>
      <c r="BF336" s="297"/>
      <c r="BG336" s="297"/>
      <c r="BH336" s="297"/>
      <c r="BI336" s="152"/>
      <c r="BJ336" s="170"/>
      <c r="BK336" s="148"/>
      <c r="BL336" s="324"/>
      <c r="BM336" s="324"/>
      <c r="BN336" s="170"/>
      <c r="BO336" s="149"/>
      <c r="BP336" s="170"/>
      <c r="BQ336" s="149"/>
      <c r="BR336" s="170"/>
      <c r="BS336" s="171"/>
      <c r="BT336" s="706"/>
    </row>
    <row r="337" spans="1:72" s="2" customFormat="1" ht="24.9" customHeight="1">
      <c r="A337" s="147"/>
      <c r="B337" s="158"/>
      <c r="C337" s="179"/>
      <c r="D337" s="158"/>
      <c r="E337" s="160"/>
      <c r="F337" s="161"/>
      <c r="G337" s="161"/>
      <c r="H337" s="161"/>
      <c r="I337" s="163"/>
      <c r="J337" s="161"/>
      <c r="K337" s="163"/>
      <c r="L337" s="150"/>
      <c r="M337" s="164"/>
      <c r="N337" s="150"/>
      <c r="O337" s="174"/>
      <c r="P337" s="523"/>
      <c r="Q337" s="523"/>
      <c r="R337" s="154"/>
      <c r="S337" s="155"/>
      <c r="T337" s="156"/>
      <c r="U337" s="154"/>
      <c r="V337" s="155"/>
      <c r="W337" s="155"/>
      <c r="X337" s="419"/>
      <c r="Y337" s="157"/>
      <c r="Z337" s="217"/>
      <c r="AA337" s="150"/>
      <c r="AB337" s="151"/>
      <c r="AC337" s="152"/>
      <c r="AD337" s="506"/>
      <c r="AE337" s="166"/>
      <c r="AF337" s="150"/>
      <c r="AG337" s="152"/>
      <c r="AH337" s="150"/>
      <c r="AI337" s="152"/>
      <c r="AJ337" s="150"/>
      <c r="AK337" s="152"/>
      <c r="AL337" s="150"/>
      <c r="AM337" s="151"/>
      <c r="AN337" s="151"/>
      <c r="AO337" s="169"/>
      <c r="AP337" s="169"/>
      <c r="AQ337" s="149"/>
      <c r="AR337" s="324"/>
      <c r="AS337" s="324"/>
      <c r="AT337" s="324"/>
      <c r="AU337" s="324"/>
      <c r="AV337" s="324"/>
      <c r="AW337" s="324"/>
      <c r="AX337" s="150"/>
      <c r="AY337" s="297"/>
      <c r="AZ337" s="297"/>
      <c r="BA337" s="297"/>
      <c r="BB337" s="297"/>
      <c r="BC337" s="152"/>
      <c r="BD337" s="150"/>
      <c r="BE337" s="297"/>
      <c r="BF337" s="297"/>
      <c r="BG337" s="297"/>
      <c r="BH337" s="297"/>
      <c r="BI337" s="152"/>
      <c r="BJ337" s="170"/>
      <c r="BK337" s="148"/>
      <c r="BL337" s="324"/>
      <c r="BM337" s="324"/>
      <c r="BN337" s="170"/>
      <c r="BO337" s="149"/>
      <c r="BP337" s="170"/>
      <c r="BQ337" s="149"/>
      <c r="BR337" s="170"/>
      <c r="BS337" s="171"/>
      <c r="BT337" s="708"/>
    </row>
    <row r="338" spans="1:72" s="2" customFormat="1" ht="24.9" customHeight="1">
      <c r="A338" s="147"/>
      <c r="B338" s="158"/>
      <c r="C338" s="179"/>
      <c r="D338" s="158"/>
      <c r="E338" s="160"/>
      <c r="F338" s="161"/>
      <c r="G338" s="161"/>
      <c r="H338" s="161"/>
      <c r="I338" s="163"/>
      <c r="J338" s="161"/>
      <c r="K338" s="163"/>
      <c r="L338" s="150"/>
      <c r="M338" s="164"/>
      <c r="N338" s="150"/>
      <c r="O338" s="174"/>
      <c r="P338" s="523"/>
      <c r="Q338" s="523"/>
      <c r="R338" s="154"/>
      <c r="S338" s="155"/>
      <c r="T338" s="156"/>
      <c r="U338" s="154"/>
      <c r="V338" s="155"/>
      <c r="W338" s="155"/>
      <c r="X338" s="419"/>
      <c r="Y338" s="157"/>
      <c r="Z338" s="217"/>
      <c r="AA338" s="150"/>
      <c r="AB338" s="151"/>
      <c r="AC338" s="152"/>
      <c r="AD338" s="506"/>
      <c r="AE338" s="166"/>
      <c r="AF338" s="150"/>
      <c r="AG338" s="152"/>
      <c r="AH338" s="150"/>
      <c r="AI338" s="152"/>
      <c r="AJ338" s="150"/>
      <c r="AK338" s="152"/>
      <c r="AL338" s="150"/>
      <c r="AM338" s="151"/>
      <c r="AN338" s="151"/>
      <c r="AO338" s="169"/>
      <c r="AP338" s="169"/>
      <c r="AQ338" s="149"/>
      <c r="AR338" s="324"/>
      <c r="AS338" s="324"/>
      <c r="AT338" s="324"/>
      <c r="AU338" s="324"/>
      <c r="AV338" s="324"/>
      <c r="AW338" s="324"/>
      <c r="AX338" s="182"/>
      <c r="AY338" s="298"/>
      <c r="AZ338" s="298"/>
      <c r="BA338" s="298"/>
      <c r="BB338" s="298"/>
      <c r="BC338" s="152"/>
      <c r="BD338" s="150"/>
      <c r="BE338" s="297"/>
      <c r="BF338" s="297"/>
      <c r="BG338" s="297"/>
      <c r="BH338" s="297"/>
      <c r="BI338" s="152"/>
      <c r="BJ338" s="170"/>
      <c r="BK338" s="148"/>
      <c r="BL338" s="324"/>
      <c r="BM338" s="324"/>
      <c r="BN338" s="170"/>
      <c r="BO338" s="149"/>
      <c r="BP338" s="170"/>
      <c r="BQ338" s="149"/>
      <c r="BR338" s="170"/>
      <c r="BS338" s="171"/>
      <c r="BT338" s="707"/>
    </row>
    <row r="339" spans="1:72" s="2" customFormat="1" ht="24.9" customHeight="1">
      <c r="A339" s="147"/>
      <c r="B339" s="158"/>
      <c r="C339" s="179"/>
      <c r="D339" s="158"/>
      <c r="E339" s="160"/>
      <c r="F339" s="161"/>
      <c r="G339" s="161"/>
      <c r="H339" s="161"/>
      <c r="I339" s="163"/>
      <c r="J339" s="161"/>
      <c r="K339" s="163"/>
      <c r="L339" s="150"/>
      <c r="M339" s="164"/>
      <c r="N339" s="150"/>
      <c r="O339" s="174"/>
      <c r="P339" s="523"/>
      <c r="Q339" s="523"/>
      <c r="R339" s="154"/>
      <c r="S339" s="155"/>
      <c r="T339" s="156"/>
      <c r="U339" s="154"/>
      <c r="V339" s="155"/>
      <c r="W339" s="155"/>
      <c r="X339" s="419"/>
      <c r="Y339" s="157"/>
      <c r="Z339" s="217"/>
      <c r="AA339" s="150"/>
      <c r="AB339" s="151"/>
      <c r="AC339" s="152"/>
      <c r="AD339" s="506"/>
      <c r="AE339" s="166"/>
      <c r="AF339" s="150"/>
      <c r="AG339" s="152"/>
      <c r="AH339" s="150"/>
      <c r="AI339" s="152"/>
      <c r="AJ339" s="150"/>
      <c r="AK339" s="152"/>
      <c r="AL339" s="150"/>
      <c r="AM339" s="151"/>
      <c r="AN339" s="151"/>
      <c r="AO339" s="169"/>
      <c r="AP339" s="169"/>
      <c r="AQ339" s="149"/>
      <c r="AR339" s="324"/>
      <c r="AS339" s="324"/>
      <c r="AT339" s="324"/>
      <c r="AU339" s="324"/>
      <c r="AV339" s="324"/>
      <c r="AW339" s="324"/>
      <c r="AX339" s="150"/>
      <c r="AY339" s="297"/>
      <c r="AZ339" s="297"/>
      <c r="BA339" s="297"/>
      <c r="BB339" s="297"/>
      <c r="BC339" s="152"/>
      <c r="BD339" s="150"/>
      <c r="BE339" s="297"/>
      <c r="BF339" s="297"/>
      <c r="BG339" s="297"/>
      <c r="BH339" s="297"/>
      <c r="BI339" s="152"/>
      <c r="BJ339" s="170"/>
      <c r="BK339" s="148"/>
      <c r="BL339" s="324"/>
      <c r="BM339" s="324"/>
      <c r="BN339" s="170"/>
      <c r="BO339" s="149"/>
      <c r="BP339" s="170"/>
      <c r="BQ339" s="149"/>
      <c r="BR339" s="170"/>
      <c r="BS339" s="171"/>
      <c r="BT339" s="706"/>
    </row>
    <row r="340" spans="1:72" s="2" customFormat="1" ht="24.9" customHeight="1">
      <c r="A340" s="147"/>
      <c r="B340" s="158"/>
      <c r="C340" s="179"/>
      <c r="D340" s="158"/>
      <c r="E340" s="160"/>
      <c r="F340" s="161"/>
      <c r="G340" s="161"/>
      <c r="H340" s="161"/>
      <c r="I340" s="163"/>
      <c r="J340" s="161"/>
      <c r="K340" s="163"/>
      <c r="L340" s="150"/>
      <c r="M340" s="164"/>
      <c r="N340" s="150"/>
      <c r="O340" s="174"/>
      <c r="P340" s="523"/>
      <c r="Q340" s="523"/>
      <c r="R340" s="154"/>
      <c r="S340" s="155"/>
      <c r="T340" s="156"/>
      <c r="U340" s="154"/>
      <c r="V340" s="155"/>
      <c r="W340" s="155"/>
      <c r="X340" s="419"/>
      <c r="Y340" s="157"/>
      <c r="Z340" s="217"/>
      <c r="AA340" s="150"/>
      <c r="AB340" s="151"/>
      <c r="AC340" s="152"/>
      <c r="AD340" s="506"/>
      <c r="AE340" s="166"/>
      <c r="AF340" s="150"/>
      <c r="AG340" s="152"/>
      <c r="AH340" s="150"/>
      <c r="AI340" s="152"/>
      <c r="AJ340" s="150"/>
      <c r="AK340" s="152"/>
      <c r="AL340" s="150"/>
      <c r="AM340" s="151"/>
      <c r="AN340" s="151"/>
      <c r="AO340" s="169"/>
      <c r="AP340" s="169"/>
      <c r="AQ340" s="149"/>
      <c r="AR340" s="324"/>
      <c r="AS340" s="324"/>
      <c r="AT340" s="324"/>
      <c r="AU340" s="324"/>
      <c r="AV340" s="324"/>
      <c r="AW340" s="324"/>
      <c r="AX340" s="150"/>
      <c r="AY340" s="297"/>
      <c r="AZ340" s="297"/>
      <c r="BA340" s="297"/>
      <c r="BB340" s="297"/>
      <c r="BC340" s="152"/>
      <c r="BD340" s="150"/>
      <c r="BE340" s="297"/>
      <c r="BF340" s="297"/>
      <c r="BG340" s="297"/>
      <c r="BH340" s="297"/>
      <c r="BI340" s="152"/>
      <c r="BJ340" s="170"/>
      <c r="BK340" s="148"/>
      <c r="BL340" s="324"/>
      <c r="BM340" s="324"/>
      <c r="BN340" s="170"/>
      <c r="BO340" s="149"/>
      <c r="BP340" s="170"/>
      <c r="BQ340" s="149"/>
      <c r="BR340" s="170"/>
      <c r="BS340" s="171"/>
      <c r="BT340" s="707"/>
    </row>
    <row r="341" spans="1:72" s="2" customFormat="1" ht="24.9" customHeight="1">
      <c r="A341" s="147"/>
      <c r="B341" s="158"/>
      <c r="C341" s="179"/>
      <c r="D341" s="158"/>
      <c r="E341" s="160"/>
      <c r="F341" s="161"/>
      <c r="G341" s="161"/>
      <c r="H341" s="161"/>
      <c r="I341" s="163"/>
      <c r="J341" s="161"/>
      <c r="K341" s="163"/>
      <c r="L341" s="150"/>
      <c r="M341" s="164"/>
      <c r="N341" s="150"/>
      <c r="O341" s="174"/>
      <c r="P341" s="523"/>
      <c r="Q341" s="523"/>
      <c r="R341" s="154"/>
      <c r="S341" s="155"/>
      <c r="T341" s="156"/>
      <c r="U341" s="154"/>
      <c r="V341" s="155"/>
      <c r="W341" s="155"/>
      <c r="X341" s="419"/>
      <c r="Y341" s="157"/>
      <c r="Z341" s="217"/>
      <c r="AA341" s="150"/>
      <c r="AB341" s="151"/>
      <c r="AC341" s="152"/>
      <c r="AD341" s="506"/>
      <c r="AE341" s="166"/>
      <c r="AF341" s="150"/>
      <c r="AG341" s="152"/>
      <c r="AH341" s="150"/>
      <c r="AI341" s="152"/>
      <c r="AJ341" s="150"/>
      <c r="AK341" s="152"/>
      <c r="AL341" s="150"/>
      <c r="AM341" s="151"/>
      <c r="AN341" s="151"/>
      <c r="AO341" s="169"/>
      <c r="AP341" s="169"/>
      <c r="AQ341" s="149"/>
      <c r="AR341" s="324"/>
      <c r="AS341" s="324"/>
      <c r="AT341" s="324"/>
      <c r="AU341" s="324"/>
      <c r="AV341" s="324"/>
      <c r="AW341" s="324"/>
      <c r="AX341" s="150"/>
      <c r="AY341" s="297"/>
      <c r="AZ341" s="297"/>
      <c r="BA341" s="297"/>
      <c r="BB341" s="297"/>
      <c r="BC341" s="152"/>
      <c r="BD341" s="150"/>
      <c r="BE341" s="297"/>
      <c r="BF341" s="297"/>
      <c r="BG341" s="297"/>
      <c r="BH341" s="297"/>
      <c r="BI341" s="152"/>
      <c r="BJ341" s="170"/>
      <c r="BK341" s="148"/>
      <c r="BL341" s="324"/>
      <c r="BM341" s="324"/>
      <c r="BN341" s="170"/>
      <c r="BO341" s="149"/>
      <c r="BP341" s="170"/>
      <c r="BQ341" s="149"/>
      <c r="BR341" s="170"/>
      <c r="BS341" s="171"/>
      <c r="BT341" s="706"/>
    </row>
    <row r="342" spans="1:72" s="2" customFormat="1" ht="24.9" customHeight="1">
      <c r="A342" s="147"/>
      <c r="B342" s="158"/>
      <c r="C342" s="179"/>
      <c r="D342" s="158"/>
      <c r="E342" s="160"/>
      <c r="F342" s="161"/>
      <c r="G342" s="161"/>
      <c r="H342" s="161"/>
      <c r="I342" s="163"/>
      <c r="J342" s="161"/>
      <c r="K342" s="163"/>
      <c r="L342" s="150"/>
      <c r="M342" s="164"/>
      <c r="N342" s="150"/>
      <c r="O342" s="151"/>
      <c r="P342" s="522"/>
      <c r="Q342" s="522"/>
      <c r="R342" s="154"/>
      <c r="S342" s="155"/>
      <c r="T342" s="156"/>
      <c r="U342" s="154"/>
      <c r="V342" s="155"/>
      <c r="W342" s="155"/>
      <c r="X342" s="419"/>
      <c r="Y342" s="157"/>
      <c r="Z342" s="217"/>
      <c r="AA342" s="150"/>
      <c r="AB342" s="151"/>
      <c r="AC342" s="152"/>
      <c r="AD342" s="506"/>
      <c r="AE342" s="166"/>
      <c r="AF342" s="150"/>
      <c r="AG342" s="152"/>
      <c r="AH342" s="150"/>
      <c r="AI342" s="152"/>
      <c r="AJ342" s="150"/>
      <c r="AK342" s="152"/>
      <c r="AL342" s="150"/>
      <c r="AM342" s="151"/>
      <c r="AN342" s="151"/>
      <c r="AO342" s="169"/>
      <c r="AP342" s="169"/>
      <c r="AQ342" s="149"/>
      <c r="AR342" s="324"/>
      <c r="AS342" s="324"/>
      <c r="AT342" s="324"/>
      <c r="AU342" s="324"/>
      <c r="AV342" s="324"/>
      <c r="AW342" s="324"/>
      <c r="AX342" s="150"/>
      <c r="AY342" s="297"/>
      <c r="AZ342" s="297"/>
      <c r="BA342" s="297"/>
      <c r="BB342" s="297"/>
      <c r="BC342" s="152"/>
      <c r="BD342" s="150"/>
      <c r="BE342" s="297"/>
      <c r="BF342" s="297"/>
      <c r="BG342" s="297"/>
      <c r="BH342" s="297"/>
      <c r="BI342" s="152"/>
      <c r="BJ342" s="170"/>
      <c r="BK342" s="148"/>
      <c r="BL342" s="324"/>
      <c r="BM342" s="324"/>
      <c r="BN342" s="170"/>
      <c r="BO342" s="149"/>
      <c r="BP342" s="170"/>
      <c r="BQ342" s="149"/>
      <c r="BR342" s="170"/>
      <c r="BS342" s="171"/>
      <c r="BT342" s="708"/>
    </row>
    <row r="343" spans="1:72" s="2" customFormat="1" ht="24.9" customHeight="1">
      <c r="A343" s="147"/>
      <c r="B343" s="158"/>
      <c r="C343" s="179"/>
      <c r="D343" s="158"/>
      <c r="E343" s="160"/>
      <c r="F343" s="161"/>
      <c r="G343" s="161"/>
      <c r="H343" s="161"/>
      <c r="I343" s="163"/>
      <c r="J343" s="161"/>
      <c r="K343" s="163"/>
      <c r="L343" s="150"/>
      <c r="M343" s="164"/>
      <c r="N343" s="150"/>
      <c r="O343" s="174"/>
      <c r="P343" s="523"/>
      <c r="Q343" s="523"/>
      <c r="R343" s="154"/>
      <c r="S343" s="155"/>
      <c r="T343" s="156"/>
      <c r="U343" s="154"/>
      <c r="V343" s="155"/>
      <c r="W343" s="155"/>
      <c r="X343" s="419"/>
      <c r="Y343" s="157"/>
      <c r="Z343" s="217"/>
      <c r="AA343" s="150"/>
      <c r="AB343" s="151"/>
      <c r="AC343" s="152"/>
      <c r="AD343" s="506"/>
      <c r="AE343" s="166"/>
      <c r="AF343" s="150"/>
      <c r="AG343" s="152"/>
      <c r="AH343" s="150"/>
      <c r="AI343" s="152"/>
      <c r="AJ343" s="150"/>
      <c r="AK343" s="152"/>
      <c r="AL343" s="150"/>
      <c r="AM343" s="151"/>
      <c r="AN343" s="151"/>
      <c r="AO343" s="169"/>
      <c r="AP343" s="169"/>
      <c r="AQ343" s="149"/>
      <c r="AR343" s="324"/>
      <c r="AS343" s="324"/>
      <c r="AT343" s="324"/>
      <c r="AU343" s="324"/>
      <c r="AV343" s="324"/>
      <c r="AW343" s="324"/>
      <c r="AX343" s="150"/>
      <c r="AY343" s="297"/>
      <c r="AZ343" s="297"/>
      <c r="BA343" s="297"/>
      <c r="BB343" s="297"/>
      <c r="BC343" s="152"/>
      <c r="BD343" s="150"/>
      <c r="BE343" s="297"/>
      <c r="BF343" s="297"/>
      <c r="BG343" s="297"/>
      <c r="BH343" s="297"/>
      <c r="BI343" s="152"/>
      <c r="BJ343" s="170"/>
      <c r="BK343" s="148"/>
      <c r="BL343" s="324"/>
      <c r="BM343" s="324"/>
      <c r="BN343" s="170"/>
      <c r="BO343" s="149"/>
      <c r="BP343" s="170"/>
      <c r="BQ343" s="149"/>
      <c r="BR343" s="170"/>
      <c r="BS343" s="171"/>
      <c r="BT343" s="708"/>
    </row>
    <row r="344" spans="1:72" s="2" customFormat="1" ht="24.9" customHeight="1">
      <c r="A344" s="147"/>
      <c r="B344" s="158"/>
      <c r="C344" s="179"/>
      <c r="D344" s="158"/>
      <c r="E344" s="160"/>
      <c r="F344" s="161"/>
      <c r="G344" s="161"/>
      <c r="H344" s="161"/>
      <c r="I344" s="163"/>
      <c r="J344" s="161"/>
      <c r="K344" s="163"/>
      <c r="L344" s="150"/>
      <c r="M344" s="164"/>
      <c r="N344" s="150"/>
      <c r="O344" s="151"/>
      <c r="P344" s="522"/>
      <c r="Q344" s="522"/>
      <c r="R344" s="154"/>
      <c r="S344" s="155"/>
      <c r="T344" s="156"/>
      <c r="U344" s="154"/>
      <c r="V344" s="155"/>
      <c r="W344" s="155"/>
      <c r="X344" s="419"/>
      <c r="Y344" s="157"/>
      <c r="Z344" s="217"/>
      <c r="AA344" s="150"/>
      <c r="AB344" s="151"/>
      <c r="AC344" s="152"/>
      <c r="AD344" s="506"/>
      <c r="AE344" s="166"/>
      <c r="AF344" s="150"/>
      <c r="AG344" s="152"/>
      <c r="AH344" s="150"/>
      <c r="AI344" s="152"/>
      <c r="AJ344" s="150"/>
      <c r="AK344" s="152"/>
      <c r="AL344" s="150"/>
      <c r="AM344" s="151"/>
      <c r="AN344" s="151"/>
      <c r="AO344" s="169"/>
      <c r="AP344" s="169"/>
      <c r="AQ344" s="149"/>
      <c r="AR344" s="324"/>
      <c r="AS344" s="324"/>
      <c r="AT344" s="324"/>
      <c r="AU344" s="324"/>
      <c r="AV344" s="324"/>
      <c r="AW344" s="324"/>
      <c r="AX344" s="150"/>
      <c r="AY344" s="297"/>
      <c r="AZ344" s="297"/>
      <c r="BA344" s="297"/>
      <c r="BB344" s="297"/>
      <c r="BC344" s="152"/>
      <c r="BD344" s="150"/>
      <c r="BE344" s="297"/>
      <c r="BF344" s="297"/>
      <c r="BG344" s="297"/>
      <c r="BH344" s="297"/>
      <c r="BI344" s="152"/>
      <c r="BJ344" s="170"/>
      <c r="BK344" s="148"/>
      <c r="BL344" s="324"/>
      <c r="BM344" s="324"/>
      <c r="BN344" s="170"/>
      <c r="BO344" s="149"/>
      <c r="BP344" s="170"/>
      <c r="BQ344" s="149"/>
      <c r="BR344" s="170"/>
      <c r="BS344" s="171"/>
      <c r="BT344" s="707"/>
    </row>
    <row r="345" spans="1:72" s="2" customFormat="1" ht="24.9" customHeight="1">
      <c r="A345" s="147"/>
      <c r="B345" s="158"/>
      <c r="C345" s="179"/>
      <c r="D345" s="158"/>
      <c r="E345" s="160"/>
      <c r="F345" s="161"/>
      <c r="G345" s="161"/>
      <c r="H345" s="161"/>
      <c r="I345" s="163"/>
      <c r="J345" s="161"/>
      <c r="K345" s="163"/>
      <c r="L345" s="150"/>
      <c r="M345" s="164"/>
      <c r="N345" s="150"/>
      <c r="O345" s="174"/>
      <c r="P345" s="523"/>
      <c r="Q345" s="523"/>
      <c r="R345" s="154"/>
      <c r="S345" s="155"/>
      <c r="T345" s="156"/>
      <c r="U345" s="154"/>
      <c r="V345" s="155"/>
      <c r="W345" s="155"/>
      <c r="X345" s="419"/>
      <c r="Y345" s="157"/>
      <c r="Z345" s="217"/>
      <c r="AA345" s="150"/>
      <c r="AB345" s="151"/>
      <c r="AC345" s="152"/>
      <c r="AD345" s="506"/>
      <c r="AE345" s="166"/>
      <c r="AF345" s="150"/>
      <c r="AG345" s="152"/>
      <c r="AH345" s="150"/>
      <c r="AI345" s="152"/>
      <c r="AJ345" s="150"/>
      <c r="AK345" s="152"/>
      <c r="AL345" s="150"/>
      <c r="AM345" s="151"/>
      <c r="AN345" s="151"/>
      <c r="AO345" s="169"/>
      <c r="AP345" s="169"/>
      <c r="AQ345" s="149"/>
      <c r="AR345" s="324"/>
      <c r="AS345" s="324"/>
      <c r="AT345" s="324"/>
      <c r="AU345" s="324"/>
      <c r="AV345" s="324"/>
      <c r="AW345" s="324"/>
      <c r="AX345" s="150"/>
      <c r="AY345" s="297"/>
      <c r="AZ345" s="297"/>
      <c r="BA345" s="297"/>
      <c r="BB345" s="297"/>
      <c r="BC345" s="152"/>
      <c r="BD345" s="150"/>
      <c r="BE345" s="297"/>
      <c r="BF345" s="297"/>
      <c r="BG345" s="297"/>
      <c r="BH345" s="297"/>
      <c r="BI345" s="152"/>
      <c r="BJ345" s="170"/>
      <c r="BK345" s="148"/>
      <c r="BL345" s="324"/>
      <c r="BM345" s="324"/>
      <c r="BN345" s="170"/>
      <c r="BO345" s="149"/>
      <c r="BP345" s="170"/>
      <c r="BQ345" s="149"/>
      <c r="BR345" s="170"/>
      <c r="BS345" s="171"/>
      <c r="BT345" s="706"/>
    </row>
    <row r="346" spans="1:72" s="2" customFormat="1" ht="24.9" customHeight="1">
      <c r="A346" s="147"/>
      <c r="B346" s="158"/>
      <c r="C346" s="179"/>
      <c r="D346" s="158"/>
      <c r="E346" s="160"/>
      <c r="F346" s="161"/>
      <c r="G346" s="161"/>
      <c r="H346" s="161"/>
      <c r="I346" s="163"/>
      <c r="J346" s="161"/>
      <c r="K346" s="163"/>
      <c r="L346" s="150"/>
      <c r="M346" s="164"/>
      <c r="N346" s="150"/>
      <c r="O346" s="174"/>
      <c r="P346" s="523"/>
      <c r="Q346" s="523"/>
      <c r="R346" s="154"/>
      <c r="S346" s="155"/>
      <c r="T346" s="156"/>
      <c r="U346" s="154"/>
      <c r="V346" s="155"/>
      <c r="W346" s="155"/>
      <c r="X346" s="419"/>
      <c r="Y346" s="157"/>
      <c r="Z346" s="217"/>
      <c r="AA346" s="150"/>
      <c r="AB346" s="151"/>
      <c r="AC346" s="152"/>
      <c r="AD346" s="506"/>
      <c r="AE346" s="166"/>
      <c r="AF346" s="150"/>
      <c r="AG346" s="152"/>
      <c r="AH346" s="150"/>
      <c r="AI346" s="152"/>
      <c r="AJ346" s="150"/>
      <c r="AK346" s="152"/>
      <c r="AL346" s="150"/>
      <c r="AM346" s="151"/>
      <c r="AN346" s="151"/>
      <c r="AO346" s="169"/>
      <c r="AP346" s="169"/>
      <c r="AQ346" s="149"/>
      <c r="AR346" s="324"/>
      <c r="AS346" s="324"/>
      <c r="AT346" s="324"/>
      <c r="AU346" s="324"/>
      <c r="AV346" s="324"/>
      <c r="AW346" s="324"/>
      <c r="AX346" s="150"/>
      <c r="AY346" s="297"/>
      <c r="AZ346" s="297"/>
      <c r="BA346" s="297"/>
      <c r="BB346" s="297"/>
      <c r="BC346" s="152"/>
      <c r="BD346" s="150"/>
      <c r="BE346" s="297"/>
      <c r="BF346" s="297"/>
      <c r="BG346" s="297"/>
      <c r="BH346" s="297"/>
      <c r="BI346" s="152"/>
      <c r="BJ346" s="170"/>
      <c r="BK346" s="148"/>
      <c r="BL346" s="324"/>
      <c r="BM346" s="324"/>
      <c r="BN346" s="170"/>
      <c r="BO346" s="149"/>
      <c r="BP346" s="170"/>
      <c r="BQ346" s="149"/>
      <c r="BR346" s="170"/>
      <c r="BS346" s="171"/>
      <c r="BT346" s="708"/>
    </row>
    <row r="347" spans="1:72" s="2" customFormat="1" ht="24.9" customHeight="1">
      <c r="A347" s="147"/>
      <c r="B347" s="158"/>
      <c r="C347" s="179"/>
      <c r="D347" s="158"/>
      <c r="E347" s="160"/>
      <c r="F347" s="161"/>
      <c r="G347" s="161"/>
      <c r="H347" s="161"/>
      <c r="I347" s="163"/>
      <c r="J347" s="161"/>
      <c r="K347" s="163"/>
      <c r="L347" s="150"/>
      <c r="M347" s="164"/>
      <c r="N347" s="150"/>
      <c r="O347" s="151"/>
      <c r="P347" s="522"/>
      <c r="Q347" s="522"/>
      <c r="R347" s="154"/>
      <c r="S347" s="155"/>
      <c r="T347" s="156"/>
      <c r="U347" s="154"/>
      <c r="V347" s="155"/>
      <c r="W347" s="155"/>
      <c r="X347" s="419"/>
      <c r="Y347" s="157"/>
      <c r="Z347" s="217"/>
      <c r="AA347" s="150"/>
      <c r="AB347" s="151"/>
      <c r="AC347" s="152"/>
      <c r="AD347" s="506"/>
      <c r="AE347" s="166"/>
      <c r="AF347" s="150"/>
      <c r="AG347" s="152"/>
      <c r="AH347" s="150"/>
      <c r="AI347" s="152"/>
      <c r="AJ347" s="150"/>
      <c r="AK347" s="152"/>
      <c r="AL347" s="150"/>
      <c r="AM347" s="151"/>
      <c r="AN347" s="151"/>
      <c r="AO347" s="169"/>
      <c r="AP347" s="169"/>
      <c r="AQ347" s="149"/>
      <c r="AR347" s="324"/>
      <c r="AS347" s="324"/>
      <c r="AT347" s="324"/>
      <c r="AU347" s="324"/>
      <c r="AV347" s="324"/>
      <c r="AW347" s="324"/>
      <c r="AX347" s="150"/>
      <c r="AY347" s="297"/>
      <c r="AZ347" s="297"/>
      <c r="BA347" s="297"/>
      <c r="BB347" s="297"/>
      <c r="BC347" s="152"/>
      <c r="BD347" s="150"/>
      <c r="BE347" s="297"/>
      <c r="BF347" s="297"/>
      <c r="BG347" s="297"/>
      <c r="BH347" s="297"/>
      <c r="BI347" s="152"/>
      <c r="BJ347" s="170"/>
      <c r="BK347" s="148"/>
      <c r="BL347" s="324"/>
      <c r="BM347" s="324"/>
      <c r="BN347" s="170"/>
      <c r="BO347" s="149"/>
      <c r="BP347" s="170"/>
      <c r="BQ347" s="149"/>
      <c r="BR347" s="170"/>
      <c r="BS347" s="171"/>
      <c r="BT347" s="707"/>
    </row>
    <row r="348" spans="1:72" s="2" customFormat="1" ht="24.9" customHeight="1">
      <c r="A348" s="147"/>
      <c r="B348" s="158"/>
      <c r="C348" s="179"/>
      <c r="D348" s="158"/>
      <c r="E348" s="160"/>
      <c r="F348" s="161"/>
      <c r="G348" s="161"/>
      <c r="H348" s="161"/>
      <c r="I348" s="163"/>
      <c r="J348" s="161"/>
      <c r="K348" s="163"/>
      <c r="L348" s="150"/>
      <c r="M348" s="164"/>
      <c r="N348" s="150"/>
      <c r="O348" s="174"/>
      <c r="P348" s="523"/>
      <c r="Q348" s="523"/>
      <c r="R348" s="154"/>
      <c r="S348" s="155"/>
      <c r="T348" s="156"/>
      <c r="U348" s="154"/>
      <c r="V348" s="155"/>
      <c r="W348" s="155"/>
      <c r="X348" s="419"/>
      <c r="Y348" s="157"/>
      <c r="Z348" s="217"/>
      <c r="AA348" s="150"/>
      <c r="AB348" s="151"/>
      <c r="AC348" s="152"/>
      <c r="AD348" s="506"/>
      <c r="AE348" s="166"/>
      <c r="AF348" s="150"/>
      <c r="AG348" s="152"/>
      <c r="AH348" s="150"/>
      <c r="AI348" s="152"/>
      <c r="AJ348" s="150"/>
      <c r="AK348" s="152"/>
      <c r="AL348" s="150"/>
      <c r="AM348" s="151"/>
      <c r="AN348" s="151"/>
      <c r="AO348" s="169"/>
      <c r="AP348" s="169"/>
      <c r="AQ348" s="149"/>
      <c r="AR348" s="324"/>
      <c r="AS348" s="324"/>
      <c r="AT348" s="324"/>
      <c r="AU348" s="324"/>
      <c r="AV348" s="324"/>
      <c r="AW348" s="324"/>
      <c r="AX348" s="150"/>
      <c r="AY348" s="297"/>
      <c r="AZ348" s="297"/>
      <c r="BA348" s="297"/>
      <c r="BB348" s="297"/>
      <c r="BC348" s="152"/>
      <c r="BD348" s="150"/>
      <c r="BE348" s="297"/>
      <c r="BF348" s="297"/>
      <c r="BG348" s="297"/>
      <c r="BH348" s="297"/>
      <c r="BI348" s="152"/>
      <c r="BJ348" s="170"/>
      <c r="BK348" s="148"/>
      <c r="BL348" s="324"/>
      <c r="BM348" s="324"/>
      <c r="BN348" s="170"/>
      <c r="BO348" s="149"/>
      <c r="BP348" s="170"/>
      <c r="BQ348" s="149"/>
      <c r="BR348" s="170"/>
      <c r="BS348" s="171"/>
      <c r="BT348" s="706"/>
    </row>
    <row r="349" spans="1:72" s="2" customFormat="1" ht="24.9" customHeight="1">
      <c r="A349" s="147"/>
      <c r="B349" s="158"/>
      <c r="C349" s="179"/>
      <c r="D349" s="158"/>
      <c r="E349" s="160"/>
      <c r="F349" s="161"/>
      <c r="G349" s="161"/>
      <c r="H349" s="161"/>
      <c r="I349" s="163"/>
      <c r="J349" s="161"/>
      <c r="K349" s="163"/>
      <c r="L349" s="150"/>
      <c r="M349" s="164"/>
      <c r="N349" s="150"/>
      <c r="O349" s="151"/>
      <c r="P349" s="522"/>
      <c r="Q349" s="522"/>
      <c r="R349" s="154"/>
      <c r="S349" s="155"/>
      <c r="T349" s="156"/>
      <c r="U349" s="154"/>
      <c r="V349" s="155"/>
      <c r="W349" s="155"/>
      <c r="X349" s="419"/>
      <c r="Y349" s="157"/>
      <c r="Z349" s="217"/>
      <c r="AA349" s="150"/>
      <c r="AB349" s="151"/>
      <c r="AC349" s="152"/>
      <c r="AD349" s="506"/>
      <c r="AE349" s="166"/>
      <c r="AF349" s="150"/>
      <c r="AG349" s="152"/>
      <c r="AH349" s="150"/>
      <c r="AI349" s="152"/>
      <c r="AJ349" s="150"/>
      <c r="AK349" s="152"/>
      <c r="AL349" s="150"/>
      <c r="AM349" s="151"/>
      <c r="AN349" s="151"/>
      <c r="AO349" s="169"/>
      <c r="AP349" s="169"/>
      <c r="AQ349" s="149"/>
      <c r="AR349" s="324"/>
      <c r="AS349" s="324"/>
      <c r="AT349" s="324"/>
      <c r="AU349" s="324"/>
      <c r="AV349" s="324"/>
      <c r="AW349" s="324"/>
      <c r="AX349" s="150"/>
      <c r="AY349" s="297"/>
      <c r="AZ349" s="297"/>
      <c r="BA349" s="297"/>
      <c r="BB349" s="297"/>
      <c r="BC349" s="152"/>
      <c r="BD349" s="150"/>
      <c r="BE349" s="297"/>
      <c r="BF349" s="297"/>
      <c r="BG349" s="297"/>
      <c r="BH349" s="297"/>
      <c r="BI349" s="152"/>
      <c r="BJ349" s="170"/>
      <c r="BK349" s="148"/>
      <c r="BL349" s="324"/>
      <c r="BM349" s="324"/>
      <c r="BN349" s="170"/>
      <c r="BO349" s="149"/>
      <c r="BP349" s="170"/>
      <c r="BQ349" s="149"/>
      <c r="BR349" s="170"/>
      <c r="BS349" s="171"/>
      <c r="BT349" s="708"/>
    </row>
    <row r="350" spans="1:72" s="2" customFormat="1" ht="24.9" customHeight="1">
      <c r="A350" s="147"/>
      <c r="B350" s="158"/>
      <c r="C350" s="179"/>
      <c r="D350" s="158"/>
      <c r="E350" s="160"/>
      <c r="F350" s="161"/>
      <c r="G350" s="161"/>
      <c r="H350" s="161"/>
      <c r="I350" s="163"/>
      <c r="J350" s="161"/>
      <c r="K350" s="163"/>
      <c r="L350" s="150"/>
      <c r="M350" s="164"/>
      <c r="N350" s="150"/>
      <c r="O350" s="174"/>
      <c r="P350" s="523"/>
      <c r="Q350" s="523"/>
      <c r="R350" s="154"/>
      <c r="S350" s="155"/>
      <c r="T350" s="156"/>
      <c r="U350" s="154"/>
      <c r="V350" s="155"/>
      <c r="W350" s="155"/>
      <c r="X350" s="419"/>
      <c r="Y350" s="157"/>
      <c r="Z350" s="217"/>
      <c r="AA350" s="150"/>
      <c r="AB350" s="151"/>
      <c r="AC350" s="152"/>
      <c r="AD350" s="506"/>
      <c r="AE350" s="166"/>
      <c r="AF350" s="150"/>
      <c r="AG350" s="152"/>
      <c r="AH350" s="150"/>
      <c r="AI350" s="152"/>
      <c r="AJ350" s="150"/>
      <c r="AK350" s="152"/>
      <c r="AL350" s="150"/>
      <c r="AM350" s="151"/>
      <c r="AN350" s="151"/>
      <c r="AO350" s="169"/>
      <c r="AP350" s="169"/>
      <c r="AQ350" s="149"/>
      <c r="AR350" s="324"/>
      <c r="AS350" s="324"/>
      <c r="AT350" s="324"/>
      <c r="AU350" s="324"/>
      <c r="AV350" s="324"/>
      <c r="AW350" s="324"/>
      <c r="AX350" s="150"/>
      <c r="AY350" s="297"/>
      <c r="AZ350" s="297"/>
      <c r="BA350" s="297"/>
      <c r="BB350" s="297"/>
      <c r="BC350" s="152"/>
      <c r="BD350" s="150"/>
      <c r="BE350" s="297"/>
      <c r="BF350" s="297"/>
      <c r="BG350" s="297"/>
      <c r="BH350" s="297"/>
      <c r="BI350" s="152"/>
      <c r="BJ350" s="170"/>
      <c r="BK350" s="148"/>
      <c r="BL350" s="324"/>
      <c r="BM350" s="324"/>
      <c r="BN350" s="170"/>
      <c r="BO350" s="149"/>
      <c r="BP350" s="170"/>
      <c r="BQ350" s="149"/>
      <c r="BR350" s="170"/>
      <c r="BS350" s="171"/>
      <c r="BT350" s="707"/>
    </row>
    <row r="351" spans="1:72" s="2" customFormat="1" ht="24.9" customHeight="1">
      <c r="A351" s="147"/>
      <c r="B351" s="158"/>
      <c r="C351" s="179"/>
      <c r="D351" s="158"/>
      <c r="E351" s="160"/>
      <c r="F351" s="161"/>
      <c r="G351" s="161"/>
      <c r="H351" s="161"/>
      <c r="I351" s="163"/>
      <c r="J351" s="161"/>
      <c r="K351" s="163"/>
      <c r="L351" s="150"/>
      <c r="M351" s="164"/>
      <c r="N351" s="150"/>
      <c r="O351" s="174"/>
      <c r="P351" s="523"/>
      <c r="Q351" s="523"/>
      <c r="R351" s="154"/>
      <c r="S351" s="155"/>
      <c r="T351" s="156"/>
      <c r="U351" s="154"/>
      <c r="V351" s="155"/>
      <c r="W351" s="155"/>
      <c r="X351" s="419"/>
      <c r="Y351" s="157"/>
      <c r="Z351" s="217"/>
      <c r="AA351" s="150"/>
      <c r="AB351" s="151"/>
      <c r="AC351" s="152"/>
      <c r="AD351" s="506"/>
      <c r="AE351" s="166"/>
      <c r="AF351" s="150"/>
      <c r="AG351" s="152"/>
      <c r="AH351" s="150"/>
      <c r="AI351" s="152"/>
      <c r="AJ351" s="150"/>
      <c r="AK351" s="152"/>
      <c r="AL351" s="150"/>
      <c r="AM351" s="151"/>
      <c r="AN351" s="151"/>
      <c r="AO351" s="169"/>
      <c r="AP351" s="169"/>
      <c r="AQ351" s="149"/>
      <c r="AR351" s="324"/>
      <c r="AS351" s="324"/>
      <c r="AT351" s="324"/>
      <c r="AU351" s="324"/>
      <c r="AV351" s="324"/>
      <c r="AW351" s="324"/>
      <c r="AX351" s="150"/>
      <c r="AY351" s="297"/>
      <c r="AZ351" s="297"/>
      <c r="BA351" s="297"/>
      <c r="BB351" s="297"/>
      <c r="BC351" s="152"/>
      <c r="BD351" s="150"/>
      <c r="BE351" s="297"/>
      <c r="BF351" s="297"/>
      <c r="BG351" s="297"/>
      <c r="BH351" s="297"/>
      <c r="BI351" s="152"/>
      <c r="BJ351" s="170"/>
      <c r="BK351" s="148"/>
      <c r="BL351" s="324"/>
      <c r="BM351" s="324"/>
      <c r="BN351" s="170"/>
      <c r="BO351" s="149"/>
      <c r="BP351" s="170"/>
      <c r="BQ351" s="149"/>
      <c r="BR351" s="170"/>
      <c r="BS351" s="171"/>
      <c r="BT351" s="706"/>
    </row>
    <row r="352" spans="1:72" s="2" customFormat="1" ht="24.9" customHeight="1">
      <c r="A352" s="147"/>
      <c r="B352" s="158"/>
      <c r="C352" s="179"/>
      <c r="D352" s="158"/>
      <c r="E352" s="160"/>
      <c r="F352" s="161"/>
      <c r="G352" s="161"/>
      <c r="H352" s="161"/>
      <c r="I352" s="163"/>
      <c r="J352" s="161"/>
      <c r="K352" s="163"/>
      <c r="L352" s="150"/>
      <c r="M352" s="164"/>
      <c r="N352" s="150"/>
      <c r="O352" s="151"/>
      <c r="P352" s="522"/>
      <c r="Q352" s="522"/>
      <c r="R352" s="154"/>
      <c r="S352" s="155"/>
      <c r="T352" s="156"/>
      <c r="U352" s="154"/>
      <c r="V352" s="155"/>
      <c r="W352" s="155"/>
      <c r="X352" s="419"/>
      <c r="Y352" s="157"/>
      <c r="Z352" s="217"/>
      <c r="AA352" s="150"/>
      <c r="AB352" s="151"/>
      <c r="AC352" s="152"/>
      <c r="AD352" s="506"/>
      <c r="AE352" s="166"/>
      <c r="AF352" s="150"/>
      <c r="AG352" s="152"/>
      <c r="AH352" s="150"/>
      <c r="AI352" s="152"/>
      <c r="AJ352" s="150"/>
      <c r="AK352" s="152"/>
      <c r="AL352" s="150"/>
      <c r="AM352" s="151"/>
      <c r="AN352" s="151"/>
      <c r="AO352" s="169"/>
      <c r="AP352" s="169"/>
      <c r="AQ352" s="149"/>
      <c r="AR352" s="324"/>
      <c r="AS352" s="324"/>
      <c r="AT352" s="324"/>
      <c r="AU352" s="324"/>
      <c r="AV352" s="324"/>
      <c r="AW352" s="324"/>
      <c r="AX352" s="150"/>
      <c r="AY352" s="297"/>
      <c r="AZ352" s="297"/>
      <c r="BA352" s="297"/>
      <c r="BB352" s="297"/>
      <c r="BC352" s="152"/>
      <c r="BD352" s="150"/>
      <c r="BE352" s="297"/>
      <c r="BF352" s="297"/>
      <c r="BG352" s="297"/>
      <c r="BH352" s="297"/>
      <c r="BI352" s="152"/>
      <c r="BJ352" s="170"/>
      <c r="BK352" s="148"/>
      <c r="BL352" s="324"/>
      <c r="BM352" s="324"/>
      <c r="BN352" s="170"/>
      <c r="BO352" s="149"/>
      <c r="BP352" s="170"/>
      <c r="BQ352" s="149"/>
      <c r="BR352" s="170"/>
      <c r="BS352" s="171"/>
      <c r="BT352" s="708"/>
    </row>
    <row r="353" spans="1:72" s="2" customFormat="1" ht="24.9" customHeight="1">
      <c r="A353" s="147"/>
      <c r="B353" s="158"/>
      <c r="C353" s="179"/>
      <c r="D353" s="158"/>
      <c r="E353" s="160"/>
      <c r="F353" s="161"/>
      <c r="G353" s="161"/>
      <c r="H353" s="161"/>
      <c r="I353" s="163"/>
      <c r="J353" s="161"/>
      <c r="K353" s="163"/>
      <c r="L353" s="150"/>
      <c r="M353" s="164"/>
      <c r="N353" s="150"/>
      <c r="O353" s="174"/>
      <c r="P353" s="523"/>
      <c r="Q353" s="523"/>
      <c r="R353" s="154"/>
      <c r="S353" s="155"/>
      <c r="T353" s="156"/>
      <c r="U353" s="154"/>
      <c r="V353" s="155"/>
      <c r="W353" s="155"/>
      <c r="X353" s="419"/>
      <c r="Y353" s="157"/>
      <c r="Z353" s="217"/>
      <c r="AA353" s="150"/>
      <c r="AB353" s="151"/>
      <c r="AC353" s="152"/>
      <c r="AD353" s="506"/>
      <c r="AE353" s="166"/>
      <c r="AF353" s="150"/>
      <c r="AG353" s="152"/>
      <c r="AH353" s="150"/>
      <c r="AI353" s="152"/>
      <c r="AJ353" s="150"/>
      <c r="AK353" s="152"/>
      <c r="AL353" s="150"/>
      <c r="AM353" s="151"/>
      <c r="AN353" s="151"/>
      <c r="AO353" s="169"/>
      <c r="AP353" s="169"/>
      <c r="AQ353" s="149"/>
      <c r="AR353" s="324"/>
      <c r="AS353" s="324"/>
      <c r="AT353" s="324"/>
      <c r="AU353" s="324"/>
      <c r="AV353" s="324"/>
      <c r="AW353" s="324"/>
      <c r="AX353" s="150"/>
      <c r="AY353" s="297"/>
      <c r="AZ353" s="297"/>
      <c r="BA353" s="297"/>
      <c r="BB353" s="297"/>
      <c r="BC353" s="152"/>
      <c r="BD353" s="150"/>
      <c r="BE353" s="297"/>
      <c r="BF353" s="297"/>
      <c r="BG353" s="297"/>
      <c r="BH353" s="297"/>
      <c r="BI353" s="152"/>
      <c r="BJ353" s="170"/>
      <c r="BK353" s="148"/>
      <c r="BL353" s="324"/>
      <c r="BM353" s="324"/>
      <c r="BN353" s="170"/>
      <c r="BO353" s="149"/>
      <c r="BP353" s="170"/>
      <c r="BQ353" s="149"/>
      <c r="BR353" s="170"/>
      <c r="BS353" s="171"/>
      <c r="BT353" s="707"/>
    </row>
    <row r="354" spans="1:72" s="2" customFormat="1" ht="24.9" customHeight="1">
      <c r="A354" s="147"/>
      <c r="B354" s="158"/>
      <c r="C354" s="179"/>
      <c r="D354" s="158"/>
      <c r="E354" s="160"/>
      <c r="F354" s="161"/>
      <c r="G354" s="161"/>
      <c r="H354" s="161"/>
      <c r="I354" s="163"/>
      <c r="J354" s="161"/>
      <c r="K354" s="163"/>
      <c r="L354" s="150"/>
      <c r="M354" s="164"/>
      <c r="N354" s="150"/>
      <c r="O354" s="174"/>
      <c r="P354" s="523"/>
      <c r="Q354" s="523"/>
      <c r="R354" s="154"/>
      <c r="S354" s="155"/>
      <c r="T354" s="156"/>
      <c r="U354" s="154"/>
      <c r="V354" s="155"/>
      <c r="W354" s="155"/>
      <c r="X354" s="419"/>
      <c r="Y354" s="157"/>
      <c r="Z354" s="217"/>
      <c r="AA354" s="150"/>
      <c r="AB354" s="151"/>
      <c r="AC354" s="152"/>
      <c r="AD354" s="506"/>
      <c r="AE354" s="166"/>
      <c r="AF354" s="150"/>
      <c r="AG354" s="152"/>
      <c r="AH354" s="150"/>
      <c r="AI354" s="152"/>
      <c r="AJ354" s="150"/>
      <c r="AK354" s="152"/>
      <c r="AL354" s="150"/>
      <c r="AM354" s="151"/>
      <c r="AN354" s="151"/>
      <c r="AO354" s="169"/>
      <c r="AP354" s="169"/>
      <c r="AQ354" s="149"/>
      <c r="AR354" s="324"/>
      <c r="AS354" s="324"/>
      <c r="AT354" s="324"/>
      <c r="AU354" s="324"/>
      <c r="AV354" s="324"/>
      <c r="AW354" s="324"/>
      <c r="AX354" s="150"/>
      <c r="AY354" s="297"/>
      <c r="AZ354" s="297"/>
      <c r="BA354" s="297"/>
      <c r="BB354" s="297"/>
      <c r="BC354" s="152"/>
      <c r="BD354" s="150"/>
      <c r="BE354" s="297"/>
      <c r="BF354" s="297"/>
      <c r="BG354" s="297"/>
      <c r="BH354" s="297"/>
      <c r="BI354" s="152"/>
      <c r="BJ354" s="170"/>
      <c r="BK354" s="148"/>
      <c r="BL354" s="324"/>
      <c r="BM354" s="324"/>
      <c r="BN354" s="170"/>
      <c r="BO354" s="149"/>
      <c r="BP354" s="170"/>
      <c r="BQ354" s="149"/>
      <c r="BR354" s="170"/>
      <c r="BS354" s="171"/>
      <c r="BT354" s="706"/>
    </row>
    <row r="355" spans="1:72" s="2" customFormat="1" ht="24.9" customHeight="1">
      <c r="A355" s="147"/>
      <c r="B355" s="158"/>
      <c r="C355" s="179"/>
      <c r="D355" s="158"/>
      <c r="E355" s="160"/>
      <c r="F355" s="161"/>
      <c r="G355" s="161"/>
      <c r="H355" s="161"/>
      <c r="I355" s="163"/>
      <c r="J355" s="161"/>
      <c r="K355" s="163"/>
      <c r="L355" s="150"/>
      <c r="M355" s="164"/>
      <c r="N355" s="150"/>
      <c r="O355" s="174"/>
      <c r="P355" s="523"/>
      <c r="Q355" s="523"/>
      <c r="R355" s="154"/>
      <c r="S355" s="155"/>
      <c r="T355" s="156"/>
      <c r="U355" s="154"/>
      <c r="V355" s="155"/>
      <c r="W355" s="155"/>
      <c r="X355" s="419"/>
      <c r="Y355" s="157"/>
      <c r="Z355" s="217"/>
      <c r="AA355" s="150"/>
      <c r="AB355" s="151"/>
      <c r="AC355" s="152"/>
      <c r="AD355" s="506"/>
      <c r="AE355" s="166"/>
      <c r="AF355" s="150"/>
      <c r="AG355" s="152"/>
      <c r="AH355" s="150"/>
      <c r="AI355" s="152"/>
      <c r="AJ355" s="150"/>
      <c r="AK355" s="152"/>
      <c r="AL355" s="150"/>
      <c r="AM355" s="151"/>
      <c r="AN355" s="151"/>
      <c r="AO355" s="169"/>
      <c r="AP355" s="169"/>
      <c r="AQ355" s="149"/>
      <c r="AR355" s="324"/>
      <c r="AS355" s="324"/>
      <c r="AT355" s="324"/>
      <c r="AU355" s="324"/>
      <c r="AV355" s="324"/>
      <c r="AW355" s="324"/>
      <c r="AX355" s="150"/>
      <c r="AY355" s="297"/>
      <c r="AZ355" s="297"/>
      <c r="BA355" s="297"/>
      <c r="BB355" s="297"/>
      <c r="BC355" s="152"/>
      <c r="BD355" s="150"/>
      <c r="BE355" s="297"/>
      <c r="BF355" s="297"/>
      <c r="BG355" s="297"/>
      <c r="BH355" s="297"/>
      <c r="BI355" s="152"/>
      <c r="BJ355" s="170"/>
      <c r="BK355" s="148"/>
      <c r="BL355" s="324"/>
      <c r="BM355" s="324"/>
      <c r="BN355" s="170"/>
      <c r="BO355" s="149"/>
      <c r="BP355" s="170"/>
      <c r="BQ355" s="149"/>
      <c r="BR355" s="170"/>
      <c r="BS355" s="171"/>
      <c r="BT355" s="707"/>
    </row>
    <row r="356" spans="1:72" s="2" customFormat="1" ht="24.9" customHeight="1">
      <c r="A356" s="147"/>
      <c r="B356" s="158"/>
      <c r="C356" s="179"/>
      <c r="D356" s="158"/>
      <c r="E356" s="160"/>
      <c r="F356" s="161"/>
      <c r="G356" s="161"/>
      <c r="H356" s="161"/>
      <c r="I356" s="163"/>
      <c r="J356" s="161"/>
      <c r="K356" s="163"/>
      <c r="L356" s="150"/>
      <c r="M356" s="164"/>
      <c r="N356" s="150"/>
      <c r="O356" s="174"/>
      <c r="P356" s="523"/>
      <c r="Q356" s="523"/>
      <c r="R356" s="154"/>
      <c r="S356" s="155"/>
      <c r="T356" s="156"/>
      <c r="U356" s="154"/>
      <c r="V356" s="155"/>
      <c r="W356" s="155"/>
      <c r="X356" s="419"/>
      <c r="Y356" s="157"/>
      <c r="Z356" s="217"/>
      <c r="AA356" s="150"/>
      <c r="AB356" s="151"/>
      <c r="AC356" s="152"/>
      <c r="AD356" s="506"/>
      <c r="AE356" s="166"/>
      <c r="AF356" s="150"/>
      <c r="AG356" s="152"/>
      <c r="AH356" s="150"/>
      <c r="AI356" s="152"/>
      <c r="AJ356" s="150"/>
      <c r="AK356" s="152"/>
      <c r="AL356" s="150"/>
      <c r="AM356" s="151"/>
      <c r="AN356" s="151"/>
      <c r="AO356" s="169"/>
      <c r="AP356" s="169"/>
      <c r="AQ356" s="149"/>
      <c r="AR356" s="324"/>
      <c r="AS356" s="324"/>
      <c r="AT356" s="324"/>
      <c r="AU356" s="324"/>
      <c r="AV356" s="324"/>
      <c r="AW356" s="324"/>
      <c r="AX356" s="150"/>
      <c r="AY356" s="297"/>
      <c r="AZ356" s="297"/>
      <c r="BA356" s="297"/>
      <c r="BB356" s="297"/>
      <c r="BC356" s="152"/>
      <c r="BD356" s="150"/>
      <c r="BE356" s="297"/>
      <c r="BF356" s="297"/>
      <c r="BG356" s="297"/>
      <c r="BH356" s="297"/>
      <c r="BI356" s="152"/>
      <c r="BJ356" s="170"/>
      <c r="BK356" s="148"/>
      <c r="BL356" s="324"/>
      <c r="BM356" s="324"/>
      <c r="BN356" s="170"/>
      <c r="BO356" s="149"/>
      <c r="BP356" s="170"/>
      <c r="BQ356" s="149"/>
      <c r="BR356" s="170"/>
      <c r="BS356" s="171"/>
      <c r="BT356" s="706"/>
    </row>
    <row r="357" spans="1:72" s="2" customFormat="1" ht="24.9" customHeight="1">
      <c r="A357" s="147"/>
      <c r="B357" s="158"/>
      <c r="C357" s="179"/>
      <c r="D357" s="158"/>
      <c r="E357" s="160"/>
      <c r="F357" s="161"/>
      <c r="G357" s="161"/>
      <c r="H357" s="161"/>
      <c r="I357" s="163"/>
      <c r="J357" s="161"/>
      <c r="K357" s="163"/>
      <c r="L357" s="150"/>
      <c r="M357" s="164"/>
      <c r="N357" s="150"/>
      <c r="O357" s="174"/>
      <c r="P357" s="523"/>
      <c r="Q357" s="523"/>
      <c r="R357" s="154"/>
      <c r="S357" s="155"/>
      <c r="T357" s="156"/>
      <c r="U357" s="154"/>
      <c r="V357" s="155"/>
      <c r="W357" s="155"/>
      <c r="X357" s="419"/>
      <c r="Y357" s="157"/>
      <c r="Z357" s="217"/>
      <c r="AA357" s="150"/>
      <c r="AB357" s="151"/>
      <c r="AC357" s="152"/>
      <c r="AD357" s="506"/>
      <c r="AE357" s="166"/>
      <c r="AF357" s="150"/>
      <c r="AG357" s="152"/>
      <c r="AH357" s="150"/>
      <c r="AI357" s="152"/>
      <c r="AJ357" s="150"/>
      <c r="AK357" s="152"/>
      <c r="AL357" s="150"/>
      <c r="AM357" s="151"/>
      <c r="AN357" s="151"/>
      <c r="AO357" s="169"/>
      <c r="AP357" s="169"/>
      <c r="AQ357" s="149"/>
      <c r="AR357" s="324"/>
      <c r="AS357" s="324"/>
      <c r="AT357" s="324"/>
      <c r="AU357" s="324"/>
      <c r="AV357" s="324"/>
      <c r="AW357" s="324"/>
      <c r="AX357" s="150"/>
      <c r="AY357" s="297"/>
      <c r="AZ357" s="297"/>
      <c r="BA357" s="297"/>
      <c r="BB357" s="297"/>
      <c r="BC357" s="152"/>
      <c r="BD357" s="150"/>
      <c r="BE357" s="297"/>
      <c r="BF357" s="297"/>
      <c r="BG357" s="297"/>
      <c r="BH357" s="297"/>
      <c r="BI357" s="152"/>
      <c r="BJ357" s="170"/>
      <c r="BK357" s="148"/>
      <c r="BL357" s="324"/>
      <c r="BM357" s="324"/>
      <c r="BN357" s="170"/>
      <c r="BO357" s="149"/>
      <c r="BP357" s="170"/>
      <c r="BQ357" s="149"/>
      <c r="BR357" s="170"/>
      <c r="BS357" s="171"/>
      <c r="BT357" s="707"/>
    </row>
    <row r="358" spans="1:72" s="2" customFormat="1" ht="24.9" customHeight="1">
      <c r="A358" s="147"/>
      <c r="B358" s="158"/>
      <c r="C358" s="179"/>
      <c r="D358" s="158"/>
      <c r="E358" s="160"/>
      <c r="F358" s="161"/>
      <c r="G358" s="161"/>
      <c r="H358" s="161"/>
      <c r="I358" s="163"/>
      <c r="J358" s="161"/>
      <c r="K358" s="163"/>
      <c r="L358" s="150"/>
      <c r="M358" s="164"/>
      <c r="N358" s="150"/>
      <c r="O358" s="174"/>
      <c r="P358" s="523"/>
      <c r="Q358" s="523"/>
      <c r="R358" s="154"/>
      <c r="S358" s="155"/>
      <c r="T358" s="156"/>
      <c r="U358" s="154"/>
      <c r="V358" s="155"/>
      <c r="W358" s="155"/>
      <c r="X358" s="419"/>
      <c r="Y358" s="157"/>
      <c r="Z358" s="217"/>
      <c r="AA358" s="150"/>
      <c r="AB358" s="151"/>
      <c r="AC358" s="152"/>
      <c r="AD358" s="506"/>
      <c r="AE358" s="166"/>
      <c r="AF358" s="150"/>
      <c r="AG358" s="152"/>
      <c r="AH358" s="150"/>
      <c r="AI358" s="152"/>
      <c r="AJ358" s="150"/>
      <c r="AK358" s="152"/>
      <c r="AL358" s="150"/>
      <c r="AM358" s="151"/>
      <c r="AN358" s="151"/>
      <c r="AO358" s="169"/>
      <c r="AP358" s="169"/>
      <c r="AQ358" s="149"/>
      <c r="AR358" s="324"/>
      <c r="AS358" s="324"/>
      <c r="AT358" s="324"/>
      <c r="AU358" s="324"/>
      <c r="AV358" s="324"/>
      <c r="AW358" s="324"/>
      <c r="AX358" s="150"/>
      <c r="AY358" s="297"/>
      <c r="AZ358" s="297"/>
      <c r="BA358" s="297"/>
      <c r="BB358" s="297"/>
      <c r="BC358" s="152"/>
      <c r="BD358" s="150"/>
      <c r="BE358" s="297"/>
      <c r="BF358" s="297"/>
      <c r="BG358" s="297"/>
      <c r="BH358" s="297"/>
      <c r="BI358" s="152"/>
      <c r="BJ358" s="170"/>
      <c r="BK358" s="148"/>
      <c r="BL358" s="324"/>
      <c r="BM358" s="324"/>
      <c r="BN358" s="170"/>
      <c r="BO358" s="149"/>
      <c r="BP358" s="170"/>
      <c r="BQ358" s="149"/>
      <c r="BR358" s="170"/>
      <c r="BS358" s="171"/>
      <c r="BT358" s="706"/>
    </row>
    <row r="359" spans="1:72" s="2" customFormat="1" ht="24.9" customHeight="1">
      <c r="A359" s="147"/>
      <c r="B359" s="158"/>
      <c r="C359" s="179"/>
      <c r="D359" s="158"/>
      <c r="E359" s="160"/>
      <c r="F359" s="161"/>
      <c r="G359" s="161"/>
      <c r="H359" s="161"/>
      <c r="I359" s="163"/>
      <c r="J359" s="161"/>
      <c r="K359" s="163"/>
      <c r="L359" s="150"/>
      <c r="M359" s="164"/>
      <c r="N359" s="150"/>
      <c r="O359" s="151"/>
      <c r="P359" s="522"/>
      <c r="Q359" s="522"/>
      <c r="R359" s="154"/>
      <c r="S359" s="155"/>
      <c r="T359" s="156"/>
      <c r="U359" s="154"/>
      <c r="V359" s="155"/>
      <c r="W359" s="155"/>
      <c r="X359" s="419"/>
      <c r="Y359" s="157"/>
      <c r="Z359" s="217"/>
      <c r="AA359" s="150"/>
      <c r="AB359" s="151"/>
      <c r="AC359" s="152"/>
      <c r="AD359" s="506"/>
      <c r="AE359" s="166"/>
      <c r="AF359" s="150"/>
      <c r="AG359" s="152"/>
      <c r="AH359" s="150"/>
      <c r="AI359" s="152"/>
      <c r="AJ359" s="150"/>
      <c r="AK359" s="152"/>
      <c r="AL359" s="150"/>
      <c r="AM359" s="151"/>
      <c r="AN359" s="151"/>
      <c r="AO359" s="169"/>
      <c r="AP359" s="169"/>
      <c r="AQ359" s="149"/>
      <c r="AR359" s="324"/>
      <c r="AS359" s="324"/>
      <c r="AT359" s="324"/>
      <c r="AU359" s="324"/>
      <c r="AV359" s="324"/>
      <c r="AW359" s="324"/>
      <c r="AX359" s="150"/>
      <c r="AY359" s="297"/>
      <c r="AZ359" s="297"/>
      <c r="BA359" s="297"/>
      <c r="BB359" s="297"/>
      <c r="BC359" s="152"/>
      <c r="BD359" s="150"/>
      <c r="BE359" s="297"/>
      <c r="BF359" s="297"/>
      <c r="BG359" s="297"/>
      <c r="BH359" s="297"/>
      <c r="BI359" s="152"/>
      <c r="BJ359" s="170"/>
      <c r="BK359" s="148"/>
      <c r="BL359" s="324"/>
      <c r="BM359" s="324"/>
      <c r="BN359" s="170"/>
      <c r="BO359" s="149"/>
      <c r="BP359" s="170"/>
      <c r="BQ359" s="149"/>
      <c r="BR359" s="170"/>
      <c r="BS359" s="171"/>
      <c r="BT359" s="708"/>
    </row>
    <row r="360" spans="1:72" s="2" customFormat="1" ht="24.9" customHeight="1">
      <c r="A360" s="147"/>
      <c r="B360" s="158"/>
      <c r="C360" s="179"/>
      <c r="D360" s="158"/>
      <c r="E360" s="160"/>
      <c r="F360" s="161"/>
      <c r="G360" s="161"/>
      <c r="H360" s="161"/>
      <c r="I360" s="163"/>
      <c r="J360" s="161"/>
      <c r="K360" s="163"/>
      <c r="L360" s="150"/>
      <c r="M360" s="164"/>
      <c r="N360" s="150"/>
      <c r="O360" s="174"/>
      <c r="P360" s="523"/>
      <c r="Q360" s="523"/>
      <c r="R360" s="154"/>
      <c r="S360" s="155"/>
      <c r="T360" s="156"/>
      <c r="U360" s="154"/>
      <c r="V360" s="155"/>
      <c r="W360" s="155"/>
      <c r="X360" s="419"/>
      <c r="Y360" s="157"/>
      <c r="Z360" s="217"/>
      <c r="AA360" s="150"/>
      <c r="AB360" s="151"/>
      <c r="AC360" s="152"/>
      <c r="AD360" s="506"/>
      <c r="AE360" s="166"/>
      <c r="AF360" s="150"/>
      <c r="AG360" s="152"/>
      <c r="AH360" s="150"/>
      <c r="AI360" s="152"/>
      <c r="AJ360" s="150"/>
      <c r="AK360" s="152"/>
      <c r="AL360" s="150"/>
      <c r="AM360" s="151"/>
      <c r="AN360" s="151"/>
      <c r="AO360" s="169"/>
      <c r="AP360" s="169"/>
      <c r="AQ360" s="149"/>
      <c r="AR360" s="324"/>
      <c r="AS360" s="324"/>
      <c r="AT360" s="324"/>
      <c r="AU360" s="324"/>
      <c r="AV360" s="324"/>
      <c r="AW360" s="324"/>
      <c r="AX360" s="150"/>
      <c r="AY360" s="297"/>
      <c r="AZ360" s="297"/>
      <c r="BA360" s="297"/>
      <c r="BB360" s="297"/>
      <c r="BC360" s="152"/>
      <c r="BD360" s="150"/>
      <c r="BE360" s="297"/>
      <c r="BF360" s="297"/>
      <c r="BG360" s="297"/>
      <c r="BH360" s="297"/>
      <c r="BI360" s="152"/>
      <c r="BJ360" s="170"/>
      <c r="BK360" s="148"/>
      <c r="BL360" s="324"/>
      <c r="BM360" s="324"/>
      <c r="BN360" s="170"/>
      <c r="BO360" s="149"/>
      <c r="BP360" s="170"/>
      <c r="BQ360" s="149"/>
      <c r="BR360" s="170"/>
      <c r="BS360" s="171"/>
      <c r="BT360" s="707"/>
    </row>
    <row r="361" spans="1:72" s="2" customFormat="1" ht="24.9" customHeight="1">
      <c r="A361" s="147"/>
      <c r="B361" s="158"/>
      <c r="C361" s="179"/>
      <c r="D361" s="158"/>
      <c r="E361" s="160"/>
      <c r="F361" s="161"/>
      <c r="G361" s="161"/>
      <c r="H361" s="161"/>
      <c r="I361" s="163"/>
      <c r="J361" s="161"/>
      <c r="K361" s="163"/>
      <c r="L361" s="150"/>
      <c r="M361" s="164"/>
      <c r="N361" s="150"/>
      <c r="O361" s="151"/>
      <c r="P361" s="522"/>
      <c r="Q361" s="522"/>
      <c r="R361" s="154"/>
      <c r="S361" s="155"/>
      <c r="T361" s="156"/>
      <c r="U361" s="154"/>
      <c r="V361" s="155"/>
      <c r="W361" s="155"/>
      <c r="X361" s="419"/>
      <c r="Y361" s="157"/>
      <c r="Z361" s="217"/>
      <c r="AA361" s="150"/>
      <c r="AB361" s="151"/>
      <c r="AC361" s="152"/>
      <c r="AD361" s="506"/>
      <c r="AE361" s="166"/>
      <c r="AF361" s="150"/>
      <c r="AG361" s="152"/>
      <c r="AH361" s="150"/>
      <c r="AI361" s="152"/>
      <c r="AJ361" s="150"/>
      <c r="AK361" s="152"/>
      <c r="AL361" s="150"/>
      <c r="AM361" s="151"/>
      <c r="AN361" s="151"/>
      <c r="AO361" s="169"/>
      <c r="AP361" s="169"/>
      <c r="AQ361" s="149"/>
      <c r="AR361" s="324"/>
      <c r="AS361" s="324"/>
      <c r="AT361" s="324"/>
      <c r="AU361" s="324"/>
      <c r="AV361" s="324"/>
      <c r="AW361" s="324"/>
      <c r="AX361" s="150"/>
      <c r="AY361" s="297"/>
      <c r="AZ361" s="297"/>
      <c r="BA361" s="297"/>
      <c r="BB361" s="297"/>
      <c r="BC361" s="152"/>
      <c r="BD361" s="150"/>
      <c r="BE361" s="297"/>
      <c r="BF361" s="297"/>
      <c r="BG361" s="297"/>
      <c r="BH361" s="297"/>
      <c r="BI361" s="152"/>
      <c r="BJ361" s="170"/>
      <c r="BK361" s="148"/>
      <c r="BL361" s="324"/>
      <c r="BM361" s="324"/>
      <c r="BN361" s="170"/>
      <c r="BO361" s="149"/>
      <c r="BP361" s="170"/>
      <c r="BQ361" s="149"/>
      <c r="BR361" s="170"/>
      <c r="BS361" s="171"/>
      <c r="BT361" s="706"/>
    </row>
    <row r="362" spans="1:72" s="2" customFormat="1" ht="24.9" customHeight="1">
      <c r="A362" s="147"/>
      <c r="B362" s="158"/>
      <c r="C362" s="179"/>
      <c r="D362" s="158"/>
      <c r="E362" s="160"/>
      <c r="F362" s="161"/>
      <c r="G362" s="161"/>
      <c r="H362" s="161"/>
      <c r="I362" s="163"/>
      <c r="J362" s="161"/>
      <c r="K362" s="163"/>
      <c r="L362" s="150"/>
      <c r="M362" s="164"/>
      <c r="N362" s="150"/>
      <c r="O362" s="174"/>
      <c r="P362" s="523"/>
      <c r="Q362" s="523"/>
      <c r="R362" s="154"/>
      <c r="S362" s="155"/>
      <c r="T362" s="156"/>
      <c r="U362" s="154"/>
      <c r="V362" s="155"/>
      <c r="W362" s="155"/>
      <c r="X362" s="419"/>
      <c r="Y362" s="157"/>
      <c r="Z362" s="217"/>
      <c r="AA362" s="150"/>
      <c r="AB362" s="151"/>
      <c r="AC362" s="152"/>
      <c r="AD362" s="506"/>
      <c r="AE362" s="166"/>
      <c r="AF362" s="150"/>
      <c r="AG362" s="152"/>
      <c r="AH362" s="150"/>
      <c r="AI362" s="152"/>
      <c r="AJ362" s="150"/>
      <c r="AK362" s="152"/>
      <c r="AL362" s="150"/>
      <c r="AM362" s="151"/>
      <c r="AN362" s="151"/>
      <c r="AO362" s="169"/>
      <c r="AP362" s="169"/>
      <c r="AQ362" s="149"/>
      <c r="AR362" s="324"/>
      <c r="AS362" s="324"/>
      <c r="AT362" s="324"/>
      <c r="AU362" s="324"/>
      <c r="AV362" s="324"/>
      <c r="AW362" s="324"/>
      <c r="AX362" s="150"/>
      <c r="AY362" s="297"/>
      <c r="AZ362" s="297"/>
      <c r="BA362" s="297"/>
      <c r="BB362" s="297"/>
      <c r="BC362" s="152"/>
      <c r="BD362" s="150"/>
      <c r="BE362" s="297"/>
      <c r="BF362" s="297"/>
      <c r="BG362" s="297"/>
      <c r="BH362" s="297"/>
      <c r="BI362" s="152"/>
      <c r="BJ362" s="170"/>
      <c r="BK362" s="148"/>
      <c r="BL362" s="324"/>
      <c r="BM362" s="324"/>
      <c r="BN362" s="170"/>
      <c r="BO362" s="149"/>
      <c r="BP362" s="170"/>
      <c r="BQ362" s="149"/>
      <c r="BR362" s="170"/>
      <c r="BS362" s="171"/>
      <c r="BT362" s="708"/>
    </row>
    <row r="363" spans="1:72" s="2" customFormat="1" ht="24.9" customHeight="1">
      <c r="A363" s="147"/>
      <c r="B363" s="158"/>
      <c r="C363" s="179"/>
      <c r="D363" s="158"/>
      <c r="E363" s="160"/>
      <c r="F363" s="161"/>
      <c r="G363" s="161"/>
      <c r="H363" s="161"/>
      <c r="I363" s="163"/>
      <c r="J363" s="161"/>
      <c r="K363" s="163"/>
      <c r="L363" s="150"/>
      <c r="M363" s="164"/>
      <c r="N363" s="150"/>
      <c r="O363" s="174"/>
      <c r="P363" s="523"/>
      <c r="Q363" s="523"/>
      <c r="R363" s="154"/>
      <c r="S363" s="155"/>
      <c r="T363" s="156"/>
      <c r="U363" s="154"/>
      <c r="V363" s="155"/>
      <c r="W363" s="155"/>
      <c r="X363" s="419"/>
      <c r="Y363" s="157"/>
      <c r="Z363" s="217"/>
      <c r="AA363" s="150"/>
      <c r="AB363" s="151"/>
      <c r="AC363" s="152"/>
      <c r="AD363" s="506"/>
      <c r="AE363" s="166"/>
      <c r="AF363" s="150"/>
      <c r="AG363" s="152"/>
      <c r="AH363" s="150"/>
      <c r="AI363" s="152"/>
      <c r="AJ363" s="150"/>
      <c r="AK363" s="152"/>
      <c r="AL363" s="150"/>
      <c r="AM363" s="151"/>
      <c r="AN363" s="151"/>
      <c r="AO363" s="169"/>
      <c r="AP363" s="169"/>
      <c r="AQ363" s="149"/>
      <c r="AR363" s="324"/>
      <c r="AS363" s="324"/>
      <c r="AT363" s="324"/>
      <c r="AU363" s="324"/>
      <c r="AV363" s="324"/>
      <c r="AW363" s="324"/>
      <c r="AX363" s="150"/>
      <c r="AY363" s="297"/>
      <c r="AZ363" s="297"/>
      <c r="BA363" s="297"/>
      <c r="BB363" s="297"/>
      <c r="BC363" s="152"/>
      <c r="BD363" s="150"/>
      <c r="BE363" s="297"/>
      <c r="BF363" s="297"/>
      <c r="BG363" s="297"/>
      <c r="BH363" s="297"/>
      <c r="BI363" s="152"/>
      <c r="BJ363" s="170"/>
      <c r="BK363" s="148"/>
      <c r="BL363" s="324"/>
      <c r="BM363" s="324"/>
      <c r="BN363" s="170"/>
      <c r="BO363" s="149"/>
      <c r="BP363" s="170"/>
      <c r="BQ363" s="149"/>
      <c r="BR363" s="170"/>
      <c r="BS363" s="171"/>
      <c r="BT363" s="707"/>
    </row>
    <row r="364" spans="1:72" s="2" customFormat="1" ht="24.9" customHeight="1">
      <c r="A364" s="147"/>
      <c r="B364" s="158"/>
      <c r="C364" s="179"/>
      <c r="D364" s="158"/>
      <c r="E364" s="160"/>
      <c r="F364" s="161"/>
      <c r="G364" s="161"/>
      <c r="H364" s="161"/>
      <c r="I364" s="163"/>
      <c r="J364" s="161"/>
      <c r="K364" s="163"/>
      <c r="L364" s="150"/>
      <c r="M364" s="164"/>
      <c r="N364" s="150"/>
      <c r="O364" s="174"/>
      <c r="P364" s="523"/>
      <c r="Q364" s="523"/>
      <c r="R364" s="154"/>
      <c r="S364" s="155"/>
      <c r="T364" s="156"/>
      <c r="U364" s="154"/>
      <c r="V364" s="155"/>
      <c r="W364" s="155"/>
      <c r="X364" s="419"/>
      <c r="Y364" s="157"/>
      <c r="Z364" s="217"/>
      <c r="AA364" s="150"/>
      <c r="AB364" s="151"/>
      <c r="AC364" s="152"/>
      <c r="AD364" s="506"/>
      <c r="AE364" s="166"/>
      <c r="AF364" s="150"/>
      <c r="AG364" s="152"/>
      <c r="AH364" s="150"/>
      <c r="AI364" s="152"/>
      <c r="AJ364" s="150"/>
      <c r="AK364" s="152"/>
      <c r="AL364" s="150"/>
      <c r="AM364" s="151"/>
      <c r="AN364" s="151"/>
      <c r="AO364" s="169"/>
      <c r="AP364" s="169"/>
      <c r="AQ364" s="149"/>
      <c r="AR364" s="324"/>
      <c r="AS364" s="324"/>
      <c r="AT364" s="324"/>
      <c r="AU364" s="324"/>
      <c r="AV364" s="324"/>
      <c r="AW364" s="324"/>
      <c r="AX364" s="150"/>
      <c r="AY364" s="297"/>
      <c r="AZ364" s="297"/>
      <c r="BA364" s="297"/>
      <c r="BB364" s="297"/>
      <c r="BC364" s="152"/>
      <c r="BD364" s="150"/>
      <c r="BE364" s="297"/>
      <c r="BF364" s="297"/>
      <c r="BG364" s="297"/>
      <c r="BH364" s="297"/>
      <c r="BI364" s="152"/>
      <c r="BJ364" s="170"/>
      <c r="BK364" s="148"/>
      <c r="BL364" s="324"/>
      <c r="BM364" s="324"/>
      <c r="BN364" s="170"/>
      <c r="BO364" s="149"/>
      <c r="BP364" s="170"/>
      <c r="BQ364" s="149"/>
      <c r="BR364" s="170"/>
      <c r="BS364" s="171"/>
      <c r="BT364" s="706"/>
    </row>
    <row r="365" spans="1:72" s="2" customFormat="1" ht="24.9" customHeight="1">
      <c r="A365" s="147"/>
      <c r="B365" s="158"/>
      <c r="C365" s="179"/>
      <c r="D365" s="158"/>
      <c r="E365" s="160"/>
      <c r="F365" s="161"/>
      <c r="G365" s="161"/>
      <c r="H365" s="161"/>
      <c r="I365" s="163"/>
      <c r="J365" s="161"/>
      <c r="K365" s="163"/>
      <c r="L365" s="150"/>
      <c r="M365" s="164"/>
      <c r="N365" s="150"/>
      <c r="O365" s="174"/>
      <c r="P365" s="523"/>
      <c r="Q365" s="523"/>
      <c r="R365" s="154"/>
      <c r="S365" s="155"/>
      <c r="T365" s="156"/>
      <c r="U365" s="154"/>
      <c r="V365" s="155"/>
      <c r="W365" s="155"/>
      <c r="X365" s="419"/>
      <c r="Y365" s="157"/>
      <c r="Z365" s="217"/>
      <c r="AA365" s="150"/>
      <c r="AB365" s="151"/>
      <c r="AC365" s="152"/>
      <c r="AD365" s="506"/>
      <c r="AE365" s="166"/>
      <c r="AF365" s="150"/>
      <c r="AG365" s="152"/>
      <c r="AH365" s="150"/>
      <c r="AI365" s="152"/>
      <c r="AJ365" s="150"/>
      <c r="AK365" s="152"/>
      <c r="AL365" s="150"/>
      <c r="AM365" s="151"/>
      <c r="AN365" s="151"/>
      <c r="AO365" s="169"/>
      <c r="AP365" s="169"/>
      <c r="AQ365" s="149"/>
      <c r="AR365" s="324"/>
      <c r="AS365" s="324"/>
      <c r="AT365" s="324"/>
      <c r="AU365" s="324"/>
      <c r="AV365" s="324"/>
      <c r="AW365" s="324"/>
      <c r="AX365" s="150"/>
      <c r="AY365" s="297"/>
      <c r="AZ365" s="297"/>
      <c r="BA365" s="297"/>
      <c r="BB365" s="297"/>
      <c r="BC365" s="152"/>
      <c r="BD365" s="150"/>
      <c r="BE365" s="297"/>
      <c r="BF365" s="297"/>
      <c r="BG365" s="297"/>
      <c r="BH365" s="297"/>
      <c r="BI365" s="152"/>
      <c r="BJ365" s="170"/>
      <c r="BK365" s="148"/>
      <c r="BL365" s="324"/>
      <c r="BM365" s="324"/>
      <c r="BN365" s="170"/>
      <c r="BO365" s="149"/>
      <c r="BP365" s="170"/>
      <c r="BQ365" s="149"/>
      <c r="BR365" s="170"/>
      <c r="BS365" s="171"/>
      <c r="BT365" s="707"/>
    </row>
    <row r="366" spans="1:72" s="2" customFormat="1" ht="24.9" customHeight="1">
      <c r="A366" s="147"/>
      <c r="B366" s="158"/>
      <c r="C366" s="179"/>
      <c r="D366" s="158"/>
      <c r="E366" s="160"/>
      <c r="F366" s="161"/>
      <c r="G366" s="161"/>
      <c r="H366" s="161"/>
      <c r="I366" s="163"/>
      <c r="J366" s="161"/>
      <c r="K366" s="163"/>
      <c r="L366" s="150"/>
      <c r="M366" s="164"/>
      <c r="N366" s="150"/>
      <c r="O366" s="174"/>
      <c r="P366" s="523"/>
      <c r="Q366" s="523"/>
      <c r="R366" s="154"/>
      <c r="S366" s="155"/>
      <c r="T366" s="156"/>
      <c r="U366" s="154"/>
      <c r="V366" s="155"/>
      <c r="W366" s="155"/>
      <c r="X366" s="419"/>
      <c r="Y366" s="157"/>
      <c r="Z366" s="217"/>
      <c r="AA366" s="150"/>
      <c r="AB366" s="151"/>
      <c r="AC366" s="152"/>
      <c r="AD366" s="506"/>
      <c r="AE366" s="166"/>
      <c r="AF366" s="150"/>
      <c r="AG366" s="152"/>
      <c r="AH366" s="150"/>
      <c r="AI366" s="152"/>
      <c r="AJ366" s="150"/>
      <c r="AK366" s="152"/>
      <c r="AL366" s="150"/>
      <c r="AM366" s="151"/>
      <c r="AN366" s="151"/>
      <c r="AO366" s="169"/>
      <c r="AP366" s="169"/>
      <c r="AQ366" s="149"/>
      <c r="AR366" s="324"/>
      <c r="AS366" s="324"/>
      <c r="AT366" s="324"/>
      <c r="AU366" s="324"/>
      <c r="AV366" s="324"/>
      <c r="AW366" s="324"/>
      <c r="AX366" s="150"/>
      <c r="AY366" s="297"/>
      <c r="AZ366" s="297"/>
      <c r="BA366" s="297"/>
      <c r="BB366" s="297"/>
      <c r="BC366" s="152"/>
      <c r="BD366" s="150"/>
      <c r="BE366" s="297"/>
      <c r="BF366" s="297"/>
      <c r="BG366" s="297"/>
      <c r="BH366" s="297"/>
      <c r="BI366" s="152"/>
      <c r="BJ366" s="170"/>
      <c r="BK366" s="148"/>
      <c r="BL366" s="324"/>
      <c r="BM366" s="324"/>
      <c r="BN366" s="170"/>
      <c r="BO366" s="149"/>
      <c r="BP366" s="170"/>
      <c r="BQ366" s="149"/>
      <c r="BR366" s="170"/>
      <c r="BS366" s="171"/>
      <c r="BT366" s="706"/>
    </row>
    <row r="367" spans="1:72" s="2" customFormat="1" ht="24.9" customHeight="1">
      <c r="A367" s="147"/>
      <c r="B367" s="158"/>
      <c r="C367" s="179"/>
      <c r="D367" s="158"/>
      <c r="E367" s="160"/>
      <c r="F367" s="161"/>
      <c r="G367" s="161"/>
      <c r="H367" s="161"/>
      <c r="I367" s="163"/>
      <c r="J367" s="161"/>
      <c r="K367" s="163"/>
      <c r="L367" s="150"/>
      <c r="M367" s="164"/>
      <c r="N367" s="150"/>
      <c r="O367" s="151"/>
      <c r="P367" s="522"/>
      <c r="Q367" s="522"/>
      <c r="R367" s="154"/>
      <c r="S367" s="155"/>
      <c r="T367" s="156"/>
      <c r="U367" s="154"/>
      <c r="V367" s="155"/>
      <c r="W367" s="155"/>
      <c r="X367" s="419"/>
      <c r="Y367" s="157"/>
      <c r="Z367" s="217"/>
      <c r="AA367" s="150"/>
      <c r="AB367" s="151"/>
      <c r="AC367" s="152"/>
      <c r="AD367" s="506"/>
      <c r="AE367" s="166"/>
      <c r="AF367" s="150"/>
      <c r="AG367" s="152"/>
      <c r="AH367" s="150"/>
      <c r="AI367" s="152"/>
      <c r="AJ367" s="150"/>
      <c r="AK367" s="152"/>
      <c r="AL367" s="150"/>
      <c r="AM367" s="151"/>
      <c r="AN367" s="151"/>
      <c r="AO367" s="169"/>
      <c r="AP367" s="169"/>
      <c r="AQ367" s="149"/>
      <c r="AR367" s="324"/>
      <c r="AS367" s="324"/>
      <c r="AT367" s="324"/>
      <c r="AU367" s="324"/>
      <c r="AV367" s="324"/>
      <c r="AW367" s="324"/>
      <c r="AX367" s="150"/>
      <c r="AY367" s="297"/>
      <c r="AZ367" s="297"/>
      <c r="BA367" s="297"/>
      <c r="BB367" s="297"/>
      <c r="BC367" s="152"/>
      <c r="BD367" s="150"/>
      <c r="BE367" s="297"/>
      <c r="BF367" s="297"/>
      <c r="BG367" s="297"/>
      <c r="BH367" s="297"/>
      <c r="BI367" s="152"/>
      <c r="BJ367" s="170"/>
      <c r="BK367" s="148"/>
      <c r="BL367" s="324"/>
      <c r="BM367" s="324"/>
      <c r="BN367" s="170"/>
      <c r="BO367" s="149"/>
      <c r="BP367" s="170"/>
      <c r="BQ367" s="149"/>
      <c r="BR367" s="170"/>
      <c r="BS367" s="171"/>
      <c r="BT367" s="708"/>
    </row>
    <row r="368" spans="1:72" s="2" customFormat="1" ht="24.9" customHeight="1">
      <c r="A368" s="147"/>
      <c r="B368" s="158"/>
      <c r="C368" s="179"/>
      <c r="D368" s="158"/>
      <c r="E368" s="160"/>
      <c r="F368" s="161"/>
      <c r="G368" s="161"/>
      <c r="H368" s="161"/>
      <c r="I368" s="163"/>
      <c r="J368" s="161"/>
      <c r="K368" s="163"/>
      <c r="L368" s="150"/>
      <c r="M368" s="164"/>
      <c r="N368" s="150"/>
      <c r="O368" s="174"/>
      <c r="P368" s="523"/>
      <c r="Q368" s="523"/>
      <c r="R368" s="154"/>
      <c r="S368" s="155"/>
      <c r="T368" s="156"/>
      <c r="U368" s="154"/>
      <c r="V368" s="155"/>
      <c r="W368" s="155"/>
      <c r="X368" s="419"/>
      <c r="Y368" s="157"/>
      <c r="Z368" s="217"/>
      <c r="AA368" s="150"/>
      <c r="AB368" s="151"/>
      <c r="AC368" s="152"/>
      <c r="AD368" s="506"/>
      <c r="AE368" s="166"/>
      <c r="AF368" s="150"/>
      <c r="AG368" s="152"/>
      <c r="AH368" s="150"/>
      <c r="AI368" s="152"/>
      <c r="AJ368" s="150"/>
      <c r="AK368" s="152"/>
      <c r="AL368" s="150"/>
      <c r="AM368" s="151"/>
      <c r="AN368" s="151"/>
      <c r="AO368" s="169"/>
      <c r="AP368" s="169"/>
      <c r="AQ368" s="149"/>
      <c r="AR368" s="324"/>
      <c r="AS368" s="324"/>
      <c r="AT368" s="324"/>
      <c r="AU368" s="324"/>
      <c r="AV368" s="324"/>
      <c r="AW368" s="324"/>
      <c r="AX368" s="150"/>
      <c r="AY368" s="297"/>
      <c r="AZ368" s="297"/>
      <c r="BA368" s="297"/>
      <c r="BB368" s="297"/>
      <c r="BC368" s="152"/>
      <c r="BD368" s="150"/>
      <c r="BE368" s="297"/>
      <c r="BF368" s="297"/>
      <c r="BG368" s="297"/>
      <c r="BH368" s="297"/>
      <c r="BI368" s="152"/>
      <c r="BJ368" s="170"/>
      <c r="BK368" s="148"/>
      <c r="BL368" s="324"/>
      <c r="BM368" s="324"/>
      <c r="BN368" s="170"/>
      <c r="BO368" s="149"/>
      <c r="BP368" s="170"/>
      <c r="BQ368" s="149"/>
      <c r="BR368" s="170"/>
      <c r="BS368" s="171"/>
      <c r="BT368" s="707"/>
    </row>
    <row r="369" spans="1:72" s="2" customFormat="1" ht="24.9" customHeight="1">
      <c r="A369" s="147"/>
      <c r="B369" s="158"/>
      <c r="C369" s="179"/>
      <c r="D369" s="158"/>
      <c r="E369" s="160"/>
      <c r="F369" s="161"/>
      <c r="G369" s="161"/>
      <c r="H369" s="161"/>
      <c r="I369" s="163"/>
      <c r="J369" s="161"/>
      <c r="K369" s="163"/>
      <c r="L369" s="150"/>
      <c r="M369" s="164"/>
      <c r="N369" s="150"/>
      <c r="O369" s="174"/>
      <c r="P369" s="523"/>
      <c r="Q369" s="523"/>
      <c r="R369" s="154"/>
      <c r="S369" s="155"/>
      <c r="T369" s="156"/>
      <c r="U369" s="154"/>
      <c r="V369" s="155"/>
      <c r="W369" s="155"/>
      <c r="X369" s="419"/>
      <c r="Y369" s="157"/>
      <c r="Z369" s="217"/>
      <c r="AA369" s="150"/>
      <c r="AB369" s="151"/>
      <c r="AC369" s="152"/>
      <c r="AD369" s="506"/>
      <c r="AE369" s="166"/>
      <c r="AF369" s="150"/>
      <c r="AG369" s="152"/>
      <c r="AH369" s="150"/>
      <c r="AI369" s="152"/>
      <c r="AJ369" s="150"/>
      <c r="AK369" s="152"/>
      <c r="AL369" s="150"/>
      <c r="AM369" s="151"/>
      <c r="AN369" s="151"/>
      <c r="AO369" s="169"/>
      <c r="AP369" s="169"/>
      <c r="AQ369" s="149"/>
      <c r="AR369" s="324"/>
      <c r="AS369" s="324"/>
      <c r="AT369" s="324"/>
      <c r="AU369" s="324"/>
      <c r="AV369" s="324"/>
      <c r="AW369" s="324"/>
      <c r="AX369" s="150"/>
      <c r="AY369" s="297"/>
      <c r="AZ369" s="297"/>
      <c r="BA369" s="297"/>
      <c r="BB369" s="297"/>
      <c r="BC369" s="152"/>
      <c r="BD369" s="150"/>
      <c r="BE369" s="297"/>
      <c r="BF369" s="297"/>
      <c r="BG369" s="297"/>
      <c r="BH369" s="297"/>
      <c r="BI369" s="152"/>
      <c r="BJ369" s="170"/>
      <c r="BK369" s="148"/>
      <c r="BL369" s="324"/>
      <c r="BM369" s="324"/>
      <c r="BN369" s="170"/>
      <c r="BO369" s="149"/>
      <c r="BP369" s="170"/>
      <c r="BQ369" s="149"/>
      <c r="BR369" s="170"/>
      <c r="BS369" s="171"/>
      <c r="BT369" s="706"/>
    </row>
    <row r="370" spans="1:72" s="2" customFormat="1" ht="24.9" customHeight="1">
      <c r="A370" s="147"/>
      <c r="B370" s="158"/>
      <c r="C370" s="179"/>
      <c r="D370" s="158"/>
      <c r="E370" s="160"/>
      <c r="F370" s="161"/>
      <c r="G370" s="161"/>
      <c r="H370" s="161"/>
      <c r="I370" s="163"/>
      <c r="J370" s="161"/>
      <c r="K370" s="163"/>
      <c r="L370" s="150"/>
      <c r="M370" s="164"/>
      <c r="N370" s="150"/>
      <c r="O370" s="174"/>
      <c r="P370" s="523"/>
      <c r="Q370" s="523"/>
      <c r="R370" s="154"/>
      <c r="S370" s="155"/>
      <c r="T370" s="156"/>
      <c r="U370" s="154"/>
      <c r="V370" s="155"/>
      <c r="W370" s="155"/>
      <c r="X370" s="419"/>
      <c r="Y370" s="157"/>
      <c r="Z370" s="217"/>
      <c r="AA370" s="150"/>
      <c r="AB370" s="151"/>
      <c r="AC370" s="152"/>
      <c r="AD370" s="506"/>
      <c r="AE370" s="166"/>
      <c r="AF370" s="150"/>
      <c r="AG370" s="152"/>
      <c r="AH370" s="150"/>
      <c r="AI370" s="152"/>
      <c r="AJ370" s="150"/>
      <c r="AK370" s="152"/>
      <c r="AL370" s="150"/>
      <c r="AM370" s="151"/>
      <c r="AN370" s="151"/>
      <c r="AO370" s="169"/>
      <c r="AP370" s="169"/>
      <c r="AQ370" s="149"/>
      <c r="AR370" s="324"/>
      <c r="AS370" s="324"/>
      <c r="AT370" s="324"/>
      <c r="AU370" s="324"/>
      <c r="AV370" s="324"/>
      <c r="AW370" s="324"/>
      <c r="AX370" s="150"/>
      <c r="AY370" s="297"/>
      <c r="AZ370" s="297"/>
      <c r="BA370" s="297"/>
      <c r="BB370" s="297"/>
      <c r="BC370" s="152"/>
      <c r="BD370" s="150"/>
      <c r="BE370" s="297"/>
      <c r="BF370" s="297"/>
      <c r="BG370" s="297"/>
      <c r="BH370" s="297"/>
      <c r="BI370" s="152"/>
      <c r="BJ370" s="170"/>
      <c r="BK370" s="148"/>
      <c r="BL370" s="324"/>
      <c r="BM370" s="324"/>
      <c r="BN370" s="170"/>
      <c r="BO370" s="149"/>
      <c r="BP370" s="170"/>
      <c r="BQ370" s="149"/>
      <c r="BR370" s="170"/>
      <c r="BS370" s="171"/>
      <c r="BT370" s="708"/>
    </row>
    <row r="371" spans="1:72" s="2" customFormat="1" ht="24.9" customHeight="1">
      <c r="A371" s="147"/>
      <c r="B371" s="158"/>
      <c r="C371" s="179"/>
      <c r="D371" s="158"/>
      <c r="E371" s="160"/>
      <c r="F371" s="161"/>
      <c r="G371" s="161"/>
      <c r="H371" s="161"/>
      <c r="I371" s="163"/>
      <c r="J371" s="161"/>
      <c r="K371" s="163"/>
      <c r="L371" s="150"/>
      <c r="M371" s="164"/>
      <c r="N371" s="150"/>
      <c r="O371" s="151"/>
      <c r="P371" s="522"/>
      <c r="Q371" s="522"/>
      <c r="R371" s="154"/>
      <c r="S371" s="155"/>
      <c r="T371" s="156"/>
      <c r="U371" s="154"/>
      <c r="V371" s="155"/>
      <c r="W371" s="155"/>
      <c r="X371" s="419"/>
      <c r="Y371" s="157"/>
      <c r="Z371" s="217"/>
      <c r="AA371" s="150"/>
      <c r="AB371" s="151"/>
      <c r="AC371" s="152"/>
      <c r="AD371" s="506"/>
      <c r="AE371" s="166"/>
      <c r="AF371" s="150"/>
      <c r="AG371" s="152"/>
      <c r="AH371" s="150"/>
      <c r="AI371" s="152"/>
      <c r="AJ371" s="150"/>
      <c r="AK371" s="152"/>
      <c r="AL371" s="150"/>
      <c r="AM371" s="151"/>
      <c r="AN371" s="151"/>
      <c r="AO371" s="169"/>
      <c r="AP371" s="169"/>
      <c r="AQ371" s="149"/>
      <c r="AR371" s="324"/>
      <c r="AS371" s="324"/>
      <c r="AT371" s="324"/>
      <c r="AU371" s="324"/>
      <c r="AV371" s="324"/>
      <c r="AW371" s="324"/>
      <c r="AX371" s="150"/>
      <c r="AY371" s="297"/>
      <c r="AZ371" s="297"/>
      <c r="BA371" s="297"/>
      <c r="BB371" s="297"/>
      <c r="BC371" s="152"/>
      <c r="BD371" s="150"/>
      <c r="BE371" s="297"/>
      <c r="BF371" s="297"/>
      <c r="BG371" s="297"/>
      <c r="BH371" s="297"/>
      <c r="BI371" s="152"/>
      <c r="BJ371" s="170"/>
      <c r="BK371" s="148"/>
      <c r="BL371" s="324"/>
      <c r="BM371" s="324"/>
      <c r="BN371" s="170"/>
      <c r="BO371" s="149"/>
      <c r="BP371" s="170"/>
      <c r="BQ371" s="149"/>
      <c r="BR371" s="170"/>
      <c r="BS371" s="171"/>
      <c r="BT371" s="707"/>
    </row>
    <row r="372" spans="1:72" s="2" customFormat="1" ht="24.9" customHeight="1">
      <c r="A372" s="147"/>
      <c r="B372" s="158"/>
      <c r="C372" s="179"/>
      <c r="D372" s="158"/>
      <c r="E372" s="160"/>
      <c r="F372" s="161"/>
      <c r="G372" s="161"/>
      <c r="H372" s="161"/>
      <c r="I372" s="163"/>
      <c r="J372" s="161"/>
      <c r="K372" s="163"/>
      <c r="L372" s="150"/>
      <c r="M372" s="164"/>
      <c r="N372" s="150"/>
      <c r="O372" s="174"/>
      <c r="P372" s="523"/>
      <c r="Q372" s="523"/>
      <c r="R372" s="154"/>
      <c r="S372" s="155"/>
      <c r="T372" s="156"/>
      <c r="U372" s="154"/>
      <c r="V372" s="155"/>
      <c r="W372" s="155"/>
      <c r="X372" s="419"/>
      <c r="Y372" s="157"/>
      <c r="Z372" s="217"/>
      <c r="AA372" s="150"/>
      <c r="AB372" s="151"/>
      <c r="AC372" s="152"/>
      <c r="AD372" s="506"/>
      <c r="AE372" s="166"/>
      <c r="AF372" s="150"/>
      <c r="AG372" s="152"/>
      <c r="AH372" s="150"/>
      <c r="AI372" s="152"/>
      <c r="AJ372" s="150"/>
      <c r="AK372" s="152"/>
      <c r="AL372" s="150"/>
      <c r="AM372" s="151"/>
      <c r="AN372" s="151"/>
      <c r="AO372" s="169"/>
      <c r="AP372" s="169"/>
      <c r="AQ372" s="149"/>
      <c r="AR372" s="324"/>
      <c r="AS372" s="324"/>
      <c r="AT372" s="324"/>
      <c r="AU372" s="324"/>
      <c r="AV372" s="324"/>
      <c r="AW372" s="324"/>
      <c r="AX372" s="150"/>
      <c r="AY372" s="297"/>
      <c r="AZ372" s="297"/>
      <c r="BA372" s="297"/>
      <c r="BB372" s="297"/>
      <c r="BC372" s="152"/>
      <c r="BD372" s="150"/>
      <c r="BE372" s="297"/>
      <c r="BF372" s="297"/>
      <c r="BG372" s="297"/>
      <c r="BH372" s="297"/>
      <c r="BI372" s="152"/>
      <c r="BJ372" s="170"/>
      <c r="BK372" s="148"/>
      <c r="BL372" s="324"/>
      <c r="BM372" s="324"/>
      <c r="BN372" s="170"/>
      <c r="BO372" s="149"/>
      <c r="BP372" s="170"/>
      <c r="BQ372" s="149"/>
      <c r="BR372" s="170"/>
      <c r="BS372" s="171"/>
      <c r="BT372" s="706"/>
    </row>
    <row r="373" spans="1:72" s="2" customFormat="1" ht="24.9" customHeight="1">
      <c r="A373" s="147"/>
      <c r="B373" s="158"/>
      <c r="C373" s="179"/>
      <c r="D373" s="158"/>
      <c r="E373" s="160"/>
      <c r="F373" s="161"/>
      <c r="G373" s="161"/>
      <c r="H373" s="161"/>
      <c r="I373" s="163"/>
      <c r="J373" s="161"/>
      <c r="K373" s="163"/>
      <c r="L373" s="150"/>
      <c r="M373" s="164"/>
      <c r="N373" s="150"/>
      <c r="O373" s="174"/>
      <c r="P373" s="523"/>
      <c r="Q373" s="523"/>
      <c r="R373" s="154"/>
      <c r="S373" s="155"/>
      <c r="T373" s="156"/>
      <c r="U373" s="154"/>
      <c r="V373" s="155"/>
      <c r="W373" s="155"/>
      <c r="X373" s="419"/>
      <c r="Y373" s="157"/>
      <c r="Z373" s="217"/>
      <c r="AA373" s="150"/>
      <c r="AB373" s="151"/>
      <c r="AC373" s="152"/>
      <c r="AD373" s="506"/>
      <c r="AE373" s="166"/>
      <c r="AF373" s="150"/>
      <c r="AG373" s="152"/>
      <c r="AH373" s="150"/>
      <c r="AI373" s="152"/>
      <c r="AJ373" s="150"/>
      <c r="AK373" s="152"/>
      <c r="AL373" s="150"/>
      <c r="AM373" s="151"/>
      <c r="AN373" s="151"/>
      <c r="AO373" s="169"/>
      <c r="AP373" s="169"/>
      <c r="AQ373" s="149"/>
      <c r="AR373" s="324"/>
      <c r="AS373" s="324"/>
      <c r="AT373" s="324"/>
      <c r="AU373" s="324"/>
      <c r="AV373" s="324"/>
      <c r="AW373" s="324"/>
      <c r="AX373" s="150"/>
      <c r="AY373" s="297"/>
      <c r="AZ373" s="297"/>
      <c r="BA373" s="297"/>
      <c r="BB373" s="297"/>
      <c r="BC373" s="152"/>
      <c r="BD373" s="150"/>
      <c r="BE373" s="297"/>
      <c r="BF373" s="297"/>
      <c r="BG373" s="297"/>
      <c r="BH373" s="297"/>
      <c r="BI373" s="152"/>
      <c r="BJ373" s="170"/>
      <c r="BK373" s="148"/>
      <c r="BL373" s="324"/>
      <c r="BM373" s="324"/>
      <c r="BN373" s="170"/>
      <c r="BO373" s="149"/>
      <c r="BP373" s="170"/>
      <c r="BQ373" s="149"/>
      <c r="BR373" s="170"/>
      <c r="BS373" s="171"/>
      <c r="BT373" s="708"/>
    </row>
    <row r="374" spans="1:72" s="2" customFormat="1" ht="24.9" customHeight="1">
      <c r="A374" s="147"/>
      <c r="B374" s="158"/>
      <c r="C374" s="179"/>
      <c r="D374" s="158"/>
      <c r="E374" s="160"/>
      <c r="F374" s="161"/>
      <c r="G374" s="161"/>
      <c r="H374" s="161"/>
      <c r="I374" s="163"/>
      <c r="J374" s="161"/>
      <c r="K374" s="163"/>
      <c r="L374" s="150"/>
      <c r="M374" s="164"/>
      <c r="N374" s="150"/>
      <c r="O374" s="151"/>
      <c r="P374" s="522"/>
      <c r="Q374" s="522"/>
      <c r="R374" s="154"/>
      <c r="S374" s="155"/>
      <c r="T374" s="156"/>
      <c r="U374" s="154"/>
      <c r="V374" s="155"/>
      <c r="W374" s="155"/>
      <c r="X374" s="419"/>
      <c r="Y374" s="157"/>
      <c r="Z374" s="217"/>
      <c r="AA374" s="150"/>
      <c r="AB374" s="151"/>
      <c r="AC374" s="152"/>
      <c r="AD374" s="506"/>
      <c r="AE374" s="166"/>
      <c r="AF374" s="150"/>
      <c r="AG374" s="152"/>
      <c r="AH374" s="150"/>
      <c r="AI374" s="152"/>
      <c r="AJ374" s="150"/>
      <c r="AK374" s="152"/>
      <c r="AL374" s="150"/>
      <c r="AM374" s="151"/>
      <c r="AN374" s="151"/>
      <c r="AO374" s="169"/>
      <c r="AP374" s="169"/>
      <c r="AQ374" s="149"/>
      <c r="AR374" s="324"/>
      <c r="AS374" s="324"/>
      <c r="AT374" s="324"/>
      <c r="AU374" s="324"/>
      <c r="AV374" s="324"/>
      <c r="AW374" s="324"/>
      <c r="AX374" s="150"/>
      <c r="AY374" s="297"/>
      <c r="AZ374" s="297"/>
      <c r="BA374" s="297"/>
      <c r="BB374" s="297"/>
      <c r="BC374" s="152"/>
      <c r="BD374" s="150"/>
      <c r="BE374" s="297"/>
      <c r="BF374" s="297"/>
      <c r="BG374" s="297"/>
      <c r="BH374" s="297"/>
      <c r="BI374" s="152"/>
      <c r="BJ374" s="170"/>
      <c r="BK374" s="148"/>
      <c r="BL374" s="324"/>
      <c r="BM374" s="324"/>
      <c r="BN374" s="170"/>
      <c r="BO374" s="149"/>
      <c r="BP374" s="170"/>
      <c r="BQ374" s="149"/>
      <c r="BR374" s="170"/>
      <c r="BS374" s="171"/>
      <c r="BT374" s="707"/>
    </row>
    <row r="375" spans="1:72" s="2" customFormat="1" ht="24.9" customHeight="1">
      <c r="A375" s="147"/>
      <c r="B375" s="158"/>
      <c r="C375" s="179"/>
      <c r="D375" s="158"/>
      <c r="E375" s="160"/>
      <c r="F375" s="161"/>
      <c r="G375" s="161"/>
      <c r="H375" s="161"/>
      <c r="I375" s="163"/>
      <c r="J375" s="161"/>
      <c r="K375" s="163"/>
      <c r="L375" s="150"/>
      <c r="M375" s="164"/>
      <c r="N375" s="150"/>
      <c r="O375" s="174"/>
      <c r="P375" s="523"/>
      <c r="Q375" s="523"/>
      <c r="R375" s="154"/>
      <c r="S375" s="155"/>
      <c r="T375" s="156"/>
      <c r="U375" s="154"/>
      <c r="V375" s="155"/>
      <c r="W375" s="155"/>
      <c r="X375" s="419"/>
      <c r="Y375" s="157"/>
      <c r="Z375" s="217"/>
      <c r="AA375" s="150"/>
      <c r="AB375" s="151"/>
      <c r="AC375" s="152"/>
      <c r="AD375" s="506"/>
      <c r="AE375" s="166"/>
      <c r="AF375" s="150"/>
      <c r="AG375" s="152"/>
      <c r="AH375" s="150"/>
      <c r="AI375" s="152"/>
      <c r="AJ375" s="150"/>
      <c r="AK375" s="152"/>
      <c r="AL375" s="150"/>
      <c r="AM375" s="151"/>
      <c r="AN375" s="151"/>
      <c r="AO375" s="169"/>
      <c r="AP375" s="169"/>
      <c r="AQ375" s="149"/>
      <c r="AR375" s="324"/>
      <c r="AS375" s="324"/>
      <c r="AT375" s="324"/>
      <c r="AU375" s="324"/>
      <c r="AV375" s="324"/>
      <c r="AW375" s="324"/>
      <c r="AX375" s="150"/>
      <c r="AY375" s="297"/>
      <c r="AZ375" s="297"/>
      <c r="BA375" s="297"/>
      <c r="BB375" s="297"/>
      <c r="BC375" s="152"/>
      <c r="BD375" s="150"/>
      <c r="BE375" s="297"/>
      <c r="BF375" s="297"/>
      <c r="BG375" s="297"/>
      <c r="BH375" s="297"/>
      <c r="BI375" s="152"/>
      <c r="BJ375" s="170"/>
      <c r="BK375" s="148"/>
      <c r="BL375" s="324"/>
      <c r="BM375" s="324"/>
      <c r="BN375" s="170"/>
      <c r="BO375" s="149"/>
      <c r="BP375" s="170"/>
      <c r="BQ375" s="149"/>
      <c r="BR375" s="170"/>
      <c r="BS375" s="171"/>
      <c r="BT375" s="706"/>
    </row>
    <row r="376" spans="1:72" s="2" customFormat="1" ht="24.9" customHeight="1">
      <c r="A376" s="147"/>
      <c r="B376" s="158"/>
      <c r="C376" s="179"/>
      <c r="D376" s="158"/>
      <c r="E376" s="160"/>
      <c r="F376" s="161"/>
      <c r="G376" s="161"/>
      <c r="H376" s="161"/>
      <c r="I376" s="163"/>
      <c r="J376" s="161"/>
      <c r="K376" s="163"/>
      <c r="L376" s="150"/>
      <c r="M376" s="164"/>
      <c r="N376" s="150"/>
      <c r="O376" s="151"/>
      <c r="P376" s="522"/>
      <c r="Q376" s="522"/>
      <c r="R376" s="154"/>
      <c r="S376" s="155"/>
      <c r="T376" s="156"/>
      <c r="U376" s="154"/>
      <c r="V376" s="155"/>
      <c r="W376" s="155"/>
      <c r="X376" s="419"/>
      <c r="Y376" s="157"/>
      <c r="Z376" s="217"/>
      <c r="AA376" s="150"/>
      <c r="AB376" s="151"/>
      <c r="AC376" s="152"/>
      <c r="AD376" s="506"/>
      <c r="AE376" s="166"/>
      <c r="AF376" s="150"/>
      <c r="AG376" s="152"/>
      <c r="AH376" s="150"/>
      <c r="AI376" s="152"/>
      <c r="AJ376" s="150"/>
      <c r="AK376" s="152"/>
      <c r="AL376" s="150"/>
      <c r="AM376" s="151"/>
      <c r="AN376" s="151"/>
      <c r="AO376" s="169"/>
      <c r="AP376" s="169"/>
      <c r="AQ376" s="149"/>
      <c r="AR376" s="324"/>
      <c r="AS376" s="324"/>
      <c r="AT376" s="324"/>
      <c r="AU376" s="324"/>
      <c r="AV376" s="324"/>
      <c r="AW376" s="324"/>
      <c r="AX376" s="150"/>
      <c r="AY376" s="297"/>
      <c r="AZ376" s="297"/>
      <c r="BA376" s="297"/>
      <c r="BB376" s="297"/>
      <c r="BC376" s="152"/>
      <c r="BD376" s="150"/>
      <c r="BE376" s="297"/>
      <c r="BF376" s="297"/>
      <c r="BG376" s="297"/>
      <c r="BH376" s="297"/>
      <c r="BI376" s="152"/>
      <c r="BJ376" s="170"/>
      <c r="BK376" s="148"/>
      <c r="BL376" s="324"/>
      <c r="BM376" s="324"/>
      <c r="BN376" s="170"/>
      <c r="BO376" s="149"/>
      <c r="BP376" s="170"/>
      <c r="BQ376" s="149"/>
      <c r="BR376" s="170"/>
      <c r="BS376" s="171"/>
      <c r="BT376" s="708"/>
    </row>
    <row r="377" spans="1:72" s="2" customFormat="1" ht="24.9" customHeight="1">
      <c r="A377" s="147"/>
      <c r="B377" s="158"/>
      <c r="C377" s="179"/>
      <c r="D377" s="158"/>
      <c r="E377" s="160"/>
      <c r="F377" s="161"/>
      <c r="G377" s="161"/>
      <c r="H377" s="161"/>
      <c r="I377" s="163"/>
      <c r="J377" s="161"/>
      <c r="K377" s="163"/>
      <c r="L377" s="150"/>
      <c r="M377" s="164"/>
      <c r="N377" s="150"/>
      <c r="O377" s="174"/>
      <c r="P377" s="523"/>
      <c r="Q377" s="523"/>
      <c r="R377" s="154"/>
      <c r="S377" s="155"/>
      <c r="T377" s="156"/>
      <c r="U377" s="154"/>
      <c r="V377" s="155"/>
      <c r="W377" s="155"/>
      <c r="X377" s="419"/>
      <c r="Y377" s="157"/>
      <c r="Z377" s="217"/>
      <c r="AA377" s="150"/>
      <c r="AB377" s="151"/>
      <c r="AC377" s="152"/>
      <c r="AD377" s="506"/>
      <c r="AE377" s="166"/>
      <c r="AF377" s="150"/>
      <c r="AG377" s="152"/>
      <c r="AH377" s="150"/>
      <c r="AI377" s="152"/>
      <c r="AJ377" s="150"/>
      <c r="AK377" s="152"/>
      <c r="AL377" s="150"/>
      <c r="AM377" s="151"/>
      <c r="AN377" s="151"/>
      <c r="AO377" s="169"/>
      <c r="AP377" s="169"/>
      <c r="AQ377" s="149"/>
      <c r="AR377" s="324"/>
      <c r="AS377" s="324"/>
      <c r="AT377" s="324"/>
      <c r="AU377" s="324"/>
      <c r="AV377" s="324"/>
      <c r="AW377" s="324"/>
      <c r="AX377" s="150"/>
      <c r="AY377" s="297"/>
      <c r="AZ377" s="297"/>
      <c r="BA377" s="297"/>
      <c r="BB377" s="297"/>
      <c r="BC377" s="152"/>
      <c r="BD377" s="150"/>
      <c r="BE377" s="297"/>
      <c r="BF377" s="297"/>
      <c r="BG377" s="297"/>
      <c r="BH377" s="297"/>
      <c r="BI377" s="152"/>
      <c r="BJ377" s="170"/>
      <c r="BK377" s="148"/>
      <c r="BL377" s="324"/>
      <c r="BM377" s="324"/>
      <c r="BN377" s="170"/>
      <c r="BO377" s="149"/>
      <c r="BP377" s="170"/>
      <c r="BQ377" s="149"/>
      <c r="BR377" s="170"/>
      <c r="BS377" s="171"/>
      <c r="BT377" s="707"/>
    </row>
    <row r="378" spans="1:72" s="2" customFormat="1" ht="24.9" customHeight="1">
      <c r="A378" s="147"/>
      <c r="B378" s="158"/>
      <c r="C378" s="179"/>
      <c r="D378" s="158"/>
      <c r="E378" s="160"/>
      <c r="F378" s="161"/>
      <c r="G378" s="161"/>
      <c r="H378" s="161"/>
      <c r="I378" s="163"/>
      <c r="J378" s="161"/>
      <c r="K378" s="163"/>
      <c r="L378" s="150"/>
      <c r="M378" s="164"/>
      <c r="N378" s="150"/>
      <c r="O378" s="174"/>
      <c r="P378" s="523"/>
      <c r="Q378" s="523"/>
      <c r="R378" s="154"/>
      <c r="S378" s="155"/>
      <c r="T378" s="156"/>
      <c r="U378" s="154"/>
      <c r="V378" s="155"/>
      <c r="W378" s="155"/>
      <c r="X378" s="419"/>
      <c r="Y378" s="157"/>
      <c r="Z378" s="217"/>
      <c r="AA378" s="150"/>
      <c r="AB378" s="151"/>
      <c r="AC378" s="152"/>
      <c r="AD378" s="506"/>
      <c r="AE378" s="166"/>
      <c r="AF378" s="150"/>
      <c r="AG378" s="152"/>
      <c r="AH378" s="150"/>
      <c r="AI378" s="152"/>
      <c r="AJ378" s="150"/>
      <c r="AK378" s="152"/>
      <c r="AL378" s="150"/>
      <c r="AM378" s="151"/>
      <c r="AN378" s="151"/>
      <c r="AO378" s="169"/>
      <c r="AP378" s="169"/>
      <c r="AQ378" s="149"/>
      <c r="AR378" s="324"/>
      <c r="AS378" s="324"/>
      <c r="AT378" s="324"/>
      <c r="AU378" s="324"/>
      <c r="AV378" s="324"/>
      <c r="AW378" s="324"/>
      <c r="AX378" s="150"/>
      <c r="AY378" s="297"/>
      <c r="AZ378" s="297"/>
      <c r="BA378" s="297"/>
      <c r="BB378" s="297"/>
      <c r="BC378" s="152"/>
      <c r="BD378" s="150"/>
      <c r="BE378" s="297"/>
      <c r="BF378" s="297"/>
      <c r="BG378" s="297"/>
      <c r="BH378" s="297"/>
      <c r="BI378" s="152"/>
      <c r="BJ378" s="170"/>
      <c r="BK378" s="148"/>
      <c r="BL378" s="324"/>
      <c r="BM378" s="324"/>
      <c r="BN378" s="170"/>
      <c r="BO378" s="149"/>
      <c r="BP378" s="170"/>
      <c r="BQ378" s="149"/>
      <c r="BR378" s="170"/>
      <c r="BS378" s="171"/>
      <c r="BT378" s="706"/>
    </row>
    <row r="379" spans="1:72" s="2" customFormat="1" ht="24.9" customHeight="1">
      <c r="A379" s="147"/>
      <c r="B379" s="158"/>
      <c r="C379" s="179"/>
      <c r="D379" s="158"/>
      <c r="E379" s="160"/>
      <c r="F379" s="161"/>
      <c r="G379" s="161"/>
      <c r="H379" s="161"/>
      <c r="I379" s="163"/>
      <c r="J379" s="161"/>
      <c r="K379" s="163"/>
      <c r="L379" s="150"/>
      <c r="M379" s="164"/>
      <c r="N379" s="150"/>
      <c r="O379" s="174"/>
      <c r="P379" s="523"/>
      <c r="Q379" s="523"/>
      <c r="R379" s="154"/>
      <c r="S379" s="155"/>
      <c r="T379" s="156"/>
      <c r="U379" s="154"/>
      <c r="V379" s="155"/>
      <c r="W379" s="155"/>
      <c r="X379" s="419"/>
      <c r="Y379" s="157"/>
      <c r="Z379" s="217"/>
      <c r="AA379" s="150"/>
      <c r="AB379" s="151"/>
      <c r="AC379" s="152"/>
      <c r="AD379" s="506"/>
      <c r="AE379" s="166"/>
      <c r="AF379" s="150"/>
      <c r="AG379" s="152"/>
      <c r="AH379" s="150"/>
      <c r="AI379" s="152"/>
      <c r="AJ379" s="150"/>
      <c r="AK379" s="152"/>
      <c r="AL379" s="150"/>
      <c r="AM379" s="151"/>
      <c r="AN379" s="151"/>
      <c r="AO379" s="169"/>
      <c r="AP379" s="169"/>
      <c r="AQ379" s="149"/>
      <c r="AR379" s="324"/>
      <c r="AS379" s="324"/>
      <c r="AT379" s="324"/>
      <c r="AU379" s="324"/>
      <c r="AV379" s="324"/>
      <c r="AW379" s="324"/>
      <c r="AX379" s="150"/>
      <c r="AY379" s="297"/>
      <c r="AZ379" s="297"/>
      <c r="BA379" s="297"/>
      <c r="BB379" s="297"/>
      <c r="BC379" s="152"/>
      <c r="BD379" s="150"/>
      <c r="BE379" s="297"/>
      <c r="BF379" s="297"/>
      <c r="BG379" s="297"/>
      <c r="BH379" s="297"/>
      <c r="BI379" s="152"/>
      <c r="BJ379" s="170"/>
      <c r="BK379" s="148"/>
      <c r="BL379" s="324"/>
      <c r="BM379" s="324"/>
      <c r="BN379" s="170"/>
      <c r="BO379" s="149"/>
      <c r="BP379" s="170"/>
      <c r="BQ379" s="149"/>
      <c r="BR379" s="170"/>
      <c r="BS379" s="171"/>
      <c r="BT379" s="707"/>
    </row>
    <row r="380" spans="1:72" s="2" customFormat="1" ht="24.9" customHeight="1">
      <c r="A380" s="147"/>
      <c r="B380" s="158"/>
      <c r="C380" s="179"/>
      <c r="D380" s="158"/>
      <c r="E380" s="160"/>
      <c r="F380" s="161"/>
      <c r="G380" s="161"/>
      <c r="H380" s="161"/>
      <c r="I380" s="163"/>
      <c r="J380" s="161"/>
      <c r="K380" s="163"/>
      <c r="L380" s="150"/>
      <c r="M380" s="164"/>
      <c r="N380" s="150"/>
      <c r="O380" s="174"/>
      <c r="P380" s="523"/>
      <c r="Q380" s="523"/>
      <c r="R380" s="154"/>
      <c r="S380" s="155"/>
      <c r="T380" s="156"/>
      <c r="U380" s="154"/>
      <c r="V380" s="155"/>
      <c r="W380" s="155"/>
      <c r="X380" s="419"/>
      <c r="Y380" s="157"/>
      <c r="Z380" s="217"/>
      <c r="AA380" s="150"/>
      <c r="AB380" s="151"/>
      <c r="AC380" s="152"/>
      <c r="AD380" s="506"/>
      <c r="AE380" s="166"/>
      <c r="AF380" s="150"/>
      <c r="AG380" s="152"/>
      <c r="AH380" s="150"/>
      <c r="AI380" s="152"/>
      <c r="AJ380" s="150"/>
      <c r="AK380" s="152"/>
      <c r="AL380" s="150"/>
      <c r="AM380" s="151"/>
      <c r="AN380" s="151"/>
      <c r="AO380" s="169"/>
      <c r="AP380" s="169"/>
      <c r="AQ380" s="149"/>
      <c r="AR380" s="324"/>
      <c r="AS380" s="324"/>
      <c r="AT380" s="324"/>
      <c r="AU380" s="324"/>
      <c r="AV380" s="324"/>
      <c r="AW380" s="324"/>
      <c r="AX380" s="150"/>
      <c r="AY380" s="297"/>
      <c r="AZ380" s="297"/>
      <c r="BA380" s="297"/>
      <c r="BB380" s="297"/>
      <c r="BC380" s="152"/>
      <c r="BD380" s="150"/>
      <c r="BE380" s="297"/>
      <c r="BF380" s="297"/>
      <c r="BG380" s="297"/>
      <c r="BH380" s="297"/>
      <c r="BI380" s="152"/>
      <c r="BJ380" s="170"/>
      <c r="BK380" s="148"/>
      <c r="BL380" s="324"/>
      <c r="BM380" s="324"/>
      <c r="BN380" s="170"/>
      <c r="BO380" s="149"/>
      <c r="BP380" s="170"/>
      <c r="BQ380" s="149"/>
      <c r="BR380" s="170"/>
      <c r="BS380" s="171"/>
      <c r="BT380" s="706"/>
    </row>
    <row r="381" spans="1:72" s="2" customFormat="1" ht="24.9" customHeight="1">
      <c r="A381" s="147"/>
      <c r="B381" s="158"/>
      <c r="C381" s="179"/>
      <c r="D381" s="158"/>
      <c r="E381" s="160"/>
      <c r="F381" s="161"/>
      <c r="G381" s="161"/>
      <c r="H381" s="161"/>
      <c r="I381" s="163"/>
      <c r="J381" s="161"/>
      <c r="K381" s="163"/>
      <c r="L381" s="150"/>
      <c r="M381" s="164"/>
      <c r="N381" s="150"/>
      <c r="O381" s="174"/>
      <c r="P381" s="523"/>
      <c r="Q381" s="523"/>
      <c r="R381" s="154"/>
      <c r="S381" s="155"/>
      <c r="T381" s="156"/>
      <c r="U381" s="154"/>
      <c r="V381" s="155"/>
      <c r="W381" s="155"/>
      <c r="X381" s="419"/>
      <c r="Y381" s="157"/>
      <c r="Z381" s="217"/>
      <c r="AA381" s="150"/>
      <c r="AB381" s="151"/>
      <c r="AC381" s="152"/>
      <c r="AD381" s="506"/>
      <c r="AE381" s="166"/>
      <c r="AF381" s="150"/>
      <c r="AG381" s="152"/>
      <c r="AH381" s="150"/>
      <c r="AI381" s="152"/>
      <c r="AJ381" s="150"/>
      <c r="AK381" s="152"/>
      <c r="AL381" s="150"/>
      <c r="AM381" s="151"/>
      <c r="AN381" s="151"/>
      <c r="AO381" s="169"/>
      <c r="AP381" s="169"/>
      <c r="AQ381" s="149"/>
      <c r="AR381" s="324"/>
      <c r="AS381" s="324"/>
      <c r="AT381" s="324"/>
      <c r="AU381" s="324"/>
      <c r="AV381" s="324"/>
      <c r="AW381" s="324"/>
      <c r="AX381" s="150"/>
      <c r="AY381" s="297"/>
      <c r="AZ381" s="297"/>
      <c r="BA381" s="297"/>
      <c r="BB381" s="297"/>
      <c r="BC381" s="152"/>
      <c r="BD381" s="150"/>
      <c r="BE381" s="297"/>
      <c r="BF381" s="297"/>
      <c r="BG381" s="297"/>
      <c r="BH381" s="297"/>
      <c r="BI381" s="152"/>
      <c r="BJ381" s="170"/>
      <c r="BK381" s="148"/>
      <c r="BL381" s="324"/>
      <c r="BM381" s="324"/>
      <c r="BN381" s="170"/>
      <c r="BO381" s="149"/>
      <c r="BP381" s="170"/>
      <c r="BQ381" s="149"/>
      <c r="BR381" s="170"/>
      <c r="BS381" s="171"/>
      <c r="BT381" s="707"/>
    </row>
    <row r="382" spans="1:72" s="2" customFormat="1" ht="24.9" customHeight="1">
      <c r="A382" s="147"/>
      <c r="B382" s="158"/>
      <c r="C382" s="179"/>
      <c r="D382" s="158"/>
      <c r="E382" s="160"/>
      <c r="F382" s="161"/>
      <c r="G382" s="161"/>
      <c r="H382" s="161"/>
      <c r="I382" s="163"/>
      <c r="J382" s="161"/>
      <c r="K382" s="163"/>
      <c r="L382" s="150"/>
      <c r="M382" s="164"/>
      <c r="N382" s="150"/>
      <c r="O382" s="174"/>
      <c r="P382" s="523"/>
      <c r="Q382" s="523"/>
      <c r="R382" s="154"/>
      <c r="S382" s="155"/>
      <c r="T382" s="156"/>
      <c r="U382" s="154"/>
      <c r="V382" s="155"/>
      <c r="W382" s="155"/>
      <c r="X382" s="419"/>
      <c r="Y382" s="157"/>
      <c r="Z382" s="217"/>
      <c r="AA382" s="150"/>
      <c r="AB382" s="151"/>
      <c r="AC382" s="152"/>
      <c r="AD382" s="506"/>
      <c r="AE382" s="166"/>
      <c r="AF382" s="150"/>
      <c r="AG382" s="152"/>
      <c r="AH382" s="150"/>
      <c r="AI382" s="152"/>
      <c r="AJ382" s="150"/>
      <c r="AK382" s="152"/>
      <c r="AL382" s="150"/>
      <c r="AM382" s="151"/>
      <c r="AN382" s="151"/>
      <c r="AO382" s="169"/>
      <c r="AP382" s="169"/>
      <c r="AQ382" s="149"/>
      <c r="AR382" s="324"/>
      <c r="AS382" s="324"/>
      <c r="AT382" s="324"/>
      <c r="AU382" s="324"/>
      <c r="AV382" s="324"/>
      <c r="AW382" s="324"/>
      <c r="AX382" s="150"/>
      <c r="AY382" s="297"/>
      <c r="AZ382" s="297"/>
      <c r="BA382" s="297"/>
      <c r="BB382" s="297"/>
      <c r="BC382" s="152"/>
      <c r="BD382" s="150"/>
      <c r="BE382" s="297"/>
      <c r="BF382" s="297"/>
      <c r="BG382" s="297"/>
      <c r="BH382" s="297"/>
      <c r="BI382" s="152"/>
      <c r="BJ382" s="170"/>
      <c r="BK382" s="148"/>
      <c r="BL382" s="324"/>
      <c r="BM382" s="324"/>
      <c r="BN382" s="170"/>
      <c r="BO382" s="149"/>
      <c r="BP382" s="170"/>
      <c r="BQ382" s="149"/>
      <c r="BR382" s="170"/>
      <c r="BS382" s="171"/>
      <c r="BT382" s="706"/>
    </row>
    <row r="383" spans="1:72" s="2" customFormat="1" ht="24.9" customHeight="1">
      <c r="A383" s="147"/>
      <c r="B383" s="158"/>
      <c r="C383" s="179"/>
      <c r="D383" s="158"/>
      <c r="E383" s="160"/>
      <c r="F383" s="161"/>
      <c r="G383" s="161"/>
      <c r="H383" s="161"/>
      <c r="I383" s="163"/>
      <c r="J383" s="161"/>
      <c r="K383" s="163"/>
      <c r="L383" s="150"/>
      <c r="M383" s="164"/>
      <c r="N383" s="150"/>
      <c r="O383" s="151"/>
      <c r="P383" s="522"/>
      <c r="Q383" s="522"/>
      <c r="R383" s="154"/>
      <c r="S383" s="155"/>
      <c r="T383" s="156"/>
      <c r="U383" s="154"/>
      <c r="V383" s="155"/>
      <c r="W383" s="155"/>
      <c r="X383" s="419"/>
      <c r="Y383" s="157"/>
      <c r="Z383" s="217"/>
      <c r="AA383" s="150"/>
      <c r="AB383" s="151"/>
      <c r="AC383" s="152"/>
      <c r="AD383" s="506"/>
      <c r="AE383" s="166"/>
      <c r="AF383" s="150"/>
      <c r="AG383" s="152"/>
      <c r="AH383" s="150"/>
      <c r="AI383" s="152"/>
      <c r="AJ383" s="150"/>
      <c r="AK383" s="152"/>
      <c r="AL383" s="150"/>
      <c r="AM383" s="151"/>
      <c r="AN383" s="151"/>
      <c r="AO383" s="169"/>
      <c r="AP383" s="169"/>
      <c r="AQ383" s="149"/>
      <c r="AR383" s="324"/>
      <c r="AS383" s="324"/>
      <c r="AT383" s="324"/>
      <c r="AU383" s="324"/>
      <c r="AV383" s="324"/>
      <c r="AW383" s="324"/>
      <c r="AX383" s="150"/>
      <c r="AY383" s="297"/>
      <c r="AZ383" s="297"/>
      <c r="BA383" s="297"/>
      <c r="BB383" s="297"/>
      <c r="BC383" s="152"/>
      <c r="BD383" s="150"/>
      <c r="BE383" s="297"/>
      <c r="BF383" s="297"/>
      <c r="BG383" s="297"/>
      <c r="BH383" s="297"/>
      <c r="BI383" s="152"/>
      <c r="BJ383" s="170"/>
      <c r="BK383" s="148"/>
      <c r="BL383" s="324"/>
      <c r="BM383" s="324"/>
      <c r="BN383" s="170"/>
      <c r="BO383" s="149"/>
      <c r="BP383" s="170"/>
      <c r="BQ383" s="149"/>
      <c r="BR383" s="170"/>
      <c r="BS383" s="171"/>
      <c r="BT383" s="708"/>
    </row>
    <row r="384" spans="1:72" s="2" customFormat="1" ht="24.9" customHeight="1">
      <c r="A384" s="147"/>
      <c r="B384" s="158"/>
      <c r="C384" s="179"/>
      <c r="D384" s="158"/>
      <c r="E384" s="160"/>
      <c r="F384" s="161"/>
      <c r="G384" s="161"/>
      <c r="H384" s="161"/>
      <c r="I384" s="163"/>
      <c r="J384" s="161"/>
      <c r="K384" s="163"/>
      <c r="L384" s="150"/>
      <c r="M384" s="164"/>
      <c r="N384" s="150"/>
      <c r="O384" s="174"/>
      <c r="P384" s="523"/>
      <c r="Q384" s="523"/>
      <c r="R384" s="154"/>
      <c r="S384" s="155"/>
      <c r="T384" s="156"/>
      <c r="U384" s="154"/>
      <c r="V384" s="155"/>
      <c r="W384" s="155"/>
      <c r="X384" s="419"/>
      <c r="Y384" s="157"/>
      <c r="Z384" s="217"/>
      <c r="AA384" s="150"/>
      <c r="AB384" s="151"/>
      <c r="AC384" s="152"/>
      <c r="AD384" s="506"/>
      <c r="AE384" s="166"/>
      <c r="AF384" s="150"/>
      <c r="AG384" s="152"/>
      <c r="AH384" s="150"/>
      <c r="AI384" s="152"/>
      <c r="AJ384" s="150"/>
      <c r="AK384" s="152"/>
      <c r="AL384" s="150"/>
      <c r="AM384" s="151"/>
      <c r="AN384" s="151"/>
      <c r="AO384" s="169"/>
      <c r="AP384" s="169"/>
      <c r="AQ384" s="149"/>
      <c r="AR384" s="324"/>
      <c r="AS384" s="324"/>
      <c r="AT384" s="324"/>
      <c r="AU384" s="324"/>
      <c r="AV384" s="324"/>
      <c r="AW384" s="324"/>
      <c r="AX384" s="150"/>
      <c r="AY384" s="297"/>
      <c r="AZ384" s="297"/>
      <c r="BA384" s="297"/>
      <c r="BB384" s="297"/>
      <c r="BC384" s="152"/>
      <c r="BD384" s="150"/>
      <c r="BE384" s="297"/>
      <c r="BF384" s="297"/>
      <c r="BG384" s="297"/>
      <c r="BH384" s="297"/>
      <c r="BI384" s="152"/>
      <c r="BJ384" s="170"/>
      <c r="BK384" s="148"/>
      <c r="BL384" s="324"/>
      <c r="BM384" s="324"/>
      <c r="BN384" s="170"/>
      <c r="BO384" s="149"/>
      <c r="BP384" s="170"/>
      <c r="BQ384" s="149"/>
      <c r="BR384" s="170"/>
      <c r="BS384" s="171"/>
      <c r="BT384" s="707"/>
    </row>
    <row r="385" spans="1:72" s="2" customFormat="1" ht="24.9" customHeight="1">
      <c r="A385" s="147"/>
      <c r="B385" s="158"/>
      <c r="C385" s="179"/>
      <c r="D385" s="158"/>
      <c r="E385" s="160"/>
      <c r="F385" s="161"/>
      <c r="G385" s="161"/>
      <c r="H385" s="161"/>
      <c r="I385" s="163"/>
      <c r="J385" s="161"/>
      <c r="K385" s="163"/>
      <c r="L385" s="150"/>
      <c r="M385" s="164"/>
      <c r="N385" s="150"/>
      <c r="O385" s="174"/>
      <c r="P385" s="523"/>
      <c r="Q385" s="523"/>
      <c r="R385" s="154"/>
      <c r="S385" s="155"/>
      <c r="T385" s="156"/>
      <c r="U385" s="154"/>
      <c r="V385" s="155"/>
      <c r="W385" s="155"/>
      <c r="X385" s="419"/>
      <c r="Y385" s="157"/>
      <c r="Z385" s="217"/>
      <c r="AA385" s="150"/>
      <c r="AB385" s="151"/>
      <c r="AC385" s="152"/>
      <c r="AD385" s="506"/>
      <c r="AE385" s="166"/>
      <c r="AF385" s="150"/>
      <c r="AG385" s="152"/>
      <c r="AH385" s="150"/>
      <c r="AI385" s="152"/>
      <c r="AJ385" s="150"/>
      <c r="AK385" s="152"/>
      <c r="AL385" s="150"/>
      <c r="AM385" s="151"/>
      <c r="AN385" s="151"/>
      <c r="AO385" s="169"/>
      <c r="AP385" s="169"/>
      <c r="AQ385" s="149"/>
      <c r="AR385" s="324"/>
      <c r="AS385" s="324"/>
      <c r="AT385" s="324"/>
      <c r="AU385" s="324"/>
      <c r="AV385" s="324"/>
      <c r="AW385" s="324"/>
      <c r="AX385" s="150"/>
      <c r="AY385" s="297"/>
      <c r="AZ385" s="297"/>
      <c r="BA385" s="297"/>
      <c r="BB385" s="297"/>
      <c r="BC385" s="152"/>
      <c r="BD385" s="150"/>
      <c r="BE385" s="297"/>
      <c r="BF385" s="297"/>
      <c r="BG385" s="297"/>
      <c r="BH385" s="297"/>
      <c r="BI385" s="152"/>
      <c r="BJ385" s="170"/>
      <c r="BK385" s="148"/>
      <c r="BL385" s="324"/>
      <c r="BM385" s="324"/>
      <c r="BN385" s="170"/>
      <c r="BO385" s="149"/>
      <c r="BP385" s="170"/>
      <c r="BQ385" s="149"/>
      <c r="BR385" s="170"/>
      <c r="BS385" s="171"/>
      <c r="BT385" s="706"/>
    </row>
    <row r="386" spans="1:72" s="2" customFormat="1" ht="24.9" customHeight="1">
      <c r="A386" s="147"/>
      <c r="B386" s="158"/>
      <c r="C386" s="179"/>
      <c r="D386" s="158"/>
      <c r="E386" s="160"/>
      <c r="F386" s="161"/>
      <c r="G386" s="161"/>
      <c r="H386" s="161"/>
      <c r="I386" s="163"/>
      <c r="J386" s="161"/>
      <c r="K386" s="163"/>
      <c r="L386" s="150"/>
      <c r="M386" s="164"/>
      <c r="N386" s="150"/>
      <c r="O386" s="174"/>
      <c r="P386" s="523"/>
      <c r="Q386" s="523"/>
      <c r="R386" s="154"/>
      <c r="S386" s="155"/>
      <c r="T386" s="156"/>
      <c r="U386" s="154"/>
      <c r="V386" s="155"/>
      <c r="W386" s="155"/>
      <c r="X386" s="419"/>
      <c r="Y386" s="157"/>
      <c r="Z386" s="217"/>
      <c r="AA386" s="150"/>
      <c r="AB386" s="151"/>
      <c r="AC386" s="152"/>
      <c r="AD386" s="506"/>
      <c r="AE386" s="166"/>
      <c r="AF386" s="150"/>
      <c r="AG386" s="152"/>
      <c r="AH386" s="150"/>
      <c r="AI386" s="152"/>
      <c r="AJ386" s="150"/>
      <c r="AK386" s="152"/>
      <c r="AL386" s="150"/>
      <c r="AM386" s="151"/>
      <c r="AN386" s="151"/>
      <c r="AO386" s="169"/>
      <c r="AP386" s="169"/>
      <c r="AQ386" s="149"/>
      <c r="AR386" s="324"/>
      <c r="AS386" s="324"/>
      <c r="AT386" s="324"/>
      <c r="AU386" s="324"/>
      <c r="AV386" s="324"/>
      <c r="AW386" s="324"/>
      <c r="AX386" s="150"/>
      <c r="AY386" s="297"/>
      <c r="AZ386" s="297"/>
      <c r="BA386" s="297"/>
      <c r="BB386" s="297"/>
      <c r="BC386" s="152"/>
      <c r="BD386" s="150"/>
      <c r="BE386" s="297"/>
      <c r="BF386" s="297"/>
      <c r="BG386" s="297"/>
      <c r="BH386" s="297"/>
      <c r="BI386" s="152"/>
      <c r="BJ386" s="170"/>
      <c r="BK386" s="148"/>
      <c r="BL386" s="324"/>
      <c r="BM386" s="324"/>
      <c r="BN386" s="170"/>
      <c r="BO386" s="149"/>
      <c r="BP386" s="170"/>
      <c r="BQ386" s="149"/>
      <c r="BR386" s="170"/>
      <c r="BS386" s="171"/>
      <c r="BT386" s="708"/>
    </row>
    <row r="387" spans="1:72" s="2" customFormat="1" ht="24.9" customHeight="1">
      <c r="A387" s="147"/>
      <c r="B387" s="158"/>
      <c r="C387" s="179"/>
      <c r="D387" s="158"/>
      <c r="E387" s="160"/>
      <c r="F387" s="161"/>
      <c r="G387" s="161"/>
      <c r="H387" s="161"/>
      <c r="I387" s="163"/>
      <c r="J387" s="161"/>
      <c r="K387" s="163"/>
      <c r="L387" s="150"/>
      <c r="M387" s="164"/>
      <c r="N387" s="150"/>
      <c r="O387" s="174"/>
      <c r="P387" s="523"/>
      <c r="Q387" s="523"/>
      <c r="R387" s="154"/>
      <c r="S387" s="155"/>
      <c r="T387" s="156"/>
      <c r="U387" s="154"/>
      <c r="V387" s="155"/>
      <c r="W387" s="155"/>
      <c r="X387" s="419"/>
      <c r="Y387" s="157"/>
      <c r="Z387" s="217"/>
      <c r="AA387" s="150"/>
      <c r="AB387" s="151"/>
      <c r="AC387" s="152"/>
      <c r="AD387" s="506"/>
      <c r="AE387" s="166"/>
      <c r="AF387" s="150"/>
      <c r="AG387" s="152"/>
      <c r="AH387" s="150"/>
      <c r="AI387" s="152"/>
      <c r="AJ387" s="150"/>
      <c r="AK387" s="152"/>
      <c r="AL387" s="150"/>
      <c r="AM387" s="151"/>
      <c r="AN387" s="151"/>
      <c r="AO387" s="169"/>
      <c r="AP387" s="169"/>
      <c r="AQ387" s="149"/>
      <c r="AR387" s="324"/>
      <c r="AS387" s="324"/>
      <c r="AT387" s="324"/>
      <c r="AU387" s="324"/>
      <c r="AV387" s="324"/>
      <c r="AW387" s="324"/>
      <c r="AX387" s="150"/>
      <c r="AY387" s="297"/>
      <c r="AZ387" s="297"/>
      <c r="BA387" s="297"/>
      <c r="BB387" s="297"/>
      <c r="BC387" s="152"/>
      <c r="BD387" s="150"/>
      <c r="BE387" s="297"/>
      <c r="BF387" s="297"/>
      <c r="BG387" s="297"/>
      <c r="BH387" s="297"/>
      <c r="BI387" s="152"/>
      <c r="BJ387" s="170"/>
      <c r="BK387" s="148"/>
      <c r="BL387" s="324"/>
      <c r="BM387" s="324"/>
      <c r="BN387" s="170"/>
      <c r="BO387" s="149"/>
      <c r="BP387" s="170"/>
      <c r="BQ387" s="149"/>
      <c r="BR387" s="170"/>
      <c r="BS387" s="171"/>
      <c r="BT387" s="708"/>
    </row>
    <row r="388" spans="1:72" s="2" customFormat="1" ht="24.9" customHeight="1">
      <c r="A388" s="147"/>
      <c r="B388" s="158"/>
      <c r="C388" s="179"/>
      <c r="D388" s="158"/>
      <c r="E388" s="160"/>
      <c r="F388" s="161"/>
      <c r="G388" s="161"/>
      <c r="H388" s="161"/>
      <c r="I388" s="163"/>
      <c r="J388" s="161"/>
      <c r="K388" s="163"/>
      <c r="L388" s="150"/>
      <c r="M388" s="164"/>
      <c r="N388" s="150"/>
      <c r="O388" s="174"/>
      <c r="P388" s="523"/>
      <c r="Q388" s="523"/>
      <c r="R388" s="154"/>
      <c r="S388" s="155"/>
      <c r="T388" s="156"/>
      <c r="U388" s="154"/>
      <c r="V388" s="155"/>
      <c r="W388" s="155"/>
      <c r="X388" s="419"/>
      <c r="Y388" s="157"/>
      <c r="Z388" s="217"/>
      <c r="AA388" s="150"/>
      <c r="AB388" s="151"/>
      <c r="AC388" s="152"/>
      <c r="AD388" s="506"/>
      <c r="AE388" s="166"/>
      <c r="AF388" s="150"/>
      <c r="AG388" s="152"/>
      <c r="AH388" s="150"/>
      <c r="AI388" s="152"/>
      <c r="AJ388" s="150"/>
      <c r="AK388" s="152"/>
      <c r="AL388" s="150"/>
      <c r="AM388" s="151"/>
      <c r="AN388" s="151"/>
      <c r="AO388" s="169"/>
      <c r="AP388" s="169"/>
      <c r="AQ388" s="149"/>
      <c r="AR388" s="324"/>
      <c r="AS388" s="324"/>
      <c r="AT388" s="324"/>
      <c r="AU388" s="324"/>
      <c r="AV388" s="324"/>
      <c r="AW388" s="324"/>
      <c r="AX388" s="150"/>
      <c r="AY388" s="297"/>
      <c r="AZ388" s="297"/>
      <c r="BA388" s="297"/>
      <c r="BB388" s="297"/>
      <c r="BC388" s="152"/>
      <c r="BD388" s="150"/>
      <c r="BE388" s="297"/>
      <c r="BF388" s="297"/>
      <c r="BG388" s="297"/>
      <c r="BH388" s="297"/>
      <c r="BI388" s="152"/>
      <c r="BJ388" s="170"/>
      <c r="BK388" s="148"/>
      <c r="BL388" s="324"/>
      <c r="BM388" s="324"/>
      <c r="BN388" s="170"/>
      <c r="BO388" s="149"/>
      <c r="BP388" s="170"/>
      <c r="BQ388" s="149"/>
      <c r="BR388" s="170"/>
      <c r="BS388" s="171"/>
      <c r="BT388" s="707"/>
    </row>
    <row r="389" spans="1:72" s="2" customFormat="1" ht="24.9" customHeight="1">
      <c r="A389" s="147"/>
      <c r="B389" s="158"/>
      <c r="C389" s="179"/>
      <c r="D389" s="158"/>
      <c r="E389" s="160"/>
      <c r="F389" s="161"/>
      <c r="G389" s="161"/>
      <c r="H389" s="161"/>
      <c r="I389" s="163"/>
      <c r="J389" s="161"/>
      <c r="K389" s="163"/>
      <c r="L389" s="150"/>
      <c r="M389" s="164"/>
      <c r="N389" s="150"/>
      <c r="O389" s="174"/>
      <c r="P389" s="523"/>
      <c r="Q389" s="523"/>
      <c r="R389" s="154"/>
      <c r="S389" s="155"/>
      <c r="T389" s="156"/>
      <c r="U389" s="154"/>
      <c r="V389" s="155"/>
      <c r="W389" s="155"/>
      <c r="X389" s="419"/>
      <c r="Y389" s="157"/>
      <c r="Z389" s="217"/>
      <c r="AA389" s="150"/>
      <c r="AB389" s="151"/>
      <c r="AC389" s="152"/>
      <c r="AD389" s="506"/>
      <c r="AE389" s="166"/>
      <c r="AF389" s="150"/>
      <c r="AG389" s="152"/>
      <c r="AH389" s="150"/>
      <c r="AI389" s="152"/>
      <c r="AJ389" s="150"/>
      <c r="AK389" s="152"/>
      <c r="AL389" s="150"/>
      <c r="AM389" s="151"/>
      <c r="AN389" s="151"/>
      <c r="AO389" s="169"/>
      <c r="AP389" s="169"/>
      <c r="AQ389" s="149"/>
      <c r="AR389" s="324"/>
      <c r="AS389" s="324"/>
      <c r="AT389" s="324"/>
      <c r="AU389" s="324"/>
      <c r="AV389" s="324"/>
      <c r="AW389" s="324"/>
      <c r="AX389" s="150"/>
      <c r="AY389" s="297"/>
      <c r="AZ389" s="297"/>
      <c r="BA389" s="297"/>
      <c r="BB389" s="297"/>
      <c r="BC389" s="152"/>
      <c r="BD389" s="150"/>
      <c r="BE389" s="297"/>
      <c r="BF389" s="297"/>
      <c r="BG389" s="297"/>
      <c r="BH389" s="297"/>
      <c r="BI389" s="152"/>
      <c r="BJ389" s="170"/>
      <c r="BK389" s="148"/>
      <c r="BL389" s="324"/>
      <c r="BM389" s="324"/>
      <c r="BN389" s="170"/>
      <c r="BO389" s="149"/>
      <c r="BP389" s="170"/>
      <c r="BQ389" s="149"/>
      <c r="BR389" s="170"/>
      <c r="BS389" s="171"/>
      <c r="BT389" s="706"/>
    </row>
    <row r="390" spans="1:72" s="2" customFormat="1" ht="24.9" customHeight="1">
      <c r="A390" s="147"/>
      <c r="B390" s="158"/>
      <c r="C390" s="179"/>
      <c r="D390" s="158"/>
      <c r="E390" s="160"/>
      <c r="F390" s="161"/>
      <c r="G390" s="161"/>
      <c r="H390" s="161"/>
      <c r="I390" s="163"/>
      <c r="J390" s="161"/>
      <c r="K390" s="163"/>
      <c r="L390" s="150"/>
      <c r="M390" s="164"/>
      <c r="N390" s="150"/>
      <c r="O390" s="174"/>
      <c r="P390" s="523"/>
      <c r="Q390" s="523"/>
      <c r="R390" s="154"/>
      <c r="S390" s="155"/>
      <c r="T390" s="156"/>
      <c r="U390" s="154"/>
      <c r="V390" s="155"/>
      <c r="W390" s="155"/>
      <c r="X390" s="419"/>
      <c r="Y390" s="157"/>
      <c r="Z390" s="217"/>
      <c r="AA390" s="150"/>
      <c r="AB390" s="151"/>
      <c r="AC390" s="152"/>
      <c r="AD390" s="506"/>
      <c r="AE390" s="166"/>
      <c r="AF390" s="150"/>
      <c r="AG390" s="152"/>
      <c r="AH390" s="150"/>
      <c r="AI390" s="152"/>
      <c r="AJ390" s="150"/>
      <c r="AK390" s="152"/>
      <c r="AL390" s="150"/>
      <c r="AM390" s="151"/>
      <c r="AN390" s="151"/>
      <c r="AO390" s="169"/>
      <c r="AP390" s="169"/>
      <c r="AQ390" s="149"/>
      <c r="AR390" s="324"/>
      <c r="AS390" s="324"/>
      <c r="AT390" s="324"/>
      <c r="AU390" s="324"/>
      <c r="AV390" s="324"/>
      <c r="AW390" s="324"/>
      <c r="AX390" s="150"/>
      <c r="AY390" s="297"/>
      <c r="AZ390" s="297"/>
      <c r="BA390" s="297"/>
      <c r="BB390" s="297"/>
      <c r="BC390" s="152"/>
      <c r="BD390" s="150"/>
      <c r="BE390" s="297"/>
      <c r="BF390" s="297"/>
      <c r="BG390" s="297"/>
      <c r="BH390" s="297"/>
      <c r="BI390" s="152"/>
      <c r="BJ390" s="170"/>
      <c r="BK390" s="148"/>
      <c r="BL390" s="324"/>
      <c r="BM390" s="324"/>
      <c r="BN390" s="170"/>
      <c r="BO390" s="149"/>
      <c r="BP390" s="170"/>
      <c r="BQ390" s="149"/>
      <c r="BR390" s="170"/>
      <c r="BS390" s="171"/>
      <c r="BT390" s="707"/>
    </row>
    <row r="391" spans="1:72" s="2" customFormat="1" ht="24.9" customHeight="1">
      <c r="A391" s="147"/>
      <c r="B391" s="158"/>
      <c r="C391" s="179"/>
      <c r="D391" s="158"/>
      <c r="E391" s="160"/>
      <c r="F391" s="161"/>
      <c r="G391" s="161"/>
      <c r="H391" s="161"/>
      <c r="I391" s="163"/>
      <c r="J391" s="161"/>
      <c r="K391" s="163"/>
      <c r="L391" s="150"/>
      <c r="M391" s="164"/>
      <c r="N391" s="150"/>
      <c r="O391" s="174"/>
      <c r="P391" s="523"/>
      <c r="Q391" s="523"/>
      <c r="R391" s="154"/>
      <c r="S391" s="155"/>
      <c r="T391" s="156"/>
      <c r="U391" s="154"/>
      <c r="V391" s="155"/>
      <c r="W391" s="155"/>
      <c r="X391" s="419"/>
      <c r="Y391" s="157"/>
      <c r="Z391" s="217"/>
      <c r="AA391" s="150"/>
      <c r="AB391" s="151"/>
      <c r="AC391" s="152"/>
      <c r="AD391" s="506"/>
      <c r="AE391" s="166"/>
      <c r="AF391" s="150"/>
      <c r="AG391" s="152"/>
      <c r="AH391" s="150"/>
      <c r="AI391" s="152"/>
      <c r="AJ391" s="150"/>
      <c r="AK391" s="152"/>
      <c r="AL391" s="150"/>
      <c r="AM391" s="151"/>
      <c r="AN391" s="151"/>
      <c r="AO391" s="169"/>
      <c r="AP391" s="169"/>
      <c r="AQ391" s="149"/>
      <c r="AR391" s="324"/>
      <c r="AS391" s="324"/>
      <c r="AT391" s="324"/>
      <c r="AU391" s="324"/>
      <c r="AV391" s="324"/>
      <c r="AW391" s="324"/>
      <c r="AX391" s="150"/>
      <c r="AY391" s="297"/>
      <c r="AZ391" s="297"/>
      <c r="BA391" s="297"/>
      <c r="BB391" s="297"/>
      <c r="BC391" s="152"/>
      <c r="BD391" s="150"/>
      <c r="BE391" s="297"/>
      <c r="BF391" s="297"/>
      <c r="BG391" s="297"/>
      <c r="BH391" s="297"/>
      <c r="BI391" s="152"/>
      <c r="BJ391" s="170"/>
      <c r="BK391" s="148"/>
      <c r="BL391" s="324"/>
      <c r="BM391" s="324"/>
      <c r="BN391" s="170"/>
      <c r="BO391" s="149"/>
      <c r="BP391" s="170"/>
      <c r="BQ391" s="149"/>
      <c r="BR391" s="170"/>
      <c r="BS391" s="171"/>
      <c r="BT391" s="706"/>
    </row>
    <row r="392" spans="1:72" s="2" customFormat="1" ht="24.9" customHeight="1">
      <c r="A392" s="147"/>
      <c r="B392" s="158"/>
      <c r="C392" s="179"/>
      <c r="D392" s="158"/>
      <c r="E392" s="160"/>
      <c r="F392" s="161"/>
      <c r="G392" s="161"/>
      <c r="H392" s="161"/>
      <c r="I392" s="163"/>
      <c r="J392" s="161"/>
      <c r="K392" s="163"/>
      <c r="L392" s="150"/>
      <c r="M392" s="164"/>
      <c r="N392" s="150"/>
      <c r="O392" s="151"/>
      <c r="P392" s="522"/>
      <c r="Q392" s="522"/>
      <c r="R392" s="154"/>
      <c r="S392" s="155"/>
      <c r="T392" s="156"/>
      <c r="U392" s="154"/>
      <c r="V392" s="155"/>
      <c r="W392" s="155"/>
      <c r="X392" s="419"/>
      <c r="Y392" s="157"/>
      <c r="Z392" s="217"/>
      <c r="AA392" s="150"/>
      <c r="AB392" s="151"/>
      <c r="AC392" s="152"/>
      <c r="AD392" s="506"/>
      <c r="AE392" s="166"/>
      <c r="AF392" s="150"/>
      <c r="AG392" s="152"/>
      <c r="AH392" s="150"/>
      <c r="AI392" s="152"/>
      <c r="AJ392" s="150"/>
      <c r="AK392" s="152"/>
      <c r="AL392" s="150"/>
      <c r="AM392" s="151"/>
      <c r="AN392" s="151"/>
      <c r="AO392" s="169"/>
      <c r="AP392" s="169"/>
      <c r="AQ392" s="149"/>
      <c r="AR392" s="324"/>
      <c r="AS392" s="324"/>
      <c r="AT392" s="324"/>
      <c r="AU392" s="324"/>
      <c r="AV392" s="324"/>
      <c r="AW392" s="324"/>
      <c r="AX392" s="150"/>
      <c r="AY392" s="297"/>
      <c r="AZ392" s="297"/>
      <c r="BA392" s="297"/>
      <c r="BB392" s="297"/>
      <c r="BC392" s="152"/>
      <c r="BD392" s="150"/>
      <c r="BE392" s="297"/>
      <c r="BF392" s="297"/>
      <c r="BG392" s="297"/>
      <c r="BH392" s="297"/>
      <c r="BI392" s="152"/>
      <c r="BJ392" s="170"/>
      <c r="BK392" s="148"/>
      <c r="BL392" s="324"/>
      <c r="BM392" s="324"/>
      <c r="BN392" s="170"/>
      <c r="BO392" s="149"/>
      <c r="BP392" s="170"/>
      <c r="BQ392" s="149"/>
      <c r="BR392" s="170"/>
      <c r="BS392" s="171"/>
      <c r="BT392" s="708"/>
    </row>
    <row r="393" spans="1:72" s="2" customFormat="1" ht="24.9" customHeight="1">
      <c r="A393" s="147"/>
      <c r="B393" s="158"/>
      <c r="C393" s="179"/>
      <c r="D393" s="158"/>
      <c r="E393" s="160"/>
      <c r="F393" s="161"/>
      <c r="G393" s="161"/>
      <c r="H393" s="161"/>
      <c r="I393" s="163"/>
      <c r="J393" s="161"/>
      <c r="K393" s="163"/>
      <c r="L393" s="150"/>
      <c r="M393" s="164"/>
      <c r="N393" s="150"/>
      <c r="O393" s="174"/>
      <c r="P393" s="523"/>
      <c r="Q393" s="523"/>
      <c r="R393" s="154"/>
      <c r="S393" s="155"/>
      <c r="T393" s="156"/>
      <c r="U393" s="154"/>
      <c r="V393" s="155"/>
      <c r="W393" s="155"/>
      <c r="X393" s="419"/>
      <c r="Y393" s="157"/>
      <c r="Z393" s="217"/>
      <c r="AA393" s="150"/>
      <c r="AB393" s="151"/>
      <c r="AC393" s="152"/>
      <c r="AD393" s="506"/>
      <c r="AE393" s="166"/>
      <c r="AF393" s="150"/>
      <c r="AG393" s="152"/>
      <c r="AH393" s="150"/>
      <c r="AI393" s="152"/>
      <c r="AJ393" s="150"/>
      <c r="AK393" s="152"/>
      <c r="AL393" s="150"/>
      <c r="AM393" s="151"/>
      <c r="AN393" s="151"/>
      <c r="AO393" s="169"/>
      <c r="AP393" s="169"/>
      <c r="AQ393" s="149"/>
      <c r="AR393" s="324"/>
      <c r="AS393" s="324"/>
      <c r="AT393" s="324"/>
      <c r="AU393" s="324"/>
      <c r="AV393" s="324"/>
      <c r="AW393" s="324"/>
      <c r="AX393" s="150"/>
      <c r="AY393" s="297"/>
      <c r="AZ393" s="297"/>
      <c r="BA393" s="297"/>
      <c r="BB393" s="297"/>
      <c r="BC393" s="152"/>
      <c r="BD393" s="150"/>
      <c r="BE393" s="297"/>
      <c r="BF393" s="297"/>
      <c r="BG393" s="297"/>
      <c r="BH393" s="297"/>
      <c r="BI393" s="152"/>
      <c r="BJ393" s="170"/>
      <c r="BK393" s="148"/>
      <c r="BL393" s="324"/>
      <c r="BM393" s="324"/>
      <c r="BN393" s="170"/>
      <c r="BO393" s="149"/>
      <c r="BP393" s="170"/>
      <c r="BQ393" s="149"/>
      <c r="BR393" s="170"/>
      <c r="BS393" s="171"/>
      <c r="BT393" s="708"/>
    </row>
    <row r="394" spans="1:72" s="2" customFormat="1" ht="24.9" customHeight="1">
      <c r="A394" s="147"/>
      <c r="B394" s="158"/>
      <c r="C394" s="179"/>
      <c r="D394" s="158"/>
      <c r="E394" s="160"/>
      <c r="F394" s="161"/>
      <c r="G394" s="161"/>
      <c r="H394" s="161"/>
      <c r="I394" s="163"/>
      <c r="J394" s="161"/>
      <c r="K394" s="163"/>
      <c r="L394" s="150"/>
      <c r="M394" s="164"/>
      <c r="N394" s="150"/>
      <c r="O394" s="151"/>
      <c r="P394" s="522"/>
      <c r="Q394" s="522"/>
      <c r="R394" s="154"/>
      <c r="S394" s="155"/>
      <c r="T394" s="156"/>
      <c r="U394" s="154"/>
      <c r="V394" s="155"/>
      <c r="W394" s="155"/>
      <c r="X394" s="419"/>
      <c r="Y394" s="157"/>
      <c r="Z394" s="217"/>
      <c r="AA394" s="150"/>
      <c r="AB394" s="151"/>
      <c r="AC394" s="152"/>
      <c r="AD394" s="506"/>
      <c r="AE394" s="166"/>
      <c r="AF394" s="150"/>
      <c r="AG394" s="152"/>
      <c r="AH394" s="150"/>
      <c r="AI394" s="152"/>
      <c r="AJ394" s="150"/>
      <c r="AK394" s="152"/>
      <c r="AL394" s="150"/>
      <c r="AM394" s="151"/>
      <c r="AN394" s="151"/>
      <c r="AO394" s="169"/>
      <c r="AP394" s="169"/>
      <c r="AQ394" s="149"/>
      <c r="AR394" s="324"/>
      <c r="AS394" s="324"/>
      <c r="AT394" s="324"/>
      <c r="AU394" s="324"/>
      <c r="AV394" s="324"/>
      <c r="AW394" s="324"/>
      <c r="AX394" s="150"/>
      <c r="AY394" s="297"/>
      <c r="AZ394" s="297"/>
      <c r="BA394" s="297"/>
      <c r="BB394" s="297"/>
      <c r="BC394" s="152"/>
      <c r="BD394" s="150"/>
      <c r="BE394" s="297"/>
      <c r="BF394" s="297"/>
      <c r="BG394" s="297"/>
      <c r="BH394" s="297"/>
      <c r="BI394" s="152"/>
      <c r="BJ394" s="170"/>
      <c r="BK394" s="148"/>
      <c r="BL394" s="324"/>
      <c r="BM394" s="324"/>
      <c r="BN394" s="170"/>
      <c r="BO394" s="149"/>
      <c r="BP394" s="170"/>
      <c r="BQ394" s="149"/>
      <c r="BR394" s="170"/>
      <c r="BS394" s="171"/>
      <c r="BT394" s="707"/>
    </row>
    <row r="395" spans="1:72" s="2" customFormat="1" ht="24.9" customHeight="1">
      <c r="A395" s="147"/>
      <c r="B395" s="158"/>
      <c r="C395" s="179"/>
      <c r="D395" s="158"/>
      <c r="E395" s="160"/>
      <c r="F395" s="161"/>
      <c r="G395" s="161"/>
      <c r="H395" s="161"/>
      <c r="I395" s="163"/>
      <c r="J395" s="161"/>
      <c r="K395" s="163"/>
      <c r="L395" s="150"/>
      <c r="M395" s="164"/>
      <c r="N395" s="150"/>
      <c r="O395" s="174"/>
      <c r="P395" s="523"/>
      <c r="Q395" s="523"/>
      <c r="R395" s="154"/>
      <c r="S395" s="155"/>
      <c r="T395" s="156"/>
      <c r="U395" s="154"/>
      <c r="V395" s="155"/>
      <c r="W395" s="155"/>
      <c r="X395" s="419"/>
      <c r="Y395" s="157"/>
      <c r="Z395" s="217"/>
      <c r="AA395" s="150"/>
      <c r="AB395" s="151"/>
      <c r="AC395" s="152"/>
      <c r="AD395" s="506"/>
      <c r="AE395" s="166"/>
      <c r="AF395" s="150"/>
      <c r="AG395" s="152"/>
      <c r="AH395" s="150"/>
      <c r="AI395" s="152"/>
      <c r="AJ395" s="150"/>
      <c r="AK395" s="152"/>
      <c r="AL395" s="150"/>
      <c r="AM395" s="151"/>
      <c r="AN395" s="151"/>
      <c r="AO395" s="169"/>
      <c r="AP395" s="169"/>
      <c r="AQ395" s="149"/>
      <c r="AR395" s="324"/>
      <c r="AS395" s="324"/>
      <c r="AT395" s="324"/>
      <c r="AU395" s="324"/>
      <c r="AV395" s="324"/>
      <c r="AW395" s="324"/>
      <c r="AX395" s="150"/>
      <c r="AY395" s="297"/>
      <c r="AZ395" s="297"/>
      <c r="BA395" s="297"/>
      <c r="BB395" s="297"/>
      <c r="BC395" s="152"/>
      <c r="BD395" s="150"/>
      <c r="BE395" s="297"/>
      <c r="BF395" s="297"/>
      <c r="BG395" s="297"/>
      <c r="BH395" s="297"/>
      <c r="BI395" s="152"/>
      <c r="BJ395" s="170"/>
      <c r="BK395" s="148"/>
      <c r="BL395" s="324"/>
      <c r="BM395" s="324"/>
      <c r="BN395" s="170"/>
      <c r="BO395" s="149"/>
      <c r="BP395" s="170"/>
      <c r="BQ395" s="149"/>
      <c r="BR395" s="170"/>
      <c r="BS395" s="171"/>
      <c r="BT395" s="709"/>
    </row>
    <row r="396" spans="1:72" s="2" customFormat="1" ht="24.9" customHeight="1">
      <c r="A396" s="147"/>
      <c r="B396" s="158"/>
      <c r="C396" s="179"/>
      <c r="D396" s="158"/>
      <c r="E396" s="160"/>
      <c r="F396" s="161"/>
      <c r="G396" s="161"/>
      <c r="H396" s="161"/>
      <c r="I396" s="163"/>
      <c r="J396" s="161"/>
      <c r="K396" s="163"/>
      <c r="L396" s="150"/>
      <c r="M396" s="164"/>
      <c r="N396" s="150"/>
      <c r="O396" s="174"/>
      <c r="P396" s="523"/>
      <c r="Q396" s="523"/>
      <c r="R396" s="154"/>
      <c r="S396" s="155"/>
      <c r="T396" s="156"/>
      <c r="U396" s="154"/>
      <c r="V396" s="155"/>
      <c r="W396" s="155"/>
      <c r="X396" s="419"/>
      <c r="Y396" s="157"/>
      <c r="Z396" s="217"/>
      <c r="AA396" s="150"/>
      <c r="AB396" s="151"/>
      <c r="AC396" s="152"/>
      <c r="AD396" s="506"/>
      <c r="AE396" s="166"/>
      <c r="AF396" s="150"/>
      <c r="AG396" s="152"/>
      <c r="AH396" s="150"/>
      <c r="AI396" s="152"/>
      <c r="AJ396" s="150"/>
      <c r="AK396" s="152"/>
      <c r="AL396" s="150"/>
      <c r="AM396" s="151"/>
      <c r="AN396" s="151"/>
      <c r="AO396" s="169"/>
      <c r="AP396" s="169"/>
      <c r="AQ396" s="149"/>
      <c r="AR396" s="324"/>
      <c r="AS396" s="324"/>
      <c r="AT396" s="324"/>
      <c r="AU396" s="324"/>
      <c r="AV396" s="324"/>
      <c r="AW396" s="324"/>
      <c r="AX396" s="150"/>
      <c r="AY396" s="297"/>
      <c r="AZ396" s="297"/>
      <c r="BA396" s="297"/>
      <c r="BB396" s="297"/>
      <c r="BC396" s="152"/>
      <c r="BD396" s="150"/>
      <c r="BE396" s="297"/>
      <c r="BF396" s="297"/>
      <c r="BG396" s="297"/>
      <c r="BH396" s="297"/>
      <c r="BI396" s="152"/>
      <c r="BJ396" s="170"/>
      <c r="BK396" s="148"/>
      <c r="BL396" s="324"/>
      <c r="BM396" s="324"/>
      <c r="BN396" s="170"/>
      <c r="BO396" s="149"/>
      <c r="BP396" s="170"/>
      <c r="BQ396" s="149"/>
      <c r="BR396" s="170"/>
      <c r="BS396" s="171"/>
      <c r="BT396" s="707"/>
    </row>
    <row r="397" spans="1:72" s="2" customFormat="1" ht="24.9" customHeight="1">
      <c r="A397" s="147"/>
      <c r="B397" s="158"/>
      <c r="C397" s="179"/>
      <c r="D397" s="158"/>
      <c r="E397" s="160"/>
      <c r="F397" s="161"/>
      <c r="G397" s="161"/>
      <c r="H397" s="161"/>
      <c r="I397" s="163"/>
      <c r="J397" s="161"/>
      <c r="K397" s="163"/>
      <c r="L397" s="150"/>
      <c r="M397" s="164"/>
      <c r="N397" s="150"/>
      <c r="O397" s="174"/>
      <c r="P397" s="523"/>
      <c r="Q397" s="523"/>
      <c r="R397" s="154"/>
      <c r="S397" s="155"/>
      <c r="T397" s="156"/>
      <c r="U397" s="154"/>
      <c r="V397" s="155"/>
      <c r="W397" s="155"/>
      <c r="X397" s="419"/>
      <c r="Y397" s="157"/>
      <c r="Z397" s="217"/>
      <c r="AA397" s="150"/>
      <c r="AB397" s="151"/>
      <c r="AC397" s="152"/>
      <c r="AD397" s="506"/>
      <c r="AE397" s="166"/>
      <c r="AF397" s="150"/>
      <c r="AG397" s="152"/>
      <c r="AH397" s="150"/>
      <c r="AI397" s="152"/>
      <c r="AJ397" s="150"/>
      <c r="AK397" s="152"/>
      <c r="AL397" s="150"/>
      <c r="AM397" s="151"/>
      <c r="AN397" s="151"/>
      <c r="AO397" s="169"/>
      <c r="AP397" s="169"/>
      <c r="AQ397" s="149"/>
      <c r="AR397" s="324"/>
      <c r="AS397" s="324"/>
      <c r="AT397" s="324"/>
      <c r="AU397" s="324"/>
      <c r="AV397" s="324"/>
      <c r="AW397" s="324"/>
      <c r="AX397" s="150"/>
      <c r="AY397" s="297"/>
      <c r="AZ397" s="297"/>
      <c r="BA397" s="297"/>
      <c r="BB397" s="297"/>
      <c r="BC397" s="152"/>
      <c r="BD397" s="150"/>
      <c r="BE397" s="297"/>
      <c r="BF397" s="297"/>
      <c r="BG397" s="297"/>
      <c r="BH397" s="297"/>
      <c r="BI397" s="152"/>
      <c r="BJ397" s="170"/>
      <c r="BK397" s="148"/>
      <c r="BL397" s="324"/>
      <c r="BM397" s="324"/>
      <c r="BN397" s="170"/>
      <c r="BO397" s="149"/>
      <c r="BP397" s="170"/>
      <c r="BQ397" s="149"/>
      <c r="BR397" s="170"/>
      <c r="BS397" s="171"/>
      <c r="BT397" s="709"/>
    </row>
    <row r="398" spans="1:72" s="2" customFormat="1" ht="24.9" customHeight="1">
      <c r="A398" s="147"/>
      <c r="B398" s="158"/>
      <c r="C398" s="179"/>
      <c r="D398" s="158"/>
      <c r="E398" s="160"/>
      <c r="F398" s="161"/>
      <c r="G398" s="161"/>
      <c r="H398" s="161"/>
      <c r="I398" s="163"/>
      <c r="J398" s="161"/>
      <c r="K398" s="163"/>
      <c r="L398" s="150"/>
      <c r="M398" s="164"/>
      <c r="N398" s="150"/>
      <c r="O398" s="174"/>
      <c r="P398" s="523"/>
      <c r="Q398" s="523"/>
      <c r="R398" s="154"/>
      <c r="S398" s="155"/>
      <c r="T398" s="156"/>
      <c r="U398" s="154"/>
      <c r="V398" s="155"/>
      <c r="W398" s="155"/>
      <c r="X398" s="419"/>
      <c r="Y398" s="157"/>
      <c r="Z398" s="217"/>
      <c r="AA398" s="150"/>
      <c r="AB398" s="151"/>
      <c r="AC398" s="152"/>
      <c r="AD398" s="506"/>
      <c r="AE398" s="166"/>
      <c r="AF398" s="150"/>
      <c r="AG398" s="152"/>
      <c r="AH398" s="150"/>
      <c r="AI398" s="152"/>
      <c r="AJ398" s="150"/>
      <c r="AK398" s="152"/>
      <c r="AL398" s="150"/>
      <c r="AM398" s="151"/>
      <c r="AN398" s="151"/>
      <c r="AO398" s="169"/>
      <c r="AP398" s="169"/>
      <c r="AQ398" s="149"/>
      <c r="AR398" s="324"/>
      <c r="AS398" s="324"/>
      <c r="AT398" s="324"/>
      <c r="AU398" s="324"/>
      <c r="AV398" s="324"/>
      <c r="AW398" s="324"/>
      <c r="AX398" s="150"/>
      <c r="AY398" s="297"/>
      <c r="AZ398" s="297"/>
      <c r="BA398" s="297"/>
      <c r="BB398" s="297"/>
      <c r="BC398" s="152"/>
      <c r="BD398" s="150"/>
      <c r="BE398" s="297"/>
      <c r="BF398" s="297"/>
      <c r="BG398" s="297"/>
      <c r="BH398" s="297"/>
      <c r="BI398" s="152"/>
      <c r="BJ398" s="170"/>
      <c r="BK398" s="148"/>
      <c r="BL398" s="324"/>
      <c r="BM398" s="324"/>
      <c r="BN398" s="170"/>
      <c r="BO398" s="149"/>
      <c r="BP398" s="170"/>
      <c r="BQ398" s="149"/>
      <c r="BR398" s="170"/>
      <c r="BS398" s="171"/>
      <c r="BT398" s="707"/>
    </row>
    <row r="399" spans="1:72" s="2" customFormat="1" ht="24.9" customHeight="1">
      <c r="A399" s="147"/>
      <c r="B399" s="158"/>
      <c r="C399" s="179"/>
      <c r="D399" s="158"/>
      <c r="E399" s="160"/>
      <c r="F399" s="161"/>
      <c r="G399" s="161"/>
      <c r="H399" s="161"/>
      <c r="I399" s="163"/>
      <c r="J399" s="161"/>
      <c r="K399" s="163"/>
      <c r="L399" s="150"/>
      <c r="M399" s="164"/>
      <c r="N399" s="150"/>
      <c r="O399" s="174"/>
      <c r="P399" s="523"/>
      <c r="Q399" s="523"/>
      <c r="R399" s="154"/>
      <c r="S399" s="155"/>
      <c r="T399" s="156"/>
      <c r="U399" s="154"/>
      <c r="V399" s="155"/>
      <c r="W399" s="155"/>
      <c r="X399" s="419"/>
      <c r="Y399" s="157"/>
      <c r="Z399" s="217"/>
      <c r="AA399" s="150"/>
      <c r="AB399" s="151"/>
      <c r="AC399" s="152"/>
      <c r="AD399" s="506"/>
      <c r="AE399" s="166"/>
      <c r="AF399" s="150"/>
      <c r="AG399" s="152"/>
      <c r="AH399" s="150"/>
      <c r="AI399" s="152"/>
      <c r="AJ399" s="150"/>
      <c r="AK399" s="152"/>
      <c r="AL399" s="150"/>
      <c r="AM399" s="151"/>
      <c r="AN399" s="151"/>
      <c r="AO399" s="169"/>
      <c r="AP399" s="169"/>
      <c r="AQ399" s="149"/>
      <c r="AR399" s="324"/>
      <c r="AS399" s="324"/>
      <c r="AT399" s="324"/>
      <c r="AU399" s="324"/>
      <c r="AV399" s="324"/>
      <c r="AW399" s="324"/>
      <c r="AX399" s="150"/>
      <c r="AY399" s="297"/>
      <c r="AZ399" s="297"/>
      <c r="BA399" s="297"/>
      <c r="BB399" s="297"/>
      <c r="BC399" s="152"/>
      <c r="BD399" s="150"/>
      <c r="BE399" s="297"/>
      <c r="BF399" s="297"/>
      <c r="BG399" s="297"/>
      <c r="BH399" s="297"/>
      <c r="BI399" s="152"/>
      <c r="BJ399" s="170"/>
      <c r="BK399" s="148"/>
      <c r="BL399" s="324"/>
      <c r="BM399" s="324"/>
      <c r="BN399" s="170"/>
      <c r="BO399" s="149"/>
      <c r="BP399" s="170"/>
      <c r="BQ399" s="149"/>
      <c r="BR399" s="170"/>
      <c r="BS399" s="171"/>
      <c r="BT399" s="706"/>
    </row>
    <row r="400" spans="1:72" s="2" customFormat="1" ht="24.9" customHeight="1">
      <c r="A400" s="147"/>
      <c r="B400" s="158"/>
      <c r="C400" s="179"/>
      <c r="D400" s="158"/>
      <c r="E400" s="160"/>
      <c r="F400" s="161"/>
      <c r="G400" s="161"/>
      <c r="H400" s="161"/>
      <c r="I400" s="163"/>
      <c r="J400" s="161"/>
      <c r="K400" s="163"/>
      <c r="L400" s="150"/>
      <c r="M400" s="164"/>
      <c r="N400" s="150"/>
      <c r="O400" s="151"/>
      <c r="P400" s="522"/>
      <c r="Q400" s="522"/>
      <c r="R400" s="154"/>
      <c r="S400" s="155"/>
      <c r="T400" s="156"/>
      <c r="U400" s="154"/>
      <c r="V400" s="155"/>
      <c r="W400" s="155"/>
      <c r="X400" s="419"/>
      <c r="Y400" s="157"/>
      <c r="Z400" s="217"/>
      <c r="AA400" s="150"/>
      <c r="AB400" s="151"/>
      <c r="AC400" s="152"/>
      <c r="AD400" s="506"/>
      <c r="AE400" s="166"/>
      <c r="AF400" s="150"/>
      <c r="AG400" s="152"/>
      <c r="AH400" s="150"/>
      <c r="AI400" s="152"/>
      <c r="AJ400" s="150"/>
      <c r="AK400" s="152"/>
      <c r="AL400" s="150"/>
      <c r="AM400" s="151"/>
      <c r="AN400" s="151"/>
      <c r="AO400" s="169"/>
      <c r="AP400" s="169"/>
      <c r="AQ400" s="149"/>
      <c r="AR400" s="324"/>
      <c r="AS400" s="324"/>
      <c r="AT400" s="324"/>
      <c r="AU400" s="324"/>
      <c r="AV400" s="324"/>
      <c r="AW400" s="324"/>
      <c r="AX400" s="150"/>
      <c r="AY400" s="297"/>
      <c r="AZ400" s="297"/>
      <c r="BA400" s="297"/>
      <c r="BB400" s="297"/>
      <c r="BC400" s="152"/>
      <c r="BD400" s="150"/>
      <c r="BE400" s="297"/>
      <c r="BF400" s="297"/>
      <c r="BG400" s="297"/>
      <c r="BH400" s="297"/>
      <c r="BI400" s="152"/>
      <c r="BJ400" s="170"/>
      <c r="BK400" s="148"/>
      <c r="BL400" s="324"/>
      <c r="BM400" s="324"/>
      <c r="BN400" s="170"/>
      <c r="BO400" s="149"/>
      <c r="BP400" s="170"/>
      <c r="BQ400" s="149"/>
      <c r="BR400" s="170"/>
      <c r="BS400" s="171"/>
      <c r="BT400" s="708"/>
    </row>
    <row r="401" spans="1:72" s="2" customFormat="1" ht="24.9" customHeight="1">
      <c r="A401" s="147"/>
      <c r="B401" s="158"/>
      <c r="C401" s="179"/>
      <c r="D401" s="158"/>
      <c r="E401" s="160"/>
      <c r="F401" s="161"/>
      <c r="G401" s="161"/>
      <c r="H401" s="161"/>
      <c r="I401" s="163"/>
      <c r="J401" s="161"/>
      <c r="K401" s="163"/>
      <c r="L401" s="150"/>
      <c r="M401" s="164"/>
      <c r="N401" s="150"/>
      <c r="O401" s="174"/>
      <c r="P401" s="523"/>
      <c r="Q401" s="523"/>
      <c r="R401" s="154"/>
      <c r="S401" s="155"/>
      <c r="T401" s="156"/>
      <c r="U401" s="154"/>
      <c r="V401" s="155"/>
      <c r="W401" s="155"/>
      <c r="X401" s="419"/>
      <c r="Y401" s="157"/>
      <c r="Z401" s="217"/>
      <c r="AA401" s="150"/>
      <c r="AB401" s="151"/>
      <c r="AC401" s="152"/>
      <c r="AD401" s="506"/>
      <c r="AE401" s="166"/>
      <c r="AF401" s="150"/>
      <c r="AG401" s="152"/>
      <c r="AH401" s="150"/>
      <c r="AI401" s="152"/>
      <c r="AJ401" s="150"/>
      <c r="AK401" s="152"/>
      <c r="AL401" s="150"/>
      <c r="AM401" s="151"/>
      <c r="AN401" s="151"/>
      <c r="AO401" s="169"/>
      <c r="AP401" s="169"/>
      <c r="AQ401" s="149"/>
      <c r="AR401" s="324"/>
      <c r="AS401" s="324"/>
      <c r="AT401" s="324"/>
      <c r="AU401" s="324"/>
      <c r="AV401" s="324"/>
      <c r="AW401" s="324"/>
      <c r="AX401" s="150"/>
      <c r="AY401" s="297"/>
      <c r="AZ401" s="297"/>
      <c r="BA401" s="297"/>
      <c r="BB401" s="297"/>
      <c r="BC401" s="152"/>
      <c r="BD401" s="150"/>
      <c r="BE401" s="297"/>
      <c r="BF401" s="297"/>
      <c r="BG401" s="297"/>
      <c r="BH401" s="297"/>
      <c r="BI401" s="152"/>
      <c r="BJ401" s="170"/>
      <c r="BK401" s="148"/>
      <c r="BL401" s="324"/>
      <c r="BM401" s="324"/>
      <c r="BN401" s="170"/>
      <c r="BO401" s="149"/>
      <c r="BP401" s="170"/>
      <c r="BQ401" s="149"/>
      <c r="BR401" s="170"/>
      <c r="BS401" s="171"/>
      <c r="BT401" s="707"/>
    </row>
    <row r="402" spans="1:72" s="2" customFormat="1" ht="24.9" customHeight="1">
      <c r="A402" s="147"/>
      <c r="B402" s="158"/>
      <c r="C402" s="179"/>
      <c r="D402" s="158"/>
      <c r="E402" s="160"/>
      <c r="F402" s="161"/>
      <c r="G402" s="161"/>
      <c r="H402" s="161"/>
      <c r="I402" s="163"/>
      <c r="J402" s="161"/>
      <c r="K402" s="163"/>
      <c r="L402" s="150"/>
      <c r="M402" s="164"/>
      <c r="N402" s="150"/>
      <c r="O402" s="174"/>
      <c r="P402" s="523"/>
      <c r="Q402" s="523"/>
      <c r="R402" s="154"/>
      <c r="S402" s="155"/>
      <c r="T402" s="156"/>
      <c r="U402" s="154"/>
      <c r="V402" s="155"/>
      <c r="W402" s="155"/>
      <c r="X402" s="419"/>
      <c r="Y402" s="157"/>
      <c r="Z402" s="217"/>
      <c r="AA402" s="150"/>
      <c r="AB402" s="151"/>
      <c r="AC402" s="152"/>
      <c r="AD402" s="506"/>
      <c r="AE402" s="166"/>
      <c r="AF402" s="150"/>
      <c r="AG402" s="152"/>
      <c r="AH402" s="150"/>
      <c r="AI402" s="152"/>
      <c r="AJ402" s="150"/>
      <c r="AK402" s="152"/>
      <c r="AL402" s="150"/>
      <c r="AM402" s="151"/>
      <c r="AN402" s="151"/>
      <c r="AO402" s="169"/>
      <c r="AP402" s="169"/>
      <c r="AQ402" s="149"/>
      <c r="AR402" s="324"/>
      <c r="AS402" s="324"/>
      <c r="AT402" s="324"/>
      <c r="AU402" s="324"/>
      <c r="AV402" s="324"/>
      <c r="AW402" s="324"/>
      <c r="AX402" s="150"/>
      <c r="AY402" s="297"/>
      <c r="AZ402" s="297"/>
      <c r="BA402" s="297"/>
      <c r="BB402" s="297"/>
      <c r="BC402" s="152"/>
      <c r="BD402" s="150"/>
      <c r="BE402" s="297"/>
      <c r="BF402" s="297"/>
      <c r="BG402" s="297"/>
      <c r="BH402" s="297"/>
      <c r="BI402" s="152"/>
      <c r="BJ402" s="170"/>
      <c r="BK402" s="148"/>
      <c r="BL402" s="324"/>
      <c r="BM402" s="324"/>
      <c r="BN402" s="170"/>
      <c r="BO402" s="149"/>
      <c r="BP402" s="170"/>
      <c r="BQ402" s="149"/>
      <c r="BR402" s="170"/>
      <c r="BS402" s="171"/>
      <c r="BT402" s="706"/>
    </row>
    <row r="403" spans="1:72" s="2" customFormat="1" ht="24.9" customHeight="1">
      <c r="A403" s="147"/>
      <c r="B403" s="158"/>
      <c r="C403" s="179"/>
      <c r="D403" s="158"/>
      <c r="E403" s="160"/>
      <c r="F403" s="161"/>
      <c r="G403" s="161"/>
      <c r="H403" s="161"/>
      <c r="I403" s="163"/>
      <c r="J403" s="161"/>
      <c r="K403" s="163"/>
      <c r="L403" s="150"/>
      <c r="M403" s="164"/>
      <c r="N403" s="150"/>
      <c r="O403" s="174"/>
      <c r="P403" s="523"/>
      <c r="Q403" s="523"/>
      <c r="R403" s="154"/>
      <c r="S403" s="155"/>
      <c r="T403" s="156"/>
      <c r="U403" s="154"/>
      <c r="V403" s="155"/>
      <c r="W403" s="155"/>
      <c r="X403" s="419"/>
      <c r="Y403" s="157"/>
      <c r="Z403" s="217"/>
      <c r="AA403" s="150"/>
      <c r="AB403" s="151"/>
      <c r="AC403" s="152"/>
      <c r="AD403" s="506"/>
      <c r="AE403" s="166"/>
      <c r="AF403" s="150"/>
      <c r="AG403" s="152"/>
      <c r="AH403" s="150"/>
      <c r="AI403" s="152"/>
      <c r="AJ403" s="150"/>
      <c r="AK403" s="152"/>
      <c r="AL403" s="150"/>
      <c r="AM403" s="151"/>
      <c r="AN403" s="151"/>
      <c r="AO403" s="169"/>
      <c r="AP403" s="169"/>
      <c r="AQ403" s="149"/>
      <c r="AR403" s="324"/>
      <c r="AS403" s="324"/>
      <c r="AT403" s="324"/>
      <c r="AU403" s="324"/>
      <c r="AV403" s="324"/>
      <c r="AW403" s="324"/>
      <c r="AX403" s="150"/>
      <c r="AY403" s="297"/>
      <c r="AZ403" s="297"/>
      <c r="BA403" s="297"/>
      <c r="BB403" s="297"/>
      <c r="BC403" s="152"/>
      <c r="BD403" s="150"/>
      <c r="BE403" s="297"/>
      <c r="BF403" s="297"/>
      <c r="BG403" s="297"/>
      <c r="BH403" s="297"/>
      <c r="BI403" s="152"/>
      <c r="BJ403" s="170"/>
      <c r="BK403" s="148"/>
      <c r="BL403" s="324"/>
      <c r="BM403" s="324"/>
      <c r="BN403" s="170"/>
      <c r="BO403" s="149"/>
      <c r="BP403" s="170"/>
      <c r="BQ403" s="149"/>
      <c r="BR403" s="170"/>
      <c r="BS403" s="171"/>
      <c r="BT403" s="707"/>
    </row>
    <row r="404" spans="1:72" s="2" customFormat="1" ht="24.9" customHeight="1">
      <c r="A404" s="147"/>
      <c r="B404" s="158"/>
      <c r="C404" s="179"/>
      <c r="D404" s="158"/>
      <c r="E404" s="160"/>
      <c r="F404" s="161"/>
      <c r="G404" s="161"/>
      <c r="H404" s="161"/>
      <c r="I404" s="163"/>
      <c r="J404" s="161"/>
      <c r="K404" s="163"/>
      <c r="L404" s="150"/>
      <c r="M404" s="164"/>
      <c r="N404" s="150"/>
      <c r="O404" s="174"/>
      <c r="P404" s="523"/>
      <c r="Q404" s="523"/>
      <c r="R404" s="154"/>
      <c r="S404" s="155"/>
      <c r="T404" s="156"/>
      <c r="U404" s="154"/>
      <c r="V404" s="155"/>
      <c r="W404" s="155"/>
      <c r="X404" s="419"/>
      <c r="Y404" s="157"/>
      <c r="Z404" s="217"/>
      <c r="AA404" s="150"/>
      <c r="AB404" s="151"/>
      <c r="AC404" s="152"/>
      <c r="AD404" s="506"/>
      <c r="AE404" s="166"/>
      <c r="AF404" s="150"/>
      <c r="AG404" s="152"/>
      <c r="AH404" s="150"/>
      <c r="AI404" s="152"/>
      <c r="AJ404" s="150"/>
      <c r="AK404" s="152"/>
      <c r="AL404" s="150"/>
      <c r="AM404" s="151"/>
      <c r="AN404" s="151"/>
      <c r="AO404" s="169"/>
      <c r="AP404" s="169"/>
      <c r="AQ404" s="149"/>
      <c r="AR404" s="324"/>
      <c r="AS404" s="324"/>
      <c r="AT404" s="324"/>
      <c r="AU404" s="324"/>
      <c r="AV404" s="324"/>
      <c r="AW404" s="324"/>
      <c r="AX404" s="150"/>
      <c r="AY404" s="297"/>
      <c r="AZ404" s="297"/>
      <c r="BA404" s="297"/>
      <c r="BB404" s="297"/>
      <c r="BC404" s="152"/>
      <c r="BD404" s="150"/>
      <c r="BE404" s="297"/>
      <c r="BF404" s="297"/>
      <c r="BG404" s="297"/>
      <c r="BH404" s="297"/>
      <c r="BI404" s="152"/>
      <c r="BJ404" s="170"/>
      <c r="BK404" s="148"/>
      <c r="BL404" s="324"/>
      <c r="BM404" s="324"/>
      <c r="BN404" s="170"/>
      <c r="BO404" s="149"/>
      <c r="BP404" s="170"/>
      <c r="BQ404" s="149"/>
      <c r="BR404" s="170"/>
      <c r="BS404" s="171"/>
      <c r="BT404" s="706"/>
    </row>
    <row r="405" spans="1:72" s="2" customFormat="1" ht="24.9" customHeight="1">
      <c r="A405" s="147"/>
      <c r="B405" s="158"/>
      <c r="C405" s="179"/>
      <c r="D405" s="158"/>
      <c r="E405" s="160"/>
      <c r="F405" s="161"/>
      <c r="G405" s="161"/>
      <c r="H405" s="161"/>
      <c r="I405" s="163"/>
      <c r="J405" s="161"/>
      <c r="K405" s="163"/>
      <c r="L405" s="150"/>
      <c r="M405" s="164"/>
      <c r="N405" s="150"/>
      <c r="O405" s="174"/>
      <c r="P405" s="523"/>
      <c r="Q405" s="523"/>
      <c r="R405" s="154"/>
      <c r="S405" s="155"/>
      <c r="T405" s="156"/>
      <c r="U405" s="154"/>
      <c r="V405" s="155"/>
      <c r="W405" s="155"/>
      <c r="X405" s="419"/>
      <c r="Y405" s="157"/>
      <c r="Z405" s="217"/>
      <c r="AA405" s="150"/>
      <c r="AB405" s="151"/>
      <c r="AC405" s="152"/>
      <c r="AD405" s="506"/>
      <c r="AE405" s="166"/>
      <c r="AF405" s="150"/>
      <c r="AG405" s="152"/>
      <c r="AH405" s="150"/>
      <c r="AI405" s="152"/>
      <c r="AJ405" s="150"/>
      <c r="AK405" s="152"/>
      <c r="AL405" s="150"/>
      <c r="AM405" s="151"/>
      <c r="AN405" s="151"/>
      <c r="AO405" s="169"/>
      <c r="AP405" s="169"/>
      <c r="AQ405" s="149"/>
      <c r="AR405" s="324"/>
      <c r="AS405" s="324"/>
      <c r="AT405" s="324"/>
      <c r="AU405" s="324"/>
      <c r="AV405" s="324"/>
      <c r="AW405" s="324"/>
      <c r="AX405" s="150"/>
      <c r="AY405" s="297"/>
      <c r="AZ405" s="297"/>
      <c r="BA405" s="297"/>
      <c r="BB405" s="297"/>
      <c r="BC405" s="152"/>
      <c r="BD405" s="150"/>
      <c r="BE405" s="297"/>
      <c r="BF405" s="297"/>
      <c r="BG405" s="297"/>
      <c r="BH405" s="297"/>
      <c r="BI405" s="152"/>
      <c r="BJ405" s="170"/>
      <c r="BK405" s="148"/>
      <c r="BL405" s="324"/>
      <c r="BM405" s="324"/>
      <c r="BN405" s="170"/>
      <c r="BO405" s="149"/>
      <c r="BP405" s="170"/>
      <c r="BQ405" s="149"/>
      <c r="BR405" s="170"/>
      <c r="BS405" s="171"/>
      <c r="BT405" s="707"/>
    </row>
    <row r="406" spans="1:72" s="2" customFormat="1" ht="24.9" customHeight="1">
      <c r="A406" s="147"/>
      <c r="B406" s="158"/>
      <c r="C406" s="179"/>
      <c r="D406" s="158"/>
      <c r="E406" s="160"/>
      <c r="F406" s="161"/>
      <c r="G406" s="161"/>
      <c r="H406" s="161"/>
      <c r="I406" s="163"/>
      <c r="J406" s="161"/>
      <c r="K406" s="163"/>
      <c r="L406" s="150"/>
      <c r="M406" s="164"/>
      <c r="N406" s="150"/>
      <c r="O406" s="174"/>
      <c r="P406" s="523"/>
      <c r="Q406" s="523"/>
      <c r="R406" s="154"/>
      <c r="S406" s="155"/>
      <c r="T406" s="156"/>
      <c r="U406" s="154"/>
      <c r="V406" s="155"/>
      <c r="W406" s="155"/>
      <c r="X406" s="419"/>
      <c r="Y406" s="157"/>
      <c r="Z406" s="217"/>
      <c r="AA406" s="150"/>
      <c r="AB406" s="151"/>
      <c r="AC406" s="152"/>
      <c r="AD406" s="506"/>
      <c r="AE406" s="166"/>
      <c r="AF406" s="150"/>
      <c r="AG406" s="152"/>
      <c r="AH406" s="150"/>
      <c r="AI406" s="152"/>
      <c r="AJ406" s="150"/>
      <c r="AK406" s="152"/>
      <c r="AL406" s="150"/>
      <c r="AM406" s="151"/>
      <c r="AN406" s="151"/>
      <c r="AO406" s="169"/>
      <c r="AP406" s="169"/>
      <c r="AQ406" s="149"/>
      <c r="AR406" s="324"/>
      <c r="AS406" s="324"/>
      <c r="AT406" s="324"/>
      <c r="AU406" s="324"/>
      <c r="AV406" s="324"/>
      <c r="AW406" s="324"/>
      <c r="AX406" s="150"/>
      <c r="AY406" s="297"/>
      <c r="AZ406" s="297"/>
      <c r="BA406" s="297"/>
      <c r="BB406" s="297"/>
      <c r="BC406" s="152"/>
      <c r="BD406" s="150"/>
      <c r="BE406" s="297"/>
      <c r="BF406" s="297"/>
      <c r="BG406" s="297"/>
      <c r="BH406" s="297"/>
      <c r="BI406" s="152"/>
      <c r="BJ406" s="170"/>
      <c r="BK406" s="148"/>
      <c r="BL406" s="324"/>
      <c r="BM406" s="324"/>
      <c r="BN406" s="170"/>
      <c r="BO406" s="149"/>
      <c r="BP406" s="170"/>
      <c r="BQ406" s="149"/>
      <c r="BR406" s="170"/>
      <c r="BS406" s="171"/>
      <c r="BT406" s="706"/>
    </row>
    <row r="407" spans="1:72" s="2" customFormat="1" ht="24.9" customHeight="1">
      <c r="A407" s="147"/>
      <c r="B407" s="158"/>
      <c r="C407" s="179"/>
      <c r="D407" s="158"/>
      <c r="E407" s="160"/>
      <c r="F407" s="161"/>
      <c r="G407" s="161"/>
      <c r="H407" s="161"/>
      <c r="I407" s="163"/>
      <c r="J407" s="161"/>
      <c r="K407" s="163"/>
      <c r="L407" s="150"/>
      <c r="M407" s="164"/>
      <c r="N407" s="150"/>
      <c r="O407" s="151"/>
      <c r="P407" s="522"/>
      <c r="Q407" s="522"/>
      <c r="R407" s="154"/>
      <c r="S407" s="155"/>
      <c r="T407" s="156"/>
      <c r="U407" s="154"/>
      <c r="V407" s="155"/>
      <c r="W407" s="155"/>
      <c r="X407" s="419"/>
      <c r="Y407" s="157"/>
      <c r="Z407" s="217"/>
      <c r="AA407" s="150"/>
      <c r="AB407" s="151"/>
      <c r="AC407" s="152"/>
      <c r="AD407" s="506"/>
      <c r="AE407" s="166"/>
      <c r="AF407" s="150"/>
      <c r="AG407" s="152"/>
      <c r="AH407" s="150"/>
      <c r="AI407" s="152"/>
      <c r="AJ407" s="150"/>
      <c r="AK407" s="152"/>
      <c r="AL407" s="150"/>
      <c r="AM407" s="151"/>
      <c r="AN407" s="151"/>
      <c r="AO407" s="169"/>
      <c r="AP407" s="169"/>
      <c r="AQ407" s="149"/>
      <c r="AR407" s="324"/>
      <c r="AS407" s="324"/>
      <c r="AT407" s="324"/>
      <c r="AU407" s="324"/>
      <c r="AV407" s="324"/>
      <c r="AW407" s="324"/>
      <c r="AX407" s="150"/>
      <c r="AY407" s="297"/>
      <c r="AZ407" s="297"/>
      <c r="BA407" s="297"/>
      <c r="BB407" s="297"/>
      <c r="BC407" s="152"/>
      <c r="BD407" s="150"/>
      <c r="BE407" s="297"/>
      <c r="BF407" s="297"/>
      <c r="BG407" s="297"/>
      <c r="BH407" s="297"/>
      <c r="BI407" s="152"/>
      <c r="BJ407" s="170"/>
      <c r="BK407" s="148"/>
      <c r="BL407" s="324"/>
      <c r="BM407" s="324"/>
      <c r="BN407" s="170"/>
      <c r="BO407" s="149"/>
      <c r="BP407" s="170"/>
      <c r="BQ407" s="149"/>
      <c r="BR407" s="170"/>
      <c r="BS407" s="171"/>
      <c r="BT407" s="708"/>
    </row>
    <row r="408" spans="1:72" s="2" customFormat="1" ht="24.9" customHeight="1">
      <c r="A408" s="147"/>
      <c r="B408" s="158"/>
      <c r="C408" s="179"/>
      <c r="D408" s="158"/>
      <c r="E408" s="160"/>
      <c r="F408" s="161"/>
      <c r="G408" s="161"/>
      <c r="H408" s="161"/>
      <c r="I408" s="163"/>
      <c r="J408" s="161"/>
      <c r="K408" s="163"/>
      <c r="L408" s="150"/>
      <c r="M408" s="164"/>
      <c r="N408" s="150"/>
      <c r="O408" s="174"/>
      <c r="P408" s="523"/>
      <c r="Q408" s="523"/>
      <c r="R408" s="154"/>
      <c r="S408" s="155"/>
      <c r="T408" s="156"/>
      <c r="U408" s="154"/>
      <c r="V408" s="155"/>
      <c r="W408" s="155"/>
      <c r="X408" s="419"/>
      <c r="Y408" s="157"/>
      <c r="Z408" s="217"/>
      <c r="AA408" s="150"/>
      <c r="AB408" s="151"/>
      <c r="AC408" s="152"/>
      <c r="AD408" s="506"/>
      <c r="AE408" s="166"/>
      <c r="AF408" s="150"/>
      <c r="AG408" s="152"/>
      <c r="AH408" s="150"/>
      <c r="AI408" s="152"/>
      <c r="AJ408" s="150"/>
      <c r="AK408" s="152"/>
      <c r="AL408" s="150"/>
      <c r="AM408" s="151"/>
      <c r="AN408" s="151"/>
      <c r="AO408" s="169"/>
      <c r="AP408" s="169"/>
      <c r="AQ408" s="149"/>
      <c r="AR408" s="324"/>
      <c r="AS408" s="324"/>
      <c r="AT408" s="324"/>
      <c r="AU408" s="324"/>
      <c r="AV408" s="324"/>
      <c r="AW408" s="324"/>
      <c r="AX408" s="150"/>
      <c r="AY408" s="297"/>
      <c r="AZ408" s="297"/>
      <c r="BA408" s="297"/>
      <c r="BB408" s="297"/>
      <c r="BC408" s="152"/>
      <c r="BD408" s="150"/>
      <c r="BE408" s="297"/>
      <c r="BF408" s="297"/>
      <c r="BG408" s="297"/>
      <c r="BH408" s="297"/>
      <c r="BI408" s="152"/>
      <c r="BJ408" s="170"/>
      <c r="BK408" s="148"/>
      <c r="BL408" s="324"/>
      <c r="BM408" s="324"/>
      <c r="BN408" s="170"/>
      <c r="BO408" s="149"/>
      <c r="BP408" s="170"/>
      <c r="BQ408" s="149"/>
      <c r="BR408" s="170"/>
      <c r="BS408" s="171"/>
      <c r="BT408" s="707"/>
    </row>
    <row r="409" spans="1:72" s="2" customFormat="1" ht="24.9" customHeight="1">
      <c r="A409" s="147"/>
      <c r="B409" s="158"/>
      <c r="C409" s="179"/>
      <c r="D409" s="158"/>
      <c r="E409" s="160"/>
      <c r="F409" s="161"/>
      <c r="G409" s="161"/>
      <c r="H409" s="161"/>
      <c r="I409" s="163"/>
      <c r="J409" s="161"/>
      <c r="K409" s="163"/>
      <c r="L409" s="150"/>
      <c r="M409" s="164"/>
      <c r="N409" s="150"/>
      <c r="O409" s="174"/>
      <c r="P409" s="523"/>
      <c r="Q409" s="523"/>
      <c r="R409" s="154"/>
      <c r="S409" s="155"/>
      <c r="T409" s="156"/>
      <c r="U409" s="154"/>
      <c r="V409" s="155"/>
      <c r="W409" s="155"/>
      <c r="X409" s="419"/>
      <c r="Y409" s="157"/>
      <c r="Z409" s="217"/>
      <c r="AA409" s="150"/>
      <c r="AB409" s="151"/>
      <c r="AC409" s="152"/>
      <c r="AD409" s="506"/>
      <c r="AE409" s="166"/>
      <c r="AF409" s="150"/>
      <c r="AG409" s="152"/>
      <c r="AH409" s="150"/>
      <c r="AI409" s="152"/>
      <c r="AJ409" s="150"/>
      <c r="AK409" s="152"/>
      <c r="AL409" s="150"/>
      <c r="AM409" s="151"/>
      <c r="AN409" s="151"/>
      <c r="AO409" s="169"/>
      <c r="AP409" s="169"/>
      <c r="AQ409" s="149"/>
      <c r="AR409" s="324"/>
      <c r="AS409" s="324"/>
      <c r="AT409" s="324"/>
      <c r="AU409" s="324"/>
      <c r="AV409" s="324"/>
      <c r="AW409" s="324"/>
      <c r="AX409" s="150"/>
      <c r="AY409" s="297"/>
      <c r="AZ409" s="297"/>
      <c r="BA409" s="297"/>
      <c r="BB409" s="297"/>
      <c r="BC409" s="152"/>
      <c r="BD409" s="150"/>
      <c r="BE409" s="297"/>
      <c r="BF409" s="297"/>
      <c r="BG409" s="297"/>
      <c r="BH409" s="297"/>
      <c r="BI409" s="152"/>
      <c r="BJ409" s="170"/>
      <c r="BK409" s="148"/>
      <c r="BL409" s="324"/>
      <c r="BM409" s="324"/>
      <c r="BN409" s="170"/>
      <c r="BO409" s="149"/>
      <c r="BP409" s="170"/>
      <c r="BQ409" s="149"/>
      <c r="BR409" s="170"/>
      <c r="BS409" s="171"/>
      <c r="BT409" s="706"/>
    </row>
    <row r="410" spans="1:72" s="2" customFormat="1" ht="24.9" customHeight="1">
      <c r="A410" s="147"/>
      <c r="B410" s="158"/>
      <c r="C410" s="179"/>
      <c r="D410" s="158"/>
      <c r="E410" s="160"/>
      <c r="F410" s="161"/>
      <c r="G410" s="161"/>
      <c r="H410" s="161"/>
      <c r="I410" s="163"/>
      <c r="J410" s="161"/>
      <c r="K410" s="163"/>
      <c r="L410" s="150"/>
      <c r="M410" s="164"/>
      <c r="N410" s="150"/>
      <c r="O410" s="174"/>
      <c r="P410" s="523"/>
      <c r="Q410" s="523"/>
      <c r="R410" s="154"/>
      <c r="S410" s="155"/>
      <c r="T410" s="156"/>
      <c r="U410" s="154"/>
      <c r="V410" s="155"/>
      <c r="W410" s="155"/>
      <c r="X410" s="419"/>
      <c r="Y410" s="157"/>
      <c r="Z410" s="217"/>
      <c r="AA410" s="150"/>
      <c r="AB410" s="151"/>
      <c r="AC410" s="152"/>
      <c r="AD410" s="506"/>
      <c r="AE410" s="166"/>
      <c r="AF410" s="150"/>
      <c r="AG410" s="152"/>
      <c r="AH410" s="150"/>
      <c r="AI410" s="152"/>
      <c r="AJ410" s="150"/>
      <c r="AK410" s="152"/>
      <c r="AL410" s="150"/>
      <c r="AM410" s="151"/>
      <c r="AN410" s="151"/>
      <c r="AO410" s="169"/>
      <c r="AP410" s="169"/>
      <c r="AQ410" s="149"/>
      <c r="AR410" s="324"/>
      <c r="AS410" s="324"/>
      <c r="AT410" s="324"/>
      <c r="AU410" s="324"/>
      <c r="AV410" s="324"/>
      <c r="AW410" s="324"/>
      <c r="AX410" s="150"/>
      <c r="AY410" s="297"/>
      <c r="AZ410" s="297"/>
      <c r="BA410" s="297"/>
      <c r="BB410" s="297"/>
      <c r="BC410" s="152"/>
      <c r="BD410" s="150"/>
      <c r="BE410" s="297"/>
      <c r="BF410" s="297"/>
      <c r="BG410" s="297"/>
      <c r="BH410" s="297"/>
      <c r="BI410" s="152"/>
      <c r="BJ410" s="170"/>
      <c r="BK410" s="148"/>
      <c r="BL410" s="324"/>
      <c r="BM410" s="324"/>
      <c r="BN410" s="170"/>
      <c r="BO410" s="149"/>
      <c r="BP410" s="170"/>
      <c r="BQ410" s="149"/>
      <c r="BR410" s="170"/>
      <c r="BS410" s="171"/>
      <c r="BT410" s="707"/>
    </row>
    <row r="411" spans="1:72" s="2" customFormat="1" ht="24.9" customHeight="1">
      <c r="A411" s="147"/>
      <c r="B411" s="158"/>
      <c r="C411" s="179"/>
      <c r="D411" s="158"/>
      <c r="E411" s="160"/>
      <c r="F411" s="161"/>
      <c r="G411" s="161"/>
      <c r="H411" s="161"/>
      <c r="I411" s="163"/>
      <c r="J411" s="161"/>
      <c r="K411" s="163"/>
      <c r="L411" s="150"/>
      <c r="M411" s="164"/>
      <c r="N411" s="150"/>
      <c r="O411" s="174"/>
      <c r="P411" s="523"/>
      <c r="Q411" s="523"/>
      <c r="R411" s="154"/>
      <c r="S411" s="155"/>
      <c r="T411" s="156"/>
      <c r="U411" s="154"/>
      <c r="V411" s="155"/>
      <c r="W411" s="155"/>
      <c r="X411" s="419"/>
      <c r="Y411" s="157"/>
      <c r="Z411" s="217"/>
      <c r="AA411" s="150"/>
      <c r="AB411" s="151"/>
      <c r="AC411" s="152"/>
      <c r="AD411" s="506"/>
      <c r="AE411" s="166"/>
      <c r="AF411" s="150"/>
      <c r="AG411" s="152"/>
      <c r="AH411" s="150"/>
      <c r="AI411" s="152"/>
      <c r="AJ411" s="150"/>
      <c r="AK411" s="152"/>
      <c r="AL411" s="150"/>
      <c r="AM411" s="151"/>
      <c r="AN411" s="151"/>
      <c r="AO411" s="169"/>
      <c r="AP411" s="169"/>
      <c r="AQ411" s="149"/>
      <c r="AR411" s="324"/>
      <c r="AS411" s="324"/>
      <c r="AT411" s="324"/>
      <c r="AU411" s="324"/>
      <c r="AV411" s="324"/>
      <c r="AW411" s="324"/>
      <c r="AX411" s="150"/>
      <c r="AY411" s="297"/>
      <c r="AZ411" s="297"/>
      <c r="BA411" s="297"/>
      <c r="BB411" s="297"/>
      <c r="BC411" s="152"/>
      <c r="BD411" s="150"/>
      <c r="BE411" s="297"/>
      <c r="BF411" s="297"/>
      <c r="BG411" s="297"/>
      <c r="BH411" s="297"/>
      <c r="BI411" s="152"/>
      <c r="BJ411" s="170"/>
      <c r="BK411" s="148"/>
      <c r="BL411" s="324"/>
      <c r="BM411" s="324"/>
      <c r="BN411" s="170"/>
      <c r="BO411" s="149"/>
      <c r="BP411" s="170"/>
      <c r="BQ411" s="149"/>
      <c r="BR411" s="170"/>
      <c r="BS411" s="171"/>
      <c r="BT411" s="706"/>
    </row>
    <row r="412" spans="1:72" s="2" customFormat="1" ht="24.9" customHeight="1">
      <c r="A412" s="147"/>
      <c r="B412" s="158"/>
      <c r="C412" s="179"/>
      <c r="D412" s="158"/>
      <c r="E412" s="160"/>
      <c r="F412" s="161"/>
      <c r="G412" s="161"/>
      <c r="H412" s="161"/>
      <c r="I412" s="163"/>
      <c r="J412" s="161"/>
      <c r="K412" s="163"/>
      <c r="L412" s="150"/>
      <c r="M412" s="164"/>
      <c r="N412" s="150"/>
      <c r="O412" s="174"/>
      <c r="P412" s="523"/>
      <c r="Q412" s="523"/>
      <c r="R412" s="154"/>
      <c r="S412" s="155"/>
      <c r="T412" s="156"/>
      <c r="U412" s="154"/>
      <c r="V412" s="155"/>
      <c r="W412" s="155"/>
      <c r="X412" s="419"/>
      <c r="Y412" s="157"/>
      <c r="Z412" s="217"/>
      <c r="AA412" s="150"/>
      <c r="AB412" s="151"/>
      <c r="AC412" s="152"/>
      <c r="AD412" s="506"/>
      <c r="AE412" s="166"/>
      <c r="AF412" s="150"/>
      <c r="AG412" s="152"/>
      <c r="AH412" s="150"/>
      <c r="AI412" s="152"/>
      <c r="AJ412" s="150"/>
      <c r="AK412" s="152"/>
      <c r="AL412" s="150"/>
      <c r="AM412" s="151"/>
      <c r="AN412" s="151"/>
      <c r="AO412" s="169"/>
      <c r="AP412" s="169"/>
      <c r="AQ412" s="149"/>
      <c r="AR412" s="324"/>
      <c r="AS412" s="324"/>
      <c r="AT412" s="324"/>
      <c r="AU412" s="324"/>
      <c r="AV412" s="324"/>
      <c r="AW412" s="324"/>
      <c r="AX412" s="150"/>
      <c r="AY412" s="297"/>
      <c r="AZ412" s="297"/>
      <c r="BA412" s="297"/>
      <c r="BB412" s="297"/>
      <c r="BC412" s="152"/>
      <c r="BD412" s="150"/>
      <c r="BE412" s="297"/>
      <c r="BF412" s="297"/>
      <c r="BG412" s="297"/>
      <c r="BH412" s="297"/>
      <c r="BI412" s="152"/>
      <c r="BJ412" s="170"/>
      <c r="BK412" s="148"/>
      <c r="BL412" s="324"/>
      <c r="BM412" s="324"/>
      <c r="BN412" s="170"/>
      <c r="BO412" s="149"/>
      <c r="BP412" s="170"/>
      <c r="BQ412" s="149"/>
      <c r="BR412" s="170"/>
      <c r="BS412" s="171"/>
      <c r="BT412" s="707"/>
    </row>
    <row r="413" spans="1:72" s="2" customFormat="1" ht="24.9" customHeight="1">
      <c r="A413" s="147"/>
      <c r="B413" s="158"/>
      <c r="C413" s="179"/>
      <c r="D413" s="158"/>
      <c r="E413" s="160"/>
      <c r="F413" s="161"/>
      <c r="G413" s="161"/>
      <c r="H413" s="161"/>
      <c r="I413" s="163"/>
      <c r="J413" s="161"/>
      <c r="K413" s="163"/>
      <c r="L413" s="150"/>
      <c r="M413" s="164"/>
      <c r="N413" s="150"/>
      <c r="O413" s="174"/>
      <c r="P413" s="523"/>
      <c r="Q413" s="523"/>
      <c r="R413" s="154"/>
      <c r="S413" s="155"/>
      <c r="T413" s="156"/>
      <c r="U413" s="154"/>
      <c r="V413" s="155"/>
      <c r="W413" s="155"/>
      <c r="X413" s="419"/>
      <c r="Y413" s="157"/>
      <c r="Z413" s="217"/>
      <c r="AA413" s="150"/>
      <c r="AB413" s="151"/>
      <c r="AC413" s="152"/>
      <c r="AD413" s="506"/>
      <c r="AE413" s="166"/>
      <c r="AF413" s="150"/>
      <c r="AG413" s="152"/>
      <c r="AH413" s="150"/>
      <c r="AI413" s="152"/>
      <c r="AJ413" s="150"/>
      <c r="AK413" s="152"/>
      <c r="AL413" s="150"/>
      <c r="AM413" s="151"/>
      <c r="AN413" s="151"/>
      <c r="AO413" s="169"/>
      <c r="AP413" s="169"/>
      <c r="AQ413" s="149"/>
      <c r="AR413" s="324"/>
      <c r="AS413" s="324"/>
      <c r="AT413" s="324"/>
      <c r="AU413" s="324"/>
      <c r="AV413" s="324"/>
      <c r="AW413" s="324"/>
      <c r="AX413" s="150"/>
      <c r="AY413" s="297"/>
      <c r="AZ413" s="297"/>
      <c r="BA413" s="297"/>
      <c r="BB413" s="297"/>
      <c r="BC413" s="152"/>
      <c r="BD413" s="150"/>
      <c r="BE413" s="297"/>
      <c r="BF413" s="297"/>
      <c r="BG413" s="297"/>
      <c r="BH413" s="297"/>
      <c r="BI413" s="152"/>
      <c r="BJ413" s="170"/>
      <c r="BK413" s="148"/>
      <c r="BL413" s="324"/>
      <c r="BM413" s="324"/>
      <c r="BN413" s="170"/>
      <c r="BO413" s="149"/>
      <c r="BP413" s="170"/>
      <c r="BQ413" s="149"/>
      <c r="BR413" s="170"/>
      <c r="BS413" s="171"/>
      <c r="BT413" s="706"/>
    </row>
    <row r="414" spans="1:72" s="2" customFormat="1" ht="24.9" customHeight="1">
      <c r="A414" s="147"/>
      <c r="B414" s="158"/>
      <c r="C414" s="179"/>
      <c r="D414" s="158"/>
      <c r="E414" s="160"/>
      <c r="F414" s="161"/>
      <c r="G414" s="161"/>
      <c r="H414" s="161"/>
      <c r="I414" s="163"/>
      <c r="J414" s="161"/>
      <c r="K414" s="163"/>
      <c r="L414" s="150"/>
      <c r="M414" s="164"/>
      <c r="N414" s="150"/>
      <c r="O414" s="151"/>
      <c r="P414" s="522"/>
      <c r="Q414" s="522"/>
      <c r="R414" s="154"/>
      <c r="S414" s="155"/>
      <c r="T414" s="156"/>
      <c r="U414" s="154"/>
      <c r="V414" s="155"/>
      <c r="W414" s="155"/>
      <c r="X414" s="419"/>
      <c r="Y414" s="157"/>
      <c r="Z414" s="217"/>
      <c r="AA414" s="150"/>
      <c r="AB414" s="151"/>
      <c r="AC414" s="152"/>
      <c r="AD414" s="506"/>
      <c r="AE414" s="166"/>
      <c r="AF414" s="150"/>
      <c r="AG414" s="152"/>
      <c r="AH414" s="150"/>
      <c r="AI414" s="152"/>
      <c r="AJ414" s="150"/>
      <c r="AK414" s="152"/>
      <c r="AL414" s="150"/>
      <c r="AM414" s="151"/>
      <c r="AN414" s="151"/>
      <c r="AO414" s="169"/>
      <c r="AP414" s="169"/>
      <c r="AQ414" s="149"/>
      <c r="AR414" s="324"/>
      <c r="AS414" s="324"/>
      <c r="AT414" s="324"/>
      <c r="AU414" s="324"/>
      <c r="AV414" s="324"/>
      <c r="AW414" s="324"/>
      <c r="AX414" s="150"/>
      <c r="AY414" s="297"/>
      <c r="AZ414" s="297"/>
      <c r="BA414" s="297"/>
      <c r="BB414" s="297"/>
      <c r="BC414" s="152"/>
      <c r="BD414" s="150"/>
      <c r="BE414" s="297"/>
      <c r="BF414" s="297"/>
      <c r="BG414" s="297"/>
      <c r="BH414" s="297"/>
      <c r="BI414" s="152"/>
      <c r="BJ414" s="170"/>
      <c r="BK414" s="148"/>
      <c r="BL414" s="324"/>
      <c r="BM414" s="324"/>
      <c r="BN414" s="170"/>
      <c r="BO414" s="149"/>
      <c r="BP414" s="170"/>
      <c r="BQ414" s="149"/>
      <c r="BR414" s="170"/>
      <c r="BS414" s="171"/>
      <c r="BT414" s="708"/>
    </row>
    <row r="415" spans="1:72" s="2" customFormat="1" ht="24.9" customHeight="1">
      <c r="A415" s="147"/>
      <c r="B415" s="158"/>
      <c r="C415" s="179"/>
      <c r="D415" s="158"/>
      <c r="E415" s="160"/>
      <c r="F415" s="161"/>
      <c r="G415" s="161"/>
      <c r="H415" s="161"/>
      <c r="I415" s="163"/>
      <c r="J415" s="161"/>
      <c r="K415" s="163"/>
      <c r="L415" s="150"/>
      <c r="M415" s="164"/>
      <c r="N415" s="150"/>
      <c r="O415" s="174"/>
      <c r="P415" s="523"/>
      <c r="Q415" s="523"/>
      <c r="R415" s="154"/>
      <c r="S415" s="155"/>
      <c r="T415" s="156"/>
      <c r="U415" s="154"/>
      <c r="V415" s="155"/>
      <c r="W415" s="155"/>
      <c r="X415" s="419"/>
      <c r="Y415" s="157"/>
      <c r="Z415" s="217"/>
      <c r="AA415" s="150"/>
      <c r="AB415" s="151"/>
      <c r="AC415" s="152"/>
      <c r="AD415" s="506"/>
      <c r="AE415" s="166"/>
      <c r="AF415" s="150"/>
      <c r="AG415" s="152"/>
      <c r="AH415" s="150"/>
      <c r="AI415" s="152"/>
      <c r="AJ415" s="150"/>
      <c r="AK415" s="152"/>
      <c r="AL415" s="150"/>
      <c r="AM415" s="151"/>
      <c r="AN415" s="151"/>
      <c r="AO415" s="169"/>
      <c r="AP415" s="169"/>
      <c r="AQ415" s="149"/>
      <c r="AR415" s="324"/>
      <c r="AS415" s="324"/>
      <c r="AT415" s="324"/>
      <c r="AU415" s="324"/>
      <c r="AV415" s="324"/>
      <c r="AW415" s="324"/>
      <c r="AX415" s="150"/>
      <c r="AY415" s="297"/>
      <c r="AZ415" s="297"/>
      <c r="BA415" s="297"/>
      <c r="BB415" s="297"/>
      <c r="BC415" s="152"/>
      <c r="BD415" s="150"/>
      <c r="BE415" s="297"/>
      <c r="BF415" s="297"/>
      <c r="BG415" s="297"/>
      <c r="BH415" s="297"/>
      <c r="BI415" s="152"/>
      <c r="BJ415" s="170"/>
      <c r="BK415" s="148"/>
      <c r="BL415" s="324"/>
      <c r="BM415" s="324"/>
      <c r="BN415" s="170"/>
      <c r="BO415" s="149"/>
      <c r="BP415" s="170"/>
      <c r="BQ415" s="149"/>
      <c r="BR415" s="170"/>
      <c r="BS415" s="171"/>
      <c r="BT415" s="708"/>
    </row>
    <row r="416" spans="1:72" s="2" customFormat="1" ht="24.9" customHeight="1">
      <c r="A416" s="147"/>
      <c r="B416" s="158"/>
      <c r="C416" s="179"/>
      <c r="D416" s="158"/>
      <c r="E416" s="160"/>
      <c r="F416" s="161"/>
      <c r="G416" s="161"/>
      <c r="H416" s="161"/>
      <c r="I416" s="163"/>
      <c r="J416" s="161"/>
      <c r="K416" s="163"/>
      <c r="L416" s="150"/>
      <c r="M416" s="164"/>
      <c r="N416" s="150"/>
      <c r="O416" s="174"/>
      <c r="P416" s="523"/>
      <c r="Q416" s="523"/>
      <c r="R416" s="154"/>
      <c r="S416" s="155"/>
      <c r="T416" s="156"/>
      <c r="U416" s="154"/>
      <c r="V416" s="155"/>
      <c r="W416" s="155"/>
      <c r="X416" s="419"/>
      <c r="Y416" s="157"/>
      <c r="Z416" s="217"/>
      <c r="AA416" s="150"/>
      <c r="AB416" s="151"/>
      <c r="AC416" s="152"/>
      <c r="AD416" s="506"/>
      <c r="AE416" s="166"/>
      <c r="AF416" s="150"/>
      <c r="AG416" s="152"/>
      <c r="AH416" s="150"/>
      <c r="AI416" s="152"/>
      <c r="AJ416" s="150"/>
      <c r="AK416" s="152"/>
      <c r="AL416" s="150"/>
      <c r="AM416" s="151"/>
      <c r="AN416" s="151"/>
      <c r="AO416" s="169"/>
      <c r="AP416" s="169"/>
      <c r="AQ416" s="149"/>
      <c r="AR416" s="324"/>
      <c r="AS416" s="324"/>
      <c r="AT416" s="324"/>
      <c r="AU416" s="324"/>
      <c r="AV416" s="324"/>
      <c r="AW416" s="324"/>
      <c r="AX416" s="150"/>
      <c r="AY416" s="297"/>
      <c r="AZ416" s="297"/>
      <c r="BA416" s="297"/>
      <c r="BB416" s="297"/>
      <c r="BC416" s="152"/>
      <c r="BD416" s="150"/>
      <c r="BE416" s="297"/>
      <c r="BF416" s="297"/>
      <c r="BG416" s="297"/>
      <c r="BH416" s="297"/>
      <c r="BI416" s="152"/>
      <c r="BJ416" s="170"/>
      <c r="BK416" s="148"/>
      <c r="BL416" s="324"/>
      <c r="BM416" s="324"/>
      <c r="BN416" s="170"/>
      <c r="BO416" s="149"/>
      <c r="BP416" s="170"/>
      <c r="BQ416" s="149"/>
      <c r="BR416" s="170"/>
      <c r="BS416" s="171"/>
      <c r="BT416" s="708"/>
    </row>
    <row r="417" spans="1:72" s="2" customFormat="1" ht="24.9" customHeight="1">
      <c r="A417" s="147"/>
      <c r="B417" s="158"/>
      <c r="C417" s="179"/>
      <c r="D417" s="158"/>
      <c r="E417" s="160"/>
      <c r="F417" s="161"/>
      <c r="G417" s="161"/>
      <c r="H417" s="161"/>
      <c r="I417" s="163"/>
      <c r="J417" s="161"/>
      <c r="K417" s="163"/>
      <c r="L417" s="150"/>
      <c r="M417" s="164"/>
      <c r="N417" s="150"/>
      <c r="O417" s="151"/>
      <c r="P417" s="522"/>
      <c r="Q417" s="522"/>
      <c r="R417" s="154"/>
      <c r="S417" s="155"/>
      <c r="T417" s="156"/>
      <c r="U417" s="154"/>
      <c r="V417" s="155"/>
      <c r="W417" s="155"/>
      <c r="X417" s="419"/>
      <c r="Y417" s="157"/>
      <c r="Z417" s="217"/>
      <c r="AA417" s="150"/>
      <c r="AB417" s="151"/>
      <c r="AC417" s="152"/>
      <c r="AD417" s="506"/>
      <c r="AE417" s="166"/>
      <c r="AF417" s="150"/>
      <c r="AG417" s="152"/>
      <c r="AH417" s="150"/>
      <c r="AI417" s="152"/>
      <c r="AJ417" s="150"/>
      <c r="AK417" s="152"/>
      <c r="AL417" s="150"/>
      <c r="AM417" s="151"/>
      <c r="AN417" s="151"/>
      <c r="AO417" s="169"/>
      <c r="AP417" s="169"/>
      <c r="AQ417" s="149"/>
      <c r="AR417" s="324"/>
      <c r="AS417" s="324"/>
      <c r="AT417" s="324"/>
      <c r="AU417" s="324"/>
      <c r="AV417" s="324"/>
      <c r="AW417" s="324"/>
      <c r="AX417" s="150"/>
      <c r="AY417" s="297"/>
      <c r="AZ417" s="297"/>
      <c r="BA417" s="297"/>
      <c r="BB417" s="297"/>
      <c r="BC417" s="152"/>
      <c r="BD417" s="150"/>
      <c r="BE417" s="297"/>
      <c r="BF417" s="297"/>
      <c r="BG417" s="297"/>
      <c r="BH417" s="297"/>
      <c r="BI417" s="152"/>
      <c r="BJ417" s="170"/>
      <c r="BK417" s="148"/>
      <c r="BL417" s="324"/>
      <c r="BM417" s="324"/>
      <c r="BN417" s="170"/>
      <c r="BO417" s="149"/>
      <c r="BP417" s="170"/>
      <c r="BQ417" s="149"/>
      <c r="BR417" s="170"/>
      <c r="BS417" s="171"/>
      <c r="BT417" s="707"/>
    </row>
    <row r="418" spans="1:72" s="2" customFormat="1" ht="24.9" customHeight="1">
      <c r="A418" s="147"/>
      <c r="B418" s="158"/>
      <c r="C418" s="179"/>
      <c r="D418" s="158"/>
      <c r="E418" s="160"/>
      <c r="F418" s="161"/>
      <c r="G418" s="161"/>
      <c r="H418" s="161"/>
      <c r="I418" s="163"/>
      <c r="J418" s="161"/>
      <c r="K418" s="163"/>
      <c r="L418" s="150"/>
      <c r="M418" s="164"/>
      <c r="N418" s="150"/>
      <c r="O418" s="174"/>
      <c r="P418" s="523"/>
      <c r="Q418" s="523"/>
      <c r="R418" s="154"/>
      <c r="S418" s="155"/>
      <c r="T418" s="156"/>
      <c r="U418" s="154"/>
      <c r="V418" s="155"/>
      <c r="W418" s="155"/>
      <c r="X418" s="419"/>
      <c r="Y418" s="157"/>
      <c r="Z418" s="217"/>
      <c r="AA418" s="150"/>
      <c r="AB418" s="151"/>
      <c r="AC418" s="152"/>
      <c r="AD418" s="506"/>
      <c r="AE418" s="166"/>
      <c r="AF418" s="150"/>
      <c r="AG418" s="152"/>
      <c r="AH418" s="150"/>
      <c r="AI418" s="152"/>
      <c r="AJ418" s="150"/>
      <c r="AK418" s="152"/>
      <c r="AL418" s="150"/>
      <c r="AM418" s="151"/>
      <c r="AN418" s="151"/>
      <c r="AO418" s="169"/>
      <c r="AP418" s="169"/>
      <c r="AQ418" s="149"/>
      <c r="AR418" s="324"/>
      <c r="AS418" s="324"/>
      <c r="AT418" s="324"/>
      <c r="AU418" s="324"/>
      <c r="AV418" s="324"/>
      <c r="AW418" s="324"/>
      <c r="AX418" s="150"/>
      <c r="AY418" s="297"/>
      <c r="AZ418" s="297"/>
      <c r="BA418" s="297"/>
      <c r="BB418" s="297"/>
      <c r="BC418" s="152"/>
      <c r="BD418" s="150"/>
      <c r="BE418" s="297"/>
      <c r="BF418" s="297"/>
      <c r="BG418" s="297"/>
      <c r="BH418" s="297"/>
      <c r="BI418" s="152"/>
      <c r="BJ418" s="170"/>
      <c r="BK418" s="148"/>
      <c r="BL418" s="324"/>
      <c r="BM418" s="324"/>
      <c r="BN418" s="170"/>
      <c r="BO418" s="149"/>
      <c r="BP418" s="170"/>
      <c r="BQ418" s="149"/>
      <c r="BR418" s="170"/>
      <c r="BS418" s="171"/>
      <c r="BT418" s="706"/>
    </row>
    <row r="419" spans="1:72" s="2" customFormat="1" ht="24.9" customHeight="1">
      <c r="A419" s="147"/>
      <c r="B419" s="158"/>
      <c r="C419" s="179"/>
      <c r="D419" s="158"/>
      <c r="E419" s="160"/>
      <c r="F419" s="161"/>
      <c r="G419" s="161"/>
      <c r="H419" s="161"/>
      <c r="I419" s="163"/>
      <c r="J419" s="161"/>
      <c r="K419" s="163"/>
      <c r="L419" s="150"/>
      <c r="M419" s="164"/>
      <c r="N419" s="150"/>
      <c r="O419" s="174"/>
      <c r="P419" s="523"/>
      <c r="Q419" s="523"/>
      <c r="R419" s="154"/>
      <c r="S419" s="155"/>
      <c r="T419" s="156"/>
      <c r="U419" s="154"/>
      <c r="V419" s="155"/>
      <c r="W419" s="155"/>
      <c r="X419" s="419"/>
      <c r="Y419" s="157"/>
      <c r="Z419" s="217"/>
      <c r="AA419" s="150"/>
      <c r="AB419" s="151"/>
      <c r="AC419" s="152"/>
      <c r="AD419" s="506"/>
      <c r="AE419" s="166"/>
      <c r="AF419" s="150"/>
      <c r="AG419" s="152"/>
      <c r="AH419" s="150"/>
      <c r="AI419" s="152"/>
      <c r="AJ419" s="150"/>
      <c r="AK419" s="152"/>
      <c r="AL419" s="150"/>
      <c r="AM419" s="151"/>
      <c r="AN419" s="151"/>
      <c r="AO419" s="169"/>
      <c r="AP419" s="169"/>
      <c r="AQ419" s="149"/>
      <c r="AR419" s="324"/>
      <c r="AS419" s="324"/>
      <c r="AT419" s="324"/>
      <c r="AU419" s="324"/>
      <c r="AV419" s="324"/>
      <c r="AW419" s="324"/>
      <c r="AX419" s="150"/>
      <c r="AY419" s="297"/>
      <c r="AZ419" s="297"/>
      <c r="BA419" s="297"/>
      <c r="BB419" s="297"/>
      <c r="BC419" s="152"/>
      <c r="BD419" s="150"/>
      <c r="BE419" s="297"/>
      <c r="BF419" s="297"/>
      <c r="BG419" s="297"/>
      <c r="BH419" s="297"/>
      <c r="BI419" s="152"/>
      <c r="BJ419" s="170"/>
      <c r="BK419" s="148"/>
      <c r="BL419" s="324"/>
      <c r="BM419" s="324"/>
      <c r="BN419" s="170"/>
      <c r="BO419" s="149"/>
      <c r="BP419" s="170"/>
      <c r="BQ419" s="149"/>
      <c r="BR419" s="170"/>
      <c r="BS419" s="171"/>
      <c r="BT419" s="707"/>
    </row>
    <row r="420" spans="1:72" s="2" customFormat="1" ht="24.9" customHeight="1">
      <c r="A420" s="147"/>
      <c r="B420" s="158"/>
      <c r="C420" s="179"/>
      <c r="D420" s="158"/>
      <c r="E420" s="160"/>
      <c r="F420" s="161"/>
      <c r="G420" s="161"/>
      <c r="H420" s="161"/>
      <c r="I420" s="163"/>
      <c r="J420" s="161"/>
      <c r="K420" s="163"/>
      <c r="L420" s="150"/>
      <c r="M420" s="164"/>
      <c r="N420" s="150"/>
      <c r="O420" s="174"/>
      <c r="P420" s="523"/>
      <c r="Q420" s="523"/>
      <c r="R420" s="154"/>
      <c r="S420" s="155"/>
      <c r="T420" s="156"/>
      <c r="U420" s="154"/>
      <c r="V420" s="155"/>
      <c r="W420" s="155"/>
      <c r="X420" s="419"/>
      <c r="Y420" s="157"/>
      <c r="Z420" s="217"/>
      <c r="AA420" s="150"/>
      <c r="AB420" s="151"/>
      <c r="AC420" s="152"/>
      <c r="AD420" s="506"/>
      <c r="AE420" s="166"/>
      <c r="AF420" s="150"/>
      <c r="AG420" s="152"/>
      <c r="AH420" s="150"/>
      <c r="AI420" s="152"/>
      <c r="AJ420" s="150"/>
      <c r="AK420" s="152"/>
      <c r="AL420" s="150"/>
      <c r="AM420" s="151"/>
      <c r="AN420" s="151"/>
      <c r="AO420" s="169"/>
      <c r="AP420" s="169"/>
      <c r="AQ420" s="149"/>
      <c r="AR420" s="324"/>
      <c r="AS420" s="324"/>
      <c r="AT420" s="324"/>
      <c r="AU420" s="324"/>
      <c r="AV420" s="324"/>
      <c r="AW420" s="324"/>
      <c r="AX420" s="150"/>
      <c r="AY420" s="297"/>
      <c r="AZ420" s="297"/>
      <c r="BA420" s="297"/>
      <c r="BB420" s="297"/>
      <c r="BC420" s="152"/>
      <c r="BD420" s="150"/>
      <c r="BE420" s="297"/>
      <c r="BF420" s="297"/>
      <c r="BG420" s="297"/>
      <c r="BH420" s="297"/>
      <c r="BI420" s="152"/>
      <c r="BJ420" s="170"/>
      <c r="BK420" s="148"/>
      <c r="BL420" s="324"/>
      <c r="BM420" s="324"/>
      <c r="BN420" s="170"/>
      <c r="BO420" s="149"/>
      <c r="BP420" s="170"/>
      <c r="BQ420" s="149"/>
      <c r="BR420" s="170"/>
      <c r="BS420" s="171"/>
      <c r="BT420" s="706"/>
    </row>
    <row r="421" spans="1:72" s="2" customFormat="1" ht="24.9" customHeight="1">
      <c r="A421" s="147"/>
      <c r="B421" s="158"/>
      <c r="C421" s="179"/>
      <c r="D421" s="158"/>
      <c r="E421" s="160"/>
      <c r="F421" s="161"/>
      <c r="G421" s="161"/>
      <c r="H421" s="161"/>
      <c r="I421" s="163"/>
      <c r="J421" s="161"/>
      <c r="K421" s="163"/>
      <c r="L421" s="150"/>
      <c r="M421" s="164"/>
      <c r="N421" s="150"/>
      <c r="O421" s="174"/>
      <c r="P421" s="523"/>
      <c r="Q421" s="523"/>
      <c r="R421" s="154"/>
      <c r="S421" s="155"/>
      <c r="T421" s="156"/>
      <c r="U421" s="154"/>
      <c r="V421" s="155"/>
      <c r="W421" s="155"/>
      <c r="X421" s="419"/>
      <c r="Y421" s="157"/>
      <c r="Z421" s="217"/>
      <c r="AA421" s="150"/>
      <c r="AB421" s="151"/>
      <c r="AC421" s="152"/>
      <c r="AD421" s="506"/>
      <c r="AE421" s="166"/>
      <c r="AF421" s="150"/>
      <c r="AG421" s="152"/>
      <c r="AH421" s="150"/>
      <c r="AI421" s="152"/>
      <c r="AJ421" s="150"/>
      <c r="AK421" s="152"/>
      <c r="AL421" s="150"/>
      <c r="AM421" s="151"/>
      <c r="AN421" s="151"/>
      <c r="AO421" s="169"/>
      <c r="AP421" s="169"/>
      <c r="AQ421" s="149"/>
      <c r="AR421" s="324"/>
      <c r="AS421" s="324"/>
      <c r="AT421" s="324"/>
      <c r="AU421" s="324"/>
      <c r="AV421" s="324"/>
      <c r="AW421" s="324"/>
      <c r="AX421" s="150"/>
      <c r="AY421" s="297"/>
      <c r="AZ421" s="297"/>
      <c r="BA421" s="297"/>
      <c r="BB421" s="297"/>
      <c r="BC421" s="152"/>
      <c r="BD421" s="150"/>
      <c r="BE421" s="297"/>
      <c r="BF421" s="297"/>
      <c r="BG421" s="297"/>
      <c r="BH421" s="297"/>
      <c r="BI421" s="152"/>
      <c r="BJ421" s="170"/>
      <c r="BK421" s="148"/>
      <c r="BL421" s="324"/>
      <c r="BM421" s="324"/>
      <c r="BN421" s="170"/>
      <c r="BO421" s="149"/>
      <c r="BP421" s="170"/>
      <c r="BQ421" s="149"/>
      <c r="BR421" s="170"/>
      <c r="BS421" s="171"/>
      <c r="BT421" s="707"/>
    </row>
    <row r="422" spans="1:72" s="2" customFormat="1" ht="24.9" customHeight="1">
      <c r="A422" s="147"/>
      <c r="B422" s="158"/>
      <c r="C422" s="179"/>
      <c r="D422" s="158"/>
      <c r="E422" s="160"/>
      <c r="F422" s="161"/>
      <c r="G422" s="161"/>
      <c r="H422" s="161"/>
      <c r="I422" s="163"/>
      <c r="J422" s="161"/>
      <c r="K422" s="163"/>
      <c r="L422" s="150"/>
      <c r="M422" s="164"/>
      <c r="N422" s="150"/>
      <c r="O422" s="174"/>
      <c r="P422" s="523"/>
      <c r="Q422" s="523"/>
      <c r="R422" s="154"/>
      <c r="S422" s="155"/>
      <c r="T422" s="156"/>
      <c r="U422" s="154"/>
      <c r="V422" s="155"/>
      <c r="W422" s="155"/>
      <c r="X422" s="419"/>
      <c r="Y422" s="157"/>
      <c r="Z422" s="217"/>
      <c r="AA422" s="150"/>
      <c r="AB422" s="151"/>
      <c r="AC422" s="152"/>
      <c r="AD422" s="506"/>
      <c r="AE422" s="166"/>
      <c r="AF422" s="150"/>
      <c r="AG422" s="152"/>
      <c r="AH422" s="150"/>
      <c r="AI422" s="152"/>
      <c r="AJ422" s="150"/>
      <c r="AK422" s="152"/>
      <c r="AL422" s="150"/>
      <c r="AM422" s="151"/>
      <c r="AN422" s="151"/>
      <c r="AO422" s="169"/>
      <c r="AP422" s="169"/>
      <c r="AQ422" s="149"/>
      <c r="AR422" s="324"/>
      <c r="AS422" s="324"/>
      <c r="AT422" s="324"/>
      <c r="AU422" s="324"/>
      <c r="AV422" s="324"/>
      <c r="AW422" s="324"/>
      <c r="AX422" s="150"/>
      <c r="AY422" s="297"/>
      <c r="AZ422" s="297"/>
      <c r="BA422" s="297"/>
      <c r="BB422" s="297"/>
      <c r="BC422" s="152"/>
      <c r="BD422" s="150"/>
      <c r="BE422" s="297"/>
      <c r="BF422" s="297"/>
      <c r="BG422" s="297"/>
      <c r="BH422" s="297"/>
      <c r="BI422" s="152"/>
      <c r="BJ422" s="170"/>
      <c r="BK422" s="148"/>
      <c r="BL422" s="324"/>
      <c r="BM422" s="324"/>
      <c r="BN422" s="170"/>
      <c r="BO422" s="149"/>
      <c r="BP422" s="170"/>
      <c r="BQ422" s="149"/>
      <c r="BR422" s="170"/>
      <c r="BS422" s="171"/>
      <c r="BT422" s="706"/>
    </row>
    <row r="423" spans="1:72" s="2" customFormat="1" ht="24.9" customHeight="1">
      <c r="A423" s="147"/>
      <c r="B423" s="158"/>
      <c r="C423" s="179"/>
      <c r="D423" s="158"/>
      <c r="E423" s="160"/>
      <c r="F423" s="161"/>
      <c r="G423" s="161"/>
      <c r="H423" s="161"/>
      <c r="I423" s="163"/>
      <c r="J423" s="161"/>
      <c r="K423" s="163"/>
      <c r="L423" s="150"/>
      <c r="M423" s="164"/>
      <c r="N423" s="150"/>
      <c r="O423" s="151"/>
      <c r="P423" s="522"/>
      <c r="Q423" s="522"/>
      <c r="R423" s="154"/>
      <c r="S423" s="155"/>
      <c r="T423" s="156"/>
      <c r="U423" s="154"/>
      <c r="V423" s="155"/>
      <c r="W423" s="155"/>
      <c r="X423" s="419"/>
      <c r="Y423" s="157"/>
      <c r="Z423" s="217"/>
      <c r="AA423" s="150"/>
      <c r="AB423" s="151"/>
      <c r="AC423" s="152"/>
      <c r="AD423" s="506"/>
      <c r="AE423" s="166"/>
      <c r="AF423" s="150"/>
      <c r="AG423" s="152"/>
      <c r="AH423" s="150"/>
      <c r="AI423" s="152"/>
      <c r="AJ423" s="150"/>
      <c r="AK423" s="152"/>
      <c r="AL423" s="150"/>
      <c r="AM423" s="151"/>
      <c r="AN423" s="151"/>
      <c r="AO423" s="169"/>
      <c r="AP423" s="169"/>
      <c r="AQ423" s="149"/>
      <c r="AR423" s="324"/>
      <c r="AS423" s="324"/>
      <c r="AT423" s="324"/>
      <c r="AU423" s="324"/>
      <c r="AV423" s="324"/>
      <c r="AW423" s="324"/>
      <c r="AX423" s="150"/>
      <c r="AY423" s="297"/>
      <c r="AZ423" s="297"/>
      <c r="BA423" s="297"/>
      <c r="BB423" s="297"/>
      <c r="BC423" s="152"/>
      <c r="BD423" s="150"/>
      <c r="BE423" s="297"/>
      <c r="BF423" s="297"/>
      <c r="BG423" s="297"/>
      <c r="BH423" s="297"/>
      <c r="BI423" s="152"/>
      <c r="BJ423" s="170"/>
      <c r="BK423" s="148"/>
      <c r="BL423" s="324"/>
      <c r="BM423" s="324"/>
      <c r="BN423" s="170"/>
      <c r="BO423" s="149"/>
      <c r="BP423" s="170"/>
      <c r="BQ423" s="149"/>
      <c r="BR423" s="170"/>
      <c r="BS423" s="171"/>
      <c r="BT423" s="708"/>
    </row>
    <row r="424" spans="1:72" s="2" customFormat="1" ht="24.9" customHeight="1">
      <c r="A424" s="147"/>
      <c r="B424" s="158"/>
      <c r="C424" s="179"/>
      <c r="D424" s="158"/>
      <c r="E424" s="160"/>
      <c r="F424" s="161"/>
      <c r="G424" s="161"/>
      <c r="H424" s="161"/>
      <c r="I424" s="163"/>
      <c r="J424" s="161"/>
      <c r="K424" s="163"/>
      <c r="L424" s="150"/>
      <c r="M424" s="164"/>
      <c r="N424" s="150"/>
      <c r="O424" s="174"/>
      <c r="P424" s="523"/>
      <c r="Q424" s="523"/>
      <c r="R424" s="154"/>
      <c r="S424" s="155"/>
      <c r="T424" s="156"/>
      <c r="U424" s="154"/>
      <c r="V424" s="155"/>
      <c r="W424" s="155"/>
      <c r="X424" s="419"/>
      <c r="Y424" s="157"/>
      <c r="Z424" s="217"/>
      <c r="AA424" s="150"/>
      <c r="AB424" s="151"/>
      <c r="AC424" s="152"/>
      <c r="AD424" s="506"/>
      <c r="AE424" s="166"/>
      <c r="AF424" s="150"/>
      <c r="AG424" s="152"/>
      <c r="AH424" s="150"/>
      <c r="AI424" s="152"/>
      <c r="AJ424" s="150"/>
      <c r="AK424" s="152"/>
      <c r="AL424" s="150"/>
      <c r="AM424" s="151"/>
      <c r="AN424" s="151"/>
      <c r="AO424" s="169"/>
      <c r="AP424" s="169"/>
      <c r="AQ424" s="149"/>
      <c r="AR424" s="324"/>
      <c r="AS424" s="324"/>
      <c r="AT424" s="324"/>
      <c r="AU424" s="324"/>
      <c r="AV424" s="324"/>
      <c r="AW424" s="324"/>
      <c r="AX424" s="150"/>
      <c r="AY424" s="297"/>
      <c r="AZ424" s="297"/>
      <c r="BA424" s="297"/>
      <c r="BB424" s="297"/>
      <c r="BC424" s="152"/>
      <c r="BD424" s="150"/>
      <c r="BE424" s="297"/>
      <c r="BF424" s="297"/>
      <c r="BG424" s="297"/>
      <c r="BH424" s="297"/>
      <c r="BI424" s="152"/>
      <c r="BJ424" s="170"/>
      <c r="BK424" s="148"/>
      <c r="BL424" s="324"/>
      <c r="BM424" s="324"/>
      <c r="BN424" s="170"/>
      <c r="BO424" s="149"/>
      <c r="BP424" s="170"/>
      <c r="BQ424" s="149"/>
      <c r="BR424" s="170"/>
      <c r="BS424" s="171"/>
      <c r="BT424" s="707"/>
    </row>
    <row r="425" spans="1:72" s="2" customFormat="1" ht="24.9" customHeight="1">
      <c r="A425" s="147"/>
      <c r="B425" s="158"/>
      <c r="C425" s="179"/>
      <c r="D425" s="158"/>
      <c r="E425" s="160"/>
      <c r="F425" s="161"/>
      <c r="G425" s="161"/>
      <c r="H425" s="161"/>
      <c r="I425" s="163"/>
      <c r="J425" s="161"/>
      <c r="K425" s="163"/>
      <c r="L425" s="150"/>
      <c r="M425" s="164"/>
      <c r="N425" s="150"/>
      <c r="O425" s="174"/>
      <c r="P425" s="523"/>
      <c r="Q425" s="523"/>
      <c r="R425" s="154"/>
      <c r="S425" s="155"/>
      <c r="T425" s="156"/>
      <c r="U425" s="154"/>
      <c r="V425" s="155"/>
      <c r="W425" s="155"/>
      <c r="X425" s="419"/>
      <c r="Y425" s="157"/>
      <c r="Z425" s="217"/>
      <c r="AA425" s="150"/>
      <c r="AB425" s="151"/>
      <c r="AC425" s="152"/>
      <c r="AD425" s="506"/>
      <c r="AE425" s="166"/>
      <c r="AF425" s="150"/>
      <c r="AG425" s="152"/>
      <c r="AH425" s="150"/>
      <c r="AI425" s="152"/>
      <c r="AJ425" s="150"/>
      <c r="AK425" s="152"/>
      <c r="AL425" s="150"/>
      <c r="AM425" s="151"/>
      <c r="AN425" s="151"/>
      <c r="AO425" s="169"/>
      <c r="AP425" s="169"/>
      <c r="AQ425" s="149"/>
      <c r="AR425" s="324"/>
      <c r="AS425" s="324"/>
      <c r="AT425" s="324"/>
      <c r="AU425" s="324"/>
      <c r="AV425" s="324"/>
      <c r="AW425" s="324"/>
      <c r="AX425" s="150"/>
      <c r="AY425" s="297"/>
      <c r="AZ425" s="297"/>
      <c r="BA425" s="297"/>
      <c r="BB425" s="297"/>
      <c r="BC425" s="152"/>
      <c r="BD425" s="150"/>
      <c r="BE425" s="297"/>
      <c r="BF425" s="297"/>
      <c r="BG425" s="297"/>
      <c r="BH425" s="297"/>
      <c r="BI425" s="152"/>
      <c r="BJ425" s="170"/>
      <c r="BK425" s="148"/>
      <c r="BL425" s="324"/>
      <c r="BM425" s="324"/>
      <c r="BN425" s="170"/>
      <c r="BO425" s="149"/>
      <c r="BP425" s="170"/>
      <c r="BQ425" s="149"/>
      <c r="BR425" s="170"/>
      <c r="BS425" s="171"/>
      <c r="BT425" s="706"/>
    </row>
    <row r="426" spans="1:72" s="2" customFormat="1" ht="24.9" customHeight="1">
      <c r="A426" s="147"/>
      <c r="B426" s="158"/>
      <c r="C426" s="179"/>
      <c r="D426" s="158"/>
      <c r="E426" s="160"/>
      <c r="F426" s="161"/>
      <c r="G426" s="161"/>
      <c r="H426" s="161"/>
      <c r="I426" s="163"/>
      <c r="J426" s="161"/>
      <c r="K426" s="163"/>
      <c r="L426" s="150"/>
      <c r="M426" s="164"/>
      <c r="N426" s="150"/>
      <c r="O426" s="174"/>
      <c r="P426" s="523"/>
      <c r="Q426" s="523"/>
      <c r="R426" s="154"/>
      <c r="S426" s="155"/>
      <c r="T426" s="156"/>
      <c r="U426" s="154"/>
      <c r="V426" s="155"/>
      <c r="W426" s="155"/>
      <c r="X426" s="419"/>
      <c r="Y426" s="157"/>
      <c r="Z426" s="217"/>
      <c r="AA426" s="150"/>
      <c r="AB426" s="151"/>
      <c r="AC426" s="152"/>
      <c r="AD426" s="506"/>
      <c r="AE426" s="166"/>
      <c r="AF426" s="150"/>
      <c r="AG426" s="152"/>
      <c r="AH426" s="150"/>
      <c r="AI426" s="152"/>
      <c r="AJ426" s="150"/>
      <c r="AK426" s="152"/>
      <c r="AL426" s="150"/>
      <c r="AM426" s="151"/>
      <c r="AN426" s="151"/>
      <c r="AO426" s="169"/>
      <c r="AP426" s="169"/>
      <c r="AQ426" s="149"/>
      <c r="AR426" s="324"/>
      <c r="AS426" s="324"/>
      <c r="AT426" s="324"/>
      <c r="AU426" s="324"/>
      <c r="AV426" s="324"/>
      <c r="AW426" s="324"/>
      <c r="AX426" s="150"/>
      <c r="AY426" s="297"/>
      <c r="AZ426" s="297"/>
      <c r="BA426" s="297"/>
      <c r="BB426" s="297"/>
      <c r="BC426" s="152"/>
      <c r="BD426" s="150"/>
      <c r="BE426" s="297"/>
      <c r="BF426" s="297"/>
      <c r="BG426" s="297"/>
      <c r="BH426" s="297"/>
      <c r="BI426" s="152"/>
      <c r="BJ426" s="170"/>
      <c r="BK426" s="148"/>
      <c r="BL426" s="324"/>
      <c r="BM426" s="324"/>
      <c r="BN426" s="170"/>
      <c r="BO426" s="149"/>
      <c r="BP426" s="170"/>
      <c r="BQ426" s="149"/>
      <c r="BR426" s="170"/>
      <c r="BS426" s="171"/>
      <c r="BT426" s="708"/>
    </row>
    <row r="427" spans="1:72" s="2" customFormat="1" ht="24.9" customHeight="1">
      <c r="A427" s="147"/>
      <c r="B427" s="158"/>
      <c r="C427" s="179"/>
      <c r="D427" s="158"/>
      <c r="E427" s="160"/>
      <c r="F427" s="161"/>
      <c r="G427" s="161"/>
      <c r="H427" s="161"/>
      <c r="I427" s="163"/>
      <c r="J427" s="161"/>
      <c r="K427" s="163"/>
      <c r="L427" s="150"/>
      <c r="M427" s="164"/>
      <c r="N427" s="150"/>
      <c r="O427" s="151"/>
      <c r="P427" s="522"/>
      <c r="Q427" s="522"/>
      <c r="R427" s="154"/>
      <c r="S427" s="155"/>
      <c r="T427" s="156"/>
      <c r="U427" s="154"/>
      <c r="V427" s="155"/>
      <c r="W427" s="155"/>
      <c r="X427" s="419"/>
      <c r="Y427" s="157"/>
      <c r="Z427" s="217"/>
      <c r="AA427" s="150"/>
      <c r="AB427" s="151"/>
      <c r="AC427" s="152"/>
      <c r="AD427" s="506"/>
      <c r="AE427" s="166"/>
      <c r="AF427" s="150"/>
      <c r="AG427" s="152"/>
      <c r="AH427" s="150"/>
      <c r="AI427" s="152"/>
      <c r="AJ427" s="150"/>
      <c r="AK427" s="152"/>
      <c r="AL427" s="150"/>
      <c r="AM427" s="151"/>
      <c r="AN427" s="151"/>
      <c r="AO427" s="169"/>
      <c r="AP427" s="169"/>
      <c r="AQ427" s="149"/>
      <c r="AR427" s="324"/>
      <c r="AS427" s="324"/>
      <c r="AT427" s="324"/>
      <c r="AU427" s="324"/>
      <c r="AV427" s="324"/>
      <c r="AW427" s="324"/>
      <c r="AX427" s="150"/>
      <c r="AY427" s="297"/>
      <c r="AZ427" s="297"/>
      <c r="BA427" s="297"/>
      <c r="BB427" s="297"/>
      <c r="BC427" s="152"/>
      <c r="BD427" s="150"/>
      <c r="BE427" s="297"/>
      <c r="BF427" s="297"/>
      <c r="BG427" s="297"/>
      <c r="BH427" s="297"/>
      <c r="BI427" s="152"/>
      <c r="BJ427" s="170"/>
      <c r="BK427" s="148"/>
      <c r="BL427" s="324"/>
      <c r="BM427" s="324"/>
      <c r="BN427" s="170"/>
      <c r="BO427" s="149"/>
      <c r="BP427" s="170"/>
      <c r="BQ427" s="149"/>
      <c r="BR427" s="170"/>
      <c r="BS427" s="171"/>
      <c r="BT427" s="707"/>
    </row>
    <row r="428" spans="1:72" s="2" customFormat="1" ht="24.9" customHeight="1">
      <c r="A428" s="147"/>
      <c r="B428" s="158"/>
      <c r="C428" s="179"/>
      <c r="D428" s="158"/>
      <c r="E428" s="160"/>
      <c r="F428" s="161"/>
      <c r="G428" s="161"/>
      <c r="H428" s="161"/>
      <c r="I428" s="163"/>
      <c r="J428" s="161"/>
      <c r="K428" s="163"/>
      <c r="L428" s="150"/>
      <c r="M428" s="164"/>
      <c r="N428" s="150"/>
      <c r="O428" s="174"/>
      <c r="P428" s="523"/>
      <c r="Q428" s="523"/>
      <c r="R428" s="154"/>
      <c r="S428" s="155"/>
      <c r="T428" s="156"/>
      <c r="U428" s="154"/>
      <c r="V428" s="155"/>
      <c r="W428" s="155"/>
      <c r="X428" s="419"/>
      <c r="Y428" s="157"/>
      <c r="Z428" s="217"/>
      <c r="AA428" s="150"/>
      <c r="AB428" s="151"/>
      <c r="AC428" s="152"/>
      <c r="AD428" s="506"/>
      <c r="AE428" s="166"/>
      <c r="AF428" s="150"/>
      <c r="AG428" s="152"/>
      <c r="AH428" s="150"/>
      <c r="AI428" s="152"/>
      <c r="AJ428" s="150"/>
      <c r="AK428" s="152"/>
      <c r="AL428" s="150"/>
      <c r="AM428" s="151"/>
      <c r="AN428" s="151"/>
      <c r="AO428" s="169"/>
      <c r="AP428" s="169"/>
      <c r="AQ428" s="149"/>
      <c r="AR428" s="324"/>
      <c r="AS428" s="324"/>
      <c r="AT428" s="324"/>
      <c r="AU428" s="324"/>
      <c r="AV428" s="324"/>
      <c r="AW428" s="324"/>
      <c r="AX428" s="150"/>
      <c r="AY428" s="297"/>
      <c r="AZ428" s="297"/>
      <c r="BA428" s="297"/>
      <c r="BB428" s="297"/>
      <c r="BC428" s="152"/>
      <c r="BD428" s="150"/>
      <c r="BE428" s="297"/>
      <c r="BF428" s="297"/>
      <c r="BG428" s="297"/>
      <c r="BH428" s="297"/>
      <c r="BI428" s="152"/>
      <c r="BJ428" s="170"/>
      <c r="BK428" s="148"/>
      <c r="BL428" s="324"/>
      <c r="BM428" s="324"/>
      <c r="BN428" s="170"/>
      <c r="BO428" s="149"/>
      <c r="BP428" s="170"/>
      <c r="BQ428" s="149"/>
      <c r="BR428" s="170"/>
      <c r="BS428" s="171"/>
      <c r="BT428" s="706"/>
    </row>
    <row r="429" spans="1:72" s="2" customFormat="1" ht="24.9" customHeight="1">
      <c r="A429" s="147"/>
      <c r="B429" s="158"/>
      <c r="C429" s="179"/>
      <c r="D429" s="158"/>
      <c r="E429" s="160"/>
      <c r="F429" s="161"/>
      <c r="G429" s="161"/>
      <c r="H429" s="161"/>
      <c r="I429" s="163"/>
      <c r="J429" s="161"/>
      <c r="K429" s="163"/>
      <c r="L429" s="150"/>
      <c r="M429" s="164"/>
      <c r="N429" s="150"/>
      <c r="O429" s="174"/>
      <c r="P429" s="523"/>
      <c r="Q429" s="523"/>
      <c r="R429" s="154"/>
      <c r="S429" s="155"/>
      <c r="T429" s="156"/>
      <c r="U429" s="154"/>
      <c r="V429" s="155"/>
      <c r="W429" s="155"/>
      <c r="X429" s="419"/>
      <c r="Y429" s="157"/>
      <c r="Z429" s="217"/>
      <c r="AA429" s="150"/>
      <c r="AB429" s="151"/>
      <c r="AC429" s="152"/>
      <c r="AD429" s="506"/>
      <c r="AE429" s="166"/>
      <c r="AF429" s="150"/>
      <c r="AG429" s="152"/>
      <c r="AH429" s="150"/>
      <c r="AI429" s="152"/>
      <c r="AJ429" s="150"/>
      <c r="AK429" s="152"/>
      <c r="AL429" s="150"/>
      <c r="AM429" s="151"/>
      <c r="AN429" s="151"/>
      <c r="AO429" s="169"/>
      <c r="AP429" s="169"/>
      <c r="AQ429" s="149"/>
      <c r="AR429" s="324"/>
      <c r="AS429" s="324"/>
      <c r="AT429" s="324"/>
      <c r="AU429" s="324"/>
      <c r="AV429" s="324"/>
      <c r="AW429" s="324"/>
      <c r="AX429" s="150"/>
      <c r="AY429" s="297"/>
      <c r="AZ429" s="297"/>
      <c r="BA429" s="297"/>
      <c r="BB429" s="297"/>
      <c r="BC429" s="152"/>
      <c r="BD429" s="150"/>
      <c r="BE429" s="297"/>
      <c r="BF429" s="297"/>
      <c r="BG429" s="297"/>
      <c r="BH429" s="297"/>
      <c r="BI429" s="152"/>
      <c r="BJ429" s="170"/>
      <c r="BK429" s="148"/>
      <c r="BL429" s="324"/>
      <c r="BM429" s="324"/>
      <c r="BN429" s="170"/>
      <c r="BO429" s="149"/>
      <c r="BP429" s="170"/>
      <c r="BQ429" s="149"/>
      <c r="BR429" s="170"/>
      <c r="BS429" s="171"/>
      <c r="BT429" s="707"/>
    </row>
    <row r="430" spans="1:72" s="2" customFormat="1" ht="24.9" customHeight="1">
      <c r="A430" s="147"/>
      <c r="B430" s="158"/>
      <c r="C430" s="179"/>
      <c r="D430" s="158"/>
      <c r="E430" s="160"/>
      <c r="F430" s="161"/>
      <c r="G430" s="161"/>
      <c r="H430" s="161"/>
      <c r="I430" s="163"/>
      <c r="J430" s="161"/>
      <c r="K430" s="163"/>
      <c r="L430" s="150"/>
      <c r="M430" s="164"/>
      <c r="N430" s="150"/>
      <c r="O430" s="174"/>
      <c r="P430" s="523"/>
      <c r="Q430" s="523"/>
      <c r="R430" s="154"/>
      <c r="S430" s="155"/>
      <c r="T430" s="156"/>
      <c r="U430" s="154"/>
      <c r="V430" s="155"/>
      <c r="W430" s="155"/>
      <c r="X430" s="419"/>
      <c r="Y430" s="157"/>
      <c r="Z430" s="217"/>
      <c r="AA430" s="150"/>
      <c r="AB430" s="151"/>
      <c r="AC430" s="152"/>
      <c r="AD430" s="506"/>
      <c r="AE430" s="166"/>
      <c r="AF430" s="150"/>
      <c r="AG430" s="152"/>
      <c r="AH430" s="150"/>
      <c r="AI430" s="152"/>
      <c r="AJ430" s="150"/>
      <c r="AK430" s="152"/>
      <c r="AL430" s="150"/>
      <c r="AM430" s="151"/>
      <c r="AN430" s="151"/>
      <c r="AO430" s="169"/>
      <c r="AP430" s="169"/>
      <c r="AQ430" s="149"/>
      <c r="AR430" s="324"/>
      <c r="AS430" s="324"/>
      <c r="AT430" s="324"/>
      <c r="AU430" s="324"/>
      <c r="AV430" s="324"/>
      <c r="AW430" s="324"/>
      <c r="AX430" s="150"/>
      <c r="AY430" s="297"/>
      <c r="AZ430" s="297"/>
      <c r="BA430" s="297"/>
      <c r="BB430" s="297"/>
      <c r="BC430" s="152"/>
      <c r="BD430" s="150"/>
      <c r="BE430" s="297"/>
      <c r="BF430" s="297"/>
      <c r="BG430" s="297"/>
      <c r="BH430" s="297"/>
      <c r="BI430" s="152"/>
      <c r="BJ430" s="170"/>
      <c r="BK430" s="148"/>
      <c r="BL430" s="324"/>
      <c r="BM430" s="324"/>
      <c r="BN430" s="170"/>
      <c r="BO430" s="149"/>
      <c r="BP430" s="170"/>
      <c r="BQ430" s="149"/>
      <c r="BR430" s="170"/>
      <c r="BS430" s="171"/>
      <c r="BT430" s="706"/>
    </row>
    <row r="431" spans="1:72" s="2" customFormat="1" ht="24.9" customHeight="1">
      <c r="A431" s="147"/>
      <c r="B431" s="158"/>
      <c r="C431" s="179"/>
      <c r="D431" s="158"/>
      <c r="E431" s="160"/>
      <c r="F431" s="161"/>
      <c r="G431" s="161"/>
      <c r="H431" s="161"/>
      <c r="I431" s="163"/>
      <c r="J431" s="161"/>
      <c r="K431" s="163"/>
      <c r="L431" s="150"/>
      <c r="M431" s="164"/>
      <c r="N431" s="150"/>
      <c r="O431" s="151"/>
      <c r="P431" s="522"/>
      <c r="Q431" s="522"/>
      <c r="R431" s="154"/>
      <c r="S431" s="155"/>
      <c r="T431" s="156"/>
      <c r="U431" s="154"/>
      <c r="V431" s="155"/>
      <c r="W431" s="155"/>
      <c r="X431" s="419"/>
      <c r="Y431" s="157"/>
      <c r="Z431" s="217"/>
      <c r="AA431" s="150"/>
      <c r="AB431" s="151"/>
      <c r="AC431" s="152"/>
      <c r="AD431" s="506"/>
      <c r="AE431" s="166"/>
      <c r="AF431" s="150"/>
      <c r="AG431" s="152"/>
      <c r="AH431" s="150"/>
      <c r="AI431" s="152"/>
      <c r="AJ431" s="150"/>
      <c r="AK431" s="152"/>
      <c r="AL431" s="150"/>
      <c r="AM431" s="151"/>
      <c r="AN431" s="151"/>
      <c r="AO431" s="169"/>
      <c r="AP431" s="169"/>
      <c r="AQ431" s="149"/>
      <c r="AR431" s="324"/>
      <c r="AS431" s="324"/>
      <c r="AT431" s="324"/>
      <c r="AU431" s="324"/>
      <c r="AV431" s="324"/>
      <c r="AW431" s="324"/>
      <c r="AX431" s="150"/>
      <c r="AY431" s="297"/>
      <c r="AZ431" s="297"/>
      <c r="BA431" s="297"/>
      <c r="BB431" s="297"/>
      <c r="BC431" s="152"/>
      <c r="BD431" s="150"/>
      <c r="BE431" s="297"/>
      <c r="BF431" s="297"/>
      <c r="BG431" s="297"/>
      <c r="BH431" s="297"/>
      <c r="BI431" s="152"/>
      <c r="BJ431" s="170"/>
      <c r="BK431" s="148"/>
      <c r="BL431" s="324"/>
      <c r="BM431" s="324"/>
      <c r="BN431" s="170"/>
      <c r="BO431" s="149"/>
      <c r="BP431" s="170"/>
      <c r="BQ431" s="149"/>
      <c r="BR431" s="170"/>
      <c r="BS431" s="171"/>
      <c r="BT431" s="708"/>
    </row>
    <row r="432" spans="1:72" s="2" customFormat="1" ht="24.9" customHeight="1">
      <c r="A432" s="147"/>
      <c r="B432" s="158"/>
      <c r="C432" s="179"/>
      <c r="D432" s="158"/>
      <c r="E432" s="160"/>
      <c r="F432" s="161"/>
      <c r="G432" s="161"/>
      <c r="H432" s="161"/>
      <c r="I432" s="163"/>
      <c r="J432" s="161"/>
      <c r="K432" s="163"/>
      <c r="L432" s="150"/>
      <c r="M432" s="164"/>
      <c r="N432" s="150"/>
      <c r="O432" s="174"/>
      <c r="P432" s="523"/>
      <c r="Q432" s="523"/>
      <c r="R432" s="154"/>
      <c r="S432" s="155"/>
      <c r="T432" s="156"/>
      <c r="U432" s="154"/>
      <c r="V432" s="155"/>
      <c r="W432" s="155"/>
      <c r="X432" s="419"/>
      <c r="Y432" s="157"/>
      <c r="Z432" s="217"/>
      <c r="AA432" s="150"/>
      <c r="AB432" s="151"/>
      <c r="AC432" s="152"/>
      <c r="AD432" s="506"/>
      <c r="AE432" s="166"/>
      <c r="AF432" s="150"/>
      <c r="AG432" s="152"/>
      <c r="AH432" s="150"/>
      <c r="AI432" s="152"/>
      <c r="AJ432" s="150"/>
      <c r="AK432" s="152"/>
      <c r="AL432" s="150"/>
      <c r="AM432" s="151"/>
      <c r="AN432" s="151"/>
      <c r="AO432" s="169"/>
      <c r="AP432" s="169"/>
      <c r="AQ432" s="149"/>
      <c r="AR432" s="324"/>
      <c r="AS432" s="324"/>
      <c r="AT432" s="324"/>
      <c r="AU432" s="324"/>
      <c r="AV432" s="324"/>
      <c r="AW432" s="324"/>
      <c r="AX432" s="150"/>
      <c r="AY432" s="297"/>
      <c r="AZ432" s="297"/>
      <c r="BA432" s="297"/>
      <c r="BB432" s="297"/>
      <c r="BC432" s="152"/>
      <c r="BD432" s="150"/>
      <c r="BE432" s="297"/>
      <c r="BF432" s="297"/>
      <c r="BG432" s="297"/>
      <c r="BH432" s="297"/>
      <c r="BI432" s="152"/>
      <c r="BJ432" s="170"/>
      <c r="BK432" s="148"/>
      <c r="BL432" s="324"/>
      <c r="BM432" s="324"/>
      <c r="BN432" s="170"/>
      <c r="BO432" s="149"/>
      <c r="BP432" s="170"/>
      <c r="BQ432" s="149"/>
      <c r="BR432" s="170"/>
      <c r="BS432" s="171"/>
      <c r="BT432" s="707"/>
    </row>
    <row r="433" spans="1:72" s="2" customFormat="1" ht="24.9" customHeight="1">
      <c r="A433" s="147"/>
      <c r="B433" s="158"/>
      <c r="C433" s="179"/>
      <c r="D433" s="158"/>
      <c r="E433" s="160"/>
      <c r="F433" s="161"/>
      <c r="G433" s="161"/>
      <c r="H433" s="161"/>
      <c r="I433" s="163"/>
      <c r="J433" s="161"/>
      <c r="K433" s="163"/>
      <c r="L433" s="150"/>
      <c r="M433" s="164"/>
      <c r="N433" s="150"/>
      <c r="O433" s="174"/>
      <c r="P433" s="523"/>
      <c r="Q433" s="523"/>
      <c r="R433" s="154"/>
      <c r="S433" s="155"/>
      <c r="T433" s="156"/>
      <c r="U433" s="154"/>
      <c r="V433" s="155"/>
      <c r="W433" s="155"/>
      <c r="X433" s="419"/>
      <c r="Y433" s="157"/>
      <c r="Z433" s="217"/>
      <c r="AA433" s="150"/>
      <c r="AB433" s="151"/>
      <c r="AC433" s="152"/>
      <c r="AD433" s="506"/>
      <c r="AE433" s="166"/>
      <c r="AF433" s="150"/>
      <c r="AG433" s="152"/>
      <c r="AH433" s="150"/>
      <c r="AI433" s="152"/>
      <c r="AJ433" s="150"/>
      <c r="AK433" s="152"/>
      <c r="AL433" s="150"/>
      <c r="AM433" s="151"/>
      <c r="AN433" s="151"/>
      <c r="AO433" s="169"/>
      <c r="AP433" s="169"/>
      <c r="AQ433" s="149"/>
      <c r="AR433" s="324"/>
      <c r="AS433" s="324"/>
      <c r="AT433" s="324"/>
      <c r="AU433" s="324"/>
      <c r="AV433" s="324"/>
      <c r="AW433" s="324"/>
      <c r="AX433" s="150"/>
      <c r="AY433" s="297"/>
      <c r="AZ433" s="297"/>
      <c r="BA433" s="297"/>
      <c r="BB433" s="297"/>
      <c r="BC433" s="152"/>
      <c r="BD433" s="150"/>
      <c r="BE433" s="297"/>
      <c r="BF433" s="297"/>
      <c r="BG433" s="297"/>
      <c r="BH433" s="297"/>
      <c r="BI433" s="152"/>
      <c r="BJ433" s="170"/>
      <c r="BK433" s="148"/>
      <c r="BL433" s="324"/>
      <c r="BM433" s="324"/>
      <c r="BN433" s="170"/>
      <c r="BO433" s="149"/>
      <c r="BP433" s="170"/>
      <c r="BQ433" s="149"/>
      <c r="BR433" s="170"/>
      <c r="BS433" s="171"/>
      <c r="BT433" s="706"/>
    </row>
    <row r="434" spans="1:72" s="2" customFormat="1" ht="24.9" customHeight="1">
      <c r="A434" s="147"/>
      <c r="B434" s="158"/>
      <c r="C434" s="179"/>
      <c r="D434" s="158"/>
      <c r="E434" s="160"/>
      <c r="F434" s="161"/>
      <c r="G434" s="161"/>
      <c r="H434" s="161"/>
      <c r="I434" s="163"/>
      <c r="J434" s="161"/>
      <c r="K434" s="163"/>
      <c r="L434" s="150"/>
      <c r="M434" s="164"/>
      <c r="N434" s="150"/>
      <c r="O434" s="174"/>
      <c r="P434" s="523"/>
      <c r="Q434" s="523"/>
      <c r="R434" s="154"/>
      <c r="S434" s="155"/>
      <c r="T434" s="156"/>
      <c r="U434" s="154"/>
      <c r="V434" s="155"/>
      <c r="W434" s="155"/>
      <c r="X434" s="419"/>
      <c r="Y434" s="157"/>
      <c r="Z434" s="217"/>
      <c r="AA434" s="150"/>
      <c r="AB434" s="151"/>
      <c r="AC434" s="152"/>
      <c r="AD434" s="506"/>
      <c r="AE434" s="166"/>
      <c r="AF434" s="150"/>
      <c r="AG434" s="152"/>
      <c r="AH434" s="150"/>
      <c r="AI434" s="152"/>
      <c r="AJ434" s="150"/>
      <c r="AK434" s="152"/>
      <c r="AL434" s="150"/>
      <c r="AM434" s="151"/>
      <c r="AN434" s="151"/>
      <c r="AO434" s="169"/>
      <c r="AP434" s="169"/>
      <c r="AQ434" s="149"/>
      <c r="AR434" s="324"/>
      <c r="AS434" s="324"/>
      <c r="AT434" s="324"/>
      <c r="AU434" s="324"/>
      <c r="AV434" s="324"/>
      <c r="AW434" s="324"/>
      <c r="AX434" s="150"/>
      <c r="AY434" s="297"/>
      <c r="AZ434" s="297"/>
      <c r="BA434" s="297"/>
      <c r="BB434" s="297"/>
      <c r="BC434" s="152"/>
      <c r="BD434" s="150"/>
      <c r="BE434" s="297"/>
      <c r="BF434" s="297"/>
      <c r="BG434" s="297"/>
      <c r="BH434" s="297"/>
      <c r="BI434" s="152"/>
      <c r="BJ434" s="170"/>
      <c r="BK434" s="148"/>
      <c r="BL434" s="324"/>
      <c r="BM434" s="324"/>
      <c r="BN434" s="170"/>
      <c r="BO434" s="149"/>
      <c r="BP434" s="170"/>
      <c r="BQ434" s="149"/>
      <c r="BR434" s="170"/>
      <c r="BS434" s="171"/>
      <c r="BT434" s="707"/>
    </row>
    <row r="435" spans="1:72" s="2" customFormat="1" ht="24.9" customHeight="1">
      <c r="A435" s="147"/>
      <c r="B435" s="158"/>
      <c r="C435" s="179"/>
      <c r="D435" s="158"/>
      <c r="E435" s="160"/>
      <c r="F435" s="161"/>
      <c r="G435" s="161"/>
      <c r="H435" s="161"/>
      <c r="I435" s="163"/>
      <c r="J435" s="161"/>
      <c r="K435" s="163"/>
      <c r="L435" s="150"/>
      <c r="M435" s="164"/>
      <c r="N435" s="150"/>
      <c r="O435" s="174"/>
      <c r="P435" s="523"/>
      <c r="Q435" s="523"/>
      <c r="R435" s="154"/>
      <c r="S435" s="155"/>
      <c r="T435" s="156"/>
      <c r="U435" s="154"/>
      <c r="V435" s="155"/>
      <c r="W435" s="155"/>
      <c r="X435" s="419"/>
      <c r="Y435" s="157"/>
      <c r="Z435" s="217"/>
      <c r="AA435" s="150"/>
      <c r="AB435" s="151"/>
      <c r="AC435" s="152"/>
      <c r="AD435" s="506"/>
      <c r="AE435" s="166"/>
      <c r="AF435" s="150"/>
      <c r="AG435" s="152"/>
      <c r="AH435" s="150"/>
      <c r="AI435" s="152"/>
      <c r="AJ435" s="150"/>
      <c r="AK435" s="152"/>
      <c r="AL435" s="150"/>
      <c r="AM435" s="151"/>
      <c r="AN435" s="151"/>
      <c r="AO435" s="169"/>
      <c r="AP435" s="169"/>
      <c r="AQ435" s="149"/>
      <c r="AR435" s="324"/>
      <c r="AS435" s="324"/>
      <c r="AT435" s="324"/>
      <c r="AU435" s="324"/>
      <c r="AV435" s="324"/>
      <c r="AW435" s="324"/>
      <c r="AX435" s="150"/>
      <c r="AY435" s="297"/>
      <c r="AZ435" s="297"/>
      <c r="BA435" s="297"/>
      <c r="BB435" s="297"/>
      <c r="BC435" s="152"/>
      <c r="BD435" s="150"/>
      <c r="BE435" s="297"/>
      <c r="BF435" s="297"/>
      <c r="BG435" s="297"/>
      <c r="BH435" s="297"/>
      <c r="BI435" s="152"/>
      <c r="BJ435" s="170"/>
      <c r="BK435" s="148"/>
      <c r="BL435" s="324"/>
      <c r="BM435" s="324"/>
      <c r="BN435" s="170"/>
      <c r="BO435" s="149"/>
      <c r="BP435" s="170"/>
      <c r="BQ435" s="149"/>
      <c r="BR435" s="170"/>
      <c r="BS435" s="171"/>
      <c r="BT435" s="706"/>
    </row>
    <row r="436" spans="1:72" s="2" customFormat="1" ht="24.9" customHeight="1">
      <c r="A436" s="147"/>
      <c r="B436" s="158"/>
      <c r="C436" s="179"/>
      <c r="D436" s="158"/>
      <c r="E436" s="160"/>
      <c r="F436" s="161"/>
      <c r="G436" s="161"/>
      <c r="H436" s="161"/>
      <c r="I436" s="163"/>
      <c r="J436" s="161"/>
      <c r="K436" s="163"/>
      <c r="L436" s="150"/>
      <c r="M436" s="164"/>
      <c r="N436" s="150"/>
      <c r="O436" s="174"/>
      <c r="P436" s="523"/>
      <c r="Q436" s="523"/>
      <c r="R436" s="154"/>
      <c r="S436" s="155"/>
      <c r="T436" s="156"/>
      <c r="U436" s="154"/>
      <c r="V436" s="155"/>
      <c r="W436" s="155"/>
      <c r="X436" s="419"/>
      <c r="Y436" s="157"/>
      <c r="Z436" s="217"/>
      <c r="AA436" s="150"/>
      <c r="AB436" s="151"/>
      <c r="AC436" s="152"/>
      <c r="AD436" s="506"/>
      <c r="AE436" s="166"/>
      <c r="AF436" s="150"/>
      <c r="AG436" s="152"/>
      <c r="AH436" s="150"/>
      <c r="AI436" s="152"/>
      <c r="AJ436" s="150"/>
      <c r="AK436" s="152"/>
      <c r="AL436" s="150"/>
      <c r="AM436" s="151"/>
      <c r="AN436" s="151"/>
      <c r="AO436" s="169"/>
      <c r="AP436" s="169"/>
      <c r="AQ436" s="149"/>
      <c r="AR436" s="324"/>
      <c r="AS436" s="324"/>
      <c r="AT436" s="324"/>
      <c r="AU436" s="324"/>
      <c r="AV436" s="324"/>
      <c r="AW436" s="324"/>
      <c r="AX436" s="150"/>
      <c r="AY436" s="297"/>
      <c r="AZ436" s="297"/>
      <c r="BA436" s="297"/>
      <c r="BB436" s="297"/>
      <c r="BC436" s="152"/>
      <c r="BD436" s="150"/>
      <c r="BE436" s="297"/>
      <c r="BF436" s="297"/>
      <c r="BG436" s="297"/>
      <c r="BH436" s="297"/>
      <c r="BI436" s="152"/>
      <c r="BJ436" s="170"/>
      <c r="BK436" s="148"/>
      <c r="BL436" s="324"/>
      <c r="BM436" s="324"/>
      <c r="BN436" s="170"/>
      <c r="BO436" s="149"/>
      <c r="BP436" s="170"/>
      <c r="BQ436" s="149"/>
      <c r="BR436" s="170"/>
      <c r="BS436" s="171"/>
      <c r="BT436" s="707"/>
    </row>
    <row r="437" spans="1:72" s="2" customFormat="1" ht="24.9" customHeight="1">
      <c r="A437" s="147"/>
      <c r="B437" s="158"/>
      <c r="C437" s="179"/>
      <c r="D437" s="158"/>
      <c r="E437" s="160"/>
      <c r="F437" s="161"/>
      <c r="G437" s="161"/>
      <c r="H437" s="161"/>
      <c r="I437" s="163"/>
      <c r="J437" s="161"/>
      <c r="K437" s="163"/>
      <c r="L437" s="150"/>
      <c r="M437" s="164"/>
      <c r="N437" s="150"/>
      <c r="O437" s="174"/>
      <c r="P437" s="523"/>
      <c r="Q437" s="523"/>
      <c r="R437" s="154"/>
      <c r="S437" s="155"/>
      <c r="T437" s="156"/>
      <c r="U437" s="154"/>
      <c r="V437" s="155"/>
      <c r="W437" s="155"/>
      <c r="X437" s="419"/>
      <c r="Y437" s="157"/>
      <c r="Z437" s="217"/>
      <c r="AA437" s="150"/>
      <c r="AB437" s="151"/>
      <c r="AC437" s="152"/>
      <c r="AD437" s="506"/>
      <c r="AE437" s="166"/>
      <c r="AF437" s="150"/>
      <c r="AG437" s="152"/>
      <c r="AH437" s="150"/>
      <c r="AI437" s="152"/>
      <c r="AJ437" s="150"/>
      <c r="AK437" s="152"/>
      <c r="AL437" s="150"/>
      <c r="AM437" s="151"/>
      <c r="AN437" s="151"/>
      <c r="AO437" s="169"/>
      <c r="AP437" s="169"/>
      <c r="AQ437" s="149"/>
      <c r="AR437" s="324"/>
      <c r="AS437" s="324"/>
      <c r="AT437" s="324"/>
      <c r="AU437" s="324"/>
      <c r="AV437" s="324"/>
      <c r="AW437" s="324"/>
      <c r="AX437" s="150"/>
      <c r="AY437" s="297"/>
      <c r="AZ437" s="297"/>
      <c r="BA437" s="297"/>
      <c r="BB437" s="297"/>
      <c r="BC437" s="152"/>
      <c r="BD437" s="150"/>
      <c r="BE437" s="297"/>
      <c r="BF437" s="297"/>
      <c r="BG437" s="297"/>
      <c r="BH437" s="297"/>
      <c r="BI437" s="152"/>
      <c r="BJ437" s="170"/>
      <c r="BK437" s="148"/>
      <c r="BL437" s="324"/>
      <c r="BM437" s="324"/>
      <c r="BN437" s="170"/>
      <c r="BO437" s="149"/>
      <c r="BP437" s="170"/>
      <c r="BQ437" s="149"/>
      <c r="BR437" s="170"/>
      <c r="BS437" s="171"/>
      <c r="BT437" s="706"/>
    </row>
    <row r="438" spans="1:72" s="2" customFormat="1" ht="24.9" customHeight="1">
      <c r="A438" s="147"/>
      <c r="B438" s="158"/>
      <c r="C438" s="179"/>
      <c r="D438" s="158"/>
      <c r="E438" s="160"/>
      <c r="F438" s="161"/>
      <c r="G438" s="161"/>
      <c r="H438" s="161"/>
      <c r="I438" s="163"/>
      <c r="J438" s="161"/>
      <c r="K438" s="163"/>
      <c r="L438" s="150"/>
      <c r="M438" s="164"/>
      <c r="N438" s="150"/>
      <c r="O438" s="151"/>
      <c r="P438" s="522"/>
      <c r="Q438" s="522"/>
      <c r="R438" s="154"/>
      <c r="S438" s="155"/>
      <c r="T438" s="156"/>
      <c r="U438" s="154"/>
      <c r="V438" s="155"/>
      <c r="W438" s="155"/>
      <c r="X438" s="419"/>
      <c r="Y438" s="157"/>
      <c r="Z438" s="217"/>
      <c r="AA438" s="150"/>
      <c r="AB438" s="151"/>
      <c r="AC438" s="152"/>
      <c r="AD438" s="506"/>
      <c r="AE438" s="166"/>
      <c r="AF438" s="150"/>
      <c r="AG438" s="152"/>
      <c r="AH438" s="150"/>
      <c r="AI438" s="152"/>
      <c r="AJ438" s="150"/>
      <c r="AK438" s="152"/>
      <c r="AL438" s="150"/>
      <c r="AM438" s="151"/>
      <c r="AN438" s="151"/>
      <c r="AO438" s="169"/>
      <c r="AP438" s="169"/>
      <c r="AQ438" s="149"/>
      <c r="AR438" s="324"/>
      <c r="AS438" s="324"/>
      <c r="AT438" s="324"/>
      <c r="AU438" s="324"/>
      <c r="AV438" s="324"/>
      <c r="AW438" s="324"/>
      <c r="AX438" s="150"/>
      <c r="AY438" s="297"/>
      <c r="AZ438" s="297"/>
      <c r="BA438" s="297"/>
      <c r="BB438" s="297"/>
      <c r="BC438" s="152"/>
      <c r="BD438" s="150"/>
      <c r="BE438" s="297"/>
      <c r="BF438" s="297"/>
      <c r="BG438" s="297"/>
      <c r="BH438" s="297"/>
      <c r="BI438" s="152"/>
      <c r="BJ438" s="170"/>
      <c r="BK438" s="148"/>
      <c r="BL438" s="324"/>
      <c r="BM438" s="324"/>
      <c r="BN438" s="170"/>
      <c r="BO438" s="149"/>
      <c r="BP438" s="170"/>
      <c r="BQ438" s="149"/>
      <c r="BR438" s="170"/>
      <c r="BS438" s="171"/>
      <c r="BT438" s="708"/>
    </row>
    <row r="439" spans="1:72" s="2" customFormat="1" ht="24.9" customHeight="1">
      <c r="A439" s="147"/>
      <c r="B439" s="158"/>
      <c r="C439" s="179"/>
      <c r="D439" s="158"/>
      <c r="E439" s="160"/>
      <c r="F439" s="161"/>
      <c r="G439" s="161"/>
      <c r="H439" s="161"/>
      <c r="I439" s="163"/>
      <c r="J439" s="161"/>
      <c r="K439" s="163"/>
      <c r="L439" s="150"/>
      <c r="M439" s="164"/>
      <c r="N439" s="150"/>
      <c r="O439" s="174"/>
      <c r="P439" s="523"/>
      <c r="Q439" s="523"/>
      <c r="R439" s="154"/>
      <c r="S439" s="155"/>
      <c r="T439" s="156"/>
      <c r="U439" s="154"/>
      <c r="V439" s="155"/>
      <c r="W439" s="155"/>
      <c r="X439" s="419"/>
      <c r="Y439" s="157"/>
      <c r="Z439" s="217"/>
      <c r="AA439" s="150"/>
      <c r="AB439" s="151"/>
      <c r="AC439" s="152"/>
      <c r="AD439" s="506"/>
      <c r="AE439" s="166"/>
      <c r="AF439" s="150"/>
      <c r="AG439" s="152"/>
      <c r="AH439" s="150"/>
      <c r="AI439" s="152"/>
      <c r="AJ439" s="150"/>
      <c r="AK439" s="152"/>
      <c r="AL439" s="150"/>
      <c r="AM439" s="151"/>
      <c r="AN439" s="151"/>
      <c r="AO439" s="169"/>
      <c r="AP439" s="169"/>
      <c r="AQ439" s="149"/>
      <c r="AR439" s="324"/>
      <c r="AS439" s="324"/>
      <c r="AT439" s="324"/>
      <c r="AU439" s="324"/>
      <c r="AV439" s="324"/>
      <c r="AW439" s="324"/>
      <c r="AX439" s="150"/>
      <c r="AY439" s="297"/>
      <c r="AZ439" s="297"/>
      <c r="BA439" s="297"/>
      <c r="BB439" s="297"/>
      <c r="BC439" s="152"/>
      <c r="BD439" s="150"/>
      <c r="BE439" s="297"/>
      <c r="BF439" s="297"/>
      <c r="BG439" s="297"/>
      <c r="BH439" s="297"/>
      <c r="BI439" s="152"/>
      <c r="BJ439" s="170"/>
      <c r="BK439" s="148"/>
      <c r="BL439" s="324"/>
      <c r="BM439" s="324"/>
      <c r="BN439" s="170"/>
      <c r="BO439" s="149"/>
      <c r="BP439" s="170"/>
      <c r="BQ439" s="149"/>
      <c r="BR439" s="170"/>
      <c r="BS439" s="171"/>
      <c r="BT439" s="708"/>
    </row>
    <row r="440" spans="1:72" s="2" customFormat="1" ht="24.9" customHeight="1">
      <c r="A440" s="147"/>
      <c r="B440" s="158"/>
      <c r="C440" s="179"/>
      <c r="D440" s="158"/>
      <c r="E440" s="160"/>
      <c r="F440" s="161"/>
      <c r="G440" s="161"/>
      <c r="H440" s="161"/>
      <c r="I440" s="163"/>
      <c r="J440" s="161"/>
      <c r="K440" s="163"/>
      <c r="L440" s="150"/>
      <c r="M440" s="164"/>
      <c r="N440" s="150"/>
      <c r="O440" s="151"/>
      <c r="P440" s="522"/>
      <c r="Q440" s="522"/>
      <c r="R440" s="154"/>
      <c r="S440" s="155"/>
      <c r="T440" s="156"/>
      <c r="U440" s="154"/>
      <c r="V440" s="155"/>
      <c r="W440" s="155"/>
      <c r="X440" s="419"/>
      <c r="Y440" s="157"/>
      <c r="Z440" s="217"/>
      <c r="AA440" s="150"/>
      <c r="AB440" s="151"/>
      <c r="AC440" s="152"/>
      <c r="AD440" s="506"/>
      <c r="AE440" s="166"/>
      <c r="AF440" s="150"/>
      <c r="AG440" s="152"/>
      <c r="AH440" s="150"/>
      <c r="AI440" s="152"/>
      <c r="AJ440" s="150"/>
      <c r="AK440" s="152"/>
      <c r="AL440" s="150"/>
      <c r="AM440" s="151"/>
      <c r="AN440" s="151"/>
      <c r="AO440" s="169"/>
      <c r="AP440" s="169"/>
      <c r="AQ440" s="149"/>
      <c r="AR440" s="324"/>
      <c r="AS440" s="324"/>
      <c r="AT440" s="324"/>
      <c r="AU440" s="324"/>
      <c r="AV440" s="324"/>
      <c r="AW440" s="324"/>
      <c r="AX440" s="150"/>
      <c r="AY440" s="297"/>
      <c r="AZ440" s="297"/>
      <c r="BA440" s="297"/>
      <c r="BB440" s="297"/>
      <c r="BC440" s="152"/>
      <c r="BD440" s="150"/>
      <c r="BE440" s="297"/>
      <c r="BF440" s="297"/>
      <c r="BG440" s="297"/>
      <c r="BH440" s="297"/>
      <c r="BI440" s="152"/>
      <c r="BJ440" s="170"/>
      <c r="BK440" s="148"/>
      <c r="BL440" s="324"/>
      <c r="BM440" s="324"/>
      <c r="BN440" s="170"/>
      <c r="BO440" s="149"/>
      <c r="BP440" s="170"/>
      <c r="BQ440" s="149"/>
      <c r="BR440" s="170"/>
      <c r="BS440" s="171"/>
      <c r="BT440" s="707"/>
    </row>
    <row r="441" spans="1:72" s="2" customFormat="1" ht="24.9" customHeight="1">
      <c r="A441" s="147"/>
      <c r="B441" s="158"/>
      <c r="C441" s="179"/>
      <c r="D441" s="158"/>
      <c r="E441" s="160"/>
      <c r="F441" s="161"/>
      <c r="G441" s="161"/>
      <c r="H441" s="161"/>
      <c r="I441" s="163"/>
      <c r="J441" s="161"/>
      <c r="K441" s="163"/>
      <c r="L441" s="150"/>
      <c r="M441" s="164"/>
      <c r="N441" s="150"/>
      <c r="O441" s="174"/>
      <c r="P441" s="523"/>
      <c r="Q441" s="523"/>
      <c r="R441" s="154"/>
      <c r="S441" s="155"/>
      <c r="T441" s="156"/>
      <c r="U441" s="154"/>
      <c r="V441" s="155"/>
      <c r="W441" s="155"/>
      <c r="X441" s="419"/>
      <c r="Y441" s="157"/>
      <c r="Z441" s="217"/>
      <c r="AA441" s="150"/>
      <c r="AB441" s="151"/>
      <c r="AC441" s="152"/>
      <c r="AD441" s="506"/>
      <c r="AE441" s="166"/>
      <c r="AF441" s="150"/>
      <c r="AG441" s="152"/>
      <c r="AH441" s="150"/>
      <c r="AI441" s="152"/>
      <c r="AJ441" s="150"/>
      <c r="AK441" s="152"/>
      <c r="AL441" s="150"/>
      <c r="AM441" s="151"/>
      <c r="AN441" s="151"/>
      <c r="AO441" s="169"/>
      <c r="AP441" s="169"/>
      <c r="AQ441" s="149"/>
      <c r="AR441" s="324"/>
      <c r="AS441" s="324"/>
      <c r="AT441" s="324"/>
      <c r="AU441" s="324"/>
      <c r="AV441" s="324"/>
      <c r="AW441" s="324"/>
      <c r="AX441" s="150"/>
      <c r="AY441" s="297"/>
      <c r="AZ441" s="297"/>
      <c r="BA441" s="297"/>
      <c r="BB441" s="297"/>
      <c r="BC441" s="152"/>
      <c r="BD441" s="150"/>
      <c r="BE441" s="297"/>
      <c r="BF441" s="297"/>
      <c r="BG441" s="297"/>
      <c r="BH441" s="297"/>
      <c r="BI441" s="152"/>
      <c r="BJ441" s="170"/>
      <c r="BK441" s="148"/>
      <c r="BL441" s="324"/>
      <c r="BM441" s="324"/>
      <c r="BN441" s="170"/>
      <c r="BO441" s="149"/>
      <c r="BP441" s="170"/>
      <c r="BQ441" s="149"/>
      <c r="BR441" s="170"/>
      <c r="BS441" s="171"/>
      <c r="BT441" s="706"/>
    </row>
    <row r="442" spans="1:72" s="2" customFormat="1" ht="24.9" customHeight="1">
      <c r="A442" s="147"/>
      <c r="B442" s="158"/>
      <c r="C442" s="179"/>
      <c r="D442" s="158"/>
      <c r="E442" s="160"/>
      <c r="F442" s="161"/>
      <c r="G442" s="161"/>
      <c r="H442" s="161"/>
      <c r="I442" s="163"/>
      <c r="J442" s="161"/>
      <c r="K442" s="163"/>
      <c r="L442" s="150"/>
      <c r="M442" s="164"/>
      <c r="N442" s="150"/>
      <c r="O442" s="174"/>
      <c r="P442" s="523"/>
      <c r="Q442" s="523"/>
      <c r="R442" s="154"/>
      <c r="S442" s="155"/>
      <c r="T442" s="156"/>
      <c r="U442" s="154"/>
      <c r="V442" s="155"/>
      <c r="W442" s="155"/>
      <c r="X442" s="419"/>
      <c r="Y442" s="157"/>
      <c r="Z442" s="217"/>
      <c r="AA442" s="150"/>
      <c r="AB442" s="151"/>
      <c r="AC442" s="152"/>
      <c r="AD442" s="506"/>
      <c r="AE442" s="166"/>
      <c r="AF442" s="150"/>
      <c r="AG442" s="152"/>
      <c r="AH442" s="150"/>
      <c r="AI442" s="152"/>
      <c r="AJ442" s="150"/>
      <c r="AK442" s="152"/>
      <c r="AL442" s="150"/>
      <c r="AM442" s="151"/>
      <c r="AN442" s="151"/>
      <c r="AO442" s="169"/>
      <c r="AP442" s="169"/>
      <c r="AQ442" s="149"/>
      <c r="AR442" s="324"/>
      <c r="AS442" s="324"/>
      <c r="AT442" s="324"/>
      <c r="AU442" s="324"/>
      <c r="AV442" s="324"/>
      <c r="AW442" s="324"/>
      <c r="AX442" s="150"/>
      <c r="AY442" s="297"/>
      <c r="AZ442" s="297"/>
      <c r="BA442" s="297"/>
      <c r="BB442" s="297"/>
      <c r="BC442" s="152"/>
      <c r="BD442" s="150"/>
      <c r="BE442" s="297"/>
      <c r="BF442" s="297"/>
      <c r="BG442" s="297"/>
      <c r="BH442" s="297"/>
      <c r="BI442" s="152"/>
      <c r="BJ442" s="170"/>
      <c r="BK442" s="148"/>
      <c r="BL442" s="324"/>
      <c r="BM442" s="324"/>
      <c r="BN442" s="170"/>
      <c r="BO442" s="149"/>
      <c r="BP442" s="170"/>
      <c r="BQ442" s="149"/>
      <c r="BR442" s="170"/>
      <c r="BS442" s="171"/>
      <c r="BT442" s="707"/>
    </row>
    <row r="443" spans="1:72" s="2" customFormat="1" ht="24.9" customHeight="1">
      <c r="A443" s="147"/>
      <c r="B443" s="158"/>
      <c r="C443" s="179"/>
      <c r="D443" s="158"/>
      <c r="E443" s="160"/>
      <c r="F443" s="161"/>
      <c r="G443" s="161"/>
      <c r="H443" s="161"/>
      <c r="I443" s="163"/>
      <c r="J443" s="161"/>
      <c r="K443" s="163"/>
      <c r="L443" s="150"/>
      <c r="M443" s="164"/>
      <c r="N443" s="150"/>
      <c r="O443" s="174"/>
      <c r="P443" s="523"/>
      <c r="Q443" s="523"/>
      <c r="R443" s="154"/>
      <c r="S443" s="155"/>
      <c r="T443" s="156"/>
      <c r="U443" s="154"/>
      <c r="V443" s="155"/>
      <c r="W443" s="155"/>
      <c r="X443" s="419"/>
      <c r="Y443" s="157"/>
      <c r="Z443" s="217"/>
      <c r="AA443" s="150"/>
      <c r="AB443" s="151"/>
      <c r="AC443" s="152"/>
      <c r="AD443" s="506"/>
      <c r="AE443" s="166"/>
      <c r="AF443" s="150"/>
      <c r="AG443" s="152"/>
      <c r="AH443" s="150"/>
      <c r="AI443" s="152"/>
      <c r="AJ443" s="150"/>
      <c r="AK443" s="152"/>
      <c r="AL443" s="150"/>
      <c r="AM443" s="151"/>
      <c r="AN443" s="151"/>
      <c r="AO443" s="169"/>
      <c r="AP443" s="169"/>
      <c r="AQ443" s="149"/>
      <c r="AR443" s="324"/>
      <c r="AS443" s="324"/>
      <c r="AT443" s="324"/>
      <c r="AU443" s="324"/>
      <c r="AV443" s="324"/>
      <c r="AW443" s="324"/>
      <c r="AX443" s="150"/>
      <c r="AY443" s="297"/>
      <c r="AZ443" s="297"/>
      <c r="BA443" s="297"/>
      <c r="BB443" s="297"/>
      <c r="BC443" s="152"/>
      <c r="BD443" s="150"/>
      <c r="BE443" s="297"/>
      <c r="BF443" s="297"/>
      <c r="BG443" s="297"/>
      <c r="BH443" s="297"/>
      <c r="BI443" s="152"/>
      <c r="BJ443" s="170"/>
      <c r="BK443" s="148"/>
      <c r="BL443" s="324"/>
      <c r="BM443" s="324"/>
      <c r="BN443" s="170"/>
      <c r="BO443" s="149"/>
      <c r="BP443" s="170"/>
      <c r="BQ443" s="149"/>
      <c r="BR443" s="170"/>
      <c r="BS443" s="171"/>
      <c r="BT443" s="706"/>
    </row>
    <row r="444" spans="1:72" s="2" customFormat="1" ht="24.9" customHeight="1">
      <c r="A444" s="147"/>
      <c r="B444" s="158"/>
      <c r="C444" s="179"/>
      <c r="D444" s="158"/>
      <c r="E444" s="160"/>
      <c r="F444" s="161"/>
      <c r="G444" s="161"/>
      <c r="H444" s="161"/>
      <c r="I444" s="163"/>
      <c r="J444" s="161"/>
      <c r="K444" s="163"/>
      <c r="L444" s="150"/>
      <c r="M444" s="164"/>
      <c r="N444" s="150"/>
      <c r="O444" s="174"/>
      <c r="P444" s="523"/>
      <c r="Q444" s="523"/>
      <c r="R444" s="154"/>
      <c r="S444" s="155"/>
      <c r="T444" s="156"/>
      <c r="U444" s="154"/>
      <c r="V444" s="155"/>
      <c r="W444" s="155"/>
      <c r="X444" s="419"/>
      <c r="Y444" s="157"/>
      <c r="Z444" s="217"/>
      <c r="AA444" s="150"/>
      <c r="AB444" s="151"/>
      <c r="AC444" s="152"/>
      <c r="AD444" s="506"/>
      <c r="AE444" s="166"/>
      <c r="AF444" s="150"/>
      <c r="AG444" s="152"/>
      <c r="AH444" s="150"/>
      <c r="AI444" s="152"/>
      <c r="AJ444" s="150"/>
      <c r="AK444" s="152"/>
      <c r="AL444" s="150"/>
      <c r="AM444" s="151"/>
      <c r="AN444" s="151"/>
      <c r="AO444" s="169"/>
      <c r="AP444" s="169"/>
      <c r="AQ444" s="149"/>
      <c r="AR444" s="324"/>
      <c r="AS444" s="324"/>
      <c r="AT444" s="324"/>
      <c r="AU444" s="324"/>
      <c r="AV444" s="324"/>
      <c r="AW444" s="324"/>
      <c r="AX444" s="150"/>
      <c r="AY444" s="297"/>
      <c r="AZ444" s="297"/>
      <c r="BA444" s="297"/>
      <c r="BB444" s="297"/>
      <c r="BC444" s="152"/>
      <c r="BD444" s="150"/>
      <c r="BE444" s="297"/>
      <c r="BF444" s="297"/>
      <c r="BG444" s="297"/>
      <c r="BH444" s="297"/>
      <c r="BI444" s="152"/>
      <c r="BJ444" s="170"/>
      <c r="BK444" s="148"/>
      <c r="BL444" s="324"/>
      <c r="BM444" s="324"/>
      <c r="BN444" s="170"/>
      <c r="BO444" s="149"/>
      <c r="BP444" s="170"/>
      <c r="BQ444" s="149"/>
      <c r="BR444" s="170"/>
      <c r="BS444" s="171"/>
      <c r="BT444" s="708"/>
    </row>
    <row r="445" spans="1:72" s="2" customFormat="1" ht="24.9" customHeight="1">
      <c r="A445" s="147"/>
      <c r="B445" s="158"/>
      <c r="C445" s="179"/>
      <c r="D445" s="158"/>
      <c r="E445" s="160"/>
      <c r="F445" s="161"/>
      <c r="G445" s="161"/>
      <c r="H445" s="161"/>
      <c r="I445" s="163"/>
      <c r="J445" s="161"/>
      <c r="K445" s="163"/>
      <c r="L445" s="150"/>
      <c r="M445" s="164"/>
      <c r="N445" s="150"/>
      <c r="O445" s="151"/>
      <c r="P445" s="522"/>
      <c r="Q445" s="522"/>
      <c r="R445" s="154"/>
      <c r="S445" s="155"/>
      <c r="T445" s="156"/>
      <c r="U445" s="154"/>
      <c r="V445" s="155"/>
      <c r="W445" s="155"/>
      <c r="X445" s="419"/>
      <c r="Y445" s="157"/>
      <c r="Z445" s="217"/>
      <c r="AA445" s="150"/>
      <c r="AB445" s="151"/>
      <c r="AC445" s="152"/>
      <c r="AD445" s="506"/>
      <c r="AE445" s="166"/>
      <c r="AF445" s="150"/>
      <c r="AG445" s="152"/>
      <c r="AH445" s="150"/>
      <c r="AI445" s="152"/>
      <c r="AJ445" s="150"/>
      <c r="AK445" s="152"/>
      <c r="AL445" s="150"/>
      <c r="AM445" s="151"/>
      <c r="AN445" s="151"/>
      <c r="AO445" s="169"/>
      <c r="AP445" s="169"/>
      <c r="AQ445" s="149"/>
      <c r="AR445" s="324"/>
      <c r="AS445" s="324"/>
      <c r="AT445" s="324"/>
      <c r="AU445" s="324"/>
      <c r="AV445" s="324"/>
      <c r="AW445" s="324"/>
      <c r="AX445" s="150"/>
      <c r="AY445" s="297"/>
      <c r="AZ445" s="297"/>
      <c r="BA445" s="297"/>
      <c r="BB445" s="297"/>
      <c r="BC445" s="152"/>
      <c r="BD445" s="150"/>
      <c r="BE445" s="297"/>
      <c r="BF445" s="297"/>
      <c r="BG445" s="297"/>
      <c r="BH445" s="297"/>
      <c r="BI445" s="152"/>
      <c r="BJ445" s="170"/>
      <c r="BK445" s="148"/>
      <c r="BL445" s="324"/>
      <c r="BM445" s="324"/>
      <c r="BN445" s="170"/>
      <c r="BO445" s="149"/>
      <c r="BP445" s="170"/>
      <c r="BQ445" s="149"/>
      <c r="BR445" s="170"/>
      <c r="BS445" s="171"/>
      <c r="BT445" s="707"/>
    </row>
    <row r="446" spans="1:72" s="2" customFormat="1" ht="24.9" customHeight="1">
      <c r="A446" s="147"/>
      <c r="B446" s="158"/>
      <c r="C446" s="179"/>
      <c r="D446" s="158"/>
      <c r="E446" s="160"/>
      <c r="F446" s="161"/>
      <c r="G446" s="161"/>
      <c r="H446" s="161"/>
      <c r="I446" s="163"/>
      <c r="J446" s="161"/>
      <c r="K446" s="163"/>
      <c r="L446" s="150"/>
      <c r="M446" s="164"/>
      <c r="N446" s="150"/>
      <c r="O446" s="174"/>
      <c r="P446" s="523"/>
      <c r="Q446" s="523"/>
      <c r="R446" s="154"/>
      <c r="S446" s="155"/>
      <c r="T446" s="156"/>
      <c r="U446" s="154"/>
      <c r="V446" s="155"/>
      <c r="W446" s="155"/>
      <c r="X446" s="419"/>
      <c r="Y446" s="157"/>
      <c r="Z446" s="217"/>
      <c r="AA446" s="150"/>
      <c r="AB446" s="151"/>
      <c r="AC446" s="152"/>
      <c r="AD446" s="506"/>
      <c r="AE446" s="166"/>
      <c r="AF446" s="150"/>
      <c r="AG446" s="152"/>
      <c r="AH446" s="150"/>
      <c r="AI446" s="152"/>
      <c r="AJ446" s="150"/>
      <c r="AK446" s="152"/>
      <c r="AL446" s="150"/>
      <c r="AM446" s="151"/>
      <c r="AN446" s="151"/>
      <c r="AO446" s="169"/>
      <c r="AP446" s="169"/>
      <c r="AQ446" s="149"/>
      <c r="AR446" s="324"/>
      <c r="AS446" s="324"/>
      <c r="AT446" s="324"/>
      <c r="AU446" s="324"/>
      <c r="AV446" s="324"/>
      <c r="AW446" s="324"/>
      <c r="AX446" s="150"/>
      <c r="AY446" s="297"/>
      <c r="AZ446" s="297"/>
      <c r="BA446" s="297"/>
      <c r="BB446" s="297"/>
      <c r="BC446" s="152"/>
      <c r="BD446" s="150"/>
      <c r="BE446" s="297"/>
      <c r="BF446" s="297"/>
      <c r="BG446" s="297"/>
      <c r="BH446" s="297"/>
      <c r="BI446" s="152"/>
      <c r="BJ446" s="170"/>
      <c r="BK446" s="148"/>
      <c r="BL446" s="324"/>
      <c r="BM446" s="324"/>
      <c r="BN446" s="170"/>
      <c r="BO446" s="149"/>
      <c r="BP446" s="170"/>
      <c r="BQ446" s="149"/>
      <c r="BR446" s="170"/>
      <c r="BS446" s="171"/>
      <c r="BT446" s="706"/>
    </row>
    <row r="447" spans="1:72" s="2" customFormat="1" ht="24.9" customHeight="1">
      <c r="A447" s="147"/>
      <c r="B447" s="158"/>
      <c r="C447" s="179"/>
      <c r="D447" s="158"/>
      <c r="E447" s="160"/>
      <c r="F447" s="161"/>
      <c r="G447" s="161"/>
      <c r="H447" s="161"/>
      <c r="I447" s="163"/>
      <c r="J447" s="161"/>
      <c r="K447" s="163"/>
      <c r="L447" s="150"/>
      <c r="M447" s="164"/>
      <c r="N447" s="150"/>
      <c r="O447" s="151"/>
      <c r="P447" s="522"/>
      <c r="Q447" s="522"/>
      <c r="R447" s="154"/>
      <c r="S447" s="155"/>
      <c r="T447" s="156"/>
      <c r="U447" s="154"/>
      <c r="V447" s="155"/>
      <c r="W447" s="155"/>
      <c r="X447" s="419"/>
      <c r="Y447" s="157"/>
      <c r="Z447" s="217"/>
      <c r="AA447" s="150"/>
      <c r="AB447" s="151"/>
      <c r="AC447" s="152"/>
      <c r="AD447" s="506"/>
      <c r="AE447" s="166"/>
      <c r="AF447" s="150"/>
      <c r="AG447" s="152"/>
      <c r="AH447" s="150"/>
      <c r="AI447" s="152"/>
      <c r="AJ447" s="150"/>
      <c r="AK447" s="152"/>
      <c r="AL447" s="150"/>
      <c r="AM447" s="151"/>
      <c r="AN447" s="151"/>
      <c r="AO447" s="169"/>
      <c r="AP447" s="169"/>
      <c r="AQ447" s="149"/>
      <c r="AR447" s="324"/>
      <c r="AS447" s="324"/>
      <c r="AT447" s="324"/>
      <c r="AU447" s="324"/>
      <c r="AV447" s="324"/>
      <c r="AW447" s="324"/>
      <c r="AX447" s="150"/>
      <c r="AY447" s="297"/>
      <c r="AZ447" s="297"/>
      <c r="BA447" s="297"/>
      <c r="BB447" s="297"/>
      <c r="BC447" s="152"/>
      <c r="BD447" s="150"/>
      <c r="BE447" s="297"/>
      <c r="BF447" s="297"/>
      <c r="BG447" s="297"/>
      <c r="BH447" s="297"/>
      <c r="BI447" s="152"/>
      <c r="BJ447" s="170"/>
      <c r="BK447" s="148"/>
      <c r="BL447" s="324"/>
      <c r="BM447" s="324"/>
      <c r="BN447" s="170"/>
      <c r="BO447" s="149"/>
      <c r="BP447" s="170"/>
      <c r="BQ447" s="149"/>
      <c r="BR447" s="170"/>
      <c r="BS447" s="171"/>
      <c r="BT447" s="708"/>
    </row>
    <row r="448" spans="1:72" s="2" customFormat="1" ht="24.9" customHeight="1">
      <c r="A448" s="147"/>
      <c r="B448" s="158"/>
      <c r="C448" s="179"/>
      <c r="D448" s="158"/>
      <c r="E448" s="160"/>
      <c r="F448" s="161"/>
      <c r="G448" s="161"/>
      <c r="H448" s="161"/>
      <c r="I448" s="163"/>
      <c r="J448" s="161"/>
      <c r="K448" s="163"/>
      <c r="L448" s="150"/>
      <c r="M448" s="164"/>
      <c r="N448" s="153"/>
      <c r="O448" s="174"/>
      <c r="P448" s="523"/>
      <c r="Q448" s="523"/>
      <c r="R448" s="154"/>
      <c r="S448" s="155"/>
      <c r="T448" s="156"/>
      <c r="U448" s="154"/>
      <c r="V448" s="155"/>
      <c r="W448" s="155"/>
      <c r="X448" s="419"/>
      <c r="Y448" s="157"/>
      <c r="Z448" s="217"/>
      <c r="AA448" s="150"/>
      <c r="AB448" s="151"/>
      <c r="AC448" s="152"/>
      <c r="AD448" s="506"/>
      <c r="AE448" s="166"/>
      <c r="AF448" s="150"/>
      <c r="AG448" s="152"/>
      <c r="AH448" s="150"/>
      <c r="AI448" s="152"/>
      <c r="AJ448" s="150"/>
      <c r="AK448" s="152"/>
      <c r="AL448" s="150"/>
      <c r="AM448" s="151"/>
      <c r="AN448" s="151"/>
      <c r="AO448" s="169"/>
      <c r="AP448" s="169"/>
      <c r="AQ448" s="149"/>
      <c r="AR448" s="324"/>
      <c r="AS448" s="324"/>
      <c r="AT448" s="324"/>
      <c r="AU448" s="324"/>
      <c r="AV448" s="324"/>
      <c r="AW448" s="324"/>
      <c r="AX448" s="150"/>
      <c r="AY448" s="297"/>
      <c r="AZ448" s="297"/>
      <c r="BA448" s="297"/>
      <c r="BB448" s="297"/>
      <c r="BC448" s="152"/>
      <c r="BD448" s="150"/>
      <c r="BE448" s="297"/>
      <c r="BF448" s="297"/>
      <c r="BG448" s="297"/>
      <c r="BH448" s="297"/>
      <c r="BI448" s="152"/>
      <c r="BJ448" s="170"/>
      <c r="BK448" s="148"/>
      <c r="BL448" s="324"/>
      <c r="BM448" s="324"/>
      <c r="BN448" s="170"/>
      <c r="BO448" s="149"/>
      <c r="BP448" s="170"/>
      <c r="BQ448" s="149"/>
      <c r="BR448" s="170"/>
      <c r="BS448" s="171"/>
      <c r="BT448" s="707"/>
    </row>
    <row r="449" spans="1:72" s="2" customFormat="1" ht="24.9" customHeight="1">
      <c r="A449" s="147"/>
      <c r="B449" s="158"/>
      <c r="C449" s="179"/>
      <c r="D449" s="158"/>
      <c r="E449" s="160"/>
      <c r="F449" s="161"/>
      <c r="G449" s="161"/>
      <c r="H449" s="161"/>
      <c r="I449" s="163"/>
      <c r="J449" s="161"/>
      <c r="K449" s="163"/>
      <c r="L449" s="150"/>
      <c r="M449" s="164"/>
      <c r="N449" s="150"/>
      <c r="O449" s="174"/>
      <c r="P449" s="523"/>
      <c r="Q449" s="523"/>
      <c r="R449" s="154"/>
      <c r="S449" s="155"/>
      <c r="T449" s="156"/>
      <c r="U449" s="154"/>
      <c r="V449" s="155"/>
      <c r="W449" s="155"/>
      <c r="X449" s="419"/>
      <c r="Y449" s="157"/>
      <c r="Z449" s="217"/>
      <c r="AA449" s="150"/>
      <c r="AB449" s="151"/>
      <c r="AC449" s="152"/>
      <c r="AD449" s="506"/>
      <c r="AE449" s="166"/>
      <c r="AF449" s="150"/>
      <c r="AG449" s="152"/>
      <c r="AH449" s="150"/>
      <c r="AI449" s="152"/>
      <c r="AJ449" s="150"/>
      <c r="AK449" s="152"/>
      <c r="AL449" s="150"/>
      <c r="AM449" s="151"/>
      <c r="AN449" s="151"/>
      <c r="AO449" s="169"/>
      <c r="AP449" s="169"/>
      <c r="AQ449" s="149"/>
      <c r="AR449" s="324"/>
      <c r="AS449" s="324"/>
      <c r="AT449" s="324"/>
      <c r="AU449" s="324"/>
      <c r="AV449" s="324"/>
      <c r="AW449" s="324"/>
      <c r="AX449" s="150"/>
      <c r="AY449" s="297"/>
      <c r="AZ449" s="297"/>
      <c r="BA449" s="297"/>
      <c r="BB449" s="297"/>
      <c r="BC449" s="152"/>
      <c r="BD449" s="150"/>
      <c r="BE449" s="297"/>
      <c r="BF449" s="297"/>
      <c r="BG449" s="297"/>
      <c r="BH449" s="297"/>
      <c r="BI449" s="152"/>
      <c r="BJ449" s="170"/>
      <c r="BK449" s="148"/>
      <c r="BL449" s="324"/>
      <c r="BM449" s="324"/>
      <c r="BN449" s="170"/>
      <c r="BO449" s="149"/>
      <c r="BP449" s="170"/>
      <c r="BQ449" s="149"/>
      <c r="BR449" s="170"/>
      <c r="BS449" s="171"/>
      <c r="BT449" s="706"/>
    </row>
    <row r="450" spans="1:72" s="2" customFormat="1" ht="24.9" customHeight="1">
      <c r="A450" s="147"/>
      <c r="B450" s="158"/>
      <c r="C450" s="179"/>
      <c r="D450" s="158"/>
      <c r="E450" s="160"/>
      <c r="F450" s="161"/>
      <c r="G450" s="161"/>
      <c r="H450" s="161"/>
      <c r="I450" s="163"/>
      <c r="J450" s="161"/>
      <c r="K450" s="163"/>
      <c r="L450" s="150"/>
      <c r="M450" s="164"/>
      <c r="N450" s="150"/>
      <c r="O450" s="151"/>
      <c r="P450" s="522"/>
      <c r="Q450" s="522"/>
      <c r="R450" s="154"/>
      <c r="S450" s="155"/>
      <c r="T450" s="156"/>
      <c r="U450" s="154"/>
      <c r="V450" s="155"/>
      <c r="W450" s="155"/>
      <c r="X450" s="419"/>
      <c r="Y450" s="157"/>
      <c r="Z450" s="217"/>
      <c r="AA450" s="150"/>
      <c r="AB450" s="151"/>
      <c r="AC450" s="152"/>
      <c r="AD450" s="506"/>
      <c r="AE450" s="166"/>
      <c r="AF450" s="150"/>
      <c r="AG450" s="152"/>
      <c r="AH450" s="150"/>
      <c r="AI450" s="152"/>
      <c r="AJ450" s="150"/>
      <c r="AK450" s="152"/>
      <c r="AL450" s="150"/>
      <c r="AM450" s="151"/>
      <c r="AN450" s="151"/>
      <c r="AO450" s="169"/>
      <c r="AP450" s="169"/>
      <c r="AQ450" s="149"/>
      <c r="AR450" s="324"/>
      <c r="AS450" s="324"/>
      <c r="AT450" s="324"/>
      <c r="AU450" s="324"/>
      <c r="AV450" s="324"/>
      <c r="AW450" s="324"/>
      <c r="AX450" s="150"/>
      <c r="AY450" s="297"/>
      <c r="AZ450" s="297"/>
      <c r="BA450" s="297"/>
      <c r="BB450" s="297"/>
      <c r="BC450" s="152"/>
      <c r="BD450" s="150"/>
      <c r="BE450" s="297"/>
      <c r="BF450" s="297"/>
      <c r="BG450" s="297"/>
      <c r="BH450" s="297"/>
      <c r="BI450" s="152"/>
      <c r="BJ450" s="170"/>
      <c r="BK450" s="148"/>
      <c r="BL450" s="324"/>
      <c r="BM450" s="324"/>
      <c r="BN450" s="170"/>
      <c r="BO450" s="149"/>
      <c r="BP450" s="170"/>
      <c r="BQ450" s="149"/>
      <c r="BR450" s="170"/>
      <c r="BS450" s="171"/>
      <c r="BT450" s="708"/>
    </row>
    <row r="451" spans="1:72" s="2" customFormat="1" ht="24.9" customHeight="1">
      <c r="A451" s="147"/>
      <c r="B451" s="158"/>
      <c r="C451" s="179"/>
      <c r="D451" s="158"/>
      <c r="E451" s="160"/>
      <c r="F451" s="161"/>
      <c r="G451" s="161"/>
      <c r="H451" s="161"/>
      <c r="I451" s="163"/>
      <c r="J451" s="161"/>
      <c r="K451" s="163"/>
      <c r="L451" s="150"/>
      <c r="M451" s="164"/>
      <c r="N451" s="150"/>
      <c r="O451" s="174"/>
      <c r="P451" s="523"/>
      <c r="Q451" s="523"/>
      <c r="R451" s="154"/>
      <c r="S451" s="155"/>
      <c r="T451" s="156"/>
      <c r="U451" s="154"/>
      <c r="V451" s="155"/>
      <c r="W451" s="155"/>
      <c r="X451" s="419"/>
      <c r="Y451" s="157"/>
      <c r="Z451" s="217"/>
      <c r="AA451" s="150"/>
      <c r="AB451" s="151"/>
      <c r="AC451" s="152"/>
      <c r="AD451" s="506"/>
      <c r="AE451" s="166"/>
      <c r="AF451" s="150"/>
      <c r="AG451" s="152"/>
      <c r="AH451" s="150"/>
      <c r="AI451" s="152"/>
      <c r="AJ451" s="150"/>
      <c r="AK451" s="152"/>
      <c r="AL451" s="150"/>
      <c r="AM451" s="151"/>
      <c r="AN451" s="151"/>
      <c r="AO451" s="169"/>
      <c r="AP451" s="169"/>
      <c r="AQ451" s="149"/>
      <c r="AR451" s="324"/>
      <c r="AS451" s="324"/>
      <c r="AT451" s="324"/>
      <c r="AU451" s="324"/>
      <c r="AV451" s="324"/>
      <c r="AW451" s="324"/>
      <c r="AX451" s="150"/>
      <c r="AY451" s="297"/>
      <c r="AZ451" s="297"/>
      <c r="BA451" s="297"/>
      <c r="BB451" s="297"/>
      <c r="BC451" s="152"/>
      <c r="BD451" s="150"/>
      <c r="BE451" s="297"/>
      <c r="BF451" s="297"/>
      <c r="BG451" s="297"/>
      <c r="BH451" s="297"/>
      <c r="BI451" s="152"/>
      <c r="BJ451" s="170"/>
      <c r="BK451" s="148"/>
      <c r="BL451" s="324"/>
      <c r="BM451" s="324"/>
      <c r="BN451" s="170"/>
      <c r="BO451" s="149"/>
      <c r="BP451" s="170"/>
      <c r="BQ451" s="149"/>
      <c r="BR451" s="170"/>
      <c r="BS451" s="171"/>
      <c r="BT451" s="708"/>
    </row>
    <row r="452" spans="1:72" s="2" customFormat="1" ht="24.9" customHeight="1">
      <c r="A452" s="147"/>
      <c r="B452" s="158"/>
      <c r="C452" s="179"/>
      <c r="D452" s="158"/>
      <c r="E452" s="160"/>
      <c r="F452" s="161"/>
      <c r="G452" s="161"/>
      <c r="H452" s="161"/>
      <c r="I452" s="163"/>
      <c r="J452" s="161"/>
      <c r="K452" s="163"/>
      <c r="L452" s="150"/>
      <c r="M452" s="164"/>
      <c r="N452" s="150"/>
      <c r="O452" s="151"/>
      <c r="P452" s="522"/>
      <c r="Q452" s="522"/>
      <c r="R452" s="154"/>
      <c r="S452" s="155"/>
      <c r="T452" s="156"/>
      <c r="U452" s="154"/>
      <c r="V452" s="155"/>
      <c r="W452" s="155"/>
      <c r="X452" s="419"/>
      <c r="Y452" s="157"/>
      <c r="Z452" s="217"/>
      <c r="AA452" s="150"/>
      <c r="AB452" s="151"/>
      <c r="AC452" s="152"/>
      <c r="AD452" s="506"/>
      <c r="AE452" s="166"/>
      <c r="AF452" s="150"/>
      <c r="AG452" s="152"/>
      <c r="AH452" s="150"/>
      <c r="AI452" s="152"/>
      <c r="AJ452" s="150"/>
      <c r="AK452" s="152"/>
      <c r="AL452" s="150"/>
      <c r="AM452" s="151"/>
      <c r="AN452" s="151"/>
      <c r="AO452" s="169"/>
      <c r="AP452" s="169"/>
      <c r="AQ452" s="149"/>
      <c r="AR452" s="324"/>
      <c r="AS452" s="324"/>
      <c r="AT452" s="324"/>
      <c r="AU452" s="324"/>
      <c r="AV452" s="324"/>
      <c r="AW452" s="324"/>
      <c r="AX452" s="150"/>
      <c r="AY452" s="297"/>
      <c r="AZ452" s="297"/>
      <c r="BA452" s="297"/>
      <c r="BB452" s="297"/>
      <c r="BC452" s="152"/>
      <c r="BD452" s="150"/>
      <c r="BE452" s="297"/>
      <c r="BF452" s="297"/>
      <c r="BG452" s="297"/>
      <c r="BH452" s="297"/>
      <c r="BI452" s="152"/>
      <c r="BJ452" s="170"/>
      <c r="BK452" s="148"/>
      <c r="BL452" s="324"/>
      <c r="BM452" s="324"/>
      <c r="BN452" s="170"/>
      <c r="BO452" s="149"/>
      <c r="BP452" s="170"/>
      <c r="BQ452" s="149"/>
      <c r="BR452" s="170"/>
      <c r="BS452" s="171"/>
      <c r="BT452" s="707"/>
    </row>
    <row r="453" spans="1:72" s="2" customFormat="1" ht="24.9" customHeight="1">
      <c r="A453" s="147"/>
      <c r="B453" s="158"/>
      <c r="C453" s="179"/>
      <c r="D453" s="158"/>
      <c r="E453" s="160"/>
      <c r="F453" s="161"/>
      <c r="G453" s="161"/>
      <c r="H453" s="161"/>
      <c r="I453" s="163"/>
      <c r="J453" s="161"/>
      <c r="K453" s="163"/>
      <c r="L453" s="150"/>
      <c r="M453" s="164"/>
      <c r="N453" s="150"/>
      <c r="O453" s="174"/>
      <c r="P453" s="523"/>
      <c r="Q453" s="523"/>
      <c r="R453" s="154"/>
      <c r="S453" s="155"/>
      <c r="T453" s="156"/>
      <c r="U453" s="154"/>
      <c r="V453" s="155"/>
      <c r="W453" s="155"/>
      <c r="X453" s="419"/>
      <c r="Y453" s="157"/>
      <c r="Z453" s="217"/>
      <c r="AA453" s="150"/>
      <c r="AB453" s="151"/>
      <c r="AC453" s="152"/>
      <c r="AD453" s="506"/>
      <c r="AE453" s="166"/>
      <c r="AF453" s="150"/>
      <c r="AG453" s="152"/>
      <c r="AH453" s="150"/>
      <c r="AI453" s="152"/>
      <c r="AJ453" s="150"/>
      <c r="AK453" s="152"/>
      <c r="AL453" s="150"/>
      <c r="AM453" s="151"/>
      <c r="AN453" s="151"/>
      <c r="AO453" s="169"/>
      <c r="AP453" s="169"/>
      <c r="AQ453" s="149"/>
      <c r="AR453" s="324"/>
      <c r="AS453" s="324"/>
      <c r="AT453" s="324"/>
      <c r="AU453" s="324"/>
      <c r="AV453" s="324"/>
      <c r="AW453" s="324"/>
      <c r="AX453" s="150"/>
      <c r="AY453" s="297"/>
      <c r="AZ453" s="297"/>
      <c r="BA453" s="297"/>
      <c r="BB453" s="297"/>
      <c r="BC453" s="152"/>
      <c r="BD453" s="150"/>
      <c r="BE453" s="297"/>
      <c r="BF453" s="297"/>
      <c r="BG453" s="297"/>
      <c r="BH453" s="297"/>
      <c r="BI453" s="152"/>
      <c r="BJ453" s="170"/>
      <c r="BK453" s="148"/>
      <c r="BL453" s="324"/>
      <c r="BM453" s="324"/>
      <c r="BN453" s="170"/>
      <c r="BO453" s="149"/>
      <c r="BP453" s="170"/>
      <c r="BQ453" s="149"/>
      <c r="BR453" s="170"/>
      <c r="BS453" s="171"/>
      <c r="BT453" s="706"/>
    </row>
    <row r="454" spans="1:72" s="2" customFormat="1" ht="24.9" customHeight="1">
      <c r="A454" s="147"/>
      <c r="B454" s="158"/>
      <c r="C454" s="179"/>
      <c r="D454" s="158"/>
      <c r="E454" s="160"/>
      <c r="F454" s="161"/>
      <c r="G454" s="161"/>
      <c r="H454" s="161"/>
      <c r="I454" s="163"/>
      <c r="J454" s="161"/>
      <c r="K454" s="163"/>
      <c r="L454" s="150"/>
      <c r="M454" s="164"/>
      <c r="N454" s="150"/>
      <c r="O454" s="174"/>
      <c r="P454" s="523"/>
      <c r="Q454" s="523"/>
      <c r="R454" s="154"/>
      <c r="S454" s="155"/>
      <c r="T454" s="156"/>
      <c r="U454" s="154"/>
      <c r="V454" s="155"/>
      <c r="W454" s="155"/>
      <c r="X454" s="419"/>
      <c r="Y454" s="157"/>
      <c r="Z454" s="217"/>
      <c r="AA454" s="150"/>
      <c r="AB454" s="151"/>
      <c r="AC454" s="152"/>
      <c r="AD454" s="506"/>
      <c r="AE454" s="166"/>
      <c r="AF454" s="150"/>
      <c r="AG454" s="152"/>
      <c r="AH454" s="150"/>
      <c r="AI454" s="152"/>
      <c r="AJ454" s="150"/>
      <c r="AK454" s="152"/>
      <c r="AL454" s="150"/>
      <c r="AM454" s="151"/>
      <c r="AN454" s="151"/>
      <c r="AO454" s="169"/>
      <c r="AP454" s="169"/>
      <c r="AQ454" s="149"/>
      <c r="AR454" s="324"/>
      <c r="AS454" s="324"/>
      <c r="AT454" s="324"/>
      <c r="AU454" s="324"/>
      <c r="AV454" s="324"/>
      <c r="AW454" s="324"/>
      <c r="AX454" s="150"/>
      <c r="AY454" s="297"/>
      <c r="AZ454" s="297"/>
      <c r="BA454" s="297"/>
      <c r="BB454" s="297"/>
      <c r="BC454" s="152"/>
      <c r="BD454" s="150"/>
      <c r="BE454" s="297"/>
      <c r="BF454" s="297"/>
      <c r="BG454" s="297"/>
      <c r="BH454" s="297"/>
      <c r="BI454" s="152"/>
      <c r="BJ454" s="170"/>
      <c r="BK454" s="148"/>
      <c r="BL454" s="324"/>
      <c r="BM454" s="324"/>
      <c r="BN454" s="170"/>
      <c r="BO454" s="149"/>
      <c r="BP454" s="170"/>
      <c r="BQ454" s="149"/>
      <c r="BR454" s="170"/>
      <c r="BS454" s="171"/>
      <c r="BT454" s="707"/>
    </row>
    <row r="455" spans="1:72" s="2" customFormat="1" ht="24.9" customHeight="1">
      <c r="A455" s="147"/>
      <c r="B455" s="158"/>
      <c r="C455" s="179"/>
      <c r="D455" s="158"/>
      <c r="E455" s="160"/>
      <c r="F455" s="161"/>
      <c r="G455" s="161"/>
      <c r="H455" s="161"/>
      <c r="I455" s="163"/>
      <c r="J455" s="161"/>
      <c r="K455" s="163"/>
      <c r="L455" s="150"/>
      <c r="M455" s="164"/>
      <c r="N455" s="150"/>
      <c r="O455" s="174"/>
      <c r="P455" s="523"/>
      <c r="Q455" s="523"/>
      <c r="R455" s="154"/>
      <c r="S455" s="155"/>
      <c r="T455" s="156"/>
      <c r="U455" s="154"/>
      <c r="V455" s="155"/>
      <c r="W455" s="155"/>
      <c r="X455" s="419"/>
      <c r="Y455" s="157"/>
      <c r="Z455" s="217"/>
      <c r="AA455" s="150"/>
      <c r="AB455" s="151"/>
      <c r="AC455" s="152"/>
      <c r="AD455" s="506"/>
      <c r="AE455" s="166"/>
      <c r="AF455" s="150"/>
      <c r="AG455" s="152"/>
      <c r="AH455" s="150"/>
      <c r="AI455" s="152"/>
      <c r="AJ455" s="150"/>
      <c r="AK455" s="152"/>
      <c r="AL455" s="150"/>
      <c r="AM455" s="151"/>
      <c r="AN455" s="151"/>
      <c r="AO455" s="169"/>
      <c r="AP455" s="169"/>
      <c r="AQ455" s="149"/>
      <c r="AR455" s="324"/>
      <c r="AS455" s="324"/>
      <c r="AT455" s="324"/>
      <c r="AU455" s="324"/>
      <c r="AV455" s="324"/>
      <c r="AW455" s="324"/>
      <c r="AX455" s="150"/>
      <c r="AY455" s="297"/>
      <c r="AZ455" s="297"/>
      <c r="BA455" s="297"/>
      <c r="BB455" s="297"/>
      <c r="BC455" s="152"/>
      <c r="BD455" s="150"/>
      <c r="BE455" s="297"/>
      <c r="BF455" s="297"/>
      <c r="BG455" s="297"/>
      <c r="BH455" s="297"/>
      <c r="BI455" s="152"/>
      <c r="BJ455" s="170"/>
      <c r="BK455" s="148"/>
      <c r="BL455" s="324"/>
      <c r="BM455" s="324"/>
      <c r="BN455" s="170"/>
      <c r="BO455" s="149"/>
      <c r="BP455" s="170"/>
      <c r="BQ455" s="149"/>
      <c r="BR455" s="170"/>
      <c r="BS455" s="171"/>
      <c r="BT455" s="706"/>
    </row>
    <row r="456" spans="1:72" s="2" customFormat="1" ht="24.9" customHeight="1">
      <c r="A456" s="147"/>
      <c r="B456" s="158"/>
      <c r="C456" s="179"/>
      <c r="D456" s="158"/>
      <c r="E456" s="160"/>
      <c r="F456" s="161"/>
      <c r="G456" s="161"/>
      <c r="H456" s="161"/>
      <c r="I456" s="163"/>
      <c r="J456" s="161"/>
      <c r="K456" s="163"/>
      <c r="L456" s="150"/>
      <c r="M456" s="164"/>
      <c r="N456" s="150"/>
      <c r="O456" s="174"/>
      <c r="P456" s="523"/>
      <c r="Q456" s="523"/>
      <c r="R456" s="154"/>
      <c r="S456" s="155"/>
      <c r="T456" s="156"/>
      <c r="U456" s="154"/>
      <c r="V456" s="155"/>
      <c r="W456" s="155"/>
      <c r="X456" s="419"/>
      <c r="Y456" s="157"/>
      <c r="Z456" s="217"/>
      <c r="AA456" s="150"/>
      <c r="AB456" s="151"/>
      <c r="AC456" s="152"/>
      <c r="AD456" s="506"/>
      <c r="AE456" s="166"/>
      <c r="AF456" s="150"/>
      <c r="AG456" s="152"/>
      <c r="AH456" s="150"/>
      <c r="AI456" s="152"/>
      <c r="AJ456" s="150"/>
      <c r="AK456" s="152"/>
      <c r="AL456" s="150"/>
      <c r="AM456" s="151"/>
      <c r="AN456" s="151"/>
      <c r="AO456" s="169"/>
      <c r="AP456" s="169"/>
      <c r="AQ456" s="149"/>
      <c r="AR456" s="324"/>
      <c r="AS456" s="324"/>
      <c r="AT456" s="324"/>
      <c r="AU456" s="324"/>
      <c r="AV456" s="324"/>
      <c r="AW456" s="324"/>
      <c r="AX456" s="150"/>
      <c r="AY456" s="297"/>
      <c r="AZ456" s="297"/>
      <c r="BA456" s="297"/>
      <c r="BB456" s="297"/>
      <c r="BC456" s="152"/>
      <c r="BD456" s="150"/>
      <c r="BE456" s="297"/>
      <c r="BF456" s="297"/>
      <c r="BG456" s="297"/>
      <c r="BH456" s="297"/>
      <c r="BI456" s="152"/>
      <c r="BJ456" s="170"/>
      <c r="BK456" s="148"/>
      <c r="BL456" s="324"/>
      <c r="BM456" s="324"/>
      <c r="BN456" s="170"/>
      <c r="BO456" s="149"/>
      <c r="BP456" s="170"/>
      <c r="BQ456" s="149"/>
      <c r="BR456" s="170"/>
      <c r="BS456" s="171"/>
      <c r="BT456" s="708"/>
    </row>
    <row r="457" spans="1:72" s="2" customFormat="1" ht="24.9" customHeight="1">
      <c r="A457" s="147"/>
      <c r="B457" s="158"/>
      <c r="C457" s="179"/>
      <c r="D457" s="158"/>
      <c r="E457" s="160"/>
      <c r="F457" s="161"/>
      <c r="G457" s="161"/>
      <c r="H457" s="161"/>
      <c r="I457" s="163"/>
      <c r="J457" s="161"/>
      <c r="K457" s="163"/>
      <c r="L457" s="150"/>
      <c r="M457" s="164"/>
      <c r="N457" s="150"/>
      <c r="O457" s="174"/>
      <c r="P457" s="523"/>
      <c r="Q457" s="523"/>
      <c r="R457" s="154"/>
      <c r="S457" s="155"/>
      <c r="T457" s="156"/>
      <c r="U457" s="154"/>
      <c r="V457" s="155"/>
      <c r="W457" s="155"/>
      <c r="X457" s="419"/>
      <c r="Y457" s="157"/>
      <c r="Z457" s="217"/>
      <c r="AA457" s="150"/>
      <c r="AB457" s="151"/>
      <c r="AC457" s="152"/>
      <c r="AD457" s="506"/>
      <c r="AE457" s="166"/>
      <c r="AF457" s="150"/>
      <c r="AG457" s="152"/>
      <c r="AH457" s="150"/>
      <c r="AI457" s="152"/>
      <c r="AJ457" s="150"/>
      <c r="AK457" s="152"/>
      <c r="AL457" s="150"/>
      <c r="AM457" s="151"/>
      <c r="AN457" s="151"/>
      <c r="AO457" s="169"/>
      <c r="AP457" s="169"/>
      <c r="AQ457" s="149"/>
      <c r="AR457" s="324"/>
      <c r="AS457" s="324"/>
      <c r="AT457" s="324"/>
      <c r="AU457" s="324"/>
      <c r="AV457" s="324"/>
      <c r="AW457" s="324"/>
      <c r="AX457" s="150"/>
      <c r="AY457" s="297"/>
      <c r="AZ457" s="297"/>
      <c r="BA457" s="297"/>
      <c r="BB457" s="297"/>
      <c r="BC457" s="152"/>
      <c r="BD457" s="150"/>
      <c r="BE457" s="297"/>
      <c r="BF457" s="297"/>
      <c r="BG457" s="297"/>
      <c r="BH457" s="297"/>
      <c r="BI457" s="152"/>
      <c r="BJ457" s="170"/>
      <c r="BK457" s="148"/>
      <c r="BL457" s="324"/>
      <c r="BM457" s="324"/>
      <c r="BN457" s="170"/>
      <c r="BO457" s="149"/>
      <c r="BP457" s="170"/>
      <c r="BQ457" s="149"/>
      <c r="BR457" s="170"/>
      <c r="BS457" s="171"/>
      <c r="BT457" s="708"/>
    </row>
    <row r="458" spans="1:72" s="2" customFormat="1" ht="24.9" customHeight="1">
      <c r="A458" s="147"/>
      <c r="B458" s="158"/>
      <c r="C458" s="179"/>
      <c r="D458" s="158"/>
      <c r="E458" s="160"/>
      <c r="F458" s="161"/>
      <c r="G458" s="161"/>
      <c r="H458" s="161"/>
      <c r="I458" s="163"/>
      <c r="J458" s="161"/>
      <c r="K458" s="163"/>
      <c r="L458" s="150"/>
      <c r="M458" s="164"/>
      <c r="N458" s="150"/>
      <c r="O458" s="151"/>
      <c r="P458" s="522"/>
      <c r="Q458" s="522"/>
      <c r="R458" s="154"/>
      <c r="S458" s="155"/>
      <c r="T458" s="156"/>
      <c r="U458" s="154"/>
      <c r="V458" s="155"/>
      <c r="W458" s="155"/>
      <c r="X458" s="419"/>
      <c r="Y458" s="157"/>
      <c r="Z458" s="217"/>
      <c r="AA458" s="150"/>
      <c r="AB458" s="151"/>
      <c r="AC458" s="152"/>
      <c r="AD458" s="506"/>
      <c r="AE458" s="166"/>
      <c r="AF458" s="150"/>
      <c r="AG458" s="152"/>
      <c r="AH458" s="150"/>
      <c r="AI458" s="152"/>
      <c r="AJ458" s="150"/>
      <c r="AK458" s="152"/>
      <c r="AL458" s="150"/>
      <c r="AM458" s="151"/>
      <c r="AN458" s="151"/>
      <c r="AO458" s="169"/>
      <c r="AP458" s="169"/>
      <c r="AQ458" s="149"/>
      <c r="AR458" s="324"/>
      <c r="AS458" s="324"/>
      <c r="AT458" s="324"/>
      <c r="AU458" s="324"/>
      <c r="AV458" s="324"/>
      <c r="AW458" s="324"/>
      <c r="AX458" s="150"/>
      <c r="AY458" s="297"/>
      <c r="AZ458" s="297"/>
      <c r="BA458" s="297"/>
      <c r="BB458" s="297"/>
      <c r="BC458" s="152"/>
      <c r="BD458" s="150"/>
      <c r="BE458" s="297"/>
      <c r="BF458" s="297"/>
      <c r="BG458" s="297"/>
      <c r="BH458" s="297"/>
      <c r="BI458" s="152"/>
      <c r="BJ458" s="170"/>
      <c r="BK458" s="148"/>
      <c r="BL458" s="324"/>
      <c r="BM458" s="324"/>
      <c r="BN458" s="170"/>
      <c r="BO458" s="149"/>
      <c r="BP458" s="170"/>
      <c r="BQ458" s="149"/>
      <c r="BR458" s="170"/>
      <c r="BS458" s="171"/>
      <c r="BT458" s="707"/>
    </row>
    <row r="459" spans="1:72" s="2" customFormat="1" ht="24.9" customHeight="1">
      <c r="A459" s="147"/>
      <c r="B459" s="158"/>
      <c r="C459" s="179"/>
      <c r="D459" s="158"/>
      <c r="E459" s="160"/>
      <c r="F459" s="161"/>
      <c r="G459" s="161"/>
      <c r="H459" s="161"/>
      <c r="I459" s="163"/>
      <c r="J459" s="161"/>
      <c r="K459" s="163"/>
      <c r="L459" s="150"/>
      <c r="M459" s="164"/>
      <c r="N459" s="150"/>
      <c r="O459" s="174"/>
      <c r="P459" s="523"/>
      <c r="Q459" s="523"/>
      <c r="R459" s="154"/>
      <c r="S459" s="155"/>
      <c r="T459" s="156"/>
      <c r="U459" s="154"/>
      <c r="V459" s="155"/>
      <c r="W459" s="155"/>
      <c r="X459" s="419"/>
      <c r="Y459" s="157"/>
      <c r="Z459" s="217"/>
      <c r="AA459" s="150"/>
      <c r="AB459" s="151"/>
      <c r="AC459" s="152"/>
      <c r="AD459" s="506"/>
      <c r="AE459" s="166"/>
      <c r="AF459" s="150"/>
      <c r="AG459" s="152"/>
      <c r="AH459" s="150"/>
      <c r="AI459" s="152"/>
      <c r="AJ459" s="150"/>
      <c r="AK459" s="152"/>
      <c r="AL459" s="150"/>
      <c r="AM459" s="151"/>
      <c r="AN459" s="151"/>
      <c r="AO459" s="169"/>
      <c r="AP459" s="169"/>
      <c r="AQ459" s="149"/>
      <c r="AR459" s="324"/>
      <c r="AS459" s="324"/>
      <c r="AT459" s="324"/>
      <c r="AU459" s="324"/>
      <c r="AV459" s="324"/>
      <c r="AW459" s="324"/>
      <c r="AX459" s="150"/>
      <c r="AY459" s="297"/>
      <c r="AZ459" s="297"/>
      <c r="BA459" s="297"/>
      <c r="BB459" s="297"/>
      <c r="BC459" s="152"/>
      <c r="BD459" s="150"/>
      <c r="BE459" s="297"/>
      <c r="BF459" s="297"/>
      <c r="BG459" s="297"/>
      <c r="BH459" s="297"/>
      <c r="BI459" s="152"/>
      <c r="BJ459" s="170"/>
      <c r="BK459" s="148"/>
      <c r="BL459" s="324"/>
      <c r="BM459" s="324"/>
      <c r="BN459" s="170"/>
      <c r="BO459" s="149"/>
      <c r="BP459" s="170"/>
      <c r="BQ459" s="149"/>
      <c r="BR459" s="170"/>
      <c r="BS459" s="171"/>
      <c r="BT459" s="706"/>
    </row>
    <row r="460" spans="1:72" s="2" customFormat="1" ht="24.9" customHeight="1">
      <c r="A460" s="147"/>
      <c r="B460" s="158"/>
      <c r="C460" s="179"/>
      <c r="D460" s="158"/>
      <c r="E460" s="160"/>
      <c r="F460" s="161"/>
      <c r="G460" s="161"/>
      <c r="H460" s="161"/>
      <c r="I460" s="163"/>
      <c r="J460" s="161"/>
      <c r="K460" s="163"/>
      <c r="L460" s="150"/>
      <c r="M460" s="164"/>
      <c r="N460" s="150"/>
      <c r="O460" s="174"/>
      <c r="P460" s="523"/>
      <c r="Q460" s="523"/>
      <c r="R460" s="154"/>
      <c r="S460" s="155"/>
      <c r="T460" s="156"/>
      <c r="U460" s="154"/>
      <c r="V460" s="155"/>
      <c r="W460" s="155"/>
      <c r="X460" s="419"/>
      <c r="Y460" s="157"/>
      <c r="Z460" s="217"/>
      <c r="AA460" s="150"/>
      <c r="AB460" s="151"/>
      <c r="AC460" s="152"/>
      <c r="AD460" s="506"/>
      <c r="AE460" s="166"/>
      <c r="AF460" s="150"/>
      <c r="AG460" s="152"/>
      <c r="AH460" s="150"/>
      <c r="AI460" s="152"/>
      <c r="AJ460" s="150"/>
      <c r="AK460" s="152"/>
      <c r="AL460" s="150"/>
      <c r="AM460" s="151"/>
      <c r="AN460" s="151"/>
      <c r="AO460" s="169"/>
      <c r="AP460" s="169"/>
      <c r="AQ460" s="149"/>
      <c r="AR460" s="324"/>
      <c r="AS460" s="324"/>
      <c r="AT460" s="324"/>
      <c r="AU460" s="324"/>
      <c r="AV460" s="324"/>
      <c r="AW460" s="324"/>
      <c r="AX460" s="150"/>
      <c r="AY460" s="297"/>
      <c r="AZ460" s="297"/>
      <c r="BA460" s="297"/>
      <c r="BB460" s="297"/>
      <c r="BC460" s="152"/>
      <c r="BD460" s="150"/>
      <c r="BE460" s="297"/>
      <c r="BF460" s="297"/>
      <c r="BG460" s="297"/>
      <c r="BH460" s="297"/>
      <c r="BI460" s="152"/>
      <c r="BJ460" s="170"/>
      <c r="BK460" s="148"/>
      <c r="BL460" s="324"/>
      <c r="BM460" s="324"/>
      <c r="BN460" s="170"/>
      <c r="BO460" s="149"/>
      <c r="BP460" s="170"/>
      <c r="BQ460" s="149"/>
      <c r="BR460" s="170"/>
      <c r="BS460" s="171"/>
      <c r="BT460" s="707"/>
    </row>
    <row r="461" spans="1:72" s="2" customFormat="1" ht="24.9" customHeight="1">
      <c r="A461" s="147"/>
      <c r="B461" s="158"/>
      <c r="C461" s="179"/>
      <c r="D461" s="158"/>
      <c r="E461" s="160"/>
      <c r="F461" s="161"/>
      <c r="G461" s="161"/>
      <c r="H461" s="161"/>
      <c r="I461" s="163"/>
      <c r="J461" s="161"/>
      <c r="K461" s="163"/>
      <c r="L461" s="150"/>
      <c r="M461" s="164"/>
      <c r="N461" s="150"/>
      <c r="O461" s="174"/>
      <c r="P461" s="523"/>
      <c r="Q461" s="523"/>
      <c r="R461" s="154"/>
      <c r="S461" s="155"/>
      <c r="T461" s="156"/>
      <c r="U461" s="154"/>
      <c r="V461" s="155"/>
      <c r="W461" s="155"/>
      <c r="X461" s="419"/>
      <c r="Y461" s="157"/>
      <c r="Z461" s="217"/>
      <c r="AA461" s="150"/>
      <c r="AB461" s="151"/>
      <c r="AC461" s="152"/>
      <c r="AD461" s="506"/>
      <c r="AE461" s="166"/>
      <c r="AF461" s="150"/>
      <c r="AG461" s="152"/>
      <c r="AH461" s="150"/>
      <c r="AI461" s="152"/>
      <c r="AJ461" s="150"/>
      <c r="AK461" s="152"/>
      <c r="AL461" s="150"/>
      <c r="AM461" s="151"/>
      <c r="AN461" s="151"/>
      <c r="AO461" s="169"/>
      <c r="AP461" s="169"/>
      <c r="AQ461" s="149"/>
      <c r="AR461" s="324"/>
      <c r="AS461" s="324"/>
      <c r="AT461" s="324"/>
      <c r="AU461" s="324"/>
      <c r="AV461" s="324"/>
      <c r="AW461" s="324"/>
      <c r="AX461" s="150"/>
      <c r="AY461" s="297"/>
      <c r="AZ461" s="297"/>
      <c r="BA461" s="297"/>
      <c r="BB461" s="297"/>
      <c r="BC461" s="152"/>
      <c r="BD461" s="150"/>
      <c r="BE461" s="297"/>
      <c r="BF461" s="297"/>
      <c r="BG461" s="297"/>
      <c r="BH461" s="297"/>
      <c r="BI461" s="152"/>
      <c r="BJ461" s="170"/>
      <c r="BK461" s="148"/>
      <c r="BL461" s="324"/>
      <c r="BM461" s="324"/>
      <c r="BN461" s="170"/>
      <c r="BO461" s="149"/>
      <c r="BP461" s="170"/>
      <c r="BQ461" s="149"/>
      <c r="BR461" s="170"/>
      <c r="BS461" s="171"/>
      <c r="BT461" s="706"/>
    </row>
    <row r="462" spans="1:72" s="2" customFormat="1" ht="24.9" customHeight="1">
      <c r="A462" s="147"/>
      <c r="B462" s="158"/>
      <c r="C462" s="179"/>
      <c r="D462" s="158"/>
      <c r="E462" s="160"/>
      <c r="F462" s="161"/>
      <c r="G462" s="161"/>
      <c r="H462" s="161"/>
      <c r="I462" s="163"/>
      <c r="J462" s="161"/>
      <c r="K462" s="163"/>
      <c r="L462" s="150"/>
      <c r="M462" s="164"/>
      <c r="N462" s="150"/>
      <c r="O462" s="174"/>
      <c r="P462" s="523"/>
      <c r="Q462" s="523"/>
      <c r="R462" s="154"/>
      <c r="S462" s="155"/>
      <c r="T462" s="156"/>
      <c r="U462" s="154"/>
      <c r="V462" s="155"/>
      <c r="W462" s="155"/>
      <c r="X462" s="419"/>
      <c r="Y462" s="157"/>
      <c r="Z462" s="217"/>
      <c r="AA462" s="150"/>
      <c r="AB462" s="151"/>
      <c r="AC462" s="152"/>
      <c r="AD462" s="506"/>
      <c r="AE462" s="166"/>
      <c r="AF462" s="150"/>
      <c r="AG462" s="152"/>
      <c r="AH462" s="150"/>
      <c r="AI462" s="152"/>
      <c r="AJ462" s="150"/>
      <c r="AK462" s="152"/>
      <c r="AL462" s="150"/>
      <c r="AM462" s="151"/>
      <c r="AN462" s="151"/>
      <c r="AO462" s="169"/>
      <c r="AP462" s="169"/>
      <c r="AQ462" s="149"/>
      <c r="AR462" s="324"/>
      <c r="AS462" s="324"/>
      <c r="AT462" s="324"/>
      <c r="AU462" s="324"/>
      <c r="AV462" s="324"/>
      <c r="AW462" s="324"/>
      <c r="AX462" s="150"/>
      <c r="AY462" s="297"/>
      <c r="AZ462" s="297"/>
      <c r="BA462" s="297"/>
      <c r="BB462" s="297"/>
      <c r="BC462" s="152"/>
      <c r="BD462" s="150"/>
      <c r="BE462" s="297"/>
      <c r="BF462" s="297"/>
      <c r="BG462" s="297"/>
      <c r="BH462" s="297"/>
      <c r="BI462" s="152"/>
      <c r="BJ462" s="170"/>
      <c r="BK462" s="148"/>
      <c r="BL462" s="324"/>
      <c r="BM462" s="324"/>
      <c r="BN462" s="170"/>
      <c r="BO462" s="149"/>
      <c r="BP462" s="170"/>
      <c r="BQ462" s="149"/>
      <c r="BR462" s="170"/>
      <c r="BS462" s="171"/>
      <c r="BT462" s="707"/>
    </row>
    <row r="463" spans="1:72" s="2" customFormat="1" ht="24.9" customHeight="1">
      <c r="A463" s="147"/>
      <c r="B463" s="158"/>
      <c r="C463" s="179"/>
      <c r="D463" s="158"/>
      <c r="E463" s="160"/>
      <c r="F463" s="161"/>
      <c r="G463" s="161"/>
      <c r="H463" s="161"/>
      <c r="I463" s="163"/>
      <c r="J463" s="161"/>
      <c r="K463" s="163"/>
      <c r="L463" s="150"/>
      <c r="M463" s="164"/>
      <c r="N463" s="150"/>
      <c r="O463" s="174"/>
      <c r="P463" s="523"/>
      <c r="Q463" s="523"/>
      <c r="R463" s="154"/>
      <c r="S463" s="155"/>
      <c r="T463" s="156"/>
      <c r="U463" s="154"/>
      <c r="V463" s="155"/>
      <c r="W463" s="155"/>
      <c r="X463" s="419"/>
      <c r="Y463" s="157"/>
      <c r="Z463" s="217"/>
      <c r="AA463" s="150"/>
      <c r="AB463" s="151"/>
      <c r="AC463" s="152"/>
      <c r="AD463" s="506"/>
      <c r="AE463" s="166"/>
      <c r="AF463" s="150"/>
      <c r="AG463" s="152"/>
      <c r="AH463" s="150"/>
      <c r="AI463" s="152"/>
      <c r="AJ463" s="150"/>
      <c r="AK463" s="152"/>
      <c r="AL463" s="150"/>
      <c r="AM463" s="151"/>
      <c r="AN463" s="151"/>
      <c r="AO463" s="169"/>
      <c r="AP463" s="169"/>
      <c r="AQ463" s="149"/>
      <c r="AR463" s="324"/>
      <c r="AS463" s="324"/>
      <c r="AT463" s="324"/>
      <c r="AU463" s="324"/>
      <c r="AV463" s="324"/>
      <c r="AW463" s="324"/>
      <c r="AX463" s="150"/>
      <c r="AY463" s="297"/>
      <c r="AZ463" s="297"/>
      <c r="BA463" s="297"/>
      <c r="BB463" s="297"/>
      <c r="BC463" s="152"/>
      <c r="BD463" s="150"/>
      <c r="BE463" s="297"/>
      <c r="BF463" s="297"/>
      <c r="BG463" s="297"/>
      <c r="BH463" s="297"/>
      <c r="BI463" s="152"/>
      <c r="BJ463" s="170"/>
      <c r="BK463" s="148"/>
      <c r="BL463" s="324"/>
      <c r="BM463" s="324"/>
      <c r="BN463" s="170"/>
      <c r="BO463" s="149"/>
      <c r="BP463" s="170"/>
      <c r="BQ463" s="149"/>
      <c r="BR463" s="170"/>
      <c r="BS463" s="171"/>
      <c r="BT463" s="706"/>
    </row>
    <row r="464" spans="1:72" s="2" customFormat="1" ht="24.9" customHeight="1">
      <c r="A464" s="147"/>
      <c r="B464" s="158"/>
      <c r="C464" s="179"/>
      <c r="D464" s="158"/>
      <c r="E464" s="160"/>
      <c r="F464" s="161"/>
      <c r="G464" s="161"/>
      <c r="H464" s="161"/>
      <c r="I464" s="163"/>
      <c r="J464" s="161"/>
      <c r="K464" s="163"/>
      <c r="L464" s="150"/>
      <c r="M464" s="164"/>
      <c r="N464" s="150"/>
      <c r="O464" s="151"/>
      <c r="P464" s="522"/>
      <c r="Q464" s="522"/>
      <c r="R464" s="154"/>
      <c r="S464" s="155"/>
      <c r="T464" s="156"/>
      <c r="U464" s="154"/>
      <c r="V464" s="155"/>
      <c r="W464" s="155"/>
      <c r="X464" s="419"/>
      <c r="Y464" s="157"/>
      <c r="Z464" s="217"/>
      <c r="AA464" s="150"/>
      <c r="AB464" s="151"/>
      <c r="AC464" s="152"/>
      <c r="AD464" s="506"/>
      <c r="AE464" s="166"/>
      <c r="AF464" s="150"/>
      <c r="AG464" s="152"/>
      <c r="AH464" s="150"/>
      <c r="AI464" s="152"/>
      <c r="AJ464" s="150"/>
      <c r="AK464" s="152"/>
      <c r="AL464" s="150"/>
      <c r="AM464" s="151"/>
      <c r="AN464" s="151"/>
      <c r="AO464" s="169"/>
      <c r="AP464" s="169"/>
      <c r="AQ464" s="149"/>
      <c r="AR464" s="324"/>
      <c r="AS464" s="324"/>
      <c r="AT464" s="324"/>
      <c r="AU464" s="324"/>
      <c r="AV464" s="324"/>
      <c r="AW464" s="324"/>
      <c r="AX464" s="150"/>
      <c r="AY464" s="297"/>
      <c r="AZ464" s="297"/>
      <c r="BA464" s="297"/>
      <c r="BB464" s="297"/>
      <c r="BC464" s="152"/>
      <c r="BD464" s="150"/>
      <c r="BE464" s="297"/>
      <c r="BF464" s="297"/>
      <c r="BG464" s="297"/>
      <c r="BH464" s="297"/>
      <c r="BI464" s="152"/>
      <c r="BJ464" s="170"/>
      <c r="BK464" s="148"/>
      <c r="BL464" s="324"/>
      <c r="BM464" s="324"/>
      <c r="BN464" s="170"/>
      <c r="BO464" s="149"/>
      <c r="BP464" s="170"/>
      <c r="BQ464" s="149"/>
      <c r="BR464" s="170"/>
      <c r="BS464" s="171"/>
      <c r="BT464" s="708"/>
    </row>
    <row r="465" spans="1:72" s="2" customFormat="1" ht="24.9" customHeight="1">
      <c r="A465" s="147"/>
      <c r="B465" s="158"/>
      <c r="C465" s="179"/>
      <c r="D465" s="158"/>
      <c r="E465" s="160"/>
      <c r="F465" s="161"/>
      <c r="G465" s="161"/>
      <c r="H465" s="161"/>
      <c r="I465" s="163"/>
      <c r="J465" s="161"/>
      <c r="K465" s="163"/>
      <c r="L465" s="150"/>
      <c r="M465" s="164"/>
      <c r="N465" s="150"/>
      <c r="O465" s="174"/>
      <c r="P465" s="523"/>
      <c r="Q465" s="523"/>
      <c r="R465" s="154"/>
      <c r="S465" s="155"/>
      <c r="T465" s="156"/>
      <c r="U465" s="154"/>
      <c r="V465" s="155"/>
      <c r="W465" s="155"/>
      <c r="X465" s="419"/>
      <c r="Y465" s="157"/>
      <c r="Z465" s="217"/>
      <c r="AA465" s="150"/>
      <c r="AB465" s="151"/>
      <c r="AC465" s="152"/>
      <c r="AD465" s="506"/>
      <c r="AE465" s="166"/>
      <c r="AF465" s="150"/>
      <c r="AG465" s="152"/>
      <c r="AH465" s="150"/>
      <c r="AI465" s="152"/>
      <c r="AJ465" s="150"/>
      <c r="AK465" s="152"/>
      <c r="AL465" s="150"/>
      <c r="AM465" s="151"/>
      <c r="AN465" s="151"/>
      <c r="AO465" s="169"/>
      <c r="AP465" s="169"/>
      <c r="AQ465" s="149"/>
      <c r="AR465" s="324"/>
      <c r="AS465" s="324"/>
      <c r="AT465" s="324"/>
      <c r="AU465" s="324"/>
      <c r="AV465" s="324"/>
      <c r="AW465" s="324"/>
      <c r="AX465" s="150"/>
      <c r="AY465" s="297"/>
      <c r="AZ465" s="297"/>
      <c r="BA465" s="297"/>
      <c r="BB465" s="297"/>
      <c r="BC465" s="152"/>
      <c r="BD465" s="150"/>
      <c r="BE465" s="297"/>
      <c r="BF465" s="297"/>
      <c r="BG465" s="297"/>
      <c r="BH465" s="297"/>
      <c r="BI465" s="152"/>
      <c r="BJ465" s="170"/>
      <c r="BK465" s="148"/>
      <c r="BL465" s="324"/>
      <c r="BM465" s="324"/>
      <c r="BN465" s="170"/>
      <c r="BO465" s="149"/>
      <c r="BP465" s="170"/>
      <c r="BQ465" s="149"/>
      <c r="BR465" s="170"/>
      <c r="BS465" s="171"/>
      <c r="BT465" s="707"/>
    </row>
    <row r="466" spans="1:72" s="2" customFormat="1" ht="24.9" customHeight="1">
      <c r="A466" s="147"/>
      <c r="B466" s="158"/>
      <c r="C466" s="179"/>
      <c r="D466" s="158"/>
      <c r="E466" s="160"/>
      <c r="F466" s="161"/>
      <c r="G466" s="161"/>
      <c r="H466" s="161"/>
      <c r="I466" s="163"/>
      <c r="J466" s="161"/>
      <c r="K466" s="163"/>
      <c r="L466" s="150"/>
      <c r="M466" s="164"/>
      <c r="N466" s="150"/>
      <c r="O466" s="174"/>
      <c r="P466" s="523"/>
      <c r="Q466" s="523"/>
      <c r="R466" s="154"/>
      <c r="S466" s="155"/>
      <c r="T466" s="156"/>
      <c r="U466" s="154"/>
      <c r="V466" s="155"/>
      <c r="W466" s="155"/>
      <c r="X466" s="419"/>
      <c r="Y466" s="157"/>
      <c r="Z466" s="217"/>
      <c r="AA466" s="150"/>
      <c r="AB466" s="151"/>
      <c r="AC466" s="152"/>
      <c r="AD466" s="506"/>
      <c r="AE466" s="166"/>
      <c r="AF466" s="150"/>
      <c r="AG466" s="152"/>
      <c r="AH466" s="150"/>
      <c r="AI466" s="152"/>
      <c r="AJ466" s="150"/>
      <c r="AK466" s="152"/>
      <c r="AL466" s="150"/>
      <c r="AM466" s="151"/>
      <c r="AN466" s="151"/>
      <c r="AO466" s="169"/>
      <c r="AP466" s="169"/>
      <c r="AQ466" s="149"/>
      <c r="AR466" s="324"/>
      <c r="AS466" s="324"/>
      <c r="AT466" s="324"/>
      <c r="AU466" s="324"/>
      <c r="AV466" s="324"/>
      <c r="AW466" s="324"/>
      <c r="AX466" s="150"/>
      <c r="AY466" s="297"/>
      <c r="AZ466" s="297"/>
      <c r="BA466" s="297"/>
      <c r="BB466" s="297"/>
      <c r="BC466" s="152"/>
      <c r="BD466" s="150"/>
      <c r="BE466" s="297"/>
      <c r="BF466" s="297"/>
      <c r="BG466" s="297"/>
      <c r="BH466" s="297"/>
      <c r="BI466" s="152"/>
      <c r="BJ466" s="170"/>
      <c r="BK466" s="148"/>
      <c r="BL466" s="324"/>
      <c r="BM466" s="324"/>
      <c r="BN466" s="170"/>
      <c r="BO466" s="149"/>
      <c r="BP466" s="170"/>
      <c r="BQ466" s="149"/>
      <c r="BR466" s="170"/>
      <c r="BS466" s="171"/>
      <c r="BT466" s="706"/>
    </row>
    <row r="467" spans="1:72" s="2" customFormat="1" ht="24.9" customHeight="1">
      <c r="A467" s="147"/>
      <c r="B467" s="158"/>
      <c r="C467" s="179"/>
      <c r="D467" s="158"/>
      <c r="E467" s="160"/>
      <c r="F467" s="161"/>
      <c r="G467" s="161"/>
      <c r="H467" s="161"/>
      <c r="I467" s="163"/>
      <c r="J467" s="161"/>
      <c r="K467" s="163"/>
      <c r="L467" s="150"/>
      <c r="M467" s="164"/>
      <c r="N467" s="150"/>
      <c r="O467" s="174"/>
      <c r="P467" s="523"/>
      <c r="Q467" s="523"/>
      <c r="R467" s="154"/>
      <c r="S467" s="155"/>
      <c r="T467" s="156"/>
      <c r="U467" s="154"/>
      <c r="V467" s="155"/>
      <c r="W467" s="155"/>
      <c r="X467" s="419"/>
      <c r="Y467" s="157"/>
      <c r="Z467" s="217"/>
      <c r="AA467" s="150"/>
      <c r="AB467" s="151"/>
      <c r="AC467" s="152"/>
      <c r="AD467" s="506"/>
      <c r="AE467" s="166"/>
      <c r="AF467" s="150"/>
      <c r="AG467" s="152"/>
      <c r="AH467" s="150"/>
      <c r="AI467" s="152"/>
      <c r="AJ467" s="150"/>
      <c r="AK467" s="152"/>
      <c r="AL467" s="150"/>
      <c r="AM467" s="151"/>
      <c r="AN467" s="151"/>
      <c r="AO467" s="169"/>
      <c r="AP467" s="169"/>
      <c r="AQ467" s="149"/>
      <c r="AR467" s="324"/>
      <c r="AS467" s="324"/>
      <c r="AT467" s="324"/>
      <c r="AU467" s="324"/>
      <c r="AV467" s="324"/>
      <c r="AW467" s="324"/>
      <c r="AX467" s="150"/>
      <c r="AY467" s="297"/>
      <c r="AZ467" s="297"/>
      <c r="BA467" s="297"/>
      <c r="BB467" s="297"/>
      <c r="BC467" s="152"/>
      <c r="BD467" s="150"/>
      <c r="BE467" s="297"/>
      <c r="BF467" s="297"/>
      <c r="BG467" s="297"/>
      <c r="BH467" s="297"/>
      <c r="BI467" s="152"/>
      <c r="BJ467" s="170"/>
      <c r="BK467" s="148"/>
      <c r="BL467" s="324"/>
      <c r="BM467" s="324"/>
      <c r="BN467" s="170"/>
      <c r="BO467" s="149"/>
      <c r="BP467" s="170"/>
      <c r="BQ467" s="149"/>
      <c r="BR467" s="170"/>
      <c r="BS467" s="171"/>
      <c r="BT467" s="707"/>
    </row>
    <row r="468" spans="1:72" s="2" customFormat="1" ht="24.9" customHeight="1">
      <c r="A468" s="147"/>
      <c r="B468" s="158"/>
      <c r="C468" s="179"/>
      <c r="D468" s="158"/>
      <c r="E468" s="160"/>
      <c r="F468" s="161"/>
      <c r="G468" s="161"/>
      <c r="H468" s="161"/>
      <c r="I468" s="163"/>
      <c r="J468" s="161"/>
      <c r="K468" s="163"/>
      <c r="L468" s="150"/>
      <c r="M468" s="164"/>
      <c r="N468" s="150"/>
      <c r="O468" s="174"/>
      <c r="P468" s="523"/>
      <c r="Q468" s="523"/>
      <c r="R468" s="154"/>
      <c r="S468" s="155"/>
      <c r="T468" s="156"/>
      <c r="U468" s="154"/>
      <c r="V468" s="155"/>
      <c r="W468" s="155"/>
      <c r="X468" s="419"/>
      <c r="Y468" s="157"/>
      <c r="Z468" s="217"/>
      <c r="AA468" s="150"/>
      <c r="AB468" s="151"/>
      <c r="AC468" s="152"/>
      <c r="AD468" s="506"/>
      <c r="AE468" s="166"/>
      <c r="AF468" s="150"/>
      <c r="AG468" s="152"/>
      <c r="AH468" s="150"/>
      <c r="AI468" s="152"/>
      <c r="AJ468" s="150"/>
      <c r="AK468" s="152"/>
      <c r="AL468" s="150"/>
      <c r="AM468" s="151"/>
      <c r="AN468" s="151"/>
      <c r="AO468" s="169"/>
      <c r="AP468" s="169"/>
      <c r="AQ468" s="149"/>
      <c r="AR468" s="324"/>
      <c r="AS468" s="324"/>
      <c r="AT468" s="324"/>
      <c r="AU468" s="324"/>
      <c r="AV468" s="324"/>
      <c r="AW468" s="324"/>
      <c r="AX468" s="150"/>
      <c r="AY468" s="297"/>
      <c r="AZ468" s="297"/>
      <c r="BA468" s="297"/>
      <c r="BB468" s="297"/>
      <c r="BC468" s="152"/>
      <c r="BD468" s="150"/>
      <c r="BE468" s="297"/>
      <c r="BF468" s="297"/>
      <c r="BG468" s="297"/>
      <c r="BH468" s="297"/>
      <c r="BI468" s="152"/>
      <c r="BJ468" s="170"/>
      <c r="BK468" s="148"/>
      <c r="BL468" s="324"/>
      <c r="BM468" s="324"/>
      <c r="BN468" s="170"/>
      <c r="BO468" s="149"/>
      <c r="BP468" s="170"/>
      <c r="BQ468" s="149"/>
      <c r="BR468" s="170"/>
      <c r="BS468" s="171"/>
      <c r="BT468" s="706"/>
    </row>
    <row r="469" spans="1:72" s="2" customFormat="1" ht="24.9" customHeight="1">
      <c r="A469" s="147"/>
      <c r="B469" s="158"/>
      <c r="C469" s="179"/>
      <c r="D469" s="158"/>
      <c r="E469" s="160"/>
      <c r="F469" s="161"/>
      <c r="G469" s="161"/>
      <c r="H469" s="161"/>
      <c r="I469" s="163"/>
      <c r="J469" s="161"/>
      <c r="K469" s="163"/>
      <c r="L469" s="150"/>
      <c r="M469" s="164"/>
      <c r="N469" s="150"/>
      <c r="O469" s="174"/>
      <c r="P469" s="523"/>
      <c r="Q469" s="523"/>
      <c r="R469" s="154"/>
      <c r="S469" s="155"/>
      <c r="T469" s="156"/>
      <c r="U469" s="154"/>
      <c r="V469" s="155"/>
      <c r="W469" s="155"/>
      <c r="X469" s="419"/>
      <c r="Y469" s="157"/>
      <c r="Z469" s="217"/>
      <c r="AA469" s="150"/>
      <c r="AB469" s="151"/>
      <c r="AC469" s="152"/>
      <c r="AD469" s="506"/>
      <c r="AE469" s="166"/>
      <c r="AF469" s="150"/>
      <c r="AG469" s="152"/>
      <c r="AH469" s="150"/>
      <c r="AI469" s="152"/>
      <c r="AJ469" s="150"/>
      <c r="AK469" s="152"/>
      <c r="AL469" s="150"/>
      <c r="AM469" s="151"/>
      <c r="AN469" s="151"/>
      <c r="AO469" s="169"/>
      <c r="AP469" s="169"/>
      <c r="AQ469" s="149"/>
      <c r="AR469" s="324"/>
      <c r="AS469" s="324"/>
      <c r="AT469" s="324"/>
      <c r="AU469" s="324"/>
      <c r="AV469" s="324"/>
      <c r="AW469" s="324"/>
      <c r="AX469" s="150"/>
      <c r="AY469" s="297"/>
      <c r="AZ469" s="297"/>
      <c r="BA469" s="297"/>
      <c r="BB469" s="297"/>
      <c r="BC469" s="152"/>
      <c r="BD469" s="150"/>
      <c r="BE469" s="297"/>
      <c r="BF469" s="297"/>
      <c r="BG469" s="297"/>
      <c r="BH469" s="297"/>
      <c r="BI469" s="152"/>
      <c r="BJ469" s="170"/>
      <c r="BK469" s="148"/>
      <c r="BL469" s="324"/>
      <c r="BM469" s="324"/>
      <c r="BN469" s="170"/>
      <c r="BO469" s="149"/>
      <c r="BP469" s="170"/>
      <c r="BQ469" s="149"/>
      <c r="BR469" s="170"/>
      <c r="BS469" s="171"/>
      <c r="BT469" s="707"/>
    </row>
    <row r="470" spans="1:72" s="2" customFormat="1" ht="24.9" customHeight="1">
      <c r="A470" s="147"/>
      <c r="B470" s="158"/>
      <c r="C470" s="179"/>
      <c r="D470" s="158"/>
      <c r="E470" s="160"/>
      <c r="F470" s="161"/>
      <c r="G470" s="161"/>
      <c r="H470" s="161"/>
      <c r="I470" s="163"/>
      <c r="J470" s="161"/>
      <c r="K470" s="163"/>
      <c r="L470" s="150"/>
      <c r="M470" s="164"/>
      <c r="N470" s="150"/>
      <c r="O470" s="174"/>
      <c r="P470" s="523"/>
      <c r="Q470" s="523"/>
      <c r="R470" s="154"/>
      <c r="S470" s="155"/>
      <c r="T470" s="156"/>
      <c r="U470" s="154"/>
      <c r="V470" s="155"/>
      <c r="W470" s="155"/>
      <c r="X470" s="419"/>
      <c r="Y470" s="157"/>
      <c r="Z470" s="217"/>
      <c r="AA470" s="150"/>
      <c r="AB470" s="151"/>
      <c r="AC470" s="152"/>
      <c r="AD470" s="506"/>
      <c r="AE470" s="166"/>
      <c r="AF470" s="150"/>
      <c r="AG470" s="152"/>
      <c r="AH470" s="150"/>
      <c r="AI470" s="152"/>
      <c r="AJ470" s="150"/>
      <c r="AK470" s="152"/>
      <c r="AL470" s="150"/>
      <c r="AM470" s="151"/>
      <c r="AN470" s="151"/>
      <c r="AO470" s="169"/>
      <c r="AP470" s="169"/>
      <c r="AQ470" s="149"/>
      <c r="AR470" s="324"/>
      <c r="AS470" s="324"/>
      <c r="AT470" s="324"/>
      <c r="AU470" s="324"/>
      <c r="AV470" s="324"/>
      <c r="AW470" s="324"/>
      <c r="AX470" s="150"/>
      <c r="AY470" s="297"/>
      <c r="AZ470" s="297"/>
      <c r="BA470" s="297"/>
      <c r="BB470" s="297"/>
      <c r="BC470" s="152"/>
      <c r="BD470" s="150"/>
      <c r="BE470" s="297"/>
      <c r="BF470" s="297"/>
      <c r="BG470" s="297"/>
      <c r="BH470" s="297"/>
      <c r="BI470" s="152"/>
      <c r="BJ470" s="170"/>
      <c r="BK470" s="148"/>
      <c r="BL470" s="324"/>
      <c r="BM470" s="324"/>
      <c r="BN470" s="170"/>
      <c r="BO470" s="149"/>
      <c r="BP470" s="170"/>
      <c r="BQ470" s="149"/>
      <c r="BR470" s="170"/>
      <c r="BS470" s="171"/>
      <c r="BT470" s="706"/>
    </row>
    <row r="471" spans="1:72" s="2" customFormat="1" ht="24.9" customHeight="1">
      <c r="A471" s="147"/>
      <c r="B471" s="158"/>
      <c r="C471" s="179"/>
      <c r="D471" s="158"/>
      <c r="E471" s="160"/>
      <c r="F471" s="161"/>
      <c r="G471" s="161"/>
      <c r="H471" s="161"/>
      <c r="I471" s="163"/>
      <c r="J471" s="161"/>
      <c r="K471" s="163"/>
      <c r="L471" s="150"/>
      <c r="M471" s="164"/>
      <c r="N471" s="150"/>
      <c r="O471" s="151"/>
      <c r="P471" s="522"/>
      <c r="Q471" s="522"/>
      <c r="R471" s="154"/>
      <c r="S471" s="155"/>
      <c r="T471" s="156"/>
      <c r="U471" s="154"/>
      <c r="V471" s="155"/>
      <c r="W471" s="155"/>
      <c r="X471" s="419"/>
      <c r="Y471" s="157"/>
      <c r="Z471" s="217"/>
      <c r="AA471" s="150"/>
      <c r="AB471" s="151"/>
      <c r="AC471" s="152"/>
      <c r="AD471" s="506"/>
      <c r="AE471" s="166"/>
      <c r="AF471" s="150"/>
      <c r="AG471" s="152"/>
      <c r="AH471" s="150"/>
      <c r="AI471" s="152"/>
      <c r="AJ471" s="150"/>
      <c r="AK471" s="152"/>
      <c r="AL471" s="150"/>
      <c r="AM471" s="151"/>
      <c r="AN471" s="151"/>
      <c r="AO471" s="169"/>
      <c r="AP471" s="169"/>
      <c r="AQ471" s="149"/>
      <c r="AR471" s="324"/>
      <c r="AS471" s="324"/>
      <c r="AT471" s="324"/>
      <c r="AU471" s="324"/>
      <c r="AV471" s="324"/>
      <c r="AW471" s="324"/>
      <c r="AX471" s="150"/>
      <c r="AY471" s="297"/>
      <c r="AZ471" s="297"/>
      <c r="BA471" s="297"/>
      <c r="BB471" s="297"/>
      <c r="BC471" s="152"/>
      <c r="BD471" s="150"/>
      <c r="BE471" s="297"/>
      <c r="BF471" s="297"/>
      <c r="BG471" s="297"/>
      <c r="BH471" s="297"/>
      <c r="BI471" s="152"/>
      <c r="BJ471" s="170"/>
      <c r="BK471" s="148"/>
      <c r="BL471" s="324"/>
      <c r="BM471" s="324"/>
      <c r="BN471" s="170"/>
      <c r="BO471" s="149"/>
      <c r="BP471" s="170"/>
      <c r="BQ471" s="149"/>
      <c r="BR471" s="170"/>
      <c r="BS471" s="171"/>
      <c r="BT471" s="708"/>
    </row>
    <row r="472" spans="1:72" s="2" customFormat="1" ht="24.9" customHeight="1">
      <c r="A472" s="147"/>
      <c r="B472" s="158"/>
      <c r="C472" s="179"/>
      <c r="D472" s="158"/>
      <c r="E472" s="160"/>
      <c r="F472" s="161"/>
      <c r="G472" s="161"/>
      <c r="H472" s="161"/>
      <c r="I472" s="163"/>
      <c r="J472" s="161"/>
      <c r="K472" s="163"/>
      <c r="L472" s="150"/>
      <c r="M472" s="164"/>
      <c r="N472" s="150"/>
      <c r="O472" s="174"/>
      <c r="P472" s="523"/>
      <c r="Q472" s="523"/>
      <c r="R472" s="154"/>
      <c r="S472" s="155"/>
      <c r="T472" s="156"/>
      <c r="U472" s="154"/>
      <c r="V472" s="155"/>
      <c r="W472" s="155"/>
      <c r="X472" s="419"/>
      <c r="Y472" s="157"/>
      <c r="Z472" s="217"/>
      <c r="AA472" s="150"/>
      <c r="AB472" s="151"/>
      <c r="AC472" s="152"/>
      <c r="AD472" s="506"/>
      <c r="AE472" s="166"/>
      <c r="AF472" s="150"/>
      <c r="AG472" s="152"/>
      <c r="AH472" s="150"/>
      <c r="AI472" s="152"/>
      <c r="AJ472" s="150"/>
      <c r="AK472" s="152"/>
      <c r="AL472" s="150"/>
      <c r="AM472" s="151"/>
      <c r="AN472" s="151"/>
      <c r="AO472" s="169"/>
      <c r="AP472" s="169"/>
      <c r="AQ472" s="149"/>
      <c r="AR472" s="324"/>
      <c r="AS472" s="324"/>
      <c r="AT472" s="324"/>
      <c r="AU472" s="324"/>
      <c r="AV472" s="324"/>
      <c r="AW472" s="324"/>
      <c r="AX472" s="150"/>
      <c r="AY472" s="297"/>
      <c r="AZ472" s="297"/>
      <c r="BA472" s="297"/>
      <c r="BB472" s="297"/>
      <c r="BC472" s="152"/>
      <c r="BD472" s="150"/>
      <c r="BE472" s="297"/>
      <c r="BF472" s="297"/>
      <c r="BG472" s="297"/>
      <c r="BH472" s="297"/>
      <c r="BI472" s="152"/>
      <c r="BJ472" s="170"/>
      <c r="BK472" s="148"/>
      <c r="BL472" s="324"/>
      <c r="BM472" s="324"/>
      <c r="BN472" s="170"/>
      <c r="BO472" s="149"/>
      <c r="BP472" s="170"/>
      <c r="BQ472" s="149"/>
      <c r="BR472" s="170"/>
      <c r="BS472" s="171"/>
      <c r="BT472" s="707"/>
    </row>
    <row r="473" spans="1:72" s="2" customFormat="1" ht="24.9" customHeight="1">
      <c r="A473" s="147"/>
      <c r="B473" s="158"/>
      <c r="C473" s="179"/>
      <c r="D473" s="158"/>
      <c r="E473" s="160"/>
      <c r="F473" s="161"/>
      <c r="G473" s="161"/>
      <c r="H473" s="161"/>
      <c r="I473" s="163"/>
      <c r="J473" s="161"/>
      <c r="K473" s="163"/>
      <c r="L473" s="150"/>
      <c r="M473" s="164"/>
      <c r="N473" s="150"/>
      <c r="O473" s="174"/>
      <c r="P473" s="523"/>
      <c r="Q473" s="523"/>
      <c r="R473" s="154"/>
      <c r="S473" s="155"/>
      <c r="T473" s="156"/>
      <c r="U473" s="154"/>
      <c r="V473" s="155"/>
      <c r="W473" s="155"/>
      <c r="X473" s="419"/>
      <c r="Y473" s="157"/>
      <c r="Z473" s="217"/>
      <c r="AA473" s="150"/>
      <c r="AB473" s="151"/>
      <c r="AC473" s="152"/>
      <c r="AD473" s="506"/>
      <c r="AE473" s="166"/>
      <c r="AF473" s="150"/>
      <c r="AG473" s="152"/>
      <c r="AH473" s="150"/>
      <c r="AI473" s="152"/>
      <c r="AJ473" s="150"/>
      <c r="AK473" s="152"/>
      <c r="AL473" s="150"/>
      <c r="AM473" s="151"/>
      <c r="AN473" s="151"/>
      <c r="AO473" s="169"/>
      <c r="AP473" s="169"/>
      <c r="AQ473" s="149"/>
      <c r="AR473" s="324"/>
      <c r="AS473" s="324"/>
      <c r="AT473" s="324"/>
      <c r="AU473" s="324"/>
      <c r="AV473" s="324"/>
      <c r="AW473" s="324"/>
      <c r="AX473" s="150"/>
      <c r="AY473" s="297"/>
      <c r="AZ473" s="297"/>
      <c r="BA473" s="297"/>
      <c r="BB473" s="297"/>
      <c r="BC473" s="152"/>
      <c r="BD473" s="150"/>
      <c r="BE473" s="297"/>
      <c r="BF473" s="297"/>
      <c r="BG473" s="297"/>
      <c r="BH473" s="297"/>
      <c r="BI473" s="152"/>
      <c r="BJ473" s="170"/>
      <c r="BK473" s="148"/>
      <c r="BL473" s="324"/>
      <c r="BM473" s="324"/>
      <c r="BN473" s="170"/>
      <c r="BO473" s="149"/>
      <c r="BP473" s="170"/>
      <c r="BQ473" s="149"/>
      <c r="BR473" s="170"/>
      <c r="BS473" s="171"/>
      <c r="BT473" s="706"/>
    </row>
    <row r="474" spans="1:72" s="2" customFormat="1" ht="24.9" customHeight="1">
      <c r="A474" s="147"/>
      <c r="B474" s="158"/>
      <c r="C474" s="179"/>
      <c r="D474" s="158"/>
      <c r="E474" s="160"/>
      <c r="F474" s="161"/>
      <c r="G474" s="161"/>
      <c r="H474" s="161"/>
      <c r="I474" s="163"/>
      <c r="J474" s="161"/>
      <c r="K474" s="163"/>
      <c r="L474" s="150"/>
      <c r="M474" s="164"/>
      <c r="N474" s="150"/>
      <c r="O474" s="174"/>
      <c r="P474" s="523"/>
      <c r="Q474" s="523"/>
      <c r="R474" s="154"/>
      <c r="S474" s="155"/>
      <c r="T474" s="156"/>
      <c r="U474" s="154"/>
      <c r="V474" s="155"/>
      <c r="W474" s="155"/>
      <c r="X474" s="419"/>
      <c r="Y474" s="157"/>
      <c r="Z474" s="217"/>
      <c r="AA474" s="150"/>
      <c r="AB474" s="151"/>
      <c r="AC474" s="152"/>
      <c r="AD474" s="506"/>
      <c r="AE474" s="166"/>
      <c r="AF474" s="150"/>
      <c r="AG474" s="152"/>
      <c r="AH474" s="150"/>
      <c r="AI474" s="152"/>
      <c r="AJ474" s="150"/>
      <c r="AK474" s="152"/>
      <c r="AL474" s="150"/>
      <c r="AM474" s="151"/>
      <c r="AN474" s="151"/>
      <c r="AO474" s="169"/>
      <c r="AP474" s="169"/>
      <c r="AQ474" s="149"/>
      <c r="AR474" s="324"/>
      <c r="AS474" s="324"/>
      <c r="AT474" s="324"/>
      <c r="AU474" s="324"/>
      <c r="AV474" s="324"/>
      <c r="AW474" s="324"/>
      <c r="AX474" s="150"/>
      <c r="AY474" s="297"/>
      <c r="AZ474" s="297"/>
      <c r="BA474" s="297"/>
      <c r="BB474" s="297"/>
      <c r="BC474" s="152"/>
      <c r="BD474" s="150"/>
      <c r="BE474" s="297"/>
      <c r="BF474" s="297"/>
      <c r="BG474" s="297"/>
      <c r="BH474" s="297"/>
      <c r="BI474" s="152"/>
      <c r="BJ474" s="170"/>
      <c r="BK474" s="148"/>
      <c r="BL474" s="324"/>
      <c r="BM474" s="324"/>
      <c r="BN474" s="170"/>
      <c r="BO474" s="149"/>
      <c r="BP474" s="170"/>
      <c r="BQ474" s="149"/>
      <c r="BR474" s="170"/>
      <c r="BS474" s="171"/>
      <c r="BT474" s="708"/>
    </row>
    <row r="475" spans="1:72" s="2" customFormat="1" ht="24.9" customHeight="1">
      <c r="A475" s="147"/>
      <c r="B475" s="158"/>
      <c r="C475" s="179"/>
      <c r="D475" s="158"/>
      <c r="E475" s="160"/>
      <c r="F475" s="161"/>
      <c r="G475" s="161"/>
      <c r="H475" s="161"/>
      <c r="I475" s="163"/>
      <c r="J475" s="161"/>
      <c r="K475" s="163"/>
      <c r="L475" s="150"/>
      <c r="M475" s="164"/>
      <c r="N475" s="150"/>
      <c r="O475" s="151"/>
      <c r="P475" s="522"/>
      <c r="Q475" s="522"/>
      <c r="R475" s="154"/>
      <c r="S475" s="155"/>
      <c r="T475" s="156"/>
      <c r="U475" s="154"/>
      <c r="V475" s="155"/>
      <c r="W475" s="155"/>
      <c r="X475" s="419"/>
      <c r="Y475" s="157"/>
      <c r="Z475" s="217"/>
      <c r="AA475" s="150"/>
      <c r="AB475" s="151"/>
      <c r="AC475" s="152"/>
      <c r="AD475" s="506"/>
      <c r="AE475" s="166"/>
      <c r="AF475" s="150"/>
      <c r="AG475" s="152"/>
      <c r="AH475" s="150"/>
      <c r="AI475" s="152"/>
      <c r="AJ475" s="150"/>
      <c r="AK475" s="152"/>
      <c r="AL475" s="150"/>
      <c r="AM475" s="151"/>
      <c r="AN475" s="151"/>
      <c r="AO475" s="169"/>
      <c r="AP475" s="169"/>
      <c r="AQ475" s="149"/>
      <c r="AR475" s="324"/>
      <c r="AS475" s="324"/>
      <c r="AT475" s="324"/>
      <c r="AU475" s="324"/>
      <c r="AV475" s="324"/>
      <c r="AW475" s="324"/>
      <c r="AX475" s="150"/>
      <c r="AY475" s="297"/>
      <c r="AZ475" s="297"/>
      <c r="BA475" s="297"/>
      <c r="BB475" s="297"/>
      <c r="BC475" s="152"/>
      <c r="BD475" s="150"/>
      <c r="BE475" s="297"/>
      <c r="BF475" s="297"/>
      <c r="BG475" s="297"/>
      <c r="BH475" s="297"/>
      <c r="BI475" s="152"/>
      <c r="BJ475" s="170"/>
      <c r="BK475" s="148"/>
      <c r="BL475" s="324"/>
      <c r="BM475" s="324"/>
      <c r="BN475" s="170"/>
      <c r="BO475" s="149"/>
      <c r="BP475" s="170"/>
      <c r="BQ475" s="149"/>
      <c r="BR475" s="170"/>
      <c r="BS475" s="171"/>
      <c r="BT475" s="707"/>
    </row>
    <row r="476" spans="1:72" s="2" customFormat="1" ht="24.9" customHeight="1">
      <c r="A476" s="147"/>
      <c r="B476" s="158"/>
      <c r="C476" s="179"/>
      <c r="D476" s="158"/>
      <c r="E476" s="160"/>
      <c r="F476" s="161"/>
      <c r="G476" s="161"/>
      <c r="H476" s="161"/>
      <c r="I476" s="163"/>
      <c r="J476" s="161"/>
      <c r="K476" s="163"/>
      <c r="L476" s="150"/>
      <c r="M476" s="164"/>
      <c r="N476" s="150"/>
      <c r="O476" s="174"/>
      <c r="P476" s="523"/>
      <c r="Q476" s="523"/>
      <c r="R476" s="154"/>
      <c r="S476" s="155"/>
      <c r="T476" s="156"/>
      <c r="U476" s="154"/>
      <c r="V476" s="155"/>
      <c r="W476" s="155"/>
      <c r="X476" s="419"/>
      <c r="Y476" s="157"/>
      <c r="Z476" s="217"/>
      <c r="AA476" s="150"/>
      <c r="AB476" s="151"/>
      <c r="AC476" s="152"/>
      <c r="AD476" s="506"/>
      <c r="AE476" s="166"/>
      <c r="AF476" s="150"/>
      <c r="AG476" s="152"/>
      <c r="AH476" s="150"/>
      <c r="AI476" s="152"/>
      <c r="AJ476" s="150"/>
      <c r="AK476" s="152"/>
      <c r="AL476" s="150"/>
      <c r="AM476" s="151"/>
      <c r="AN476" s="151"/>
      <c r="AO476" s="169"/>
      <c r="AP476" s="169"/>
      <c r="AQ476" s="149"/>
      <c r="AR476" s="324"/>
      <c r="AS476" s="324"/>
      <c r="AT476" s="324"/>
      <c r="AU476" s="324"/>
      <c r="AV476" s="324"/>
      <c r="AW476" s="324"/>
      <c r="AX476" s="150"/>
      <c r="AY476" s="297"/>
      <c r="AZ476" s="297"/>
      <c r="BA476" s="297"/>
      <c r="BB476" s="297"/>
      <c r="BC476" s="152"/>
      <c r="BD476" s="150"/>
      <c r="BE476" s="297"/>
      <c r="BF476" s="297"/>
      <c r="BG476" s="297"/>
      <c r="BH476" s="297"/>
      <c r="BI476" s="152"/>
      <c r="BJ476" s="170"/>
      <c r="BK476" s="148"/>
      <c r="BL476" s="324"/>
      <c r="BM476" s="324"/>
      <c r="BN476" s="170"/>
      <c r="BO476" s="149"/>
      <c r="BP476" s="170"/>
      <c r="BQ476" s="149"/>
      <c r="BR476" s="170"/>
      <c r="BS476" s="171"/>
      <c r="BT476" s="706"/>
    </row>
    <row r="477" spans="1:72" s="2" customFormat="1" ht="24.9" customHeight="1">
      <c r="A477" s="147"/>
      <c r="B477" s="158"/>
      <c r="C477" s="179"/>
      <c r="D477" s="158"/>
      <c r="E477" s="160"/>
      <c r="F477" s="161"/>
      <c r="G477" s="161"/>
      <c r="H477" s="161"/>
      <c r="I477" s="163"/>
      <c r="J477" s="161"/>
      <c r="K477" s="163"/>
      <c r="L477" s="150"/>
      <c r="M477" s="164"/>
      <c r="N477" s="150"/>
      <c r="O477" s="174"/>
      <c r="P477" s="523"/>
      <c r="Q477" s="523"/>
      <c r="R477" s="154"/>
      <c r="S477" s="155"/>
      <c r="T477" s="156"/>
      <c r="U477" s="154"/>
      <c r="V477" s="155"/>
      <c r="W477" s="155"/>
      <c r="X477" s="419"/>
      <c r="Y477" s="157"/>
      <c r="Z477" s="217"/>
      <c r="AA477" s="150"/>
      <c r="AB477" s="151"/>
      <c r="AC477" s="152"/>
      <c r="AD477" s="506"/>
      <c r="AE477" s="166"/>
      <c r="AF477" s="150"/>
      <c r="AG477" s="152"/>
      <c r="AH477" s="150"/>
      <c r="AI477" s="152"/>
      <c r="AJ477" s="150"/>
      <c r="AK477" s="152"/>
      <c r="AL477" s="150"/>
      <c r="AM477" s="151"/>
      <c r="AN477" s="151"/>
      <c r="AO477" s="169"/>
      <c r="AP477" s="169"/>
      <c r="AQ477" s="149"/>
      <c r="AR477" s="324"/>
      <c r="AS477" s="324"/>
      <c r="AT477" s="324"/>
      <c r="AU477" s="324"/>
      <c r="AV477" s="324"/>
      <c r="AW477" s="324"/>
      <c r="AX477" s="150"/>
      <c r="AY477" s="297"/>
      <c r="AZ477" s="297"/>
      <c r="BA477" s="297"/>
      <c r="BB477" s="297"/>
      <c r="BC477" s="152"/>
      <c r="BD477" s="150"/>
      <c r="BE477" s="297"/>
      <c r="BF477" s="297"/>
      <c r="BG477" s="297"/>
      <c r="BH477" s="297"/>
      <c r="BI477" s="152"/>
      <c r="BJ477" s="170"/>
      <c r="BK477" s="148"/>
      <c r="BL477" s="324"/>
      <c r="BM477" s="324"/>
      <c r="BN477" s="170"/>
      <c r="BO477" s="149"/>
      <c r="BP477" s="170"/>
      <c r="BQ477" s="149"/>
      <c r="BR477" s="170"/>
      <c r="BS477" s="171"/>
      <c r="BT477" s="707"/>
    </row>
    <row r="478" spans="1:72" s="2" customFormat="1" ht="24.9" customHeight="1">
      <c r="A478" s="147"/>
      <c r="B478" s="158"/>
      <c r="C478" s="179"/>
      <c r="D478" s="158"/>
      <c r="E478" s="160"/>
      <c r="F478" s="161"/>
      <c r="G478" s="161"/>
      <c r="H478" s="161"/>
      <c r="I478" s="163"/>
      <c r="J478" s="161"/>
      <c r="K478" s="163"/>
      <c r="L478" s="150"/>
      <c r="M478" s="164"/>
      <c r="N478" s="150"/>
      <c r="O478" s="151"/>
      <c r="P478" s="522"/>
      <c r="Q478" s="522"/>
      <c r="R478" s="154"/>
      <c r="S478" s="155"/>
      <c r="T478" s="156"/>
      <c r="U478" s="154"/>
      <c r="V478" s="155"/>
      <c r="W478" s="155"/>
      <c r="X478" s="419"/>
      <c r="Y478" s="157"/>
      <c r="Z478" s="217"/>
      <c r="AA478" s="150"/>
      <c r="AB478" s="151"/>
      <c r="AC478" s="152"/>
      <c r="AD478" s="506"/>
      <c r="AE478" s="166"/>
      <c r="AF478" s="150"/>
      <c r="AG478" s="152"/>
      <c r="AH478" s="150"/>
      <c r="AI478" s="152"/>
      <c r="AJ478" s="150"/>
      <c r="AK478" s="152"/>
      <c r="AL478" s="150"/>
      <c r="AM478" s="151"/>
      <c r="AN478" s="151"/>
      <c r="AO478" s="169"/>
      <c r="AP478" s="169"/>
      <c r="AQ478" s="149"/>
      <c r="AR478" s="324"/>
      <c r="AS478" s="324"/>
      <c r="AT478" s="324"/>
      <c r="AU478" s="324"/>
      <c r="AV478" s="324"/>
      <c r="AW478" s="324"/>
      <c r="AX478" s="150"/>
      <c r="AY478" s="297"/>
      <c r="AZ478" s="297"/>
      <c r="BA478" s="297"/>
      <c r="BB478" s="297"/>
      <c r="BC478" s="152"/>
      <c r="BD478" s="150"/>
      <c r="BE478" s="297"/>
      <c r="BF478" s="297"/>
      <c r="BG478" s="297"/>
      <c r="BH478" s="297"/>
      <c r="BI478" s="152"/>
      <c r="BJ478" s="170"/>
      <c r="BK478" s="148"/>
      <c r="BL478" s="324"/>
      <c r="BM478" s="324"/>
      <c r="BN478" s="170"/>
      <c r="BO478" s="149"/>
      <c r="BP478" s="170"/>
      <c r="BQ478" s="149"/>
      <c r="BR478" s="170"/>
      <c r="BS478" s="171"/>
      <c r="BT478" s="709"/>
    </row>
    <row r="479" spans="1:72" s="2" customFormat="1" ht="24.9" customHeight="1">
      <c r="A479" s="147"/>
      <c r="B479" s="158"/>
      <c r="C479" s="179"/>
      <c r="D479" s="158"/>
      <c r="E479" s="160"/>
      <c r="F479" s="161"/>
      <c r="G479" s="161"/>
      <c r="H479" s="161"/>
      <c r="I479" s="163"/>
      <c r="J479" s="161"/>
      <c r="K479" s="163"/>
      <c r="L479" s="150"/>
      <c r="M479" s="164"/>
      <c r="N479" s="150"/>
      <c r="O479" s="174"/>
      <c r="P479" s="523"/>
      <c r="Q479" s="523"/>
      <c r="R479" s="154"/>
      <c r="S479" s="155"/>
      <c r="T479" s="156"/>
      <c r="U479" s="154"/>
      <c r="V479" s="155"/>
      <c r="W479" s="155"/>
      <c r="X479" s="419"/>
      <c r="Y479" s="157"/>
      <c r="Z479" s="217"/>
      <c r="AA479" s="150"/>
      <c r="AB479" s="151"/>
      <c r="AC479" s="152"/>
      <c r="AD479" s="506"/>
      <c r="AE479" s="166"/>
      <c r="AF479" s="150"/>
      <c r="AG479" s="152"/>
      <c r="AH479" s="150"/>
      <c r="AI479" s="152"/>
      <c r="AJ479" s="150"/>
      <c r="AK479" s="152"/>
      <c r="AL479" s="150"/>
      <c r="AM479" s="151"/>
      <c r="AN479" s="151"/>
      <c r="AO479" s="169"/>
      <c r="AP479" s="169"/>
      <c r="AQ479" s="149"/>
      <c r="AR479" s="324"/>
      <c r="AS479" s="324"/>
      <c r="AT479" s="324"/>
      <c r="AU479" s="324"/>
      <c r="AV479" s="324"/>
      <c r="AW479" s="324"/>
      <c r="AX479" s="150"/>
      <c r="AY479" s="297"/>
      <c r="AZ479" s="297"/>
      <c r="BA479" s="297"/>
      <c r="BB479" s="297"/>
      <c r="BC479" s="152"/>
      <c r="BD479" s="150"/>
      <c r="BE479" s="297"/>
      <c r="BF479" s="297"/>
      <c r="BG479" s="297"/>
      <c r="BH479" s="297"/>
      <c r="BI479" s="152"/>
      <c r="BJ479" s="170"/>
      <c r="BK479" s="148"/>
      <c r="BL479" s="324"/>
      <c r="BM479" s="324"/>
      <c r="BN479" s="170"/>
      <c r="BO479" s="149"/>
      <c r="BP479" s="170"/>
      <c r="BQ479" s="149"/>
      <c r="BR479" s="170"/>
      <c r="BS479" s="171"/>
      <c r="BT479" s="708"/>
    </row>
    <row r="480" spans="1:72" s="2" customFormat="1" ht="24.9" customHeight="1">
      <c r="A480" s="147"/>
      <c r="B480" s="158"/>
      <c r="C480" s="179"/>
      <c r="D480" s="158"/>
      <c r="E480" s="160"/>
      <c r="F480" s="161"/>
      <c r="G480" s="161"/>
      <c r="H480" s="161"/>
      <c r="I480" s="163"/>
      <c r="J480" s="161"/>
      <c r="K480" s="163"/>
      <c r="L480" s="150"/>
      <c r="M480" s="164"/>
      <c r="N480" s="150"/>
      <c r="O480" s="174"/>
      <c r="P480" s="523"/>
      <c r="Q480" s="523"/>
      <c r="R480" s="154"/>
      <c r="S480" s="155"/>
      <c r="T480" s="156"/>
      <c r="U480" s="154"/>
      <c r="V480" s="155"/>
      <c r="W480" s="155"/>
      <c r="X480" s="419"/>
      <c r="Y480" s="157"/>
      <c r="Z480" s="217"/>
      <c r="AA480" s="150"/>
      <c r="AB480" s="151"/>
      <c r="AC480" s="152"/>
      <c r="AD480" s="506"/>
      <c r="AE480" s="166"/>
      <c r="AF480" s="150"/>
      <c r="AG480" s="152"/>
      <c r="AH480" s="150"/>
      <c r="AI480" s="152"/>
      <c r="AJ480" s="150"/>
      <c r="AK480" s="152"/>
      <c r="AL480" s="150"/>
      <c r="AM480" s="151"/>
      <c r="AN480" s="151"/>
      <c r="AO480" s="169"/>
      <c r="AP480" s="169"/>
      <c r="AQ480" s="149"/>
      <c r="AR480" s="324"/>
      <c r="AS480" s="324"/>
      <c r="AT480" s="324"/>
      <c r="AU480" s="324"/>
      <c r="AV480" s="324"/>
      <c r="AW480" s="324"/>
      <c r="AX480" s="150"/>
      <c r="AY480" s="297"/>
      <c r="AZ480" s="297"/>
      <c r="BA480" s="297"/>
      <c r="BB480" s="297"/>
      <c r="BC480" s="152"/>
      <c r="BD480" s="150"/>
      <c r="BE480" s="297"/>
      <c r="BF480" s="297"/>
      <c r="BG480" s="297"/>
      <c r="BH480" s="297"/>
      <c r="BI480" s="152"/>
      <c r="BJ480" s="170"/>
      <c r="BK480" s="148"/>
      <c r="BL480" s="324"/>
      <c r="BM480" s="324"/>
      <c r="BN480" s="170"/>
      <c r="BO480" s="149"/>
      <c r="BP480" s="170"/>
      <c r="BQ480" s="149"/>
      <c r="BR480" s="170"/>
      <c r="BS480" s="171"/>
      <c r="BT480" s="707"/>
    </row>
    <row r="481" spans="1:72" s="2" customFormat="1" ht="24.9" customHeight="1">
      <c r="A481" s="147"/>
      <c r="B481" s="158"/>
      <c r="C481" s="179"/>
      <c r="D481" s="158"/>
      <c r="E481" s="160"/>
      <c r="F481" s="161"/>
      <c r="G481" s="161"/>
      <c r="H481" s="161"/>
      <c r="I481" s="163"/>
      <c r="J481" s="161"/>
      <c r="K481" s="163"/>
      <c r="L481" s="150"/>
      <c r="M481" s="164"/>
      <c r="N481" s="150"/>
      <c r="O481" s="174"/>
      <c r="P481" s="523"/>
      <c r="Q481" s="523"/>
      <c r="R481" s="154"/>
      <c r="S481" s="155"/>
      <c r="T481" s="156"/>
      <c r="U481" s="154"/>
      <c r="V481" s="155"/>
      <c r="W481" s="155"/>
      <c r="X481" s="419"/>
      <c r="Y481" s="157"/>
      <c r="Z481" s="217"/>
      <c r="AA481" s="150"/>
      <c r="AB481" s="151"/>
      <c r="AC481" s="152"/>
      <c r="AD481" s="506"/>
      <c r="AE481" s="166"/>
      <c r="AF481" s="150"/>
      <c r="AG481" s="152"/>
      <c r="AH481" s="150"/>
      <c r="AI481" s="152"/>
      <c r="AJ481" s="150"/>
      <c r="AK481" s="152"/>
      <c r="AL481" s="150"/>
      <c r="AM481" s="151"/>
      <c r="AN481" s="151"/>
      <c r="AO481" s="169"/>
      <c r="AP481" s="169"/>
      <c r="AQ481" s="149"/>
      <c r="AR481" s="324"/>
      <c r="AS481" s="324"/>
      <c r="AT481" s="324"/>
      <c r="AU481" s="324"/>
      <c r="AV481" s="324"/>
      <c r="AW481" s="324"/>
      <c r="AX481" s="150"/>
      <c r="AY481" s="297"/>
      <c r="AZ481" s="297"/>
      <c r="BA481" s="297"/>
      <c r="BB481" s="297"/>
      <c r="BC481" s="152"/>
      <c r="BD481" s="150"/>
      <c r="BE481" s="297"/>
      <c r="BF481" s="297"/>
      <c r="BG481" s="297"/>
      <c r="BH481" s="297"/>
      <c r="BI481" s="152"/>
      <c r="BJ481" s="170"/>
      <c r="BK481" s="148"/>
      <c r="BL481" s="324"/>
      <c r="BM481" s="324"/>
      <c r="BN481" s="170"/>
      <c r="BO481" s="149"/>
      <c r="BP481" s="170"/>
      <c r="BQ481" s="149"/>
      <c r="BR481" s="170"/>
      <c r="BS481" s="171"/>
      <c r="BT481" s="706"/>
    </row>
    <row r="482" spans="1:72" s="2" customFormat="1" ht="24.9" customHeight="1">
      <c r="A482" s="147"/>
      <c r="B482" s="158"/>
      <c r="C482" s="179"/>
      <c r="D482" s="158"/>
      <c r="E482" s="160"/>
      <c r="F482" s="161"/>
      <c r="G482" s="161"/>
      <c r="H482" s="161"/>
      <c r="I482" s="163"/>
      <c r="J482" s="161"/>
      <c r="K482" s="163"/>
      <c r="L482" s="150"/>
      <c r="M482" s="164"/>
      <c r="N482" s="150"/>
      <c r="O482" s="174"/>
      <c r="P482" s="523"/>
      <c r="Q482" s="523"/>
      <c r="R482" s="154"/>
      <c r="S482" s="155"/>
      <c r="T482" s="156"/>
      <c r="U482" s="154"/>
      <c r="V482" s="155"/>
      <c r="W482" s="155"/>
      <c r="X482" s="419"/>
      <c r="Y482" s="157"/>
      <c r="Z482" s="217"/>
      <c r="AA482" s="150"/>
      <c r="AB482" s="151"/>
      <c r="AC482" s="152"/>
      <c r="AD482" s="506"/>
      <c r="AE482" s="166"/>
      <c r="AF482" s="150"/>
      <c r="AG482" s="152"/>
      <c r="AH482" s="150"/>
      <c r="AI482" s="152"/>
      <c r="AJ482" s="150"/>
      <c r="AK482" s="152"/>
      <c r="AL482" s="150"/>
      <c r="AM482" s="151"/>
      <c r="AN482" s="151"/>
      <c r="AO482" s="169"/>
      <c r="AP482" s="169"/>
      <c r="AQ482" s="149"/>
      <c r="AR482" s="324"/>
      <c r="AS482" s="324"/>
      <c r="AT482" s="324"/>
      <c r="AU482" s="324"/>
      <c r="AV482" s="324"/>
      <c r="AW482" s="324"/>
      <c r="AX482" s="150"/>
      <c r="AY482" s="297"/>
      <c r="AZ482" s="297"/>
      <c r="BA482" s="297"/>
      <c r="BB482" s="297"/>
      <c r="BC482" s="152"/>
      <c r="BD482" s="150"/>
      <c r="BE482" s="297"/>
      <c r="BF482" s="297"/>
      <c r="BG482" s="297"/>
      <c r="BH482" s="297"/>
      <c r="BI482" s="152"/>
      <c r="BJ482" s="170"/>
      <c r="BK482" s="148"/>
      <c r="BL482" s="324"/>
      <c r="BM482" s="324"/>
      <c r="BN482" s="170"/>
      <c r="BO482" s="149"/>
      <c r="BP482" s="170"/>
      <c r="BQ482" s="149"/>
      <c r="BR482" s="170"/>
      <c r="BS482" s="171"/>
      <c r="BT482" s="707"/>
    </row>
    <row r="483" spans="1:72" s="2" customFormat="1" ht="24.9" customHeight="1">
      <c r="A483" s="147"/>
      <c r="B483" s="158"/>
      <c r="C483" s="179"/>
      <c r="D483" s="158"/>
      <c r="E483" s="160"/>
      <c r="F483" s="161"/>
      <c r="G483" s="161"/>
      <c r="H483" s="161"/>
      <c r="I483" s="163"/>
      <c r="J483" s="161"/>
      <c r="K483" s="163"/>
      <c r="L483" s="150"/>
      <c r="M483" s="164"/>
      <c r="N483" s="150"/>
      <c r="O483" s="174"/>
      <c r="P483" s="523"/>
      <c r="Q483" s="523"/>
      <c r="R483" s="154"/>
      <c r="S483" s="155"/>
      <c r="T483" s="156"/>
      <c r="U483" s="154"/>
      <c r="V483" s="155"/>
      <c r="W483" s="155"/>
      <c r="X483" s="419"/>
      <c r="Y483" s="157"/>
      <c r="Z483" s="217"/>
      <c r="AA483" s="150"/>
      <c r="AB483" s="151"/>
      <c r="AC483" s="152"/>
      <c r="AD483" s="506"/>
      <c r="AE483" s="166"/>
      <c r="AF483" s="150"/>
      <c r="AG483" s="152"/>
      <c r="AH483" s="150"/>
      <c r="AI483" s="152"/>
      <c r="AJ483" s="150"/>
      <c r="AK483" s="152"/>
      <c r="AL483" s="150"/>
      <c r="AM483" s="151"/>
      <c r="AN483" s="151"/>
      <c r="AO483" s="169"/>
      <c r="AP483" s="169"/>
      <c r="AQ483" s="149"/>
      <c r="AR483" s="324"/>
      <c r="AS483" s="324"/>
      <c r="AT483" s="324"/>
      <c r="AU483" s="324"/>
      <c r="AV483" s="324"/>
      <c r="AW483" s="324"/>
      <c r="AX483" s="150"/>
      <c r="AY483" s="297"/>
      <c r="AZ483" s="297"/>
      <c r="BA483" s="297"/>
      <c r="BB483" s="297"/>
      <c r="BC483" s="152"/>
      <c r="BD483" s="150"/>
      <c r="BE483" s="297"/>
      <c r="BF483" s="297"/>
      <c r="BG483" s="297"/>
      <c r="BH483" s="297"/>
      <c r="BI483" s="152"/>
      <c r="BJ483" s="170"/>
      <c r="BK483" s="148"/>
      <c r="BL483" s="324"/>
      <c r="BM483" s="324"/>
      <c r="BN483" s="170"/>
      <c r="BO483" s="149"/>
      <c r="BP483" s="170"/>
      <c r="BQ483" s="149"/>
      <c r="BR483" s="170"/>
      <c r="BS483" s="171"/>
      <c r="BT483" s="706"/>
    </row>
    <row r="484" spans="1:72" s="2" customFormat="1" ht="24.9" customHeight="1">
      <c r="A484" s="147"/>
      <c r="B484" s="158"/>
      <c r="C484" s="179"/>
      <c r="D484" s="158"/>
      <c r="E484" s="160"/>
      <c r="F484" s="161"/>
      <c r="G484" s="161"/>
      <c r="H484" s="161"/>
      <c r="I484" s="163"/>
      <c r="J484" s="161"/>
      <c r="K484" s="163"/>
      <c r="L484" s="150"/>
      <c r="M484" s="164"/>
      <c r="N484" s="150"/>
      <c r="O484" s="174"/>
      <c r="P484" s="523"/>
      <c r="Q484" s="523"/>
      <c r="R484" s="154"/>
      <c r="S484" s="155"/>
      <c r="T484" s="156"/>
      <c r="U484" s="154"/>
      <c r="V484" s="155"/>
      <c r="W484" s="155"/>
      <c r="X484" s="419"/>
      <c r="Y484" s="157"/>
      <c r="Z484" s="217"/>
      <c r="AA484" s="150"/>
      <c r="AB484" s="151"/>
      <c r="AC484" s="152"/>
      <c r="AD484" s="506"/>
      <c r="AE484" s="166"/>
      <c r="AF484" s="150"/>
      <c r="AG484" s="152"/>
      <c r="AH484" s="150"/>
      <c r="AI484" s="152"/>
      <c r="AJ484" s="150"/>
      <c r="AK484" s="152"/>
      <c r="AL484" s="150"/>
      <c r="AM484" s="151"/>
      <c r="AN484" s="151"/>
      <c r="AO484" s="169"/>
      <c r="AP484" s="169"/>
      <c r="AQ484" s="149"/>
      <c r="AR484" s="324"/>
      <c r="AS484" s="324"/>
      <c r="AT484" s="324"/>
      <c r="AU484" s="324"/>
      <c r="AV484" s="324"/>
      <c r="AW484" s="324"/>
      <c r="AX484" s="150"/>
      <c r="AY484" s="297"/>
      <c r="AZ484" s="297"/>
      <c r="BA484" s="297"/>
      <c r="BB484" s="297"/>
      <c r="BC484" s="152"/>
      <c r="BD484" s="150"/>
      <c r="BE484" s="297"/>
      <c r="BF484" s="297"/>
      <c r="BG484" s="297"/>
      <c r="BH484" s="297"/>
      <c r="BI484" s="152"/>
      <c r="BJ484" s="170"/>
      <c r="BK484" s="148"/>
      <c r="BL484" s="324"/>
      <c r="BM484" s="324"/>
      <c r="BN484" s="170"/>
      <c r="BO484" s="149"/>
      <c r="BP484" s="170"/>
      <c r="BQ484" s="149"/>
      <c r="BR484" s="170"/>
      <c r="BS484" s="171"/>
      <c r="BT484" s="707"/>
    </row>
    <row r="485" spans="1:72" s="2" customFormat="1" ht="24.9" customHeight="1">
      <c r="A485" s="147"/>
      <c r="B485" s="158"/>
      <c r="C485" s="179"/>
      <c r="D485" s="158"/>
      <c r="E485" s="160"/>
      <c r="F485" s="161"/>
      <c r="G485" s="161"/>
      <c r="H485" s="161"/>
      <c r="I485" s="163"/>
      <c r="J485" s="161"/>
      <c r="K485" s="163"/>
      <c r="L485" s="150"/>
      <c r="M485" s="164"/>
      <c r="N485" s="150"/>
      <c r="O485" s="151"/>
      <c r="P485" s="522"/>
      <c r="Q485" s="522"/>
      <c r="R485" s="154"/>
      <c r="S485" s="155"/>
      <c r="T485" s="156"/>
      <c r="U485" s="154"/>
      <c r="V485" s="155"/>
      <c r="W485" s="155"/>
      <c r="X485" s="419"/>
      <c r="Y485" s="157"/>
      <c r="Z485" s="217"/>
      <c r="AA485" s="150"/>
      <c r="AB485" s="151"/>
      <c r="AC485" s="152"/>
      <c r="AD485" s="506"/>
      <c r="AE485" s="166"/>
      <c r="AF485" s="150"/>
      <c r="AG485" s="152"/>
      <c r="AH485" s="150"/>
      <c r="AI485" s="152"/>
      <c r="AJ485" s="150"/>
      <c r="AK485" s="152"/>
      <c r="AL485" s="150"/>
      <c r="AM485" s="151"/>
      <c r="AN485" s="151"/>
      <c r="AO485" s="169"/>
      <c r="AP485" s="169"/>
      <c r="AQ485" s="149"/>
      <c r="AR485" s="324"/>
      <c r="AS485" s="324"/>
      <c r="AT485" s="324"/>
      <c r="AU485" s="324"/>
      <c r="AV485" s="324"/>
      <c r="AW485" s="324"/>
      <c r="AX485" s="150"/>
      <c r="AY485" s="297"/>
      <c r="AZ485" s="297"/>
      <c r="BA485" s="297"/>
      <c r="BB485" s="297"/>
      <c r="BC485" s="152"/>
      <c r="BD485" s="150"/>
      <c r="BE485" s="297"/>
      <c r="BF485" s="297"/>
      <c r="BG485" s="297"/>
      <c r="BH485" s="297"/>
      <c r="BI485" s="152"/>
      <c r="BJ485" s="170"/>
      <c r="BK485" s="148"/>
      <c r="BL485" s="324"/>
      <c r="BM485" s="324"/>
      <c r="BN485" s="170"/>
      <c r="BO485" s="149"/>
      <c r="BP485" s="170"/>
      <c r="BQ485" s="149"/>
      <c r="BR485" s="170"/>
      <c r="BS485" s="171"/>
      <c r="BT485" s="706"/>
    </row>
    <row r="486" spans="1:72" s="2" customFormat="1" ht="24.9" customHeight="1">
      <c r="A486" s="147"/>
      <c r="B486" s="158"/>
      <c r="C486" s="179"/>
      <c r="D486" s="158"/>
      <c r="E486" s="160"/>
      <c r="F486" s="161"/>
      <c r="G486" s="161"/>
      <c r="H486" s="161"/>
      <c r="I486" s="163"/>
      <c r="J486" s="161"/>
      <c r="K486" s="163"/>
      <c r="L486" s="150"/>
      <c r="M486" s="164"/>
      <c r="N486" s="150"/>
      <c r="O486" s="174"/>
      <c r="P486" s="523"/>
      <c r="Q486" s="523"/>
      <c r="R486" s="154"/>
      <c r="S486" s="155"/>
      <c r="T486" s="156"/>
      <c r="U486" s="154"/>
      <c r="V486" s="155"/>
      <c r="W486" s="155"/>
      <c r="X486" s="419"/>
      <c r="Y486" s="157"/>
      <c r="Z486" s="217"/>
      <c r="AA486" s="150"/>
      <c r="AB486" s="151"/>
      <c r="AC486" s="152"/>
      <c r="AD486" s="506"/>
      <c r="AE486" s="166"/>
      <c r="AF486" s="150"/>
      <c r="AG486" s="152"/>
      <c r="AH486" s="150"/>
      <c r="AI486" s="152"/>
      <c r="AJ486" s="150"/>
      <c r="AK486" s="152"/>
      <c r="AL486" s="150"/>
      <c r="AM486" s="151"/>
      <c r="AN486" s="151"/>
      <c r="AO486" s="169"/>
      <c r="AP486" s="169"/>
      <c r="AQ486" s="149"/>
      <c r="AR486" s="324"/>
      <c r="AS486" s="324"/>
      <c r="AT486" s="324"/>
      <c r="AU486" s="324"/>
      <c r="AV486" s="324"/>
      <c r="AW486" s="324"/>
      <c r="AX486" s="150"/>
      <c r="AY486" s="297"/>
      <c r="AZ486" s="297"/>
      <c r="BA486" s="297"/>
      <c r="BB486" s="297"/>
      <c r="BC486" s="152"/>
      <c r="BD486" s="150"/>
      <c r="BE486" s="297"/>
      <c r="BF486" s="297"/>
      <c r="BG486" s="297"/>
      <c r="BH486" s="297"/>
      <c r="BI486" s="152"/>
      <c r="BJ486" s="170"/>
      <c r="BK486" s="148"/>
      <c r="BL486" s="324"/>
      <c r="BM486" s="324"/>
      <c r="BN486" s="170"/>
      <c r="BO486" s="149"/>
      <c r="BP486" s="170"/>
      <c r="BQ486" s="149"/>
      <c r="BR486" s="170"/>
      <c r="BS486" s="171"/>
      <c r="BT486" s="708"/>
    </row>
    <row r="487" spans="1:72" s="2" customFormat="1" ht="24.9" customHeight="1">
      <c r="A487" s="147"/>
      <c r="B487" s="158"/>
      <c r="C487" s="179"/>
      <c r="D487" s="158"/>
      <c r="E487" s="160"/>
      <c r="F487" s="161"/>
      <c r="G487" s="161"/>
      <c r="H487" s="161"/>
      <c r="I487" s="163"/>
      <c r="J487" s="161"/>
      <c r="K487" s="163"/>
      <c r="L487" s="150"/>
      <c r="M487" s="164"/>
      <c r="N487" s="150"/>
      <c r="O487" s="174"/>
      <c r="P487" s="523"/>
      <c r="Q487" s="523"/>
      <c r="R487" s="154"/>
      <c r="S487" s="155"/>
      <c r="T487" s="156"/>
      <c r="U487" s="154"/>
      <c r="V487" s="155"/>
      <c r="W487" s="155"/>
      <c r="X487" s="419"/>
      <c r="Y487" s="157"/>
      <c r="Z487" s="217"/>
      <c r="AA487" s="150"/>
      <c r="AB487" s="151"/>
      <c r="AC487" s="152"/>
      <c r="AD487" s="506"/>
      <c r="AE487" s="166"/>
      <c r="AF487" s="150"/>
      <c r="AG487" s="152"/>
      <c r="AH487" s="150"/>
      <c r="AI487" s="152"/>
      <c r="AJ487" s="150"/>
      <c r="AK487" s="152"/>
      <c r="AL487" s="150"/>
      <c r="AM487" s="151"/>
      <c r="AN487" s="151"/>
      <c r="AO487" s="169"/>
      <c r="AP487" s="169"/>
      <c r="AQ487" s="149"/>
      <c r="AR487" s="324"/>
      <c r="AS487" s="324"/>
      <c r="AT487" s="324"/>
      <c r="AU487" s="324"/>
      <c r="AV487" s="324"/>
      <c r="AW487" s="324"/>
      <c r="AX487" s="150"/>
      <c r="AY487" s="297"/>
      <c r="AZ487" s="297"/>
      <c r="BA487" s="297"/>
      <c r="BB487" s="297"/>
      <c r="BC487" s="152"/>
      <c r="BD487" s="150"/>
      <c r="BE487" s="297"/>
      <c r="BF487" s="297"/>
      <c r="BG487" s="297"/>
      <c r="BH487" s="297"/>
      <c r="BI487" s="152"/>
      <c r="BJ487" s="170"/>
      <c r="BK487" s="148"/>
      <c r="BL487" s="324"/>
      <c r="BM487" s="324"/>
      <c r="BN487" s="170"/>
      <c r="BO487" s="149"/>
      <c r="BP487" s="170"/>
      <c r="BQ487" s="149"/>
      <c r="BR487" s="170"/>
      <c r="BS487" s="171"/>
      <c r="BT487" s="707"/>
    </row>
    <row r="488" spans="1:72" s="2" customFormat="1" ht="24.9" customHeight="1">
      <c r="A488" s="147"/>
      <c r="B488" s="158"/>
      <c r="C488" s="179"/>
      <c r="D488" s="158"/>
      <c r="E488" s="160"/>
      <c r="F488" s="161"/>
      <c r="G488" s="161"/>
      <c r="H488" s="161"/>
      <c r="I488" s="163"/>
      <c r="J488" s="161"/>
      <c r="K488" s="163"/>
      <c r="L488" s="150"/>
      <c r="M488" s="164"/>
      <c r="N488" s="150"/>
      <c r="O488" s="174"/>
      <c r="P488" s="523"/>
      <c r="Q488" s="523"/>
      <c r="R488" s="154"/>
      <c r="S488" s="155"/>
      <c r="T488" s="156"/>
      <c r="U488" s="154"/>
      <c r="V488" s="155"/>
      <c r="W488" s="155"/>
      <c r="X488" s="419"/>
      <c r="Y488" s="157"/>
      <c r="Z488" s="217"/>
      <c r="AA488" s="150"/>
      <c r="AB488" s="151"/>
      <c r="AC488" s="152"/>
      <c r="AD488" s="506"/>
      <c r="AE488" s="166"/>
      <c r="AF488" s="150"/>
      <c r="AG488" s="152"/>
      <c r="AH488" s="150"/>
      <c r="AI488" s="152"/>
      <c r="AJ488" s="150"/>
      <c r="AK488" s="152"/>
      <c r="AL488" s="150"/>
      <c r="AM488" s="151"/>
      <c r="AN488" s="151"/>
      <c r="AO488" s="169"/>
      <c r="AP488" s="169"/>
      <c r="AQ488" s="149"/>
      <c r="AR488" s="324"/>
      <c r="AS488" s="324"/>
      <c r="AT488" s="324"/>
      <c r="AU488" s="324"/>
      <c r="AV488" s="324"/>
      <c r="AW488" s="324"/>
      <c r="AX488" s="150"/>
      <c r="AY488" s="297"/>
      <c r="AZ488" s="297"/>
      <c r="BA488" s="297"/>
      <c r="BB488" s="297"/>
      <c r="BC488" s="152"/>
      <c r="BD488" s="150"/>
      <c r="BE488" s="297"/>
      <c r="BF488" s="297"/>
      <c r="BG488" s="297"/>
      <c r="BH488" s="297"/>
      <c r="BI488" s="152"/>
      <c r="BJ488" s="170"/>
      <c r="BK488" s="148"/>
      <c r="BL488" s="324"/>
      <c r="BM488" s="324"/>
      <c r="BN488" s="170"/>
      <c r="BO488" s="149"/>
      <c r="BP488" s="170"/>
      <c r="BQ488" s="149"/>
      <c r="BR488" s="170"/>
      <c r="BS488" s="171"/>
      <c r="BT488" s="706"/>
    </row>
    <row r="489" spans="1:72" s="2" customFormat="1" ht="24.9" customHeight="1">
      <c r="A489" s="147"/>
      <c r="B489" s="158"/>
      <c r="C489" s="179"/>
      <c r="D489" s="158"/>
      <c r="E489" s="160"/>
      <c r="F489" s="161"/>
      <c r="G489" s="161"/>
      <c r="H489" s="161"/>
      <c r="I489" s="163"/>
      <c r="J489" s="161"/>
      <c r="K489" s="163"/>
      <c r="L489" s="150"/>
      <c r="M489" s="164"/>
      <c r="N489" s="150"/>
      <c r="O489" s="174"/>
      <c r="P489" s="523"/>
      <c r="Q489" s="523"/>
      <c r="R489" s="154"/>
      <c r="S489" s="155"/>
      <c r="T489" s="156"/>
      <c r="U489" s="154"/>
      <c r="V489" s="155"/>
      <c r="W489" s="155"/>
      <c r="X489" s="419"/>
      <c r="Y489" s="157"/>
      <c r="Z489" s="217"/>
      <c r="AA489" s="150"/>
      <c r="AB489" s="151"/>
      <c r="AC489" s="152"/>
      <c r="AD489" s="506"/>
      <c r="AE489" s="166"/>
      <c r="AF489" s="150"/>
      <c r="AG489" s="152"/>
      <c r="AH489" s="150"/>
      <c r="AI489" s="152"/>
      <c r="AJ489" s="150"/>
      <c r="AK489" s="152"/>
      <c r="AL489" s="150"/>
      <c r="AM489" s="151"/>
      <c r="AN489" s="151"/>
      <c r="AO489" s="169"/>
      <c r="AP489" s="169"/>
      <c r="AQ489" s="149"/>
      <c r="AR489" s="324"/>
      <c r="AS489" s="324"/>
      <c r="AT489" s="324"/>
      <c r="AU489" s="324"/>
      <c r="AV489" s="324"/>
      <c r="AW489" s="324"/>
      <c r="AX489" s="150"/>
      <c r="AY489" s="297"/>
      <c r="AZ489" s="297"/>
      <c r="BA489" s="297"/>
      <c r="BB489" s="297"/>
      <c r="BC489" s="152"/>
      <c r="BD489" s="150"/>
      <c r="BE489" s="297"/>
      <c r="BF489" s="297"/>
      <c r="BG489" s="297"/>
      <c r="BH489" s="297"/>
      <c r="BI489" s="152"/>
      <c r="BJ489" s="170"/>
      <c r="BK489" s="148"/>
      <c r="BL489" s="324"/>
      <c r="BM489" s="324"/>
      <c r="BN489" s="170"/>
      <c r="BO489" s="149"/>
      <c r="BP489" s="170"/>
      <c r="BQ489" s="149"/>
      <c r="BR489" s="170"/>
      <c r="BS489" s="171"/>
      <c r="BT489" s="707"/>
    </row>
    <row r="490" spans="1:72" s="2" customFormat="1" ht="24.9" customHeight="1">
      <c r="A490" s="147"/>
      <c r="B490" s="158"/>
      <c r="C490" s="179"/>
      <c r="D490" s="158"/>
      <c r="E490" s="160"/>
      <c r="F490" s="161"/>
      <c r="G490" s="161"/>
      <c r="H490" s="161"/>
      <c r="I490" s="163"/>
      <c r="J490" s="161"/>
      <c r="K490" s="163"/>
      <c r="L490" s="150"/>
      <c r="M490" s="164"/>
      <c r="N490" s="150"/>
      <c r="O490" s="174"/>
      <c r="P490" s="523"/>
      <c r="Q490" s="523"/>
      <c r="R490" s="154"/>
      <c r="S490" s="155"/>
      <c r="T490" s="156"/>
      <c r="U490" s="154"/>
      <c r="V490" s="155"/>
      <c r="W490" s="155"/>
      <c r="X490" s="419"/>
      <c r="Y490" s="157"/>
      <c r="Z490" s="217"/>
      <c r="AA490" s="150"/>
      <c r="AB490" s="151"/>
      <c r="AC490" s="152"/>
      <c r="AD490" s="506"/>
      <c r="AE490" s="166"/>
      <c r="AF490" s="150"/>
      <c r="AG490" s="152"/>
      <c r="AH490" s="150"/>
      <c r="AI490" s="152"/>
      <c r="AJ490" s="150"/>
      <c r="AK490" s="152"/>
      <c r="AL490" s="150"/>
      <c r="AM490" s="151"/>
      <c r="AN490" s="151"/>
      <c r="AO490" s="169"/>
      <c r="AP490" s="169"/>
      <c r="AQ490" s="149"/>
      <c r="AR490" s="324"/>
      <c r="AS490" s="324"/>
      <c r="AT490" s="324"/>
      <c r="AU490" s="324"/>
      <c r="AV490" s="324"/>
      <c r="AW490" s="324"/>
      <c r="AX490" s="150"/>
      <c r="AY490" s="297"/>
      <c r="AZ490" s="297"/>
      <c r="BA490" s="297"/>
      <c r="BB490" s="297"/>
      <c r="BC490" s="152"/>
      <c r="BD490" s="150"/>
      <c r="BE490" s="297"/>
      <c r="BF490" s="297"/>
      <c r="BG490" s="297"/>
      <c r="BH490" s="297"/>
      <c r="BI490" s="152"/>
      <c r="BJ490" s="170"/>
      <c r="BK490" s="148"/>
      <c r="BL490" s="324"/>
      <c r="BM490" s="324"/>
      <c r="BN490" s="170"/>
      <c r="BO490" s="149"/>
      <c r="BP490" s="170"/>
      <c r="BQ490" s="149"/>
      <c r="BR490" s="170"/>
      <c r="BS490" s="171"/>
      <c r="BT490" s="706"/>
    </row>
    <row r="491" spans="1:72" s="2" customFormat="1" ht="24.9" customHeight="1">
      <c r="A491" s="147"/>
      <c r="B491" s="158"/>
      <c r="C491" s="179"/>
      <c r="D491" s="158"/>
      <c r="E491" s="160"/>
      <c r="F491" s="161"/>
      <c r="G491" s="161"/>
      <c r="H491" s="161"/>
      <c r="I491" s="163"/>
      <c r="J491" s="161"/>
      <c r="K491" s="163"/>
      <c r="L491" s="150"/>
      <c r="M491" s="164"/>
      <c r="N491" s="150"/>
      <c r="O491" s="174"/>
      <c r="P491" s="523"/>
      <c r="Q491" s="523"/>
      <c r="R491" s="154"/>
      <c r="S491" s="155"/>
      <c r="T491" s="156"/>
      <c r="U491" s="154"/>
      <c r="V491" s="155"/>
      <c r="W491" s="155"/>
      <c r="X491" s="419"/>
      <c r="Y491" s="157"/>
      <c r="Z491" s="217"/>
      <c r="AA491" s="150"/>
      <c r="AB491" s="151"/>
      <c r="AC491" s="152"/>
      <c r="AD491" s="506"/>
      <c r="AE491" s="166"/>
      <c r="AF491" s="150"/>
      <c r="AG491" s="152"/>
      <c r="AH491" s="150"/>
      <c r="AI491" s="152"/>
      <c r="AJ491" s="150"/>
      <c r="AK491" s="152"/>
      <c r="AL491" s="150"/>
      <c r="AM491" s="151"/>
      <c r="AN491" s="151"/>
      <c r="AO491" s="169"/>
      <c r="AP491" s="169"/>
      <c r="AQ491" s="149"/>
      <c r="AR491" s="324"/>
      <c r="AS491" s="324"/>
      <c r="AT491" s="324"/>
      <c r="AU491" s="324"/>
      <c r="AV491" s="324"/>
      <c r="AW491" s="324"/>
      <c r="AX491" s="150"/>
      <c r="AY491" s="297"/>
      <c r="AZ491" s="297"/>
      <c r="BA491" s="297"/>
      <c r="BB491" s="297"/>
      <c r="BC491" s="152"/>
      <c r="BD491" s="150"/>
      <c r="BE491" s="297"/>
      <c r="BF491" s="297"/>
      <c r="BG491" s="297"/>
      <c r="BH491" s="297"/>
      <c r="BI491" s="152"/>
      <c r="BJ491" s="170"/>
      <c r="BK491" s="148"/>
      <c r="BL491" s="324"/>
      <c r="BM491" s="324"/>
      <c r="BN491" s="170"/>
      <c r="BO491" s="149"/>
      <c r="BP491" s="170"/>
      <c r="BQ491" s="149"/>
      <c r="BR491" s="170"/>
      <c r="BS491" s="171"/>
      <c r="BT491" s="707"/>
    </row>
    <row r="492" spans="1:72" s="2" customFormat="1" ht="24.9" customHeight="1">
      <c r="A492" s="147"/>
      <c r="B492" s="158"/>
      <c r="C492" s="179"/>
      <c r="D492" s="158"/>
      <c r="E492" s="160"/>
      <c r="F492" s="161"/>
      <c r="G492" s="161"/>
      <c r="H492" s="161"/>
      <c r="I492" s="163"/>
      <c r="J492" s="161"/>
      <c r="K492" s="163"/>
      <c r="L492" s="150"/>
      <c r="M492" s="164"/>
      <c r="N492" s="150"/>
      <c r="O492" s="174"/>
      <c r="P492" s="523"/>
      <c r="Q492" s="523"/>
      <c r="R492" s="154"/>
      <c r="S492" s="155"/>
      <c r="T492" s="156"/>
      <c r="U492" s="154"/>
      <c r="V492" s="155"/>
      <c r="W492" s="155"/>
      <c r="X492" s="419"/>
      <c r="Y492" s="157"/>
      <c r="Z492" s="217"/>
      <c r="AA492" s="150"/>
      <c r="AB492" s="151"/>
      <c r="AC492" s="152"/>
      <c r="AD492" s="506"/>
      <c r="AE492" s="166"/>
      <c r="AF492" s="150"/>
      <c r="AG492" s="152"/>
      <c r="AH492" s="150"/>
      <c r="AI492" s="152"/>
      <c r="AJ492" s="150"/>
      <c r="AK492" s="152"/>
      <c r="AL492" s="150"/>
      <c r="AM492" s="151"/>
      <c r="AN492" s="151"/>
      <c r="AO492" s="169"/>
      <c r="AP492" s="169"/>
      <c r="AQ492" s="149"/>
      <c r="AR492" s="324"/>
      <c r="AS492" s="324"/>
      <c r="AT492" s="324"/>
      <c r="AU492" s="324"/>
      <c r="AV492" s="324"/>
      <c r="AW492" s="324"/>
      <c r="AX492" s="150"/>
      <c r="AY492" s="297"/>
      <c r="AZ492" s="297"/>
      <c r="BA492" s="297"/>
      <c r="BB492" s="297"/>
      <c r="BC492" s="152"/>
      <c r="BD492" s="150"/>
      <c r="BE492" s="297"/>
      <c r="BF492" s="297"/>
      <c r="BG492" s="297"/>
      <c r="BH492" s="297"/>
      <c r="BI492" s="152"/>
      <c r="BJ492" s="170"/>
      <c r="BK492" s="148"/>
      <c r="BL492" s="324"/>
      <c r="BM492" s="324"/>
      <c r="BN492" s="170"/>
      <c r="BO492" s="149"/>
      <c r="BP492" s="170"/>
      <c r="BQ492" s="149"/>
      <c r="BR492" s="170"/>
      <c r="BS492" s="171"/>
      <c r="BT492" s="706"/>
    </row>
    <row r="493" spans="1:72" s="2" customFormat="1" ht="24.9" customHeight="1">
      <c r="A493" s="147"/>
      <c r="B493" s="158"/>
      <c r="C493" s="179"/>
      <c r="D493" s="158"/>
      <c r="E493" s="160"/>
      <c r="F493" s="161"/>
      <c r="G493" s="161"/>
      <c r="H493" s="161"/>
      <c r="I493" s="163"/>
      <c r="J493" s="161"/>
      <c r="K493" s="163"/>
      <c r="L493" s="150"/>
      <c r="M493" s="164"/>
      <c r="N493" s="150"/>
      <c r="O493" s="151"/>
      <c r="P493" s="522"/>
      <c r="Q493" s="522"/>
      <c r="R493" s="154"/>
      <c r="S493" s="155"/>
      <c r="T493" s="156"/>
      <c r="U493" s="154"/>
      <c r="V493" s="155"/>
      <c r="W493" s="155"/>
      <c r="X493" s="419"/>
      <c r="Y493" s="157"/>
      <c r="Z493" s="217"/>
      <c r="AA493" s="150"/>
      <c r="AB493" s="151"/>
      <c r="AC493" s="152"/>
      <c r="AD493" s="506"/>
      <c r="AE493" s="166"/>
      <c r="AF493" s="150"/>
      <c r="AG493" s="152"/>
      <c r="AH493" s="150"/>
      <c r="AI493" s="152"/>
      <c r="AJ493" s="150"/>
      <c r="AK493" s="152"/>
      <c r="AL493" s="150"/>
      <c r="AM493" s="151"/>
      <c r="AN493" s="151"/>
      <c r="AO493" s="169"/>
      <c r="AP493" s="169"/>
      <c r="AQ493" s="149"/>
      <c r="AR493" s="324"/>
      <c r="AS493" s="324"/>
      <c r="AT493" s="324"/>
      <c r="AU493" s="324"/>
      <c r="AV493" s="324"/>
      <c r="AW493" s="324"/>
      <c r="AX493" s="150"/>
      <c r="AY493" s="297"/>
      <c r="AZ493" s="297"/>
      <c r="BA493" s="297"/>
      <c r="BB493" s="297"/>
      <c r="BC493" s="152"/>
      <c r="BD493" s="150"/>
      <c r="BE493" s="297"/>
      <c r="BF493" s="297"/>
      <c r="BG493" s="297"/>
      <c r="BH493" s="297"/>
      <c r="BI493" s="152"/>
      <c r="BJ493" s="170"/>
      <c r="BK493" s="148"/>
      <c r="BL493" s="324"/>
      <c r="BM493" s="324"/>
      <c r="BN493" s="170"/>
      <c r="BO493" s="149"/>
      <c r="BP493" s="170"/>
      <c r="BQ493" s="149"/>
      <c r="BR493" s="170"/>
      <c r="BS493" s="171"/>
      <c r="BT493" s="708"/>
    </row>
    <row r="494" spans="1:72" s="2" customFormat="1" ht="24.9" customHeight="1">
      <c r="A494" s="147"/>
      <c r="B494" s="158"/>
      <c r="C494" s="179"/>
      <c r="D494" s="158"/>
      <c r="E494" s="160"/>
      <c r="F494" s="161"/>
      <c r="G494" s="161"/>
      <c r="H494" s="161"/>
      <c r="I494" s="163"/>
      <c r="J494" s="161"/>
      <c r="K494" s="163"/>
      <c r="L494" s="150"/>
      <c r="M494" s="164"/>
      <c r="N494" s="150"/>
      <c r="O494" s="174"/>
      <c r="P494" s="523"/>
      <c r="Q494" s="523"/>
      <c r="R494" s="154"/>
      <c r="S494" s="155"/>
      <c r="T494" s="156"/>
      <c r="U494" s="154"/>
      <c r="V494" s="155"/>
      <c r="W494" s="155"/>
      <c r="X494" s="419"/>
      <c r="Y494" s="157"/>
      <c r="Z494" s="217"/>
      <c r="AA494" s="150"/>
      <c r="AB494" s="151"/>
      <c r="AC494" s="152"/>
      <c r="AD494" s="506"/>
      <c r="AE494" s="166"/>
      <c r="AF494" s="150"/>
      <c r="AG494" s="152"/>
      <c r="AH494" s="150"/>
      <c r="AI494" s="152"/>
      <c r="AJ494" s="150"/>
      <c r="AK494" s="152"/>
      <c r="AL494" s="150"/>
      <c r="AM494" s="151"/>
      <c r="AN494" s="151"/>
      <c r="AO494" s="169"/>
      <c r="AP494" s="169"/>
      <c r="AQ494" s="149"/>
      <c r="AR494" s="324"/>
      <c r="AS494" s="324"/>
      <c r="AT494" s="324"/>
      <c r="AU494" s="324"/>
      <c r="AV494" s="324"/>
      <c r="AW494" s="324"/>
      <c r="AX494" s="150"/>
      <c r="AY494" s="297"/>
      <c r="AZ494" s="297"/>
      <c r="BA494" s="297"/>
      <c r="BB494" s="297"/>
      <c r="BC494" s="152"/>
      <c r="BD494" s="150"/>
      <c r="BE494" s="297"/>
      <c r="BF494" s="297"/>
      <c r="BG494" s="297"/>
      <c r="BH494" s="297"/>
      <c r="BI494" s="152"/>
      <c r="BJ494" s="170"/>
      <c r="BK494" s="148"/>
      <c r="BL494" s="324"/>
      <c r="BM494" s="324"/>
      <c r="BN494" s="170"/>
      <c r="BO494" s="149"/>
      <c r="BP494" s="170"/>
      <c r="BQ494" s="149"/>
      <c r="BR494" s="170"/>
      <c r="BS494" s="171"/>
      <c r="BT494" s="708"/>
    </row>
    <row r="495" spans="1:72" s="2" customFormat="1" ht="24.9" customHeight="1">
      <c r="A495" s="147"/>
      <c r="B495" s="158"/>
      <c r="C495" s="179"/>
      <c r="D495" s="158"/>
      <c r="E495" s="160"/>
      <c r="F495" s="161"/>
      <c r="G495" s="161"/>
      <c r="H495" s="161"/>
      <c r="I495" s="163"/>
      <c r="J495" s="161"/>
      <c r="K495" s="163"/>
      <c r="L495" s="150"/>
      <c r="M495" s="164"/>
      <c r="N495" s="150"/>
      <c r="O495" s="151"/>
      <c r="P495" s="522"/>
      <c r="Q495" s="522"/>
      <c r="R495" s="154"/>
      <c r="S495" s="155"/>
      <c r="T495" s="156"/>
      <c r="U495" s="154"/>
      <c r="V495" s="155"/>
      <c r="W495" s="155"/>
      <c r="X495" s="419"/>
      <c r="Y495" s="157"/>
      <c r="Z495" s="217"/>
      <c r="AA495" s="150"/>
      <c r="AB495" s="151"/>
      <c r="AC495" s="152"/>
      <c r="AD495" s="506"/>
      <c r="AE495" s="166"/>
      <c r="AF495" s="150"/>
      <c r="AG495" s="152"/>
      <c r="AH495" s="150"/>
      <c r="AI495" s="152"/>
      <c r="AJ495" s="150"/>
      <c r="AK495" s="152"/>
      <c r="AL495" s="150"/>
      <c r="AM495" s="151"/>
      <c r="AN495" s="151"/>
      <c r="AO495" s="169"/>
      <c r="AP495" s="169"/>
      <c r="AQ495" s="149"/>
      <c r="AR495" s="324"/>
      <c r="AS495" s="324"/>
      <c r="AT495" s="324"/>
      <c r="AU495" s="324"/>
      <c r="AV495" s="324"/>
      <c r="AW495" s="324"/>
      <c r="AX495" s="150"/>
      <c r="AY495" s="297"/>
      <c r="AZ495" s="297"/>
      <c r="BA495" s="297"/>
      <c r="BB495" s="297"/>
      <c r="BC495" s="152"/>
      <c r="BD495" s="150"/>
      <c r="BE495" s="297"/>
      <c r="BF495" s="297"/>
      <c r="BG495" s="297"/>
      <c r="BH495" s="297"/>
      <c r="BI495" s="152"/>
      <c r="BJ495" s="170"/>
      <c r="BK495" s="148"/>
      <c r="BL495" s="324"/>
      <c r="BM495" s="324"/>
      <c r="BN495" s="170"/>
      <c r="BO495" s="149"/>
      <c r="BP495" s="170"/>
      <c r="BQ495" s="149"/>
      <c r="BR495" s="170"/>
      <c r="BS495" s="171"/>
      <c r="BT495" s="707"/>
    </row>
    <row r="496" spans="1:72" s="2" customFormat="1" ht="24.9" customHeight="1">
      <c r="A496" s="147"/>
      <c r="B496" s="158"/>
      <c r="C496" s="179"/>
      <c r="D496" s="158"/>
      <c r="E496" s="160"/>
      <c r="F496" s="161"/>
      <c r="G496" s="161"/>
      <c r="H496" s="161"/>
      <c r="I496" s="163"/>
      <c r="J496" s="161"/>
      <c r="K496" s="163"/>
      <c r="L496" s="150"/>
      <c r="M496" s="164"/>
      <c r="N496" s="150"/>
      <c r="O496" s="174"/>
      <c r="P496" s="523"/>
      <c r="Q496" s="523"/>
      <c r="R496" s="154"/>
      <c r="S496" s="155"/>
      <c r="T496" s="156"/>
      <c r="U496" s="154"/>
      <c r="V496" s="155"/>
      <c r="W496" s="155"/>
      <c r="X496" s="419"/>
      <c r="Y496" s="157"/>
      <c r="Z496" s="217"/>
      <c r="AA496" s="150"/>
      <c r="AB496" s="151"/>
      <c r="AC496" s="152"/>
      <c r="AD496" s="506"/>
      <c r="AE496" s="166"/>
      <c r="AF496" s="150"/>
      <c r="AG496" s="152"/>
      <c r="AH496" s="150"/>
      <c r="AI496" s="152"/>
      <c r="AJ496" s="150"/>
      <c r="AK496" s="152"/>
      <c r="AL496" s="150"/>
      <c r="AM496" s="151"/>
      <c r="AN496" s="151"/>
      <c r="AO496" s="169"/>
      <c r="AP496" s="169"/>
      <c r="AQ496" s="149"/>
      <c r="AR496" s="324"/>
      <c r="AS496" s="324"/>
      <c r="AT496" s="324"/>
      <c r="AU496" s="324"/>
      <c r="AV496" s="324"/>
      <c r="AW496" s="324"/>
      <c r="AX496" s="150"/>
      <c r="AY496" s="297"/>
      <c r="AZ496" s="297"/>
      <c r="BA496" s="297"/>
      <c r="BB496" s="297"/>
      <c r="BC496" s="152"/>
      <c r="BD496" s="150"/>
      <c r="BE496" s="297"/>
      <c r="BF496" s="297"/>
      <c r="BG496" s="297"/>
      <c r="BH496" s="297"/>
      <c r="BI496" s="152"/>
      <c r="BJ496" s="170"/>
      <c r="BK496" s="148"/>
      <c r="BL496" s="324"/>
      <c r="BM496" s="324"/>
      <c r="BN496" s="170"/>
      <c r="BO496" s="149"/>
      <c r="BP496" s="170"/>
      <c r="BQ496" s="149"/>
      <c r="BR496" s="170"/>
      <c r="BS496" s="171"/>
      <c r="BT496" s="706"/>
    </row>
    <row r="497" spans="1:72" s="2" customFormat="1" ht="24.9" customHeight="1">
      <c r="A497" s="147"/>
      <c r="B497" s="158"/>
      <c r="C497" s="179"/>
      <c r="D497" s="158"/>
      <c r="E497" s="160"/>
      <c r="F497" s="161"/>
      <c r="G497" s="161"/>
      <c r="H497" s="161"/>
      <c r="I497" s="163"/>
      <c r="J497" s="161"/>
      <c r="K497" s="163"/>
      <c r="L497" s="150"/>
      <c r="M497" s="164"/>
      <c r="N497" s="150"/>
      <c r="O497" s="174"/>
      <c r="P497" s="523"/>
      <c r="Q497" s="523"/>
      <c r="R497" s="154"/>
      <c r="S497" s="155"/>
      <c r="T497" s="156"/>
      <c r="U497" s="154"/>
      <c r="V497" s="155"/>
      <c r="W497" s="155"/>
      <c r="X497" s="419"/>
      <c r="Y497" s="157"/>
      <c r="Z497" s="217"/>
      <c r="AA497" s="150"/>
      <c r="AB497" s="151"/>
      <c r="AC497" s="152"/>
      <c r="AD497" s="506"/>
      <c r="AE497" s="166"/>
      <c r="AF497" s="150"/>
      <c r="AG497" s="152"/>
      <c r="AH497" s="150"/>
      <c r="AI497" s="152"/>
      <c r="AJ497" s="150"/>
      <c r="AK497" s="152"/>
      <c r="AL497" s="150"/>
      <c r="AM497" s="151"/>
      <c r="AN497" s="151"/>
      <c r="AO497" s="169"/>
      <c r="AP497" s="169"/>
      <c r="AQ497" s="149"/>
      <c r="AR497" s="324"/>
      <c r="AS497" s="324"/>
      <c r="AT497" s="324"/>
      <c r="AU497" s="324"/>
      <c r="AV497" s="324"/>
      <c r="AW497" s="324"/>
      <c r="AX497" s="150"/>
      <c r="AY497" s="297"/>
      <c r="AZ497" s="297"/>
      <c r="BA497" s="297"/>
      <c r="BB497" s="297"/>
      <c r="BC497" s="152"/>
      <c r="BD497" s="150"/>
      <c r="BE497" s="297"/>
      <c r="BF497" s="297"/>
      <c r="BG497" s="297"/>
      <c r="BH497" s="297"/>
      <c r="BI497" s="152"/>
      <c r="BJ497" s="170"/>
      <c r="BK497" s="148"/>
      <c r="BL497" s="324"/>
      <c r="BM497" s="324"/>
      <c r="BN497" s="170"/>
      <c r="BO497" s="149"/>
      <c r="BP497" s="170"/>
      <c r="BQ497" s="149"/>
      <c r="BR497" s="170"/>
      <c r="BS497" s="171"/>
      <c r="BT497" s="707"/>
    </row>
    <row r="498" spans="1:72" s="2" customFormat="1" ht="24.9" customHeight="1">
      <c r="A498" s="147"/>
      <c r="B498" s="158"/>
      <c r="C498" s="179"/>
      <c r="D498" s="158"/>
      <c r="E498" s="160"/>
      <c r="F498" s="161"/>
      <c r="G498" s="161"/>
      <c r="H498" s="161"/>
      <c r="I498" s="163"/>
      <c r="J498" s="161"/>
      <c r="K498" s="163"/>
      <c r="L498" s="150"/>
      <c r="M498" s="164"/>
      <c r="N498" s="150"/>
      <c r="O498" s="174"/>
      <c r="P498" s="523"/>
      <c r="Q498" s="523"/>
      <c r="R498" s="154"/>
      <c r="S498" s="155"/>
      <c r="T498" s="156"/>
      <c r="U498" s="154"/>
      <c r="V498" s="155"/>
      <c r="W498" s="155"/>
      <c r="X498" s="419"/>
      <c r="Y498" s="157"/>
      <c r="Z498" s="217"/>
      <c r="AA498" s="150"/>
      <c r="AB498" s="151"/>
      <c r="AC498" s="152"/>
      <c r="AD498" s="506"/>
      <c r="AE498" s="166"/>
      <c r="AF498" s="150"/>
      <c r="AG498" s="152"/>
      <c r="AH498" s="150"/>
      <c r="AI498" s="152"/>
      <c r="AJ498" s="150"/>
      <c r="AK498" s="152"/>
      <c r="AL498" s="150"/>
      <c r="AM498" s="151"/>
      <c r="AN498" s="151"/>
      <c r="AO498" s="169"/>
      <c r="AP498" s="169"/>
      <c r="AQ498" s="149"/>
      <c r="AR498" s="324"/>
      <c r="AS498" s="324"/>
      <c r="AT498" s="324"/>
      <c r="AU498" s="324"/>
      <c r="AV498" s="324"/>
      <c r="AW498" s="324"/>
      <c r="AX498" s="150"/>
      <c r="AY498" s="297"/>
      <c r="AZ498" s="297"/>
      <c r="BA498" s="297"/>
      <c r="BB498" s="297"/>
      <c r="BC498" s="152"/>
      <c r="BD498" s="150"/>
      <c r="BE498" s="297"/>
      <c r="BF498" s="297"/>
      <c r="BG498" s="297"/>
      <c r="BH498" s="297"/>
      <c r="BI498" s="152"/>
      <c r="BJ498" s="170"/>
      <c r="BK498" s="148"/>
      <c r="BL498" s="324"/>
      <c r="BM498" s="324"/>
      <c r="BN498" s="170"/>
      <c r="BO498" s="149"/>
      <c r="BP498" s="170"/>
      <c r="BQ498" s="149"/>
      <c r="BR498" s="170"/>
      <c r="BS498" s="171"/>
      <c r="BT498" s="706"/>
    </row>
    <row r="499" spans="1:72" s="2" customFormat="1" ht="24.9" customHeight="1">
      <c r="A499" s="147"/>
      <c r="B499" s="158"/>
      <c r="C499" s="179"/>
      <c r="D499" s="158"/>
      <c r="E499" s="160"/>
      <c r="F499" s="161"/>
      <c r="G499" s="161"/>
      <c r="H499" s="161"/>
      <c r="I499" s="163"/>
      <c r="J499" s="161"/>
      <c r="K499" s="163"/>
      <c r="L499" s="150"/>
      <c r="M499" s="164"/>
      <c r="N499" s="150"/>
      <c r="O499" s="174"/>
      <c r="P499" s="523"/>
      <c r="Q499" s="523"/>
      <c r="R499" s="154"/>
      <c r="S499" s="155"/>
      <c r="T499" s="156"/>
      <c r="U499" s="154"/>
      <c r="V499" s="155"/>
      <c r="W499" s="155"/>
      <c r="X499" s="419"/>
      <c r="Y499" s="157"/>
      <c r="Z499" s="217"/>
      <c r="AA499" s="150"/>
      <c r="AB499" s="151"/>
      <c r="AC499" s="152"/>
      <c r="AD499" s="506"/>
      <c r="AE499" s="166"/>
      <c r="AF499" s="150"/>
      <c r="AG499" s="152"/>
      <c r="AH499" s="150"/>
      <c r="AI499" s="152"/>
      <c r="AJ499" s="150"/>
      <c r="AK499" s="152"/>
      <c r="AL499" s="150"/>
      <c r="AM499" s="151"/>
      <c r="AN499" s="151"/>
      <c r="AO499" s="169"/>
      <c r="AP499" s="169"/>
      <c r="AQ499" s="149"/>
      <c r="AR499" s="324"/>
      <c r="AS499" s="324"/>
      <c r="AT499" s="324"/>
      <c r="AU499" s="324"/>
      <c r="AV499" s="324"/>
      <c r="AW499" s="324"/>
      <c r="AX499" s="150"/>
      <c r="AY499" s="297"/>
      <c r="AZ499" s="297"/>
      <c r="BA499" s="297"/>
      <c r="BB499" s="297"/>
      <c r="BC499" s="152"/>
      <c r="BD499" s="150"/>
      <c r="BE499" s="297"/>
      <c r="BF499" s="297"/>
      <c r="BG499" s="297"/>
      <c r="BH499" s="297"/>
      <c r="BI499" s="152"/>
      <c r="BJ499" s="170"/>
      <c r="BK499" s="148"/>
      <c r="BL499" s="324"/>
      <c r="BM499" s="324"/>
      <c r="BN499" s="170"/>
      <c r="BO499" s="149"/>
      <c r="BP499" s="170"/>
      <c r="BQ499" s="149"/>
      <c r="BR499" s="170"/>
      <c r="BS499" s="171"/>
      <c r="BT499" s="707"/>
    </row>
    <row r="500" spans="1:72" s="2" customFormat="1" ht="24.9" customHeight="1">
      <c r="A500" s="147"/>
      <c r="B500" s="158"/>
      <c r="C500" s="179"/>
      <c r="D500" s="158"/>
      <c r="E500" s="160"/>
      <c r="F500" s="161"/>
      <c r="G500" s="161"/>
      <c r="H500" s="161"/>
      <c r="I500" s="163"/>
      <c r="J500" s="161"/>
      <c r="K500" s="163"/>
      <c r="L500" s="150"/>
      <c r="M500" s="164"/>
      <c r="N500" s="150"/>
      <c r="O500" s="174"/>
      <c r="P500" s="523"/>
      <c r="Q500" s="523"/>
      <c r="R500" s="154"/>
      <c r="S500" s="155"/>
      <c r="T500" s="156"/>
      <c r="U500" s="154"/>
      <c r="V500" s="155"/>
      <c r="W500" s="155"/>
      <c r="X500" s="419"/>
      <c r="Y500" s="157"/>
      <c r="Z500" s="217"/>
      <c r="AA500" s="150"/>
      <c r="AB500" s="151"/>
      <c r="AC500" s="152"/>
      <c r="AD500" s="506"/>
      <c r="AE500" s="166"/>
      <c r="AF500" s="150"/>
      <c r="AG500" s="152"/>
      <c r="AH500" s="150"/>
      <c r="AI500" s="152"/>
      <c r="AJ500" s="150"/>
      <c r="AK500" s="152"/>
      <c r="AL500" s="150"/>
      <c r="AM500" s="151"/>
      <c r="AN500" s="151"/>
      <c r="AO500" s="169"/>
      <c r="AP500" s="169"/>
      <c r="AQ500" s="149"/>
      <c r="AR500" s="324"/>
      <c r="AS500" s="324"/>
      <c r="AT500" s="324"/>
      <c r="AU500" s="324"/>
      <c r="AV500" s="324"/>
      <c r="AW500" s="324"/>
      <c r="AX500" s="150"/>
      <c r="AY500" s="297"/>
      <c r="AZ500" s="297"/>
      <c r="BA500" s="297"/>
      <c r="BB500" s="297"/>
      <c r="BC500" s="152"/>
      <c r="BD500" s="150"/>
      <c r="BE500" s="297"/>
      <c r="BF500" s="297"/>
      <c r="BG500" s="297"/>
      <c r="BH500" s="297"/>
      <c r="BI500" s="152"/>
      <c r="BJ500" s="170"/>
      <c r="BK500" s="148"/>
      <c r="BL500" s="324"/>
      <c r="BM500" s="324"/>
      <c r="BN500" s="170"/>
      <c r="BO500" s="149"/>
      <c r="BP500" s="170"/>
      <c r="BQ500" s="149"/>
      <c r="BR500" s="170"/>
      <c r="BS500" s="171"/>
      <c r="BT500" s="706"/>
    </row>
    <row r="501" spans="1:72" s="2" customFormat="1" ht="24.9" customHeight="1">
      <c r="A501" s="147"/>
      <c r="B501" s="158"/>
      <c r="C501" s="179"/>
      <c r="D501" s="158"/>
      <c r="E501" s="160"/>
      <c r="F501" s="161"/>
      <c r="G501" s="161"/>
      <c r="H501" s="161"/>
      <c r="I501" s="163"/>
      <c r="J501" s="161"/>
      <c r="K501" s="163"/>
      <c r="L501" s="150"/>
      <c r="M501" s="164"/>
      <c r="N501" s="150"/>
      <c r="O501" s="151"/>
      <c r="P501" s="522"/>
      <c r="Q501" s="522"/>
      <c r="R501" s="154"/>
      <c r="S501" s="155"/>
      <c r="T501" s="156"/>
      <c r="U501" s="154"/>
      <c r="V501" s="155"/>
      <c r="W501" s="155"/>
      <c r="X501" s="419"/>
      <c r="Y501" s="157"/>
      <c r="Z501" s="217"/>
      <c r="AA501" s="150"/>
      <c r="AB501" s="151"/>
      <c r="AC501" s="152"/>
      <c r="AD501" s="506"/>
      <c r="AE501" s="166"/>
      <c r="AF501" s="150"/>
      <c r="AG501" s="152"/>
      <c r="AH501" s="150"/>
      <c r="AI501" s="152"/>
      <c r="AJ501" s="150"/>
      <c r="AK501" s="152"/>
      <c r="AL501" s="150"/>
      <c r="AM501" s="151"/>
      <c r="AN501" s="151"/>
      <c r="AO501" s="169"/>
      <c r="AP501" s="169"/>
      <c r="AQ501" s="149"/>
      <c r="AR501" s="324"/>
      <c r="AS501" s="324"/>
      <c r="AT501" s="324"/>
      <c r="AU501" s="324"/>
      <c r="AV501" s="324"/>
      <c r="AW501" s="324"/>
      <c r="AX501" s="150"/>
      <c r="AY501" s="297"/>
      <c r="AZ501" s="297"/>
      <c r="BA501" s="297"/>
      <c r="BB501" s="297"/>
      <c r="BC501" s="152"/>
      <c r="BD501" s="150"/>
      <c r="BE501" s="297"/>
      <c r="BF501" s="297"/>
      <c r="BG501" s="297"/>
      <c r="BH501" s="297"/>
      <c r="BI501" s="152"/>
      <c r="BJ501" s="170"/>
      <c r="BK501" s="148"/>
      <c r="BL501" s="324"/>
      <c r="BM501" s="324"/>
      <c r="BN501" s="170"/>
      <c r="BO501" s="149"/>
      <c r="BP501" s="170"/>
      <c r="BQ501" s="149"/>
      <c r="BR501" s="170"/>
      <c r="BS501" s="171"/>
      <c r="BT501" s="708"/>
    </row>
    <row r="502" spans="1:72" s="2" customFormat="1" ht="24.9" customHeight="1">
      <c r="A502" s="147"/>
      <c r="B502" s="158"/>
      <c r="C502" s="179"/>
      <c r="D502" s="158"/>
      <c r="E502" s="160"/>
      <c r="F502" s="161"/>
      <c r="G502" s="161"/>
      <c r="H502" s="161"/>
      <c r="I502" s="163"/>
      <c r="J502" s="161"/>
      <c r="K502" s="163"/>
      <c r="L502" s="150"/>
      <c r="M502" s="164"/>
      <c r="N502" s="150"/>
      <c r="O502" s="174"/>
      <c r="P502" s="523"/>
      <c r="Q502" s="523"/>
      <c r="R502" s="154"/>
      <c r="S502" s="155"/>
      <c r="T502" s="156"/>
      <c r="U502" s="154"/>
      <c r="V502" s="155"/>
      <c r="W502" s="155"/>
      <c r="X502" s="419"/>
      <c r="Y502" s="157"/>
      <c r="Z502" s="217"/>
      <c r="AA502" s="150"/>
      <c r="AB502" s="151"/>
      <c r="AC502" s="152"/>
      <c r="AD502" s="506"/>
      <c r="AE502" s="166"/>
      <c r="AF502" s="150"/>
      <c r="AG502" s="152"/>
      <c r="AH502" s="150"/>
      <c r="AI502" s="152"/>
      <c r="AJ502" s="150"/>
      <c r="AK502" s="152"/>
      <c r="AL502" s="150"/>
      <c r="AM502" s="151"/>
      <c r="AN502" s="151"/>
      <c r="AO502" s="169"/>
      <c r="AP502" s="169"/>
      <c r="AQ502" s="149"/>
      <c r="AR502" s="324"/>
      <c r="AS502" s="324"/>
      <c r="AT502" s="324"/>
      <c r="AU502" s="324"/>
      <c r="AV502" s="324"/>
      <c r="AW502" s="324"/>
      <c r="AX502" s="150"/>
      <c r="AY502" s="297"/>
      <c r="AZ502" s="297"/>
      <c r="BA502" s="297"/>
      <c r="BB502" s="297"/>
      <c r="BC502" s="152"/>
      <c r="BD502" s="150"/>
      <c r="BE502" s="297"/>
      <c r="BF502" s="297"/>
      <c r="BG502" s="297"/>
      <c r="BH502" s="297"/>
      <c r="BI502" s="152"/>
      <c r="BJ502" s="170"/>
      <c r="BK502" s="148"/>
      <c r="BL502" s="324"/>
      <c r="BM502" s="324"/>
      <c r="BN502" s="170"/>
      <c r="BO502" s="149"/>
      <c r="BP502" s="170"/>
      <c r="BQ502" s="149"/>
      <c r="BR502" s="170"/>
      <c r="BS502" s="171"/>
      <c r="BT502" s="707"/>
    </row>
    <row r="503" spans="1:72" s="2" customFormat="1" ht="24.9" customHeight="1">
      <c r="A503" s="147"/>
      <c r="B503" s="158"/>
      <c r="C503" s="179"/>
      <c r="D503" s="158"/>
      <c r="E503" s="160"/>
      <c r="F503" s="161"/>
      <c r="G503" s="161"/>
      <c r="H503" s="161"/>
      <c r="I503" s="163"/>
      <c r="J503" s="161"/>
      <c r="K503" s="163"/>
      <c r="L503" s="150"/>
      <c r="M503" s="164"/>
      <c r="N503" s="150"/>
      <c r="O503" s="174"/>
      <c r="P503" s="523"/>
      <c r="Q503" s="523"/>
      <c r="R503" s="154"/>
      <c r="S503" s="155"/>
      <c r="T503" s="156"/>
      <c r="U503" s="154"/>
      <c r="V503" s="155"/>
      <c r="W503" s="155"/>
      <c r="X503" s="419"/>
      <c r="Y503" s="157"/>
      <c r="Z503" s="217"/>
      <c r="AA503" s="150"/>
      <c r="AB503" s="151"/>
      <c r="AC503" s="152"/>
      <c r="AD503" s="506"/>
      <c r="AE503" s="166"/>
      <c r="AF503" s="150"/>
      <c r="AG503" s="152"/>
      <c r="AH503" s="150"/>
      <c r="AI503" s="152"/>
      <c r="AJ503" s="150"/>
      <c r="AK503" s="152"/>
      <c r="AL503" s="150"/>
      <c r="AM503" s="151"/>
      <c r="AN503" s="151"/>
      <c r="AO503" s="169"/>
      <c r="AP503" s="169"/>
      <c r="AQ503" s="149"/>
      <c r="AR503" s="324"/>
      <c r="AS503" s="324"/>
      <c r="AT503" s="324"/>
      <c r="AU503" s="324"/>
      <c r="AV503" s="324"/>
      <c r="AW503" s="324"/>
      <c r="AX503" s="150"/>
      <c r="AY503" s="297"/>
      <c r="AZ503" s="297"/>
      <c r="BA503" s="297"/>
      <c r="BB503" s="297"/>
      <c r="BC503" s="152"/>
      <c r="BD503" s="150"/>
      <c r="BE503" s="297"/>
      <c r="BF503" s="297"/>
      <c r="BG503" s="297"/>
      <c r="BH503" s="297"/>
      <c r="BI503" s="152"/>
      <c r="BJ503" s="170"/>
      <c r="BK503" s="148"/>
      <c r="BL503" s="324"/>
      <c r="BM503" s="324"/>
      <c r="BN503" s="170"/>
      <c r="BO503" s="149"/>
      <c r="BP503" s="170"/>
      <c r="BQ503" s="149"/>
      <c r="BR503" s="170"/>
      <c r="BS503" s="171"/>
      <c r="BT503" s="706"/>
    </row>
    <row r="504" spans="1:72" s="2" customFormat="1" ht="24.9" customHeight="1">
      <c r="A504" s="147"/>
      <c r="B504" s="158"/>
      <c r="C504" s="179"/>
      <c r="D504" s="158"/>
      <c r="E504" s="160"/>
      <c r="F504" s="161"/>
      <c r="G504" s="161"/>
      <c r="H504" s="161"/>
      <c r="I504" s="163"/>
      <c r="J504" s="161"/>
      <c r="K504" s="163"/>
      <c r="L504" s="150"/>
      <c r="M504" s="164"/>
      <c r="N504" s="150"/>
      <c r="O504" s="174"/>
      <c r="P504" s="523"/>
      <c r="Q504" s="523"/>
      <c r="R504" s="154"/>
      <c r="S504" s="155"/>
      <c r="T504" s="156"/>
      <c r="U504" s="154"/>
      <c r="V504" s="155"/>
      <c r="W504" s="155"/>
      <c r="X504" s="419"/>
      <c r="Y504" s="157"/>
      <c r="Z504" s="217"/>
      <c r="AA504" s="150"/>
      <c r="AB504" s="151"/>
      <c r="AC504" s="152"/>
      <c r="AD504" s="506"/>
      <c r="AE504" s="166"/>
      <c r="AF504" s="150"/>
      <c r="AG504" s="152"/>
      <c r="AH504" s="150"/>
      <c r="AI504" s="152"/>
      <c r="AJ504" s="150"/>
      <c r="AK504" s="152"/>
      <c r="AL504" s="150"/>
      <c r="AM504" s="151"/>
      <c r="AN504" s="151"/>
      <c r="AO504" s="169"/>
      <c r="AP504" s="169"/>
      <c r="AQ504" s="149"/>
      <c r="AR504" s="324"/>
      <c r="AS504" s="324"/>
      <c r="AT504" s="324"/>
      <c r="AU504" s="324"/>
      <c r="AV504" s="324"/>
      <c r="AW504" s="324"/>
      <c r="AX504" s="150"/>
      <c r="AY504" s="297"/>
      <c r="AZ504" s="297"/>
      <c r="BA504" s="297"/>
      <c r="BB504" s="297"/>
      <c r="BC504" s="152"/>
      <c r="BD504" s="150"/>
      <c r="BE504" s="297"/>
      <c r="BF504" s="297"/>
      <c r="BG504" s="297"/>
      <c r="BH504" s="297"/>
      <c r="BI504" s="152"/>
      <c r="BJ504" s="170"/>
      <c r="BK504" s="148"/>
      <c r="BL504" s="324"/>
      <c r="BM504" s="324"/>
      <c r="BN504" s="170"/>
      <c r="BO504" s="149"/>
      <c r="BP504" s="170"/>
      <c r="BQ504" s="149"/>
      <c r="BR504" s="170"/>
      <c r="BS504" s="171"/>
      <c r="BT504" s="707"/>
    </row>
    <row r="505" spans="1:72" s="2" customFormat="1" ht="24.9" customHeight="1">
      <c r="A505" s="147"/>
      <c r="B505" s="158"/>
      <c r="C505" s="179"/>
      <c r="D505" s="158"/>
      <c r="E505" s="160"/>
      <c r="F505" s="161"/>
      <c r="G505" s="161"/>
      <c r="H505" s="161"/>
      <c r="I505" s="163"/>
      <c r="J505" s="161"/>
      <c r="K505" s="163"/>
      <c r="L505" s="150"/>
      <c r="M505" s="164"/>
      <c r="N505" s="150"/>
      <c r="O505" s="174"/>
      <c r="P505" s="523"/>
      <c r="Q505" s="523"/>
      <c r="R505" s="154"/>
      <c r="S505" s="155"/>
      <c r="T505" s="156"/>
      <c r="U505" s="154"/>
      <c r="V505" s="155"/>
      <c r="W505" s="155"/>
      <c r="X505" s="419"/>
      <c r="Y505" s="157"/>
      <c r="Z505" s="217"/>
      <c r="AA505" s="150"/>
      <c r="AB505" s="151"/>
      <c r="AC505" s="152"/>
      <c r="AD505" s="506"/>
      <c r="AE505" s="166"/>
      <c r="AF505" s="150"/>
      <c r="AG505" s="152"/>
      <c r="AH505" s="150"/>
      <c r="AI505" s="152"/>
      <c r="AJ505" s="150"/>
      <c r="AK505" s="152"/>
      <c r="AL505" s="150"/>
      <c r="AM505" s="151"/>
      <c r="AN505" s="151"/>
      <c r="AO505" s="169"/>
      <c r="AP505" s="169"/>
      <c r="AQ505" s="149"/>
      <c r="AR505" s="324"/>
      <c r="AS505" s="324"/>
      <c r="AT505" s="324"/>
      <c r="AU505" s="324"/>
      <c r="AV505" s="324"/>
      <c r="AW505" s="324"/>
      <c r="AX505" s="150"/>
      <c r="AY505" s="297"/>
      <c r="AZ505" s="297"/>
      <c r="BA505" s="297"/>
      <c r="BB505" s="297"/>
      <c r="BC505" s="152"/>
      <c r="BD505" s="150"/>
      <c r="BE505" s="297"/>
      <c r="BF505" s="297"/>
      <c r="BG505" s="297"/>
      <c r="BH505" s="297"/>
      <c r="BI505" s="152"/>
      <c r="BJ505" s="170"/>
      <c r="BK505" s="148"/>
      <c r="BL505" s="324"/>
      <c r="BM505" s="324"/>
      <c r="BN505" s="170"/>
      <c r="BO505" s="149"/>
      <c r="BP505" s="170"/>
      <c r="BQ505" s="149"/>
      <c r="BR505" s="170"/>
      <c r="BS505" s="171"/>
      <c r="BT505" s="706"/>
    </row>
    <row r="506" spans="1:72" s="2" customFormat="1" ht="24.9" customHeight="1">
      <c r="A506" s="147"/>
      <c r="B506" s="158"/>
      <c r="C506" s="179"/>
      <c r="D506" s="158"/>
      <c r="E506" s="160"/>
      <c r="F506" s="161"/>
      <c r="G506" s="161"/>
      <c r="H506" s="161"/>
      <c r="I506" s="163"/>
      <c r="J506" s="161"/>
      <c r="K506" s="163"/>
      <c r="L506" s="150"/>
      <c r="M506" s="164"/>
      <c r="N506" s="150"/>
      <c r="O506" s="174"/>
      <c r="P506" s="523"/>
      <c r="Q506" s="523"/>
      <c r="R506" s="154"/>
      <c r="S506" s="155"/>
      <c r="T506" s="156"/>
      <c r="U506" s="154"/>
      <c r="V506" s="155"/>
      <c r="W506" s="155"/>
      <c r="X506" s="419"/>
      <c r="Y506" s="157"/>
      <c r="Z506" s="217"/>
      <c r="AA506" s="150"/>
      <c r="AB506" s="151"/>
      <c r="AC506" s="152"/>
      <c r="AD506" s="506"/>
      <c r="AE506" s="166"/>
      <c r="AF506" s="150"/>
      <c r="AG506" s="152"/>
      <c r="AH506" s="150"/>
      <c r="AI506" s="152"/>
      <c r="AJ506" s="150"/>
      <c r="AK506" s="152"/>
      <c r="AL506" s="150"/>
      <c r="AM506" s="151"/>
      <c r="AN506" s="151"/>
      <c r="AO506" s="169"/>
      <c r="AP506" s="169"/>
      <c r="AQ506" s="149"/>
      <c r="AR506" s="324"/>
      <c r="AS506" s="324"/>
      <c r="AT506" s="324"/>
      <c r="AU506" s="324"/>
      <c r="AV506" s="324"/>
      <c r="AW506" s="324"/>
      <c r="AX506" s="150"/>
      <c r="AY506" s="297"/>
      <c r="AZ506" s="297"/>
      <c r="BA506" s="297"/>
      <c r="BB506" s="297"/>
      <c r="BC506" s="152"/>
      <c r="BD506" s="150"/>
      <c r="BE506" s="297"/>
      <c r="BF506" s="297"/>
      <c r="BG506" s="297"/>
      <c r="BH506" s="297"/>
      <c r="BI506" s="152"/>
      <c r="BJ506" s="170"/>
      <c r="BK506" s="148"/>
      <c r="BL506" s="324"/>
      <c r="BM506" s="324"/>
      <c r="BN506" s="170"/>
      <c r="BO506" s="149"/>
      <c r="BP506" s="170"/>
      <c r="BQ506" s="149"/>
      <c r="BR506" s="170"/>
      <c r="BS506" s="171"/>
      <c r="BT506" s="707"/>
    </row>
    <row r="507" spans="1:72" s="2" customFormat="1" ht="24.9" customHeight="1">
      <c r="A507" s="147"/>
      <c r="B507" s="158"/>
      <c r="C507" s="179"/>
      <c r="D507" s="158"/>
      <c r="E507" s="160"/>
      <c r="F507" s="161"/>
      <c r="G507" s="161"/>
      <c r="H507" s="161"/>
      <c r="I507" s="163"/>
      <c r="J507" s="161"/>
      <c r="K507" s="163"/>
      <c r="L507" s="150"/>
      <c r="M507" s="164"/>
      <c r="N507" s="150"/>
      <c r="O507" s="174"/>
      <c r="P507" s="523"/>
      <c r="Q507" s="523"/>
      <c r="R507" s="154"/>
      <c r="S507" s="155"/>
      <c r="T507" s="156"/>
      <c r="U507" s="154"/>
      <c r="V507" s="155"/>
      <c r="W507" s="155"/>
      <c r="X507" s="419"/>
      <c r="Y507" s="157"/>
      <c r="Z507" s="217"/>
      <c r="AA507" s="150"/>
      <c r="AB507" s="151"/>
      <c r="AC507" s="152"/>
      <c r="AD507" s="506"/>
      <c r="AE507" s="166"/>
      <c r="AF507" s="150"/>
      <c r="AG507" s="152"/>
      <c r="AH507" s="150"/>
      <c r="AI507" s="152"/>
      <c r="AJ507" s="150"/>
      <c r="AK507" s="152"/>
      <c r="AL507" s="150"/>
      <c r="AM507" s="151"/>
      <c r="AN507" s="151"/>
      <c r="AO507" s="169"/>
      <c r="AP507" s="169"/>
      <c r="AQ507" s="149"/>
      <c r="AR507" s="324"/>
      <c r="AS507" s="324"/>
      <c r="AT507" s="324"/>
      <c r="AU507" s="324"/>
      <c r="AV507" s="324"/>
      <c r="AW507" s="324"/>
      <c r="AX507" s="150"/>
      <c r="AY507" s="297"/>
      <c r="AZ507" s="297"/>
      <c r="BA507" s="297"/>
      <c r="BB507" s="297"/>
      <c r="BC507" s="152"/>
      <c r="BD507" s="150"/>
      <c r="BE507" s="297"/>
      <c r="BF507" s="297"/>
      <c r="BG507" s="297"/>
      <c r="BH507" s="297"/>
      <c r="BI507" s="152"/>
      <c r="BJ507" s="170"/>
      <c r="BK507" s="148"/>
      <c r="BL507" s="324"/>
      <c r="BM507" s="324"/>
      <c r="BN507" s="170"/>
      <c r="BO507" s="149"/>
      <c r="BP507" s="170"/>
      <c r="BQ507" s="149"/>
      <c r="BR507" s="170"/>
      <c r="BS507" s="171"/>
      <c r="BT507" s="706"/>
    </row>
    <row r="508" spans="1:72" s="2" customFormat="1" ht="24.9" customHeight="1">
      <c r="A508" s="147"/>
      <c r="B508" s="158"/>
      <c r="C508" s="179"/>
      <c r="D508" s="158"/>
      <c r="E508" s="160"/>
      <c r="F508" s="161"/>
      <c r="G508" s="161"/>
      <c r="H508" s="161"/>
      <c r="I508" s="163"/>
      <c r="J508" s="161"/>
      <c r="K508" s="163"/>
      <c r="L508" s="150"/>
      <c r="M508" s="164"/>
      <c r="N508" s="150"/>
      <c r="O508" s="151"/>
      <c r="P508" s="522"/>
      <c r="Q508" s="522"/>
      <c r="R508" s="154"/>
      <c r="S508" s="155"/>
      <c r="T508" s="156"/>
      <c r="U508" s="154"/>
      <c r="V508" s="155"/>
      <c r="W508" s="155"/>
      <c r="X508" s="419"/>
      <c r="Y508" s="157"/>
      <c r="Z508" s="217"/>
      <c r="AA508" s="150"/>
      <c r="AB508" s="151"/>
      <c r="AC508" s="152"/>
      <c r="AD508" s="506"/>
      <c r="AE508" s="166"/>
      <c r="AF508" s="150"/>
      <c r="AG508" s="152"/>
      <c r="AH508" s="150"/>
      <c r="AI508" s="152"/>
      <c r="AJ508" s="150"/>
      <c r="AK508" s="152"/>
      <c r="AL508" s="150"/>
      <c r="AM508" s="151"/>
      <c r="AN508" s="151"/>
      <c r="AO508" s="169"/>
      <c r="AP508" s="169"/>
      <c r="AQ508" s="149"/>
      <c r="AR508" s="324"/>
      <c r="AS508" s="324"/>
      <c r="AT508" s="324"/>
      <c r="AU508" s="324"/>
      <c r="AV508" s="324"/>
      <c r="AW508" s="324"/>
      <c r="AX508" s="150"/>
      <c r="AY508" s="297"/>
      <c r="AZ508" s="297"/>
      <c r="BA508" s="297"/>
      <c r="BB508" s="297"/>
      <c r="BC508" s="152"/>
      <c r="BD508" s="150"/>
      <c r="BE508" s="297"/>
      <c r="BF508" s="297"/>
      <c r="BG508" s="297"/>
      <c r="BH508" s="297"/>
      <c r="BI508" s="152"/>
      <c r="BJ508" s="170"/>
      <c r="BK508" s="148"/>
      <c r="BL508" s="324"/>
      <c r="BM508" s="324"/>
      <c r="BN508" s="170"/>
      <c r="BO508" s="149"/>
      <c r="BP508" s="170"/>
      <c r="BQ508" s="149"/>
      <c r="BR508" s="170"/>
      <c r="BS508" s="171"/>
      <c r="BT508" s="708"/>
    </row>
    <row r="509" spans="1:72" s="2" customFormat="1" ht="24.9" customHeight="1">
      <c r="A509" s="147"/>
      <c r="B509" s="158"/>
      <c r="C509" s="179"/>
      <c r="D509" s="158"/>
      <c r="E509" s="160"/>
      <c r="F509" s="161"/>
      <c r="G509" s="161"/>
      <c r="H509" s="161"/>
      <c r="I509" s="163"/>
      <c r="J509" s="161"/>
      <c r="K509" s="163"/>
      <c r="L509" s="150"/>
      <c r="M509" s="164"/>
      <c r="N509" s="150"/>
      <c r="O509" s="174"/>
      <c r="P509" s="523"/>
      <c r="Q509" s="523"/>
      <c r="R509" s="154"/>
      <c r="S509" s="155"/>
      <c r="T509" s="156"/>
      <c r="U509" s="154"/>
      <c r="V509" s="155"/>
      <c r="W509" s="155"/>
      <c r="X509" s="419"/>
      <c r="Y509" s="157"/>
      <c r="Z509" s="217"/>
      <c r="AA509" s="150"/>
      <c r="AB509" s="151"/>
      <c r="AC509" s="152"/>
      <c r="AD509" s="506"/>
      <c r="AE509" s="166"/>
      <c r="AF509" s="150"/>
      <c r="AG509" s="152"/>
      <c r="AH509" s="150"/>
      <c r="AI509" s="152"/>
      <c r="AJ509" s="150"/>
      <c r="AK509" s="152"/>
      <c r="AL509" s="150"/>
      <c r="AM509" s="151"/>
      <c r="AN509" s="151"/>
      <c r="AO509" s="169"/>
      <c r="AP509" s="169"/>
      <c r="AQ509" s="149"/>
      <c r="AR509" s="324"/>
      <c r="AS509" s="324"/>
      <c r="AT509" s="324"/>
      <c r="AU509" s="324"/>
      <c r="AV509" s="324"/>
      <c r="AW509" s="324"/>
      <c r="AX509" s="150"/>
      <c r="AY509" s="297"/>
      <c r="AZ509" s="297"/>
      <c r="BA509" s="297"/>
      <c r="BB509" s="297"/>
      <c r="BC509" s="152"/>
      <c r="BD509" s="150"/>
      <c r="BE509" s="297"/>
      <c r="BF509" s="297"/>
      <c r="BG509" s="297"/>
      <c r="BH509" s="297"/>
      <c r="BI509" s="152"/>
      <c r="BJ509" s="170"/>
      <c r="BK509" s="148"/>
      <c r="BL509" s="324"/>
      <c r="BM509" s="324"/>
      <c r="BN509" s="170"/>
      <c r="BO509" s="149"/>
      <c r="BP509" s="170"/>
      <c r="BQ509" s="149"/>
      <c r="BR509" s="170"/>
      <c r="BS509" s="171"/>
      <c r="BT509" s="707"/>
    </row>
    <row r="510" spans="1:72" s="2" customFormat="1" ht="24.9" customHeight="1">
      <c r="A510" s="147"/>
      <c r="B510" s="158"/>
      <c r="C510" s="179"/>
      <c r="D510" s="158"/>
      <c r="E510" s="160"/>
      <c r="F510" s="161"/>
      <c r="G510" s="161"/>
      <c r="H510" s="161"/>
      <c r="I510" s="163"/>
      <c r="J510" s="161"/>
      <c r="K510" s="163"/>
      <c r="L510" s="150"/>
      <c r="M510" s="164"/>
      <c r="N510" s="150"/>
      <c r="O510" s="174"/>
      <c r="P510" s="523"/>
      <c r="Q510" s="523"/>
      <c r="R510" s="154"/>
      <c r="S510" s="155"/>
      <c r="T510" s="156"/>
      <c r="U510" s="154"/>
      <c r="V510" s="155"/>
      <c r="W510" s="155"/>
      <c r="X510" s="419"/>
      <c r="Y510" s="157"/>
      <c r="Z510" s="217"/>
      <c r="AA510" s="150"/>
      <c r="AB510" s="151"/>
      <c r="AC510" s="152"/>
      <c r="AD510" s="506"/>
      <c r="AE510" s="166"/>
      <c r="AF510" s="150"/>
      <c r="AG510" s="152"/>
      <c r="AH510" s="150"/>
      <c r="AI510" s="152"/>
      <c r="AJ510" s="150"/>
      <c r="AK510" s="152"/>
      <c r="AL510" s="150"/>
      <c r="AM510" s="151"/>
      <c r="AN510" s="151"/>
      <c r="AO510" s="169"/>
      <c r="AP510" s="169"/>
      <c r="AQ510" s="149"/>
      <c r="AR510" s="324"/>
      <c r="AS510" s="324"/>
      <c r="AT510" s="324"/>
      <c r="AU510" s="324"/>
      <c r="AV510" s="324"/>
      <c r="AW510" s="324"/>
      <c r="AX510" s="150"/>
      <c r="AY510" s="297"/>
      <c r="AZ510" s="297"/>
      <c r="BA510" s="297"/>
      <c r="BB510" s="297"/>
      <c r="BC510" s="152"/>
      <c r="BD510" s="150"/>
      <c r="BE510" s="297"/>
      <c r="BF510" s="297"/>
      <c r="BG510" s="297"/>
      <c r="BH510" s="297"/>
      <c r="BI510" s="152"/>
      <c r="BJ510" s="170"/>
      <c r="BK510" s="148"/>
      <c r="BL510" s="324"/>
      <c r="BM510" s="324"/>
      <c r="BN510" s="170"/>
      <c r="BO510" s="149"/>
      <c r="BP510" s="170"/>
      <c r="BQ510" s="149"/>
      <c r="BR510" s="170"/>
      <c r="BS510" s="171"/>
      <c r="BT510" s="706"/>
    </row>
    <row r="511" spans="1:72" s="2" customFormat="1" ht="24.9" customHeight="1">
      <c r="A511" s="147"/>
      <c r="B511" s="158"/>
      <c r="C511" s="179"/>
      <c r="D511" s="158"/>
      <c r="E511" s="160"/>
      <c r="F511" s="161"/>
      <c r="G511" s="161"/>
      <c r="H511" s="161"/>
      <c r="I511" s="163"/>
      <c r="J511" s="161"/>
      <c r="K511" s="163"/>
      <c r="L511" s="150"/>
      <c r="M511" s="164"/>
      <c r="N511" s="150"/>
      <c r="O511" s="174"/>
      <c r="P511" s="523"/>
      <c r="Q511" s="523"/>
      <c r="R511" s="154"/>
      <c r="S511" s="155"/>
      <c r="T511" s="156"/>
      <c r="U511" s="154"/>
      <c r="V511" s="155"/>
      <c r="W511" s="155"/>
      <c r="X511" s="419"/>
      <c r="Y511" s="157"/>
      <c r="Z511" s="217"/>
      <c r="AA511" s="150"/>
      <c r="AB511" s="151"/>
      <c r="AC511" s="152"/>
      <c r="AD511" s="506"/>
      <c r="AE511" s="166"/>
      <c r="AF511" s="150"/>
      <c r="AG511" s="152"/>
      <c r="AH511" s="150"/>
      <c r="AI511" s="152"/>
      <c r="AJ511" s="150"/>
      <c r="AK511" s="152"/>
      <c r="AL511" s="150"/>
      <c r="AM511" s="151"/>
      <c r="AN511" s="151"/>
      <c r="AO511" s="169"/>
      <c r="AP511" s="169"/>
      <c r="AQ511" s="149"/>
      <c r="AR511" s="324"/>
      <c r="AS511" s="324"/>
      <c r="AT511" s="324"/>
      <c r="AU511" s="324"/>
      <c r="AV511" s="324"/>
      <c r="AW511" s="324"/>
      <c r="AX511" s="150"/>
      <c r="AY511" s="297"/>
      <c r="AZ511" s="297"/>
      <c r="BA511" s="297"/>
      <c r="BB511" s="297"/>
      <c r="BC511" s="152"/>
      <c r="BD511" s="150"/>
      <c r="BE511" s="297"/>
      <c r="BF511" s="297"/>
      <c r="BG511" s="297"/>
      <c r="BH511" s="297"/>
      <c r="BI511" s="152"/>
      <c r="BJ511" s="170"/>
      <c r="BK511" s="148"/>
      <c r="BL511" s="324"/>
      <c r="BM511" s="324"/>
      <c r="BN511" s="170"/>
      <c r="BO511" s="149"/>
      <c r="BP511" s="170"/>
      <c r="BQ511" s="149"/>
      <c r="BR511" s="170"/>
      <c r="BS511" s="171"/>
      <c r="BT511" s="708"/>
    </row>
    <row r="512" spans="1:72" s="2" customFormat="1" ht="24.9" customHeight="1">
      <c r="A512" s="147"/>
      <c r="B512" s="158"/>
      <c r="C512" s="179"/>
      <c r="D512" s="158"/>
      <c r="E512" s="160"/>
      <c r="F512" s="161"/>
      <c r="G512" s="161"/>
      <c r="H512" s="161"/>
      <c r="I512" s="163"/>
      <c r="J512" s="161"/>
      <c r="K512" s="163"/>
      <c r="L512" s="150"/>
      <c r="M512" s="164"/>
      <c r="N512" s="150"/>
      <c r="O512" s="151"/>
      <c r="P512" s="522"/>
      <c r="Q512" s="522"/>
      <c r="R512" s="154"/>
      <c r="S512" s="155"/>
      <c r="T512" s="156"/>
      <c r="U512" s="154"/>
      <c r="V512" s="155"/>
      <c r="W512" s="155"/>
      <c r="X512" s="419"/>
      <c r="Y512" s="157"/>
      <c r="Z512" s="217"/>
      <c r="AA512" s="150"/>
      <c r="AB512" s="151"/>
      <c r="AC512" s="152"/>
      <c r="AD512" s="506"/>
      <c r="AE512" s="166"/>
      <c r="AF512" s="150"/>
      <c r="AG512" s="152"/>
      <c r="AH512" s="150"/>
      <c r="AI512" s="152"/>
      <c r="AJ512" s="150"/>
      <c r="AK512" s="152"/>
      <c r="AL512" s="150"/>
      <c r="AM512" s="151"/>
      <c r="AN512" s="151"/>
      <c r="AO512" s="169"/>
      <c r="AP512" s="169"/>
      <c r="AQ512" s="149"/>
      <c r="AR512" s="324"/>
      <c r="AS512" s="324"/>
      <c r="AT512" s="324"/>
      <c r="AU512" s="324"/>
      <c r="AV512" s="324"/>
      <c r="AW512" s="324"/>
      <c r="AX512" s="150"/>
      <c r="AY512" s="297"/>
      <c r="AZ512" s="297"/>
      <c r="BA512" s="297"/>
      <c r="BB512" s="297"/>
      <c r="BC512" s="152"/>
      <c r="BD512" s="150"/>
      <c r="BE512" s="297"/>
      <c r="BF512" s="297"/>
      <c r="BG512" s="297"/>
      <c r="BH512" s="297"/>
      <c r="BI512" s="152"/>
      <c r="BJ512" s="170"/>
      <c r="BK512" s="148"/>
      <c r="BL512" s="324"/>
      <c r="BM512" s="324"/>
      <c r="BN512" s="170"/>
      <c r="BO512" s="149"/>
      <c r="BP512" s="170"/>
      <c r="BQ512" s="149"/>
      <c r="BR512" s="170"/>
      <c r="BS512" s="171"/>
      <c r="BT512" s="707"/>
    </row>
    <row r="513" spans="1:72" s="2" customFormat="1" ht="24.9" customHeight="1">
      <c r="A513" s="147"/>
      <c r="B513" s="158"/>
      <c r="C513" s="179"/>
      <c r="D513" s="158"/>
      <c r="E513" s="160"/>
      <c r="F513" s="161"/>
      <c r="G513" s="161"/>
      <c r="H513" s="161"/>
      <c r="I513" s="163"/>
      <c r="J513" s="161"/>
      <c r="K513" s="163"/>
      <c r="L513" s="150"/>
      <c r="M513" s="164"/>
      <c r="N513" s="150"/>
      <c r="O513" s="174"/>
      <c r="P513" s="523"/>
      <c r="Q513" s="523"/>
      <c r="R513" s="154"/>
      <c r="S513" s="155"/>
      <c r="T513" s="156"/>
      <c r="U513" s="154"/>
      <c r="V513" s="155"/>
      <c r="W513" s="155"/>
      <c r="X513" s="419"/>
      <c r="Y513" s="157"/>
      <c r="Z513" s="217"/>
      <c r="AA513" s="150"/>
      <c r="AB513" s="151"/>
      <c r="AC513" s="152"/>
      <c r="AD513" s="506"/>
      <c r="AE513" s="166"/>
      <c r="AF513" s="150"/>
      <c r="AG513" s="152"/>
      <c r="AH513" s="150"/>
      <c r="AI513" s="152"/>
      <c r="AJ513" s="150"/>
      <c r="AK513" s="152"/>
      <c r="AL513" s="150"/>
      <c r="AM513" s="151"/>
      <c r="AN513" s="151"/>
      <c r="AO513" s="169"/>
      <c r="AP513" s="169"/>
      <c r="AQ513" s="149"/>
      <c r="AR513" s="324"/>
      <c r="AS513" s="324"/>
      <c r="AT513" s="324"/>
      <c r="AU513" s="324"/>
      <c r="AV513" s="324"/>
      <c r="AW513" s="324"/>
      <c r="AX513" s="150"/>
      <c r="AY513" s="297"/>
      <c r="AZ513" s="297"/>
      <c r="BA513" s="297"/>
      <c r="BB513" s="297"/>
      <c r="BC513" s="152"/>
      <c r="BD513" s="150"/>
      <c r="BE513" s="297"/>
      <c r="BF513" s="297"/>
      <c r="BG513" s="297"/>
      <c r="BH513" s="297"/>
      <c r="BI513" s="152"/>
      <c r="BJ513" s="170"/>
      <c r="BK513" s="148"/>
      <c r="BL513" s="324"/>
      <c r="BM513" s="324"/>
      <c r="BN513" s="170"/>
      <c r="BO513" s="149"/>
      <c r="BP513" s="170"/>
      <c r="BQ513" s="149"/>
      <c r="BR513" s="170"/>
      <c r="BS513" s="171"/>
      <c r="BT513" s="706"/>
    </row>
    <row r="514" spans="1:72" s="2" customFormat="1" ht="24.9" customHeight="1">
      <c r="A514" s="147"/>
      <c r="B514" s="158"/>
      <c r="C514" s="179"/>
      <c r="D514" s="158"/>
      <c r="E514" s="160"/>
      <c r="F514" s="161"/>
      <c r="G514" s="161"/>
      <c r="H514" s="161"/>
      <c r="I514" s="163"/>
      <c r="J514" s="161"/>
      <c r="K514" s="163"/>
      <c r="L514" s="150"/>
      <c r="M514" s="164"/>
      <c r="N514" s="150"/>
      <c r="O514" s="174"/>
      <c r="P514" s="523"/>
      <c r="Q514" s="523"/>
      <c r="R514" s="154"/>
      <c r="S514" s="155"/>
      <c r="T514" s="156"/>
      <c r="U514" s="154"/>
      <c r="V514" s="155"/>
      <c r="W514" s="155"/>
      <c r="X514" s="419"/>
      <c r="Y514" s="157"/>
      <c r="Z514" s="217"/>
      <c r="AA514" s="150"/>
      <c r="AB514" s="151"/>
      <c r="AC514" s="152"/>
      <c r="AD514" s="506"/>
      <c r="AE514" s="166"/>
      <c r="AF514" s="150"/>
      <c r="AG514" s="152"/>
      <c r="AH514" s="150"/>
      <c r="AI514" s="152"/>
      <c r="AJ514" s="150"/>
      <c r="AK514" s="152"/>
      <c r="AL514" s="150"/>
      <c r="AM514" s="151"/>
      <c r="AN514" s="151"/>
      <c r="AO514" s="169"/>
      <c r="AP514" s="169"/>
      <c r="AQ514" s="149"/>
      <c r="AR514" s="324"/>
      <c r="AS514" s="324"/>
      <c r="AT514" s="324"/>
      <c r="AU514" s="324"/>
      <c r="AV514" s="324"/>
      <c r="AW514" s="324"/>
      <c r="AX514" s="150"/>
      <c r="AY514" s="297"/>
      <c r="AZ514" s="297"/>
      <c r="BA514" s="297"/>
      <c r="BB514" s="297"/>
      <c r="BC514" s="152"/>
      <c r="BD514" s="150"/>
      <c r="BE514" s="297"/>
      <c r="BF514" s="297"/>
      <c r="BG514" s="297"/>
      <c r="BH514" s="297"/>
      <c r="BI514" s="152"/>
      <c r="BJ514" s="170"/>
      <c r="BK514" s="148"/>
      <c r="BL514" s="324"/>
      <c r="BM514" s="324"/>
      <c r="BN514" s="170"/>
      <c r="BO514" s="149"/>
      <c r="BP514" s="170"/>
      <c r="BQ514" s="149"/>
      <c r="BR514" s="170"/>
      <c r="BS514" s="171"/>
      <c r="BT514" s="707"/>
    </row>
    <row r="515" spans="1:72" s="2" customFormat="1" ht="24.9" customHeight="1">
      <c r="A515" s="147"/>
      <c r="B515" s="158"/>
      <c r="C515" s="179"/>
      <c r="D515" s="158"/>
      <c r="E515" s="160"/>
      <c r="F515" s="161"/>
      <c r="G515" s="161"/>
      <c r="H515" s="161"/>
      <c r="I515" s="163"/>
      <c r="J515" s="161"/>
      <c r="K515" s="163"/>
      <c r="L515" s="150"/>
      <c r="M515" s="164"/>
      <c r="N515" s="150"/>
      <c r="O515" s="174"/>
      <c r="P515" s="523"/>
      <c r="Q515" s="523"/>
      <c r="R515" s="154"/>
      <c r="S515" s="155"/>
      <c r="T515" s="156"/>
      <c r="U515" s="154"/>
      <c r="V515" s="155"/>
      <c r="W515" s="155"/>
      <c r="X515" s="419"/>
      <c r="Y515" s="157"/>
      <c r="Z515" s="217"/>
      <c r="AA515" s="150"/>
      <c r="AB515" s="151"/>
      <c r="AC515" s="152"/>
      <c r="AD515" s="506"/>
      <c r="AE515" s="166"/>
      <c r="AF515" s="150"/>
      <c r="AG515" s="152"/>
      <c r="AH515" s="150"/>
      <c r="AI515" s="152"/>
      <c r="AJ515" s="150"/>
      <c r="AK515" s="152"/>
      <c r="AL515" s="150"/>
      <c r="AM515" s="151"/>
      <c r="AN515" s="151"/>
      <c r="AO515" s="169"/>
      <c r="AP515" s="169"/>
      <c r="AQ515" s="149"/>
      <c r="AR515" s="324"/>
      <c r="AS515" s="324"/>
      <c r="AT515" s="324"/>
      <c r="AU515" s="324"/>
      <c r="AV515" s="324"/>
      <c r="AW515" s="324"/>
      <c r="AX515" s="150"/>
      <c r="AY515" s="297"/>
      <c r="AZ515" s="297"/>
      <c r="BA515" s="297"/>
      <c r="BB515" s="297"/>
      <c r="BC515" s="152"/>
      <c r="BD515" s="150"/>
      <c r="BE515" s="297"/>
      <c r="BF515" s="297"/>
      <c r="BG515" s="297"/>
      <c r="BH515" s="297"/>
      <c r="BI515" s="152"/>
      <c r="BJ515" s="170"/>
      <c r="BK515" s="148"/>
      <c r="BL515" s="324"/>
      <c r="BM515" s="324"/>
      <c r="BN515" s="170"/>
      <c r="BO515" s="149"/>
      <c r="BP515" s="170"/>
      <c r="BQ515" s="149"/>
      <c r="BR515" s="170"/>
      <c r="BS515" s="171"/>
      <c r="BT515" s="706"/>
    </row>
    <row r="516" spans="1:72" s="2" customFormat="1" ht="24.9" customHeight="1">
      <c r="A516" s="147"/>
      <c r="B516" s="158"/>
      <c r="C516" s="179"/>
      <c r="D516" s="158"/>
      <c r="E516" s="160"/>
      <c r="F516" s="161"/>
      <c r="G516" s="161"/>
      <c r="H516" s="161"/>
      <c r="I516" s="163"/>
      <c r="J516" s="161"/>
      <c r="K516" s="163"/>
      <c r="L516" s="150"/>
      <c r="M516" s="164"/>
      <c r="N516" s="150"/>
      <c r="O516" s="151"/>
      <c r="P516" s="522"/>
      <c r="Q516" s="522"/>
      <c r="R516" s="154"/>
      <c r="S516" s="155"/>
      <c r="T516" s="156"/>
      <c r="U516" s="154"/>
      <c r="V516" s="155"/>
      <c r="W516" s="155"/>
      <c r="X516" s="419"/>
      <c r="Y516" s="157"/>
      <c r="Z516" s="217"/>
      <c r="AA516" s="150"/>
      <c r="AB516" s="151"/>
      <c r="AC516" s="152"/>
      <c r="AD516" s="506"/>
      <c r="AE516" s="166"/>
      <c r="AF516" s="150"/>
      <c r="AG516" s="152"/>
      <c r="AH516" s="150"/>
      <c r="AI516" s="152"/>
      <c r="AJ516" s="150"/>
      <c r="AK516" s="152"/>
      <c r="AL516" s="150"/>
      <c r="AM516" s="151"/>
      <c r="AN516" s="151"/>
      <c r="AO516" s="169"/>
      <c r="AP516" s="169"/>
      <c r="AQ516" s="149"/>
      <c r="AR516" s="324"/>
      <c r="AS516" s="324"/>
      <c r="AT516" s="324"/>
      <c r="AU516" s="324"/>
      <c r="AV516" s="324"/>
      <c r="AW516" s="324"/>
      <c r="AX516" s="150"/>
      <c r="AY516" s="297"/>
      <c r="AZ516" s="297"/>
      <c r="BA516" s="297"/>
      <c r="BB516" s="297"/>
      <c r="BC516" s="152"/>
      <c r="BD516" s="150"/>
      <c r="BE516" s="297"/>
      <c r="BF516" s="297"/>
      <c r="BG516" s="297"/>
      <c r="BH516" s="297"/>
      <c r="BI516" s="152"/>
      <c r="BJ516" s="170"/>
      <c r="BK516" s="148"/>
      <c r="BL516" s="324"/>
      <c r="BM516" s="324"/>
      <c r="BN516" s="170"/>
      <c r="BO516" s="149"/>
      <c r="BP516" s="170"/>
      <c r="BQ516" s="149"/>
      <c r="BR516" s="170"/>
      <c r="BS516" s="171"/>
      <c r="BT516" s="708"/>
    </row>
    <row r="517" spans="1:72" s="2" customFormat="1" ht="24.9" customHeight="1">
      <c r="A517" s="147"/>
      <c r="B517" s="158"/>
      <c r="C517" s="179"/>
      <c r="D517" s="158"/>
      <c r="E517" s="160"/>
      <c r="F517" s="161"/>
      <c r="G517" s="161"/>
      <c r="H517" s="161"/>
      <c r="I517" s="163"/>
      <c r="J517" s="161"/>
      <c r="K517" s="163"/>
      <c r="L517" s="150"/>
      <c r="M517" s="164"/>
      <c r="N517" s="150"/>
      <c r="O517" s="174"/>
      <c r="P517" s="523"/>
      <c r="Q517" s="523"/>
      <c r="R517" s="154"/>
      <c r="S517" s="155"/>
      <c r="T517" s="156"/>
      <c r="U517" s="154"/>
      <c r="V517" s="155"/>
      <c r="W517" s="155"/>
      <c r="X517" s="419"/>
      <c r="Y517" s="157"/>
      <c r="Z517" s="217"/>
      <c r="AA517" s="150"/>
      <c r="AB517" s="151"/>
      <c r="AC517" s="152"/>
      <c r="AD517" s="506"/>
      <c r="AE517" s="166"/>
      <c r="AF517" s="150"/>
      <c r="AG517" s="152"/>
      <c r="AH517" s="150"/>
      <c r="AI517" s="152"/>
      <c r="AJ517" s="150"/>
      <c r="AK517" s="152"/>
      <c r="AL517" s="150"/>
      <c r="AM517" s="151"/>
      <c r="AN517" s="151"/>
      <c r="AO517" s="169"/>
      <c r="AP517" s="169"/>
      <c r="AQ517" s="149"/>
      <c r="AR517" s="324"/>
      <c r="AS517" s="324"/>
      <c r="AT517" s="324"/>
      <c r="AU517" s="324"/>
      <c r="AV517" s="324"/>
      <c r="AW517" s="324"/>
      <c r="AX517" s="150"/>
      <c r="AY517" s="297"/>
      <c r="AZ517" s="297"/>
      <c r="BA517" s="297"/>
      <c r="BB517" s="297"/>
      <c r="BC517" s="152"/>
      <c r="BD517" s="150"/>
      <c r="BE517" s="297"/>
      <c r="BF517" s="297"/>
      <c r="BG517" s="297"/>
      <c r="BH517" s="297"/>
      <c r="BI517" s="152"/>
      <c r="BJ517" s="170"/>
      <c r="BK517" s="148"/>
      <c r="BL517" s="324"/>
      <c r="BM517" s="324"/>
      <c r="BN517" s="170"/>
      <c r="BO517" s="149"/>
      <c r="BP517" s="170"/>
      <c r="BQ517" s="149"/>
      <c r="BR517" s="170"/>
      <c r="BS517" s="171"/>
      <c r="BT517" s="708"/>
    </row>
    <row r="518" spans="1:72" s="2" customFormat="1" ht="24.9" customHeight="1">
      <c r="A518" s="147"/>
      <c r="B518" s="158"/>
      <c r="C518" s="179"/>
      <c r="D518" s="158"/>
      <c r="E518" s="160"/>
      <c r="F518" s="161"/>
      <c r="G518" s="161"/>
      <c r="H518" s="161"/>
      <c r="I518" s="163"/>
      <c r="J518" s="161"/>
      <c r="K518" s="163"/>
      <c r="L518" s="150"/>
      <c r="M518" s="164"/>
      <c r="N518" s="150"/>
      <c r="O518" s="151"/>
      <c r="P518" s="522"/>
      <c r="Q518" s="522"/>
      <c r="R518" s="154"/>
      <c r="S518" s="155"/>
      <c r="T518" s="156"/>
      <c r="U518" s="154"/>
      <c r="V518" s="155"/>
      <c r="W518" s="155"/>
      <c r="X518" s="419"/>
      <c r="Y518" s="157"/>
      <c r="Z518" s="217"/>
      <c r="AA518" s="150"/>
      <c r="AB518" s="151"/>
      <c r="AC518" s="152"/>
      <c r="AD518" s="506"/>
      <c r="AE518" s="166"/>
      <c r="AF518" s="150"/>
      <c r="AG518" s="152"/>
      <c r="AH518" s="150"/>
      <c r="AI518" s="152"/>
      <c r="AJ518" s="150"/>
      <c r="AK518" s="152"/>
      <c r="AL518" s="150"/>
      <c r="AM518" s="151"/>
      <c r="AN518" s="151"/>
      <c r="AO518" s="169"/>
      <c r="AP518" s="169"/>
      <c r="AQ518" s="149"/>
      <c r="AR518" s="324"/>
      <c r="AS518" s="324"/>
      <c r="AT518" s="324"/>
      <c r="AU518" s="324"/>
      <c r="AV518" s="324"/>
      <c r="AW518" s="324"/>
      <c r="AX518" s="150"/>
      <c r="AY518" s="297"/>
      <c r="AZ518" s="297"/>
      <c r="BA518" s="297"/>
      <c r="BB518" s="297"/>
      <c r="BC518" s="152"/>
      <c r="BD518" s="150"/>
      <c r="BE518" s="297"/>
      <c r="BF518" s="297"/>
      <c r="BG518" s="297"/>
      <c r="BH518" s="297"/>
      <c r="BI518" s="152"/>
      <c r="BJ518" s="170"/>
      <c r="BK518" s="148"/>
      <c r="BL518" s="324"/>
      <c r="BM518" s="324"/>
      <c r="BN518" s="170"/>
      <c r="BO518" s="149"/>
      <c r="BP518" s="170"/>
      <c r="BQ518" s="149"/>
      <c r="BR518" s="170"/>
      <c r="BS518" s="171"/>
      <c r="BT518" s="707"/>
    </row>
    <row r="519" spans="1:72" s="2" customFormat="1" ht="24.9" customHeight="1">
      <c r="A519" s="147"/>
      <c r="B519" s="158"/>
      <c r="C519" s="179"/>
      <c r="D519" s="158"/>
      <c r="E519" s="160"/>
      <c r="F519" s="161"/>
      <c r="G519" s="161"/>
      <c r="H519" s="161"/>
      <c r="I519" s="163"/>
      <c r="J519" s="161"/>
      <c r="K519" s="163"/>
      <c r="L519" s="150"/>
      <c r="M519" s="164"/>
      <c r="N519" s="150"/>
      <c r="O519" s="151"/>
      <c r="P519" s="522"/>
      <c r="Q519" s="522"/>
      <c r="R519" s="154"/>
      <c r="S519" s="155"/>
      <c r="T519" s="156"/>
      <c r="U519" s="154"/>
      <c r="V519" s="155"/>
      <c r="W519" s="155"/>
      <c r="X519" s="419"/>
      <c r="Y519" s="157"/>
      <c r="Z519" s="217"/>
      <c r="AA519" s="150"/>
      <c r="AB519" s="151"/>
      <c r="AC519" s="152"/>
      <c r="AD519" s="506"/>
      <c r="AE519" s="166"/>
      <c r="AF519" s="150"/>
      <c r="AG519" s="152"/>
      <c r="AH519" s="150"/>
      <c r="AI519" s="152"/>
      <c r="AJ519" s="150"/>
      <c r="AK519" s="152"/>
      <c r="AL519" s="150"/>
      <c r="AM519" s="151"/>
      <c r="AN519" s="151"/>
      <c r="AO519" s="169"/>
      <c r="AP519" s="169"/>
      <c r="AQ519" s="149"/>
      <c r="AR519" s="324"/>
      <c r="AS519" s="324"/>
      <c r="AT519" s="324"/>
      <c r="AU519" s="324"/>
      <c r="AV519" s="324"/>
      <c r="AW519" s="324"/>
      <c r="AX519" s="150"/>
      <c r="AY519" s="297"/>
      <c r="AZ519" s="297"/>
      <c r="BA519" s="297"/>
      <c r="BB519" s="297"/>
      <c r="BC519" s="152"/>
      <c r="BD519" s="150"/>
      <c r="BE519" s="297"/>
      <c r="BF519" s="297"/>
      <c r="BG519" s="297"/>
      <c r="BH519" s="297"/>
      <c r="BI519" s="152"/>
      <c r="BJ519" s="170"/>
      <c r="BK519" s="148"/>
      <c r="BL519" s="324"/>
      <c r="BM519" s="324"/>
      <c r="BN519" s="170"/>
      <c r="BO519" s="149"/>
      <c r="BP519" s="170"/>
      <c r="BQ519" s="149"/>
      <c r="BR519" s="170"/>
      <c r="BS519" s="171"/>
      <c r="BT519" s="706"/>
    </row>
    <row r="520" spans="1:72" s="2" customFormat="1" ht="24.9" customHeight="1">
      <c r="A520" s="147"/>
      <c r="B520" s="158"/>
      <c r="C520" s="179"/>
      <c r="D520" s="158"/>
      <c r="E520" s="160"/>
      <c r="F520" s="161"/>
      <c r="G520" s="161"/>
      <c r="H520" s="161"/>
      <c r="I520" s="163"/>
      <c r="J520" s="161"/>
      <c r="K520" s="163"/>
      <c r="L520" s="150"/>
      <c r="M520" s="164"/>
      <c r="N520" s="150"/>
      <c r="O520" s="174"/>
      <c r="P520" s="523"/>
      <c r="Q520" s="523"/>
      <c r="R520" s="154"/>
      <c r="S520" s="155"/>
      <c r="T520" s="156"/>
      <c r="U520" s="154"/>
      <c r="V520" s="155"/>
      <c r="W520" s="155"/>
      <c r="X520" s="419"/>
      <c r="Y520" s="157"/>
      <c r="Z520" s="217"/>
      <c r="AA520" s="150"/>
      <c r="AB520" s="151"/>
      <c r="AC520" s="152"/>
      <c r="AD520" s="506"/>
      <c r="AE520" s="166"/>
      <c r="AF520" s="150"/>
      <c r="AG520" s="152"/>
      <c r="AH520" s="150"/>
      <c r="AI520" s="152"/>
      <c r="AJ520" s="150"/>
      <c r="AK520" s="152"/>
      <c r="AL520" s="150"/>
      <c r="AM520" s="151"/>
      <c r="AN520" s="151"/>
      <c r="AO520" s="169"/>
      <c r="AP520" s="169"/>
      <c r="AQ520" s="149"/>
      <c r="AR520" s="324"/>
      <c r="AS520" s="324"/>
      <c r="AT520" s="324"/>
      <c r="AU520" s="324"/>
      <c r="AV520" s="324"/>
      <c r="AW520" s="324"/>
      <c r="AX520" s="150"/>
      <c r="AY520" s="297"/>
      <c r="AZ520" s="297"/>
      <c r="BA520" s="297"/>
      <c r="BB520" s="297"/>
      <c r="BC520" s="152"/>
      <c r="BD520" s="150"/>
      <c r="BE520" s="297"/>
      <c r="BF520" s="297"/>
      <c r="BG520" s="297"/>
      <c r="BH520" s="297"/>
      <c r="BI520" s="152"/>
      <c r="BJ520" s="170"/>
      <c r="BK520" s="148"/>
      <c r="BL520" s="324"/>
      <c r="BM520" s="324"/>
      <c r="BN520" s="170"/>
      <c r="BO520" s="149"/>
      <c r="BP520" s="170"/>
      <c r="BQ520" s="149"/>
      <c r="BR520" s="170"/>
      <c r="BS520" s="171"/>
      <c r="BT520" s="708"/>
    </row>
    <row r="521" spans="1:72" s="2" customFormat="1" ht="24.9" customHeight="1">
      <c r="A521" s="147"/>
      <c r="B521" s="158"/>
      <c r="C521" s="179"/>
      <c r="D521" s="158"/>
      <c r="E521" s="160"/>
      <c r="F521" s="161"/>
      <c r="G521" s="161"/>
      <c r="H521" s="161"/>
      <c r="I521" s="163"/>
      <c r="J521" s="161"/>
      <c r="K521" s="163"/>
      <c r="L521" s="150"/>
      <c r="M521" s="164"/>
      <c r="N521" s="150"/>
      <c r="O521" s="174"/>
      <c r="P521" s="523"/>
      <c r="Q521" s="523"/>
      <c r="R521" s="154"/>
      <c r="S521" s="155"/>
      <c r="T521" s="156"/>
      <c r="U521" s="154"/>
      <c r="V521" s="155"/>
      <c r="W521" s="155"/>
      <c r="X521" s="419"/>
      <c r="Y521" s="157"/>
      <c r="Z521" s="217"/>
      <c r="AA521" s="150"/>
      <c r="AB521" s="151"/>
      <c r="AC521" s="152"/>
      <c r="AD521" s="506"/>
      <c r="AE521" s="166"/>
      <c r="AF521" s="150"/>
      <c r="AG521" s="152"/>
      <c r="AH521" s="150"/>
      <c r="AI521" s="152"/>
      <c r="AJ521" s="150"/>
      <c r="AK521" s="152"/>
      <c r="AL521" s="150"/>
      <c r="AM521" s="151"/>
      <c r="AN521" s="151"/>
      <c r="AO521" s="169"/>
      <c r="AP521" s="169"/>
      <c r="AQ521" s="149"/>
      <c r="AR521" s="324"/>
      <c r="AS521" s="324"/>
      <c r="AT521" s="324"/>
      <c r="AU521" s="324"/>
      <c r="AV521" s="324"/>
      <c r="AW521" s="324"/>
      <c r="AX521" s="150"/>
      <c r="AY521" s="297"/>
      <c r="AZ521" s="297"/>
      <c r="BA521" s="297"/>
      <c r="BB521" s="297"/>
      <c r="BC521" s="152"/>
      <c r="BD521" s="150"/>
      <c r="BE521" s="297"/>
      <c r="BF521" s="297"/>
      <c r="BG521" s="297"/>
      <c r="BH521" s="297"/>
      <c r="BI521" s="152"/>
      <c r="BJ521" s="170"/>
      <c r="BK521" s="148"/>
      <c r="BL521" s="324"/>
      <c r="BM521" s="324"/>
      <c r="BN521" s="170"/>
      <c r="BO521" s="149"/>
      <c r="BP521" s="170"/>
      <c r="BQ521" s="149"/>
      <c r="BR521" s="170"/>
      <c r="BS521" s="171"/>
      <c r="BT521" s="707"/>
    </row>
    <row r="522" spans="1:72" s="2" customFormat="1" ht="24.9" customHeight="1">
      <c r="A522" s="147"/>
      <c r="B522" s="158"/>
      <c r="C522" s="179"/>
      <c r="D522" s="158"/>
      <c r="E522" s="160"/>
      <c r="F522" s="161"/>
      <c r="G522" s="161"/>
      <c r="H522" s="161"/>
      <c r="I522" s="163"/>
      <c r="J522" s="161"/>
      <c r="K522" s="163"/>
      <c r="L522" s="150"/>
      <c r="M522" s="164"/>
      <c r="N522" s="150"/>
      <c r="O522" s="174"/>
      <c r="P522" s="523"/>
      <c r="Q522" s="523"/>
      <c r="R522" s="154"/>
      <c r="S522" s="155"/>
      <c r="T522" s="156"/>
      <c r="U522" s="154"/>
      <c r="V522" s="155"/>
      <c r="W522" s="155"/>
      <c r="X522" s="419"/>
      <c r="Y522" s="157"/>
      <c r="Z522" s="217"/>
      <c r="AA522" s="150"/>
      <c r="AB522" s="151"/>
      <c r="AC522" s="152"/>
      <c r="AD522" s="506"/>
      <c r="AE522" s="166"/>
      <c r="AF522" s="150"/>
      <c r="AG522" s="152"/>
      <c r="AH522" s="150"/>
      <c r="AI522" s="152"/>
      <c r="AJ522" s="150"/>
      <c r="AK522" s="152"/>
      <c r="AL522" s="150"/>
      <c r="AM522" s="151"/>
      <c r="AN522" s="151"/>
      <c r="AO522" s="169"/>
      <c r="AP522" s="169"/>
      <c r="AQ522" s="149"/>
      <c r="AR522" s="324"/>
      <c r="AS522" s="324"/>
      <c r="AT522" s="324"/>
      <c r="AU522" s="324"/>
      <c r="AV522" s="324"/>
      <c r="AW522" s="324"/>
      <c r="AX522" s="150"/>
      <c r="AY522" s="297"/>
      <c r="AZ522" s="297"/>
      <c r="BA522" s="297"/>
      <c r="BB522" s="297"/>
      <c r="BC522" s="152"/>
      <c r="BD522" s="150"/>
      <c r="BE522" s="297"/>
      <c r="BF522" s="297"/>
      <c r="BG522" s="297"/>
      <c r="BH522" s="297"/>
      <c r="BI522" s="152"/>
      <c r="BJ522" s="170"/>
      <c r="BK522" s="148"/>
      <c r="BL522" s="324"/>
      <c r="BM522" s="324"/>
      <c r="BN522" s="170"/>
      <c r="BO522" s="149"/>
      <c r="BP522" s="170"/>
      <c r="BQ522" s="149"/>
      <c r="BR522" s="170"/>
      <c r="BS522" s="171"/>
      <c r="BT522" s="706"/>
    </row>
    <row r="523" spans="1:72" s="2" customFormat="1" ht="24.9" customHeight="1">
      <c r="A523" s="147"/>
      <c r="B523" s="158"/>
      <c r="C523" s="179"/>
      <c r="D523" s="158"/>
      <c r="E523" s="160"/>
      <c r="F523" s="161"/>
      <c r="G523" s="161"/>
      <c r="H523" s="161"/>
      <c r="I523" s="163"/>
      <c r="J523" s="161"/>
      <c r="K523" s="163"/>
      <c r="L523" s="150"/>
      <c r="M523" s="164"/>
      <c r="N523" s="150"/>
      <c r="O523" s="174"/>
      <c r="P523" s="523"/>
      <c r="Q523" s="523"/>
      <c r="R523" s="154"/>
      <c r="S523" s="155"/>
      <c r="T523" s="156"/>
      <c r="U523" s="154"/>
      <c r="V523" s="155"/>
      <c r="W523" s="155"/>
      <c r="X523" s="419"/>
      <c r="Y523" s="157"/>
      <c r="Z523" s="217"/>
      <c r="AA523" s="150"/>
      <c r="AB523" s="151"/>
      <c r="AC523" s="152"/>
      <c r="AD523" s="506"/>
      <c r="AE523" s="166"/>
      <c r="AF523" s="150"/>
      <c r="AG523" s="152"/>
      <c r="AH523" s="150"/>
      <c r="AI523" s="152"/>
      <c r="AJ523" s="150"/>
      <c r="AK523" s="152"/>
      <c r="AL523" s="150"/>
      <c r="AM523" s="151"/>
      <c r="AN523" s="151"/>
      <c r="AO523" s="169"/>
      <c r="AP523" s="169"/>
      <c r="AQ523" s="149"/>
      <c r="AR523" s="324"/>
      <c r="AS523" s="324"/>
      <c r="AT523" s="324"/>
      <c r="AU523" s="324"/>
      <c r="AV523" s="324"/>
      <c r="AW523" s="324"/>
      <c r="AX523" s="150"/>
      <c r="AY523" s="297"/>
      <c r="AZ523" s="297"/>
      <c r="BA523" s="297"/>
      <c r="BB523" s="297"/>
      <c r="BC523" s="152"/>
      <c r="BD523" s="150"/>
      <c r="BE523" s="297"/>
      <c r="BF523" s="297"/>
      <c r="BG523" s="297"/>
      <c r="BH523" s="297"/>
      <c r="BI523" s="152"/>
      <c r="BJ523" s="170"/>
      <c r="BK523" s="148"/>
      <c r="BL523" s="324"/>
      <c r="BM523" s="324"/>
      <c r="BN523" s="170"/>
      <c r="BO523" s="149"/>
      <c r="BP523" s="170"/>
      <c r="BQ523" s="149"/>
      <c r="BR523" s="170"/>
      <c r="BS523" s="171"/>
      <c r="BT523" s="707"/>
    </row>
    <row r="524" spans="1:72" s="2" customFormat="1" ht="24.9" customHeight="1">
      <c r="A524" s="147"/>
      <c r="B524" s="158"/>
      <c r="C524" s="179"/>
      <c r="D524" s="158"/>
      <c r="E524" s="160"/>
      <c r="F524" s="161"/>
      <c r="G524" s="161"/>
      <c r="H524" s="161"/>
      <c r="I524" s="163"/>
      <c r="J524" s="161"/>
      <c r="K524" s="163"/>
      <c r="L524" s="150"/>
      <c r="M524" s="164"/>
      <c r="N524" s="150"/>
      <c r="O524" s="174"/>
      <c r="P524" s="523"/>
      <c r="Q524" s="523"/>
      <c r="R524" s="154"/>
      <c r="S524" s="155"/>
      <c r="T524" s="156"/>
      <c r="U524" s="154"/>
      <c r="V524" s="155"/>
      <c r="W524" s="155"/>
      <c r="X524" s="419"/>
      <c r="Y524" s="157"/>
      <c r="Z524" s="217"/>
      <c r="AA524" s="150"/>
      <c r="AB524" s="151"/>
      <c r="AC524" s="152"/>
      <c r="AD524" s="506"/>
      <c r="AE524" s="166"/>
      <c r="AF524" s="150"/>
      <c r="AG524" s="152"/>
      <c r="AH524" s="150"/>
      <c r="AI524" s="152"/>
      <c r="AJ524" s="150"/>
      <c r="AK524" s="152"/>
      <c r="AL524" s="150"/>
      <c r="AM524" s="151"/>
      <c r="AN524" s="151"/>
      <c r="AO524" s="169"/>
      <c r="AP524" s="169"/>
      <c r="AQ524" s="149"/>
      <c r="AR524" s="324"/>
      <c r="AS524" s="324"/>
      <c r="AT524" s="324"/>
      <c r="AU524" s="324"/>
      <c r="AV524" s="324"/>
      <c r="AW524" s="324"/>
      <c r="AX524" s="150"/>
      <c r="AY524" s="297"/>
      <c r="AZ524" s="297"/>
      <c r="BA524" s="297"/>
      <c r="BB524" s="297"/>
      <c r="BC524" s="152"/>
      <c r="BD524" s="150"/>
      <c r="BE524" s="297"/>
      <c r="BF524" s="297"/>
      <c r="BG524" s="297"/>
      <c r="BH524" s="297"/>
      <c r="BI524" s="152"/>
      <c r="BJ524" s="170"/>
      <c r="BK524" s="148"/>
      <c r="BL524" s="324"/>
      <c r="BM524" s="324"/>
      <c r="BN524" s="170"/>
      <c r="BO524" s="149"/>
      <c r="BP524" s="170"/>
      <c r="BQ524" s="149"/>
      <c r="BR524" s="170"/>
      <c r="BS524" s="171"/>
      <c r="BT524" s="706"/>
    </row>
    <row r="525" spans="1:72" s="2" customFormat="1" ht="24.9" customHeight="1">
      <c r="A525" s="147"/>
      <c r="B525" s="158"/>
      <c r="C525" s="179"/>
      <c r="D525" s="158"/>
      <c r="E525" s="160"/>
      <c r="F525" s="161"/>
      <c r="G525" s="161"/>
      <c r="H525" s="161"/>
      <c r="I525" s="163"/>
      <c r="J525" s="161"/>
      <c r="K525" s="163"/>
      <c r="L525" s="150"/>
      <c r="M525" s="164"/>
      <c r="N525" s="150"/>
      <c r="O525" s="151"/>
      <c r="P525" s="522"/>
      <c r="Q525" s="522"/>
      <c r="R525" s="154"/>
      <c r="S525" s="155"/>
      <c r="T525" s="156"/>
      <c r="U525" s="154"/>
      <c r="V525" s="155"/>
      <c r="W525" s="155"/>
      <c r="X525" s="419"/>
      <c r="Y525" s="157"/>
      <c r="Z525" s="217"/>
      <c r="AA525" s="150"/>
      <c r="AB525" s="151"/>
      <c r="AC525" s="152"/>
      <c r="AD525" s="506"/>
      <c r="AE525" s="166"/>
      <c r="AF525" s="150"/>
      <c r="AG525" s="152"/>
      <c r="AH525" s="150"/>
      <c r="AI525" s="152"/>
      <c r="AJ525" s="150"/>
      <c r="AK525" s="152"/>
      <c r="AL525" s="150"/>
      <c r="AM525" s="151"/>
      <c r="AN525" s="151"/>
      <c r="AO525" s="169"/>
      <c r="AP525" s="169"/>
      <c r="AQ525" s="149"/>
      <c r="AR525" s="324"/>
      <c r="AS525" s="324"/>
      <c r="AT525" s="324"/>
      <c r="AU525" s="324"/>
      <c r="AV525" s="324"/>
      <c r="AW525" s="324"/>
      <c r="AX525" s="150"/>
      <c r="AY525" s="297"/>
      <c r="AZ525" s="297"/>
      <c r="BA525" s="297"/>
      <c r="BB525" s="297"/>
      <c r="BC525" s="152"/>
      <c r="BD525" s="150"/>
      <c r="BE525" s="297"/>
      <c r="BF525" s="297"/>
      <c r="BG525" s="297"/>
      <c r="BH525" s="297"/>
      <c r="BI525" s="152"/>
      <c r="BJ525" s="170"/>
      <c r="BK525" s="148"/>
      <c r="BL525" s="324"/>
      <c r="BM525" s="324"/>
      <c r="BN525" s="170"/>
      <c r="BO525" s="149"/>
      <c r="BP525" s="170"/>
      <c r="BQ525" s="149"/>
      <c r="BR525" s="170"/>
      <c r="BS525" s="171"/>
      <c r="BT525" s="708"/>
    </row>
    <row r="526" spans="1:72" s="2" customFormat="1" ht="24.9" customHeight="1">
      <c r="A526" s="147"/>
      <c r="B526" s="158"/>
      <c r="C526" s="179"/>
      <c r="D526" s="158"/>
      <c r="E526" s="160"/>
      <c r="F526" s="161"/>
      <c r="G526" s="161"/>
      <c r="H526" s="161"/>
      <c r="I526" s="163"/>
      <c r="J526" s="161"/>
      <c r="K526" s="163"/>
      <c r="L526" s="150"/>
      <c r="M526" s="164"/>
      <c r="N526" s="150"/>
      <c r="O526" s="174"/>
      <c r="P526" s="523"/>
      <c r="Q526" s="523"/>
      <c r="R526" s="154"/>
      <c r="S526" s="155"/>
      <c r="T526" s="156"/>
      <c r="U526" s="154"/>
      <c r="V526" s="155"/>
      <c r="W526" s="155"/>
      <c r="X526" s="419"/>
      <c r="Y526" s="157"/>
      <c r="Z526" s="217"/>
      <c r="AA526" s="150"/>
      <c r="AB526" s="151"/>
      <c r="AC526" s="152"/>
      <c r="AD526" s="506"/>
      <c r="AE526" s="166"/>
      <c r="AF526" s="150"/>
      <c r="AG526" s="152"/>
      <c r="AH526" s="150"/>
      <c r="AI526" s="152"/>
      <c r="AJ526" s="150"/>
      <c r="AK526" s="152"/>
      <c r="AL526" s="150"/>
      <c r="AM526" s="151"/>
      <c r="AN526" s="151"/>
      <c r="AO526" s="169"/>
      <c r="AP526" s="169"/>
      <c r="AQ526" s="149"/>
      <c r="AR526" s="324"/>
      <c r="AS526" s="324"/>
      <c r="AT526" s="324"/>
      <c r="AU526" s="324"/>
      <c r="AV526" s="324"/>
      <c r="AW526" s="324"/>
      <c r="AX526" s="150"/>
      <c r="AY526" s="297"/>
      <c r="AZ526" s="297"/>
      <c r="BA526" s="297"/>
      <c r="BB526" s="297"/>
      <c r="BC526" s="152"/>
      <c r="BD526" s="150"/>
      <c r="BE526" s="297"/>
      <c r="BF526" s="297"/>
      <c r="BG526" s="297"/>
      <c r="BH526" s="297"/>
      <c r="BI526" s="152"/>
      <c r="BJ526" s="170"/>
      <c r="BK526" s="148"/>
      <c r="BL526" s="324"/>
      <c r="BM526" s="324"/>
      <c r="BN526" s="170"/>
      <c r="BO526" s="149"/>
      <c r="BP526" s="170"/>
      <c r="BQ526" s="149"/>
      <c r="BR526" s="170"/>
      <c r="BS526" s="171"/>
      <c r="BT526" s="708"/>
    </row>
    <row r="527" spans="1:72" s="2" customFormat="1" ht="24.9" customHeight="1">
      <c r="A527" s="147"/>
      <c r="B527" s="158"/>
      <c r="C527" s="179"/>
      <c r="D527" s="158"/>
      <c r="E527" s="160"/>
      <c r="F527" s="161"/>
      <c r="G527" s="161"/>
      <c r="H527" s="161"/>
      <c r="I527" s="163"/>
      <c r="J527" s="161"/>
      <c r="K527" s="163"/>
      <c r="L527" s="150"/>
      <c r="M527" s="164"/>
      <c r="N527" s="150"/>
      <c r="O527" s="151"/>
      <c r="P527" s="522"/>
      <c r="Q527" s="522"/>
      <c r="R527" s="154"/>
      <c r="S527" s="155"/>
      <c r="T527" s="156"/>
      <c r="U527" s="154"/>
      <c r="V527" s="155"/>
      <c r="W527" s="155"/>
      <c r="X527" s="419"/>
      <c r="Y527" s="157"/>
      <c r="Z527" s="217"/>
      <c r="AA527" s="150"/>
      <c r="AB527" s="151"/>
      <c r="AC527" s="152"/>
      <c r="AD527" s="506"/>
      <c r="AE527" s="166"/>
      <c r="AF527" s="150"/>
      <c r="AG527" s="152"/>
      <c r="AH527" s="150"/>
      <c r="AI527" s="152"/>
      <c r="AJ527" s="150"/>
      <c r="AK527" s="152"/>
      <c r="AL527" s="150"/>
      <c r="AM527" s="151"/>
      <c r="AN527" s="151"/>
      <c r="AO527" s="169"/>
      <c r="AP527" s="169"/>
      <c r="AQ527" s="149"/>
      <c r="AR527" s="324"/>
      <c r="AS527" s="324"/>
      <c r="AT527" s="324"/>
      <c r="AU527" s="324"/>
      <c r="AV527" s="324"/>
      <c r="AW527" s="324"/>
      <c r="AX527" s="150"/>
      <c r="AY527" s="297"/>
      <c r="AZ527" s="297"/>
      <c r="BA527" s="297"/>
      <c r="BB527" s="297"/>
      <c r="BC527" s="152"/>
      <c r="BD527" s="150"/>
      <c r="BE527" s="297"/>
      <c r="BF527" s="297"/>
      <c r="BG527" s="297"/>
      <c r="BH527" s="297"/>
      <c r="BI527" s="152"/>
      <c r="BJ527" s="170"/>
      <c r="BK527" s="148"/>
      <c r="BL527" s="324"/>
      <c r="BM527" s="324"/>
      <c r="BN527" s="170"/>
      <c r="BO527" s="149"/>
      <c r="BP527" s="170"/>
      <c r="BQ527" s="149"/>
      <c r="BR527" s="170"/>
      <c r="BS527" s="171"/>
      <c r="BT527" s="707"/>
    </row>
    <row r="528" spans="1:72" s="2" customFormat="1" ht="24.9" customHeight="1">
      <c r="A528" s="147"/>
      <c r="B528" s="158"/>
      <c r="C528" s="179"/>
      <c r="D528" s="158"/>
      <c r="E528" s="160"/>
      <c r="F528" s="161"/>
      <c r="G528" s="161"/>
      <c r="H528" s="161"/>
      <c r="I528" s="163"/>
      <c r="J528" s="161"/>
      <c r="K528" s="163"/>
      <c r="L528" s="150"/>
      <c r="M528" s="164"/>
      <c r="N528" s="150"/>
      <c r="O528" s="174"/>
      <c r="P528" s="523"/>
      <c r="Q528" s="523"/>
      <c r="R528" s="154"/>
      <c r="S528" s="155"/>
      <c r="T528" s="156"/>
      <c r="U528" s="154"/>
      <c r="V528" s="155"/>
      <c r="W528" s="155"/>
      <c r="X528" s="419"/>
      <c r="Y528" s="157"/>
      <c r="Z528" s="217"/>
      <c r="AA528" s="150"/>
      <c r="AB528" s="151"/>
      <c r="AC528" s="152"/>
      <c r="AD528" s="506"/>
      <c r="AE528" s="166"/>
      <c r="AF528" s="150"/>
      <c r="AG528" s="152"/>
      <c r="AH528" s="150"/>
      <c r="AI528" s="152"/>
      <c r="AJ528" s="150"/>
      <c r="AK528" s="152"/>
      <c r="AL528" s="150"/>
      <c r="AM528" s="151"/>
      <c r="AN528" s="151"/>
      <c r="AO528" s="169"/>
      <c r="AP528" s="169"/>
      <c r="AQ528" s="149"/>
      <c r="AR528" s="324"/>
      <c r="AS528" s="324"/>
      <c r="AT528" s="324"/>
      <c r="AU528" s="324"/>
      <c r="AV528" s="324"/>
      <c r="AW528" s="324"/>
      <c r="AX528" s="150"/>
      <c r="AY528" s="297"/>
      <c r="AZ528" s="297"/>
      <c r="BA528" s="297"/>
      <c r="BB528" s="297"/>
      <c r="BC528" s="152"/>
      <c r="BD528" s="150"/>
      <c r="BE528" s="297"/>
      <c r="BF528" s="297"/>
      <c r="BG528" s="297"/>
      <c r="BH528" s="297"/>
      <c r="BI528" s="152"/>
      <c r="BJ528" s="170"/>
      <c r="BK528" s="148"/>
      <c r="BL528" s="324"/>
      <c r="BM528" s="324"/>
      <c r="BN528" s="170"/>
      <c r="BO528" s="149"/>
      <c r="BP528" s="170"/>
      <c r="BQ528" s="149"/>
      <c r="BR528" s="170"/>
      <c r="BS528" s="171"/>
      <c r="BT528" s="706"/>
    </row>
    <row r="529" spans="1:72" s="2" customFormat="1" ht="24.9" customHeight="1">
      <c r="A529" s="147"/>
      <c r="B529" s="158"/>
      <c r="C529" s="179"/>
      <c r="D529" s="158"/>
      <c r="E529" s="160"/>
      <c r="F529" s="161"/>
      <c r="G529" s="161"/>
      <c r="H529" s="161"/>
      <c r="I529" s="163"/>
      <c r="J529" s="161"/>
      <c r="K529" s="163"/>
      <c r="L529" s="150"/>
      <c r="M529" s="164"/>
      <c r="N529" s="150"/>
      <c r="O529" s="174"/>
      <c r="P529" s="523"/>
      <c r="Q529" s="523"/>
      <c r="R529" s="154"/>
      <c r="S529" s="155"/>
      <c r="T529" s="156"/>
      <c r="U529" s="154"/>
      <c r="V529" s="155"/>
      <c r="W529" s="155"/>
      <c r="X529" s="419"/>
      <c r="Y529" s="157"/>
      <c r="Z529" s="217"/>
      <c r="AA529" s="150"/>
      <c r="AB529" s="151"/>
      <c r="AC529" s="152"/>
      <c r="AD529" s="506"/>
      <c r="AE529" s="166"/>
      <c r="AF529" s="150"/>
      <c r="AG529" s="152"/>
      <c r="AH529" s="150"/>
      <c r="AI529" s="152"/>
      <c r="AJ529" s="150"/>
      <c r="AK529" s="152"/>
      <c r="AL529" s="150"/>
      <c r="AM529" s="151"/>
      <c r="AN529" s="151"/>
      <c r="AO529" s="169"/>
      <c r="AP529" s="169"/>
      <c r="AQ529" s="149"/>
      <c r="AR529" s="324"/>
      <c r="AS529" s="324"/>
      <c r="AT529" s="324"/>
      <c r="AU529" s="324"/>
      <c r="AV529" s="324"/>
      <c r="AW529" s="324"/>
      <c r="AX529" s="150"/>
      <c r="AY529" s="297"/>
      <c r="AZ529" s="297"/>
      <c r="BA529" s="297"/>
      <c r="BB529" s="297"/>
      <c r="BC529" s="152"/>
      <c r="BD529" s="150"/>
      <c r="BE529" s="297"/>
      <c r="BF529" s="297"/>
      <c r="BG529" s="297"/>
      <c r="BH529" s="297"/>
      <c r="BI529" s="152"/>
      <c r="BJ529" s="170"/>
      <c r="BK529" s="148"/>
      <c r="BL529" s="324"/>
      <c r="BM529" s="324"/>
      <c r="BN529" s="170"/>
      <c r="BO529" s="149"/>
      <c r="BP529" s="170"/>
      <c r="BQ529" s="149"/>
      <c r="BR529" s="170"/>
      <c r="BS529" s="171"/>
      <c r="BT529" s="707"/>
    </row>
    <row r="530" spans="1:72" s="2" customFormat="1" ht="24.9" customHeight="1">
      <c r="A530" s="147"/>
      <c r="B530" s="158"/>
      <c r="C530" s="179"/>
      <c r="D530" s="158"/>
      <c r="E530" s="160"/>
      <c r="F530" s="161"/>
      <c r="G530" s="161"/>
      <c r="H530" s="161"/>
      <c r="I530" s="163"/>
      <c r="J530" s="161"/>
      <c r="K530" s="163"/>
      <c r="L530" s="150"/>
      <c r="M530" s="164"/>
      <c r="N530" s="150"/>
      <c r="O530" s="174"/>
      <c r="P530" s="523"/>
      <c r="Q530" s="523"/>
      <c r="R530" s="154"/>
      <c r="S530" s="155"/>
      <c r="T530" s="156"/>
      <c r="U530" s="154"/>
      <c r="V530" s="155"/>
      <c r="W530" s="155"/>
      <c r="X530" s="419"/>
      <c r="Y530" s="157"/>
      <c r="Z530" s="217"/>
      <c r="AA530" s="150"/>
      <c r="AB530" s="151"/>
      <c r="AC530" s="152"/>
      <c r="AD530" s="506"/>
      <c r="AE530" s="166"/>
      <c r="AF530" s="150"/>
      <c r="AG530" s="152"/>
      <c r="AH530" s="150"/>
      <c r="AI530" s="152"/>
      <c r="AJ530" s="150"/>
      <c r="AK530" s="152"/>
      <c r="AL530" s="150"/>
      <c r="AM530" s="151"/>
      <c r="AN530" s="151"/>
      <c r="AO530" s="169"/>
      <c r="AP530" s="169"/>
      <c r="AQ530" s="149"/>
      <c r="AR530" s="324"/>
      <c r="AS530" s="324"/>
      <c r="AT530" s="324"/>
      <c r="AU530" s="324"/>
      <c r="AV530" s="324"/>
      <c r="AW530" s="324"/>
      <c r="AX530" s="150"/>
      <c r="AY530" s="297"/>
      <c r="AZ530" s="297"/>
      <c r="BA530" s="297"/>
      <c r="BB530" s="297"/>
      <c r="BC530" s="152"/>
      <c r="BD530" s="150"/>
      <c r="BE530" s="297"/>
      <c r="BF530" s="297"/>
      <c r="BG530" s="297"/>
      <c r="BH530" s="297"/>
      <c r="BI530" s="152"/>
      <c r="BJ530" s="170"/>
      <c r="BK530" s="148"/>
      <c r="BL530" s="324"/>
      <c r="BM530" s="324"/>
      <c r="BN530" s="170"/>
      <c r="BO530" s="149"/>
      <c r="BP530" s="170"/>
      <c r="BQ530" s="149"/>
      <c r="BR530" s="170"/>
      <c r="BS530" s="171"/>
      <c r="BT530" s="706"/>
    </row>
    <row r="531" spans="1:72" s="2" customFormat="1" ht="24.9" customHeight="1">
      <c r="A531" s="147"/>
      <c r="B531" s="158"/>
      <c r="C531" s="179"/>
      <c r="D531" s="158"/>
      <c r="E531" s="160"/>
      <c r="F531" s="161"/>
      <c r="G531" s="161"/>
      <c r="H531" s="161"/>
      <c r="I531" s="163"/>
      <c r="J531" s="161"/>
      <c r="K531" s="163"/>
      <c r="L531" s="150"/>
      <c r="M531" s="164"/>
      <c r="N531" s="150"/>
      <c r="O531" s="174"/>
      <c r="P531" s="523"/>
      <c r="Q531" s="523"/>
      <c r="R531" s="154"/>
      <c r="S531" s="155"/>
      <c r="T531" s="156"/>
      <c r="U531" s="154"/>
      <c r="V531" s="155"/>
      <c r="W531" s="155"/>
      <c r="X531" s="419"/>
      <c r="Y531" s="157"/>
      <c r="Z531" s="217"/>
      <c r="AA531" s="150"/>
      <c r="AB531" s="151"/>
      <c r="AC531" s="152"/>
      <c r="AD531" s="506"/>
      <c r="AE531" s="166"/>
      <c r="AF531" s="150"/>
      <c r="AG531" s="152"/>
      <c r="AH531" s="150"/>
      <c r="AI531" s="152"/>
      <c r="AJ531" s="150"/>
      <c r="AK531" s="152"/>
      <c r="AL531" s="150"/>
      <c r="AM531" s="151"/>
      <c r="AN531" s="151"/>
      <c r="AO531" s="169"/>
      <c r="AP531" s="169"/>
      <c r="AQ531" s="149"/>
      <c r="AR531" s="324"/>
      <c r="AS531" s="324"/>
      <c r="AT531" s="324"/>
      <c r="AU531" s="324"/>
      <c r="AV531" s="324"/>
      <c r="AW531" s="324"/>
      <c r="AX531" s="150"/>
      <c r="AY531" s="297"/>
      <c r="AZ531" s="297"/>
      <c r="BA531" s="297"/>
      <c r="BB531" s="297"/>
      <c r="BC531" s="152"/>
      <c r="BD531" s="150"/>
      <c r="BE531" s="297"/>
      <c r="BF531" s="297"/>
      <c r="BG531" s="297"/>
      <c r="BH531" s="297"/>
      <c r="BI531" s="152"/>
      <c r="BJ531" s="170"/>
      <c r="BK531" s="148"/>
      <c r="BL531" s="324"/>
      <c r="BM531" s="324"/>
      <c r="BN531" s="170"/>
      <c r="BO531" s="149"/>
      <c r="BP531" s="170"/>
      <c r="BQ531" s="149"/>
      <c r="BR531" s="170"/>
      <c r="BS531" s="171"/>
      <c r="BT531" s="707"/>
    </row>
    <row r="532" spans="1:72" s="2" customFormat="1" ht="24.9" customHeight="1">
      <c r="A532" s="147"/>
      <c r="B532" s="158"/>
      <c r="C532" s="179"/>
      <c r="D532" s="158"/>
      <c r="E532" s="160"/>
      <c r="F532" s="161"/>
      <c r="G532" s="161"/>
      <c r="H532" s="161"/>
      <c r="I532" s="163"/>
      <c r="J532" s="161"/>
      <c r="K532" s="163"/>
      <c r="L532" s="150"/>
      <c r="M532" s="164"/>
      <c r="N532" s="150"/>
      <c r="O532" s="174"/>
      <c r="P532" s="523"/>
      <c r="Q532" s="523"/>
      <c r="R532" s="154"/>
      <c r="S532" s="155"/>
      <c r="T532" s="156"/>
      <c r="U532" s="154"/>
      <c r="V532" s="155"/>
      <c r="W532" s="155"/>
      <c r="X532" s="419"/>
      <c r="Y532" s="157"/>
      <c r="Z532" s="217"/>
      <c r="AA532" s="150"/>
      <c r="AB532" s="151"/>
      <c r="AC532" s="152"/>
      <c r="AD532" s="506"/>
      <c r="AE532" s="166"/>
      <c r="AF532" s="150"/>
      <c r="AG532" s="152"/>
      <c r="AH532" s="150"/>
      <c r="AI532" s="152"/>
      <c r="AJ532" s="150"/>
      <c r="AK532" s="152"/>
      <c r="AL532" s="150"/>
      <c r="AM532" s="151"/>
      <c r="AN532" s="151"/>
      <c r="AO532" s="169"/>
      <c r="AP532" s="169"/>
      <c r="AQ532" s="149"/>
      <c r="AR532" s="324"/>
      <c r="AS532" s="324"/>
      <c r="AT532" s="324"/>
      <c r="AU532" s="324"/>
      <c r="AV532" s="324"/>
      <c r="AW532" s="324"/>
      <c r="AX532" s="150"/>
      <c r="AY532" s="297"/>
      <c r="AZ532" s="297"/>
      <c r="BA532" s="297"/>
      <c r="BB532" s="297"/>
      <c r="BC532" s="152"/>
      <c r="BD532" s="150"/>
      <c r="BE532" s="297"/>
      <c r="BF532" s="297"/>
      <c r="BG532" s="297"/>
      <c r="BH532" s="297"/>
      <c r="BI532" s="152"/>
      <c r="BJ532" s="170"/>
      <c r="BK532" s="148"/>
      <c r="BL532" s="324"/>
      <c r="BM532" s="324"/>
      <c r="BN532" s="170"/>
      <c r="BO532" s="149"/>
      <c r="BP532" s="170"/>
      <c r="BQ532" s="149"/>
      <c r="BR532" s="170"/>
      <c r="BS532" s="171"/>
      <c r="BT532" s="706"/>
    </row>
    <row r="533" spans="1:72" s="2" customFormat="1" ht="24.9" customHeight="1">
      <c r="A533" s="147"/>
      <c r="B533" s="158"/>
      <c r="C533" s="179"/>
      <c r="D533" s="158"/>
      <c r="E533" s="160"/>
      <c r="F533" s="161"/>
      <c r="G533" s="161"/>
      <c r="H533" s="161"/>
      <c r="I533" s="163"/>
      <c r="J533" s="161"/>
      <c r="K533" s="163"/>
      <c r="L533" s="150"/>
      <c r="M533" s="164"/>
      <c r="N533" s="150"/>
      <c r="O533" s="151"/>
      <c r="P533" s="522"/>
      <c r="Q533" s="522"/>
      <c r="R533" s="154"/>
      <c r="S533" s="155"/>
      <c r="T533" s="156"/>
      <c r="U533" s="154"/>
      <c r="V533" s="155"/>
      <c r="W533" s="155"/>
      <c r="X533" s="419"/>
      <c r="Y533" s="157"/>
      <c r="Z533" s="217"/>
      <c r="AA533" s="150"/>
      <c r="AB533" s="151"/>
      <c r="AC533" s="152"/>
      <c r="AD533" s="507"/>
      <c r="AE533" s="183"/>
      <c r="AF533" s="150"/>
      <c r="AG533" s="152"/>
      <c r="AH533" s="150"/>
      <c r="AI533" s="152"/>
      <c r="AJ533" s="150"/>
      <c r="AK533" s="152"/>
      <c r="AL533" s="150"/>
      <c r="AM533" s="151"/>
      <c r="AN533" s="151"/>
      <c r="AO533" s="169"/>
      <c r="AP533" s="169"/>
      <c r="AQ533" s="149"/>
      <c r="AR533" s="324"/>
      <c r="AS533" s="324"/>
      <c r="AT533" s="324"/>
      <c r="AU533" s="324"/>
      <c r="AV533" s="324"/>
      <c r="AW533" s="324"/>
      <c r="AX533" s="150"/>
      <c r="AY533" s="297"/>
      <c r="AZ533" s="297"/>
      <c r="BA533" s="297"/>
      <c r="BB533" s="297"/>
      <c r="BC533" s="152"/>
      <c r="BD533" s="150"/>
      <c r="BE533" s="297"/>
      <c r="BF533" s="297"/>
      <c r="BG533" s="297"/>
      <c r="BH533" s="297"/>
      <c r="BI533" s="152"/>
      <c r="BJ533" s="170"/>
      <c r="BK533" s="148"/>
      <c r="BL533" s="324"/>
      <c r="BM533" s="324"/>
      <c r="BN533" s="170"/>
      <c r="BO533" s="149"/>
      <c r="BP533" s="170"/>
      <c r="BQ533" s="149"/>
      <c r="BR533" s="170"/>
      <c r="BS533" s="171"/>
      <c r="BT533" s="708"/>
    </row>
    <row r="534" spans="1:72" s="2" customFormat="1" ht="24.9" customHeight="1">
      <c r="A534" s="147"/>
      <c r="B534" s="158"/>
      <c r="C534" s="179"/>
      <c r="D534" s="158"/>
      <c r="E534" s="160"/>
      <c r="F534" s="161"/>
      <c r="G534" s="161"/>
      <c r="H534" s="161"/>
      <c r="I534" s="163"/>
      <c r="J534" s="161"/>
      <c r="K534" s="163"/>
      <c r="L534" s="150"/>
      <c r="M534" s="164"/>
      <c r="N534" s="150"/>
      <c r="O534" s="174"/>
      <c r="P534" s="523"/>
      <c r="Q534" s="523"/>
      <c r="R534" s="154"/>
      <c r="S534" s="155"/>
      <c r="T534" s="156"/>
      <c r="U534" s="154"/>
      <c r="V534" s="155"/>
      <c r="W534" s="155"/>
      <c r="X534" s="419"/>
      <c r="Y534" s="157"/>
      <c r="Z534" s="217"/>
      <c r="AA534" s="150"/>
      <c r="AB534" s="151"/>
      <c r="AC534" s="152"/>
      <c r="AD534" s="506"/>
      <c r="AE534" s="166"/>
      <c r="AF534" s="150"/>
      <c r="AG534" s="152"/>
      <c r="AH534" s="150"/>
      <c r="AI534" s="152"/>
      <c r="AJ534" s="150"/>
      <c r="AK534" s="152"/>
      <c r="AL534" s="150"/>
      <c r="AM534" s="151"/>
      <c r="AN534" s="151"/>
      <c r="AO534" s="169"/>
      <c r="AP534" s="169"/>
      <c r="AQ534" s="149"/>
      <c r="AR534" s="324"/>
      <c r="AS534" s="324"/>
      <c r="AT534" s="324"/>
      <c r="AU534" s="324"/>
      <c r="AV534" s="324"/>
      <c r="AW534" s="324"/>
      <c r="AX534" s="150"/>
      <c r="AY534" s="297"/>
      <c r="AZ534" s="297"/>
      <c r="BA534" s="297"/>
      <c r="BB534" s="297"/>
      <c r="BC534" s="152"/>
      <c r="BD534" s="150"/>
      <c r="BE534" s="297"/>
      <c r="BF534" s="297"/>
      <c r="BG534" s="297"/>
      <c r="BH534" s="297"/>
      <c r="BI534" s="152"/>
      <c r="BJ534" s="170"/>
      <c r="BK534" s="148"/>
      <c r="BL534" s="324"/>
      <c r="BM534" s="324"/>
      <c r="BN534" s="170"/>
      <c r="BO534" s="149"/>
      <c r="BP534" s="170"/>
      <c r="BQ534" s="149"/>
      <c r="BR534" s="170"/>
      <c r="BS534" s="171"/>
      <c r="BT534" s="708"/>
    </row>
    <row r="535" spans="1:72" s="2" customFormat="1" ht="24.9" customHeight="1">
      <c r="A535" s="147"/>
      <c r="B535" s="158"/>
      <c r="C535" s="179"/>
      <c r="D535" s="158"/>
      <c r="E535" s="160"/>
      <c r="F535" s="161"/>
      <c r="G535" s="161"/>
      <c r="H535" s="161"/>
      <c r="I535" s="163"/>
      <c r="J535" s="161"/>
      <c r="K535" s="163"/>
      <c r="L535" s="150"/>
      <c r="M535" s="164"/>
      <c r="N535" s="150"/>
      <c r="O535" s="151"/>
      <c r="P535" s="522"/>
      <c r="Q535" s="522"/>
      <c r="R535" s="154"/>
      <c r="S535" s="155"/>
      <c r="T535" s="156"/>
      <c r="U535" s="154"/>
      <c r="V535" s="155"/>
      <c r="W535" s="155"/>
      <c r="X535" s="419"/>
      <c r="Y535" s="157"/>
      <c r="Z535" s="217"/>
      <c r="AA535" s="150"/>
      <c r="AB535" s="151"/>
      <c r="AC535" s="152"/>
      <c r="AD535" s="506"/>
      <c r="AE535" s="166"/>
      <c r="AF535" s="150"/>
      <c r="AG535" s="152"/>
      <c r="AH535" s="150"/>
      <c r="AI535" s="152"/>
      <c r="AJ535" s="150"/>
      <c r="AK535" s="152"/>
      <c r="AL535" s="150"/>
      <c r="AM535" s="151"/>
      <c r="AN535" s="151"/>
      <c r="AO535" s="169"/>
      <c r="AP535" s="169"/>
      <c r="AQ535" s="149"/>
      <c r="AR535" s="324"/>
      <c r="AS535" s="324"/>
      <c r="AT535" s="324"/>
      <c r="AU535" s="324"/>
      <c r="AV535" s="324"/>
      <c r="AW535" s="324"/>
      <c r="AX535" s="150"/>
      <c r="AY535" s="297"/>
      <c r="AZ535" s="297"/>
      <c r="BA535" s="297"/>
      <c r="BB535" s="297"/>
      <c r="BC535" s="152"/>
      <c r="BD535" s="150"/>
      <c r="BE535" s="297"/>
      <c r="BF535" s="297"/>
      <c r="BG535" s="297"/>
      <c r="BH535" s="297"/>
      <c r="BI535" s="152"/>
      <c r="BJ535" s="170"/>
      <c r="BK535" s="148"/>
      <c r="BL535" s="324"/>
      <c r="BM535" s="324"/>
      <c r="BN535" s="170"/>
      <c r="BO535" s="149"/>
      <c r="BP535" s="170"/>
      <c r="BQ535" s="149"/>
      <c r="BR535" s="170"/>
      <c r="BS535" s="171"/>
      <c r="BT535" s="707"/>
    </row>
    <row r="536" spans="1:72" s="2" customFormat="1" ht="24.9" customHeight="1">
      <c r="A536" s="147"/>
      <c r="B536" s="158"/>
      <c r="C536" s="179"/>
      <c r="D536" s="158"/>
      <c r="E536" s="160"/>
      <c r="F536" s="161"/>
      <c r="G536" s="161"/>
      <c r="H536" s="161"/>
      <c r="I536" s="163"/>
      <c r="J536" s="161"/>
      <c r="K536" s="163"/>
      <c r="L536" s="150"/>
      <c r="M536" s="164"/>
      <c r="N536" s="150"/>
      <c r="O536" s="174"/>
      <c r="P536" s="523"/>
      <c r="Q536" s="523"/>
      <c r="R536" s="154"/>
      <c r="S536" s="155"/>
      <c r="T536" s="156"/>
      <c r="U536" s="154"/>
      <c r="V536" s="155"/>
      <c r="W536" s="155"/>
      <c r="X536" s="419"/>
      <c r="Y536" s="157"/>
      <c r="Z536" s="217"/>
      <c r="AA536" s="150"/>
      <c r="AB536" s="151"/>
      <c r="AC536" s="152"/>
      <c r="AD536" s="506"/>
      <c r="AE536" s="166"/>
      <c r="AF536" s="150"/>
      <c r="AG536" s="152"/>
      <c r="AH536" s="150"/>
      <c r="AI536" s="152"/>
      <c r="AJ536" s="150"/>
      <c r="AK536" s="152"/>
      <c r="AL536" s="150"/>
      <c r="AM536" s="151"/>
      <c r="AN536" s="151"/>
      <c r="AO536" s="169"/>
      <c r="AP536" s="169"/>
      <c r="AQ536" s="149"/>
      <c r="AR536" s="324"/>
      <c r="AS536" s="324"/>
      <c r="AT536" s="324"/>
      <c r="AU536" s="324"/>
      <c r="AV536" s="324"/>
      <c r="AW536" s="324"/>
      <c r="AX536" s="150"/>
      <c r="AY536" s="297"/>
      <c r="AZ536" s="297"/>
      <c r="BA536" s="297"/>
      <c r="BB536" s="297"/>
      <c r="BC536" s="152"/>
      <c r="BD536" s="150"/>
      <c r="BE536" s="297"/>
      <c r="BF536" s="297"/>
      <c r="BG536" s="297"/>
      <c r="BH536" s="297"/>
      <c r="BI536" s="152"/>
      <c r="BJ536" s="170"/>
      <c r="BK536" s="148"/>
      <c r="BL536" s="324"/>
      <c r="BM536" s="324"/>
      <c r="BN536" s="170"/>
      <c r="BO536" s="149"/>
      <c r="BP536" s="170"/>
      <c r="BQ536" s="149"/>
      <c r="BR536" s="170"/>
      <c r="BS536" s="171"/>
      <c r="BT536" s="706"/>
    </row>
    <row r="537" spans="1:72" s="2" customFormat="1" ht="24.9" customHeight="1">
      <c r="A537" s="147"/>
      <c r="B537" s="158"/>
      <c r="C537" s="179"/>
      <c r="D537" s="158"/>
      <c r="E537" s="160"/>
      <c r="F537" s="161"/>
      <c r="G537" s="161"/>
      <c r="H537" s="161"/>
      <c r="I537" s="163"/>
      <c r="J537" s="161"/>
      <c r="K537" s="163"/>
      <c r="L537" s="150"/>
      <c r="M537" s="164"/>
      <c r="N537" s="150"/>
      <c r="O537" s="174"/>
      <c r="P537" s="523"/>
      <c r="Q537" s="523"/>
      <c r="R537" s="154"/>
      <c r="S537" s="155"/>
      <c r="T537" s="156"/>
      <c r="U537" s="154"/>
      <c r="V537" s="155"/>
      <c r="W537" s="155"/>
      <c r="X537" s="419"/>
      <c r="Y537" s="157"/>
      <c r="Z537" s="217"/>
      <c r="AA537" s="150"/>
      <c r="AB537" s="151"/>
      <c r="AC537" s="152"/>
      <c r="AD537" s="506"/>
      <c r="AE537" s="166"/>
      <c r="AF537" s="150"/>
      <c r="AG537" s="152"/>
      <c r="AH537" s="150"/>
      <c r="AI537" s="152"/>
      <c r="AJ537" s="150"/>
      <c r="AK537" s="152"/>
      <c r="AL537" s="150"/>
      <c r="AM537" s="151"/>
      <c r="AN537" s="151"/>
      <c r="AO537" s="169"/>
      <c r="AP537" s="169"/>
      <c r="AQ537" s="149"/>
      <c r="AR537" s="324"/>
      <c r="AS537" s="324"/>
      <c r="AT537" s="324"/>
      <c r="AU537" s="324"/>
      <c r="AV537" s="324"/>
      <c r="AW537" s="324"/>
      <c r="AX537" s="150"/>
      <c r="AY537" s="297"/>
      <c r="AZ537" s="297"/>
      <c r="BA537" s="297"/>
      <c r="BB537" s="297"/>
      <c r="BC537" s="152"/>
      <c r="BD537" s="150"/>
      <c r="BE537" s="297"/>
      <c r="BF537" s="297"/>
      <c r="BG537" s="297"/>
      <c r="BH537" s="297"/>
      <c r="BI537" s="152"/>
      <c r="BJ537" s="170"/>
      <c r="BK537" s="148"/>
      <c r="BL537" s="324"/>
      <c r="BM537" s="324"/>
      <c r="BN537" s="170"/>
      <c r="BO537" s="149"/>
      <c r="BP537" s="170"/>
      <c r="BQ537" s="149"/>
      <c r="BR537" s="170"/>
      <c r="BS537" s="171"/>
      <c r="BT537" s="707"/>
    </row>
    <row r="538" spans="1:72" s="2" customFormat="1" ht="24.9" customHeight="1">
      <c r="A538" s="147"/>
      <c r="B538" s="158"/>
      <c r="C538" s="179"/>
      <c r="D538" s="158"/>
      <c r="E538" s="160"/>
      <c r="F538" s="161"/>
      <c r="G538" s="161"/>
      <c r="H538" s="161"/>
      <c r="I538" s="163"/>
      <c r="J538" s="161"/>
      <c r="K538" s="163"/>
      <c r="L538" s="150"/>
      <c r="M538" s="164"/>
      <c r="N538" s="150"/>
      <c r="O538" s="174"/>
      <c r="P538" s="523"/>
      <c r="Q538" s="523"/>
      <c r="R538" s="154"/>
      <c r="S538" s="155"/>
      <c r="T538" s="156"/>
      <c r="U538" s="154"/>
      <c r="V538" s="155"/>
      <c r="W538" s="155"/>
      <c r="X538" s="419"/>
      <c r="Y538" s="157"/>
      <c r="Z538" s="217"/>
      <c r="AA538" s="150"/>
      <c r="AB538" s="151"/>
      <c r="AC538" s="152"/>
      <c r="AD538" s="506"/>
      <c r="AE538" s="166"/>
      <c r="AF538" s="150"/>
      <c r="AG538" s="152"/>
      <c r="AH538" s="150"/>
      <c r="AI538" s="152"/>
      <c r="AJ538" s="150"/>
      <c r="AK538" s="152"/>
      <c r="AL538" s="150"/>
      <c r="AM538" s="151"/>
      <c r="AN538" s="151"/>
      <c r="AO538" s="169"/>
      <c r="AP538" s="169"/>
      <c r="AQ538" s="149"/>
      <c r="AR538" s="324"/>
      <c r="AS538" s="324"/>
      <c r="AT538" s="324"/>
      <c r="AU538" s="324"/>
      <c r="AV538" s="324"/>
      <c r="AW538" s="324"/>
      <c r="AX538" s="150"/>
      <c r="AY538" s="297"/>
      <c r="AZ538" s="297"/>
      <c r="BA538" s="297"/>
      <c r="BB538" s="297"/>
      <c r="BC538" s="152"/>
      <c r="BD538" s="150"/>
      <c r="BE538" s="297"/>
      <c r="BF538" s="297"/>
      <c r="BG538" s="297"/>
      <c r="BH538" s="297"/>
      <c r="BI538" s="152"/>
      <c r="BJ538" s="170"/>
      <c r="BK538" s="148"/>
      <c r="BL538" s="324"/>
      <c r="BM538" s="324"/>
      <c r="BN538" s="170"/>
      <c r="BO538" s="149"/>
      <c r="BP538" s="170"/>
      <c r="BQ538" s="149"/>
      <c r="BR538" s="170"/>
      <c r="BS538" s="171"/>
      <c r="BT538" s="706"/>
    </row>
    <row r="539" spans="1:72" s="2" customFormat="1" ht="24.9" customHeight="1">
      <c r="A539" s="147"/>
      <c r="B539" s="158"/>
      <c r="C539" s="179"/>
      <c r="D539" s="158"/>
      <c r="E539" s="160"/>
      <c r="F539" s="161"/>
      <c r="G539" s="161"/>
      <c r="H539" s="161"/>
      <c r="I539" s="163"/>
      <c r="J539" s="161"/>
      <c r="K539" s="163"/>
      <c r="L539" s="150"/>
      <c r="M539" s="164"/>
      <c r="N539" s="150"/>
      <c r="O539" s="174"/>
      <c r="P539" s="523"/>
      <c r="Q539" s="523"/>
      <c r="R539" s="154"/>
      <c r="S539" s="155"/>
      <c r="T539" s="156"/>
      <c r="U539" s="154"/>
      <c r="V539" s="155"/>
      <c r="W539" s="155"/>
      <c r="X539" s="419"/>
      <c r="Y539" s="157"/>
      <c r="Z539" s="217"/>
      <c r="AA539" s="150"/>
      <c r="AB539" s="151"/>
      <c r="AC539" s="152"/>
      <c r="AD539" s="506"/>
      <c r="AE539" s="166"/>
      <c r="AF539" s="150"/>
      <c r="AG539" s="152"/>
      <c r="AH539" s="150"/>
      <c r="AI539" s="152"/>
      <c r="AJ539" s="150"/>
      <c r="AK539" s="152"/>
      <c r="AL539" s="150"/>
      <c r="AM539" s="151"/>
      <c r="AN539" s="151"/>
      <c r="AO539" s="169"/>
      <c r="AP539" s="169"/>
      <c r="AQ539" s="149"/>
      <c r="AR539" s="324"/>
      <c r="AS539" s="324"/>
      <c r="AT539" s="324"/>
      <c r="AU539" s="324"/>
      <c r="AV539" s="324"/>
      <c r="AW539" s="324"/>
      <c r="AX539" s="150"/>
      <c r="AY539" s="297"/>
      <c r="AZ539" s="297"/>
      <c r="BA539" s="297"/>
      <c r="BB539" s="297"/>
      <c r="BC539" s="152"/>
      <c r="BD539" s="150"/>
      <c r="BE539" s="297"/>
      <c r="BF539" s="297"/>
      <c r="BG539" s="297"/>
      <c r="BH539" s="297"/>
      <c r="BI539" s="152"/>
      <c r="BJ539" s="170"/>
      <c r="BK539" s="148"/>
      <c r="BL539" s="324"/>
      <c r="BM539" s="324"/>
      <c r="BN539" s="170"/>
      <c r="BO539" s="149"/>
      <c r="BP539" s="170"/>
      <c r="BQ539" s="149"/>
      <c r="BR539" s="170"/>
      <c r="BS539" s="171"/>
      <c r="BT539" s="707"/>
    </row>
    <row r="540" spans="1:72" s="2" customFormat="1" ht="24.9" customHeight="1">
      <c r="A540" s="147"/>
      <c r="B540" s="158"/>
      <c r="C540" s="179"/>
      <c r="D540" s="158"/>
      <c r="E540" s="160"/>
      <c r="F540" s="161"/>
      <c r="G540" s="161"/>
      <c r="H540" s="161"/>
      <c r="I540" s="163"/>
      <c r="J540" s="161"/>
      <c r="K540" s="163"/>
      <c r="L540" s="150"/>
      <c r="M540" s="164"/>
      <c r="N540" s="150"/>
      <c r="O540" s="174"/>
      <c r="P540" s="523"/>
      <c r="Q540" s="523"/>
      <c r="R540" s="154"/>
      <c r="S540" s="155"/>
      <c r="T540" s="156"/>
      <c r="U540" s="154"/>
      <c r="V540" s="155"/>
      <c r="W540" s="155"/>
      <c r="X540" s="419"/>
      <c r="Y540" s="157"/>
      <c r="Z540" s="217"/>
      <c r="AA540" s="150"/>
      <c r="AB540" s="151"/>
      <c r="AC540" s="152"/>
      <c r="AD540" s="506"/>
      <c r="AE540" s="166"/>
      <c r="AF540" s="150"/>
      <c r="AG540" s="152"/>
      <c r="AH540" s="150"/>
      <c r="AI540" s="152"/>
      <c r="AJ540" s="150"/>
      <c r="AK540" s="152"/>
      <c r="AL540" s="150"/>
      <c r="AM540" s="151"/>
      <c r="AN540" s="151"/>
      <c r="AO540" s="169"/>
      <c r="AP540" s="169"/>
      <c r="AQ540" s="149"/>
      <c r="AR540" s="324"/>
      <c r="AS540" s="324"/>
      <c r="AT540" s="324"/>
      <c r="AU540" s="324"/>
      <c r="AV540" s="324"/>
      <c r="AW540" s="324"/>
      <c r="AX540" s="150"/>
      <c r="AY540" s="297"/>
      <c r="AZ540" s="297"/>
      <c r="BA540" s="297"/>
      <c r="BB540" s="297"/>
      <c r="BC540" s="152"/>
      <c r="BD540" s="150"/>
      <c r="BE540" s="297"/>
      <c r="BF540" s="297"/>
      <c r="BG540" s="297"/>
      <c r="BH540" s="297"/>
      <c r="BI540" s="152"/>
      <c r="BJ540" s="170"/>
      <c r="BK540" s="148"/>
      <c r="BL540" s="324"/>
      <c r="BM540" s="324"/>
      <c r="BN540" s="170"/>
      <c r="BO540" s="149"/>
      <c r="BP540" s="170"/>
      <c r="BQ540" s="149"/>
      <c r="BR540" s="170"/>
      <c r="BS540" s="171"/>
      <c r="BT540" s="706"/>
    </row>
    <row r="541" spans="1:72" s="2" customFormat="1" ht="24.9" customHeight="1">
      <c r="A541" s="147"/>
      <c r="B541" s="158"/>
      <c r="C541" s="179"/>
      <c r="D541" s="158"/>
      <c r="E541" s="160"/>
      <c r="F541" s="161"/>
      <c r="G541" s="161"/>
      <c r="H541" s="161"/>
      <c r="I541" s="163"/>
      <c r="J541" s="161"/>
      <c r="K541" s="163"/>
      <c r="L541" s="150"/>
      <c r="M541" s="164"/>
      <c r="N541" s="150"/>
      <c r="O541" s="151"/>
      <c r="P541" s="522"/>
      <c r="Q541" s="522"/>
      <c r="R541" s="154"/>
      <c r="S541" s="155"/>
      <c r="T541" s="156"/>
      <c r="U541" s="154"/>
      <c r="V541" s="155"/>
      <c r="W541" s="155"/>
      <c r="X541" s="419"/>
      <c r="Y541" s="157"/>
      <c r="Z541" s="217"/>
      <c r="AA541" s="150"/>
      <c r="AB541" s="151"/>
      <c r="AC541" s="152"/>
      <c r="AD541" s="506"/>
      <c r="AE541" s="166"/>
      <c r="AF541" s="150"/>
      <c r="AG541" s="152"/>
      <c r="AH541" s="150"/>
      <c r="AI541" s="152"/>
      <c r="AJ541" s="150"/>
      <c r="AK541" s="152"/>
      <c r="AL541" s="150"/>
      <c r="AM541" s="151"/>
      <c r="AN541" s="151"/>
      <c r="AO541" s="169"/>
      <c r="AP541" s="169"/>
      <c r="AQ541" s="149"/>
      <c r="AR541" s="324"/>
      <c r="AS541" s="324"/>
      <c r="AT541" s="324"/>
      <c r="AU541" s="324"/>
      <c r="AV541" s="324"/>
      <c r="AW541" s="324"/>
      <c r="AX541" s="150"/>
      <c r="AY541" s="297"/>
      <c r="AZ541" s="297"/>
      <c r="BA541" s="297"/>
      <c r="BB541" s="297"/>
      <c r="BC541" s="152"/>
      <c r="BD541" s="150"/>
      <c r="BE541" s="297"/>
      <c r="BF541" s="297"/>
      <c r="BG541" s="297"/>
      <c r="BH541" s="297"/>
      <c r="BI541" s="152"/>
      <c r="BJ541" s="170"/>
      <c r="BK541" s="148"/>
      <c r="BL541" s="324"/>
      <c r="BM541" s="324"/>
      <c r="BN541" s="170"/>
      <c r="BO541" s="149"/>
      <c r="BP541" s="170"/>
      <c r="BQ541" s="149"/>
      <c r="BR541" s="170"/>
      <c r="BS541" s="171"/>
      <c r="BT541" s="708"/>
    </row>
    <row r="542" spans="1:72" s="2" customFormat="1" ht="24.9" customHeight="1">
      <c r="A542" s="147"/>
      <c r="B542" s="158"/>
      <c r="C542" s="179"/>
      <c r="D542" s="158"/>
      <c r="E542" s="160"/>
      <c r="F542" s="161"/>
      <c r="G542" s="161"/>
      <c r="H542" s="161"/>
      <c r="I542" s="163"/>
      <c r="J542" s="161"/>
      <c r="K542" s="163"/>
      <c r="L542" s="150"/>
      <c r="M542" s="164"/>
      <c r="N542" s="150"/>
      <c r="O542" s="174"/>
      <c r="P542" s="523"/>
      <c r="Q542" s="523"/>
      <c r="R542" s="154"/>
      <c r="S542" s="155"/>
      <c r="T542" s="156"/>
      <c r="U542" s="154"/>
      <c r="V542" s="155"/>
      <c r="W542" s="155"/>
      <c r="X542" s="419"/>
      <c r="Y542" s="157"/>
      <c r="Z542" s="217"/>
      <c r="AA542" s="150"/>
      <c r="AB542" s="151"/>
      <c r="AC542" s="152"/>
      <c r="AD542" s="506"/>
      <c r="AE542" s="166"/>
      <c r="AF542" s="150"/>
      <c r="AG542" s="152"/>
      <c r="AH542" s="150"/>
      <c r="AI542" s="152"/>
      <c r="AJ542" s="150"/>
      <c r="AK542" s="152"/>
      <c r="AL542" s="150"/>
      <c r="AM542" s="151"/>
      <c r="AN542" s="151"/>
      <c r="AO542" s="169"/>
      <c r="AP542" s="169"/>
      <c r="AQ542" s="149"/>
      <c r="AR542" s="324"/>
      <c r="AS542" s="324"/>
      <c r="AT542" s="324"/>
      <c r="AU542" s="324"/>
      <c r="AV542" s="324"/>
      <c r="AW542" s="324"/>
      <c r="AX542" s="150"/>
      <c r="AY542" s="297"/>
      <c r="AZ542" s="297"/>
      <c r="BA542" s="297"/>
      <c r="BB542" s="297"/>
      <c r="BC542" s="152"/>
      <c r="BD542" s="150"/>
      <c r="BE542" s="297"/>
      <c r="BF542" s="297"/>
      <c r="BG542" s="297"/>
      <c r="BH542" s="297"/>
      <c r="BI542" s="152"/>
      <c r="BJ542" s="170"/>
      <c r="BK542" s="148"/>
      <c r="BL542" s="324"/>
      <c r="BM542" s="324"/>
      <c r="BN542" s="170"/>
      <c r="BO542" s="149"/>
      <c r="BP542" s="170"/>
      <c r="BQ542" s="149"/>
      <c r="BR542" s="170"/>
      <c r="BS542" s="171"/>
      <c r="BT542" s="707"/>
    </row>
    <row r="543" spans="1:72" s="2" customFormat="1" ht="24.9" customHeight="1">
      <c r="A543" s="147"/>
      <c r="B543" s="158"/>
      <c r="C543" s="179"/>
      <c r="D543" s="158"/>
      <c r="E543" s="160"/>
      <c r="F543" s="161"/>
      <c r="G543" s="161"/>
      <c r="H543" s="161"/>
      <c r="I543" s="163"/>
      <c r="J543" s="161"/>
      <c r="K543" s="163"/>
      <c r="L543" s="150"/>
      <c r="M543" s="164"/>
      <c r="N543" s="150"/>
      <c r="O543" s="174"/>
      <c r="P543" s="523"/>
      <c r="Q543" s="523"/>
      <c r="R543" s="154"/>
      <c r="S543" s="155"/>
      <c r="T543" s="156"/>
      <c r="U543" s="154"/>
      <c r="V543" s="155"/>
      <c r="W543" s="155"/>
      <c r="X543" s="419"/>
      <c r="Y543" s="157"/>
      <c r="Z543" s="217"/>
      <c r="AA543" s="150"/>
      <c r="AB543" s="151"/>
      <c r="AC543" s="152"/>
      <c r="AD543" s="506"/>
      <c r="AE543" s="166"/>
      <c r="AF543" s="150"/>
      <c r="AG543" s="152"/>
      <c r="AH543" s="150"/>
      <c r="AI543" s="152"/>
      <c r="AJ543" s="150"/>
      <c r="AK543" s="152"/>
      <c r="AL543" s="150"/>
      <c r="AM543" s="151"/>
      <c r="AN543" s="151"/>
      <c r="AO543" s="169"/>
      <c r="AP543" s="169"/>
      <c r="AQ543" s="149"/>
      <c r="AR543" s="324"/>
      <c r="AS543" s="324"/>
      <c r="AT543" s="324"/>
      <c r="AU543" s="324"/>
      <c r="AV543" s="324"/>
      <c r="AW543" s="324"/>
      <c r="AX543" s="150"/>
      <c r="AY543" s="297"/>
      <c r="AZ543" s="297"/>
      <c r="BA543" s="297"/>
      <c r="BB543" s="297"/>
      <c r="BC543" s="152"/>
      <c r="BD543" s="150"/>
      <c r="BE543" s="297"/>
      <c r="BF543" s="297"/>
      <c r="BG543" s="297"/>
      <c r="BH543" s="297"/>
      <c r="BI543" s="152"/>
      <c r="BJ543" s="170"/>
      <c r="BK543" s="148"/>
      <c r="BL543" s="324"/>
      <c r="BM543" s="324"/>
      <c r="BN543" s="170"/>
      <c r="BO543" s="149"/>
      <c r="BP543" s="170"/>
      <c r="BQ543" s="149"/>
      <c r="BR543" s="170"/>
      <c r="BS543" s="171"/>
      <c r="BT543" s="706"/>
    </row>
    <row r="544" spans="1:72" s="2" customFormat="1" ht="24.9" customHeight="1">
      <c r="A544" s="147"/>
      <c r="B544" s="158"/>
      <c r="C544" s="179"/>
      <c r="D544" s="158"/>
      <c r="E544" s="160"/>
      <c r="F544" s="161"/>
      <c r="G544" s="161"/>
      <c r="H544" s="161"/>
      <c r="I544" s="163"/>
      <c r="J544" s="161"/>
      <c r="K544" s="163"/>
      <c r="L544" s="150"/>
      <c r="M544" s="164"/>
      <c r="N544" s="150"/>
      <c r="O544" s="174"/>
      <c r="P544" s="523"/>
      <c r="Q544" s="523"/>
      <c r="R544" s="154"/>
      <c r="S544" s="155"/>
      <c r="T544" s="156"/>
      <c r="U544" s="154"/>
      <c r="V544" s="155"/>
      <c r="W544" s="155"/>
      <c r="X544" s="419"/>
      <c r="Y544" s="157"/>
      <c r="Z544" s="217"/>
      <c r="AA544" s="150"/>
      <c r="AB544" s="151"/>
      <c r="AC544" s="152"/>
      <c r="AD544" s="506"/>
      <c r="AE544" s="166"/>
      <c r="AF544" s="150"/>
      <c r="AG544" s="152"/>
      <c r="AH544" s="150"/>
      <c r="AI544" s="152"/>
      <c r="AJ544" s="150"/>
      <c r="AK544" s="152"/>
      <c r="AL544" s="150"/>
      <c r="AM544" s="151"/>
      <c r="AN544" s="151"/>
      <c r="AO544" s="169"/>
      <c r="AP544" s="169"/>
      <c r="AQ544" s="149"/>
      <c r="AR544" s="324"/>
      <c r="AS544" s="324"/>
      <c r="AT544" s="324"/>
      <c r="AU544" s="324"/>
      <c r="AV544" s="324"/>
      <c r="AW544" s="324"/>
      <c r="AX544" s="150"/>
      <c r="AY544" s="297"/>
      <c r="AZ544" s="297"/>
      <c r="BA544" s="297"/>
      <c r="BB544" s="297"/>
      <c r="BC544" s="152"/>
      <c r="BD544" s="150"/>
      <c r="BE544" s="297"/>
      <c r="BF544" s="297"/>
      <c r="BG544" s="297"/>
      <c r="BH544" s="297"/>
      <c r="BI544" s="152"/>
      <c r="BJ544" s="170"/>
      <c r="BK544" s="148"/>
      <c r="BL544" s="324"/>
      <c r="BM544" s="324"/>
      <c r="BN544" s="170"/>
      <c r="BO544" s="149"/>
      <c r="BP544" s="170"/>
      <c r="BQ544" s="149"/>
      <c r="BR544" s="170"/>
      <c r="BS544" s="171"/>
      <c r="BT544" s="707"/>
    </row>
    <row r="545" spans="1:72" s="2" customFormat="1" ht="24.9" customHeight="1">
      <c r="A545" s="147"/>
      <c r="B545" s="158"/>
      <c r="C545" s="179"/>
      <c r="D545" s="158"/>
      <c r="E545" s="160"/>
      <c r="F545" s="161"/>
      <c r="G545" s="161"/>
      <c r="H545" s="161"/>
      <c r="I545" s="163"/>
      <c r="J545" s="161"/>
      <c r="K545" s="163"/>
      <c r="L545" s="150"/>
      <c r="M545" s="164"/>
      <c r="N545" s="150"/>
      <c r="O545" s="174"/>
      <c r="P545" s="523"/>
      <c r="Q545" s="523"/>
      <c r="R545" s="154"/>
      <c r="S545" s="155"/>
      <c r="T545" s="156"/>
      <c r="U545" s="154"/>
      <c r="V545" s="155"/>
      <c r="W545" s="155"/>
      <c r="X545" s="419"/>
      <c r="Y545" s="157"/>
      <c r="Z545" s="217"/>
      <c r="AA545" s="150"/>
      <c r="AB545" s="151"/>
      <c r="AC545" s="152"/>
      <c r="AD545" s="506"/>
      <c r="AE545" s="166"/>
      <c r="AF545" s="150"/>
      <c r="AG545" s="152"/>
      <c r="AH545" s="150"/>
      <c r="AI545" s="152"/>
      <c r="AJ545" s="150"/>
      <c r="AK545" s="152"/>
      <c r="AL545" s="150"/>
      <c r="AM545" s="151"/>
      <c r="AN545" s="151"/>
      <c r="AO545" s="169"/>
      <c r="AP545" s="169"/>
      <c r="AQ545" s="149"/>
      <c r="AR545" s="324"/>
      <c r="AS545" s="324"/>
      <c r="AT545" s="324"/>
      <c r="AU545" s="324"/>
      <c r="AV545" s="324"/>
      <c r="AW545" s="324"/>
      <c r="AX545" s="150"/>
      <c r="AY545" s="297"/>
      <c r="AZ545" s="297"/>
      <c r="BA545" s="297"/>
      <c r="BB545" s="297"/>
      <c r="BC545" s="152"/>
      <c r="BD545" s="150"/>
      <c r="BE545" s="297"/>
      <c r="BF545" s="297"/>
      <c r="BG545" s="297"/>
      <c r="BH545" s="297"/>
      <c r="BI545" s="152"/>
      <c r="BJ545" s="170"/>
      <c r="BK545" s="148"/>
      <c r="BL545" s="324"/>
      <c r="BM545" s="324"/>
      <c r="BN545" s="170"/>
      <c r="BO545" s="149"/>
      <c r="BP545" s="170"/>
      <c r="BQ545" s="149"/>
      <c r="BR545" s="170"/>
      <c r="BS545" s="171"/>
      <c r="BT545" s="706"/>
    </row>
    <row r="546" spans="1:72" s="2" customFormat="1" ht="24.9" customHeight="1">
      <c r="A546" s="147"/>
      <c r="B546" s="158"/>
      <c r="C546" s="179"/>
      <c r="D546" s="158"/>
      <c r="E546" s="160"/>
      <c r="F546" s="161"/>
      <c r="G546" s="161"/>
      <c r="H546" s="161"/>
      <c r="I546" s="163"/>
      <c r="J546" s="161"/>
      <c r="K546" s="163"/>
      <c r="L546" s="150"/>
      <c r="M546" s="164"/>
      <c r="N546" s="150"/>
      <c r="O546" s="174"/>
      <c r="P546" s="523"/>
      <c r="Q546" s="523"/>
      <c r="R546" s="154"/>
      <c r="S546" s="155"/>
      <c r="T546" s="156"/>
      <c r="U546" s="154"/>
      <c r="V546" s="155"/>
      <c r="W546" s="155"/>
      <c r="X546" s="419"/>
      <c r="Y546" s="157"/>
      <c r="Z546" s="217"/>
      <c r="AA546" s="150"/>
      <c r="AB546" s="151"/>
      <c r="AC546" s="152"/>
      <c r="AD546" s="506"/>
      <c r="AE546" s="166"/>
      <c r="AF546" s="150"/>
      <c r="AG546" s="152"/>
      <c r="AH546" s="150"/>
      <c r="AI546" s="152"/>
      <c r="AJ546" s="150"/>
      <c r="AK546" s="152"/>
      <c r="AL546" s="150"/>
      <c r="AM546" s="151"/>
      <c r="AN546" s="151"/>
      <c r="AO546" s="169"/>
      <c r="AP546" s="169"/>
      <c r="AQ546" s="149"/>
      <c r="AR546" s="324"/>
      <c r="AS546" s="324"/>
      <c r="AT546" s="324"/>
      <c r="AU546" s="324"/>
      <c r="AV546" s="324"/>
      <c r="AW546" s="324"/>
      <c r="AX546" s="150"/>
      <c r="AY546" s="297"/>
      <c r="AZ546" s="297"/>
      <c r="BA546" s="297"/>
      <c r="BB546" s="297"/>
      <c r="BC546" s="152"/>
      <c r="BD546" s="150"/>
      <c r="BE546" s="297"/>
      <c r="BF546" s="297"/>
      <c r="BG546" s="297"/>
      <c r="BH546" s="297"/>
      <c r="BI546" s="152"/>
      <c r="BJ546" s="170"/>
      <c r="BK546" s="148"/>
      <c r="BL546" s="324"/>
      <c r="BM546" s="324"/>
      <c r="BN546" s="170"/>
      <c r="BO546" s="149"/>
      <c r="BP546" s="170"/>
      <c r="BQ546" s="149"/>
      <c r="BR546" s="170"/>
      <c r="BS546" s="171"/>
      <c r="BT546" s="707"/>
    </row>
    <row r="547" spans="1:72" s="2" customFormat="1" ht="24.9" customHeight="1">
      <c r="A547" s="147"/>
      <c r="B547" s="158"/>
      <c r="C547" s="179"/>
      <c r="D547" s="158"/>
      <c r="E547" s="160"/>
      <c r="F547" s="161"/>
      <c r="G547" s="161"/>
      <c r="H547" s="161"/>
      <c r="I547" s="163"/>
      <c r="J547" s="161"/>
      <c r="K547" s="163"/>
      <c r="L547" s="150"/>
      <c r="M547" s="164"/>
      <c r="N547" s="150"/>
      <c r="O547" s="174"/>
      <c r="P547" s="523"/>
      <c r="Q547" s="523"/>
      <c r="R547" s="154"/>
      <c r="S547" s="155"/>
      <c r="T547" s="156"/>
      <c r="U547" s="154"/>
      <c r="V547" s="155"/>
      <c r="W547" s="155"/>
      <c r="X547" s="419"/>
      <c r="Y547" s="157"/>
      <c r="Z547" s="217"/>
      <c r="AA547" s="150"/>
      <c r="AB547" s="151"/>
      <c r="AC547" s="152"/>
      <c r="AD547" s="506"/>
      <c r="AE547" s="166"/>
      <c r="AF547" s="150"/>
      <c r="AG547" s="152"/>
      <c r="AH547" s="150"/>
      <c r="AI547" s="152"/>
      <c r="AJ547" s="150"/>
      <c r="AK547" s="152"/>
      <c r="AL547" s="150"/>
      <c r="AM547" s="151"/>
      <c r="AN547" s="151"/>
      <c r="AO547" s="169"/>
      <c r="AP547" s="169"/>
      <c r="AQ547" s="149"/>
      <c r="AR547" s="324"/>
      <c r="AS547" s="324"/>
      <c r="AT547" s="324"/>
      <c r="AU547" s="324"/>
      <c r="AV547" s="324"/>
      <c r="AW547" s="324"/>
      <c r="AX547" s="150"/>
      <c r="AY547" s="297"/>
      <c r="AZ547" s="297"/>
      <c r="BA547" s="297"/>
      <c r="BB547" s="297"/>
      <c r="BC547" s="152"/>
      <c r="BD547" s="150"/>
      <c r="BE547" s="297"/>
      <c r="BF547" s="297"/>
      <c r="BG547" s="297"/>
      <c r="BH547" s="297"/>
      <c r="BI547" s="152"/>
      <c r="BJ547" s="170"/>
      <c r="BK547" s="148"/>
      <c r="BL547" s="324"/>
      <c r="BM547" s="324"/>
      <c r="BN547" s="170"/>
      <c r="BO547" s="149"/>
      <c r="BP547" s="170"/>
      <c r="BQ547" s="149"/>
      <c r="BR547" s="170"/>
      <c r="BS547" s="171"/>
      <c r="BT547" s="706"/>
    </row>
    <row r="548" spans="1:72" s="2" customFormat="1" ht="24.9" customHeight="1">
      <c r="A548" s="147"/>
      <c r="B548" s="158"/>
      <c r="C548" s="179"/>
      <c r="D548" s="158"/>
      <c r="E548" s="160"/>
      <c r="F548" s="161"/>
      <c r="G548" s="161"/>
      <c r="H548" s="161"/>
      <c r="I548" s="163"/>
      <c r="J548" s="161"/>
      <c r="K548" s="163"/>
      <c r="L548" s="150"/>
      <c r="M548" s="164"/>
      <c r="N548" s="150"/>
      <c r="O548" s="151"/>
      <c r="P548" s="522"/>
      <c r="Q548" s="522"/>
      <c r="R548" s="154"/>
      <c r="S548" s="155"/>
      <c r="T548" s="156"/>
      <c r="U548" s="154"/>
      <c r="V548" s="155"/>
      <c r="W548" s="155"/>
      <c r="X548" s="419"/>
      <c r="Y548" s="157"/>
      <c r="Z548" s="217"/>
      <c r="AA548" s="150"/>
      <c r="AB548" s="151"/>
      <c r="AC548" s="152"/>
      <c r="AD548" s="506"/>
      <c r="AE548" s="181"/>
      <c r="AF548" s="150"/>
      <c r="AG548" s="152"/>
      <c r="AH548" s="150"/>
      <c r="AI548" s="152"/>
      <c r="AJ548" s="150"/>
      <c r="AK548" s="152"/>
      <c r="AL548" s="150"/>
      <c r="AM548" s="151"/>
      <c r="AN548" s="151"/>
      <c r="AO548" s="169"/>
      <c r="AP548" s="169"/>
      <c r="AQ548" s="149"/>
      <c r="AR548" s="324"/>
      <c r="AS548" s="324"/>
      <c r="AT548" s="324"/>
      <c r="AU548" s="324"/>
      <c r="AV548" s="324"/>
      <c r="AW548" s="324"/>
      <c r="AX548" s="150"/>
      <c r="AY548" s="297"/>
      <c r="AZ548" s="297"/>
      <c r="BA548" s="297"/>
      <c r="BB548" s="297"/>
      <c r="BC548" s="152"/>
      <c r="BD548" s="150"/>
      <c r="BE548" s="297"/>
      <c r="BF548" s="297"/>
      <c r="BG548" s="297"/>
      <c r="BH548" s="297"/>
      <c r="BI548" s="152"/>
      <c r="BJ548" s="170"/>
      <c r="BK548" s="148"/>
      <c r="BL548" s="324"/>
      <c r="BM548" s="324"/>
      <c r="BN548" s="170"/>
      <c r="BO548" s="149"/>
      <c r="BP548" s="170"/>
      <c r="BQ548" s="149"/>
      <c r="BR548" s="170"/>
      <c r="BS548" s="171"/>
      <c r="BT548" s="708"/>
    </row>
    <row r="549" spans="1:72" s="2" customFormat="1" ht="24.9" customHeight="1">
      <c r="A549" s="147"/>
      <c r="B549" s="158"/>
      <c r="C549" s="179"/>
      <c r="D549" s="158"/>
      <c r="E549" s="160"/>
      <c r="F549" s="161"/>
      <c r="G549" s="161"/>
      <c r="H549" s="161"/>
      <c r="I549" s="163"/>
      <c r="J549" s="161"/>
      <c r="K549" s="163"/>
      <c r="L549" s="150"/>
      <c r="M549" s="164"/>
      <c r="N549" s="150"/>
      <c r="O549" s="151"/>
      <c r="P549" s="522"/>
      <c r="Q549" s="522"/>
      <c r="R549" s="154"/>
      <c r="S549" s="155"/>
      <c r="T549" s="156"/>
      <c r="U549" s="154"/>
      <c r="V549" s="155"/>
      <c r="W549" s="155"/>
      <c r="X549" s="419"/>
      <c r="Y549" s="157"/>
      <c r="Z549" s="217"/>
      <c r="AA549" s="150"/>
      <c r="AB549" s="151"/>
      <c r="AC549" s="152"/>
      <c r="AD549" s="506"/>
      <c r="AE549" s="166"/>
      <c r="AF549" s="150"/>
      <c r="AG549" s="152"/>
      <c r="AH549" s="150"/>
      <c r="AI549" s="152"/>
      <c r="AJ549" s="150"/>
      <c r="AK549" s="152"/>
      <c r="AL549" s="150"/>
      <c r="AM549" s="151"/>
      <c r="AN549" s="151"/>
      <c r="AO549" s="169"/>
      <c r="AP549" s="169"/>
      <c r="AQ549" s="149"/>
      <c r="AR549" s="324"/>
      <c r="AS549" s="324"/>
      <c r="AT549" s="324"/>
      <c r="AU549" s="324"/>
      <c r="AV549" s="324"/>
      <c r="AW549" s="324"/>
      <c r="AX549" s="150"/>
      <c r="AY549" s="297"/>
      <c r="AZ549" s="297"/>
      <c r="BA549" s="297"/>
      <c r="BB549" s="297"/>
      <c r="BC549" s="152"/>
      <c r="BD549" s="150"/>
      <c r="BE549" s="297"/>
      <c r="BF549" s="297"/>
      <c r="BG549" s="297"/>
      <c r="BH549" s="297"/>
      <c r="BI549" s="152"/>
      <c r="BJ549" s="170"/>
      <c r="BK549" s="148"/>
      <c r="BL549" s="324"/>
      <c r="BM549" s="324"/>
      <c r="BN549" s="170"/>
      <c r="BO549" s="149"/>
      <c r="BP549" s="170"/>
      <c r="BQ549" s="149"/>
      <c r="BR549" s="170"/>
      <c r="BS549" s="171"/>
      <c r="BT549" s="708"/>
    </row>
    <row r="550" spans="1:72" s="2" customFormat="1" ht="24.9" customHeight="1">
      <c r="A550" s="147"/>
      <c r="B550" s="158"/>
      <c r="C550" s="179"/>
      <c r="D550" s="158"/>
      <c r="E550" s="160"/>
      <c r="F550" s="161"/>
      <c r="G550" s="161"/>
      <c r="H550" s="161"/>
      <c r="I550" s="163"/>
      <c r="J550" s="161"/>
      <c r="K550" s="163"/>
      <c r="L550" s="150"/>
      <c r="M550" s="164"/>
      <c r="N550" s="150"/>
      <c r="O550" s="174"/>
      <c r="P550" s="523"/>
      <c r="Q550" s="523"/>
      <c r="R550" s="154"/>
      <c r="S550" s="155"/>
      <c r="T550" s="156"/>
      <c r="U550" s="154"/>
      <c r="V550" s="155"/>
      <c r="W550" s="155"/>
      <c r="X550" s="419"/>
      <c r="Y550" s="157"/>
      <c r="Z550" s="217"/>
      <c r="AA550" s="150"/>
      <c r="AB550" s="151"/>
      <c r="AC550" s="152"/>
      <c r="AD550" s="506"/>
      <c r="AE550" s="166"/>
      <c r="AF550" s="150"/>
      <c r="AG550" s="152"/>
      <c r="AH550" s="150"/>
      <c r="AI550" s="152"/>
      <c r="AJ550" s="150"/>
      <c r="AK550" s="152"/>
      <c r="AL550" s="150"/>
      <c r="AM550" s="151"/>
      <c r="AN550" s="151"/>
      <c r="AO550" s="169"/>
      <c r="AP550" s="169"/>
      <c r="AQ550" s="149"/>
      <c r="AR550" s="324"/>
      <c r="AS550" s="324"/>
      <c r="AT550" s="324"/>
      <c r="AU550" s="324"/>
      <c r="AV550" s="324"/>
      <c r="AW550" s="324"/>
      <c r="AX550" s="150"/>
      <c r="AY550" s="297"/>
      <c r="AZ550" s="297"/>
      <c r="BA550" s="297"/>
      <c r="BB550" s="297"/>
      <c r="BC550" s="152"/>
      <c r="BD550" s="150"/>
      <c r="BE550" s="297"/>
      <c r="BF550" s="297"/>
      <c r="BG550" s="297"/>
      <c r="BH550" s="297"/>
      <c r="BI550" s="152"/>
      <c r="BJ550" s="170"/>
      <c r="BK550" s="148"/>
      <c r="BL550" s="324"/>
      <c r="BM550" s="324"/>
      <c r="BN550" s="170"/>
      <c r="BO550" s="149"/>
      <c r="BP550" s="170"/>
      <c r="BQ550" s="149"/>
      <c r="BR550" s="170"/>
      <c r="BS550" s="171"/>
      <c r="BT550" s="707"/>
    </row>
    <row r="551" spans="1:72" s="2" customFormat="1" ht="24.9" customHeight="1">
      <c r="A551" s="147"/>
      <c r="B551" s="158"/>
      <c r="C551" s="179"/>
      <c r="D551" s="158"/>
      <c r="E551" s="160"/>
      <c r="F551" s="161"/>
      <c r="G551" s="161"/>
      <c r="H551" s="161"/>
      <c r="I551" s="163"/>
      <c r="J551" s="161"/>
      <c r="K551" s="163"/>
      <c r="L551" s="150"/>
      <c r="M551" s="164"/>
      <c r="N551" s="150"/>
      <c r="O551" s="174"/>
      <c r="P551" s="523"/>
      <c r="Q551" s="523"/>
      <c r="R551" s="154"/>
      <c r="S551" s="155"/>
      <c r="T551" s="156"/>
      <c r="U551" s="154"/>
      <c r="V551" s="155"/>
      <c r="W551" s="155"/>
      <c r="X551" s="419"/>
      <c r="Y551" s="157"/>
      <c r="Z551" s="217"/>
      <c r="AA551" s="150"/>
      <c r="AB551" s="151"/>
      <c r="AC551" s="152"/>
      <c r="AD551" s="506"/>
      <c r="AE551" s="181"/>
      <c r="AF551" s="150"/>
      <c r="AG551" s="152"/>
      <c r="AH551" s="150"/>
      <c r="AI551" s="152"/>
      <c r="AJ551" s="150"/>
      <c r="AK551" s="152"/>
      <c r="AL551" s="150"/>
      <c r="AM551" s="151"/>
      <c r="AN551" s="151"/>
      <c r="AO551" s="169"/>
      <c r="AP551" s="169"/>
      <c r="AQ551" s="149"/>
      <c r="AR551" s="324"/>
      <c r="AS551" s="324"/>
      <c r="AT551" s="324"/>
      <c r="AU551" s="324"/>
      <c r="AV551" s="324"/>
      <c r="AW551" s="324"/>
      <c r="AX551" s="150"/>
      <c r="AY551" s="297"/>
      <c r="AZ551" s="297"/>
      <c r="BA551" s="297"/>
      <c r="BB551" s="297"/>
      <c r="BC551" s="152"/>
      <c r="BD551" s="150"/>
      <c r="BE551" s="297"/>
      <c r="BF551" s="297"/>
      <c r="BG551" s="297"/>
      <c r="BH551" s="297"/>
      <c r="BI551" s="152"/>
      <c r="BJ551" s="170"/>
      <c r="BK551" s="148"/>
      <c r="BL551" s="324"/>
      <c r="BM551" s="324"/>
      <c r="BN551" s="170"/>
      <c r="BO551" s="149"/>
      <c r="BP551" s="170"/>
      <c r="BQ551" s="149"/>
      <c r="BR551" s="170"/>
      <c r="BS551" s="171"/>
      <c r="BT551" s="706"/>
    </row>
    <row r="552" spans="1:72" s="2" customFormat="1" ht="24.9" customHeight="1">
      <c r="A552" s="147"/>
      <c r="B552" s="158"/>
      <c r="C552" s="179"/>
      <c r="D552" s="158"/>
      <c r="E552" s="160"/>
      <c r="F552" s="161"/>
      <c r="G552" s="161"/>
      <c r="H552" s="161"/>
      <c r="I552" s="163"/>
      <c r="J552" s="161"/>
      <c r="K552" s="163"/>
      <c r="L552" s="150"/>
      <c r="M552" s="164"/>
      <c r="N552" s="150"/>
      <c r="O552" s="151"/>
      <c r="P552" s="522"/>
      <c r="Q552" s="522"/>
      <c r="R552" s="154"/>
      <c r="S552" s="155"/>
      <c r="T552" s="156"/>
      <c r="U552" s="154"/>
      <c r="V552" s="155"/>
      <c r="W552" s="155"/>
      <c r="X552" s="419"/>
      <c r="Y552" s="157"/>
      <c r="Z552" s="217"/>
      <c r="AA552" s="150"/>
      <c r="AB552" s="151"/>
      <c r="AC552" s="152"/>
      <c r="AD552" s="506"/>
      <c r="AE552" s="181"/>
      <c r="AF552" s="150"/>
      <c r="AG552" s="152"/>
      <c r="AH552" s="150"/>
      <c r="AI552" s="152"/>
      <c r="AJ552" s="150"/>
      <c r="AK552" s="152"/>
      <c r="AL552" s="150"/>
      <c r="AM552" s="151"/>
      <c r="AN552" s="151"/>
      <c r="AO552" s="169"/>
      <c r="AP552" s="169"/>
      <c r="AQ552" s="149"/>
      <c r="AR552" s="324"/>
      <c r="AS552" s="324"/>
      <c r="AT552" s="324"/>
      <c r="AU552" s="324"/>
      <c r="AV552" s="324"/>
      <c r="AW552" s="324"/>
      <c r="AX552" s="150"/>
      <c r="AY552" s="297"/>
      <c r="AZ552" s="297"/>
      <c r="BA552" s="297"/>
      <c r="BB552" s="297"/>
      <c r="BC552" s="152"/>
      <c r="BD552" s="150"/>
      <c r="BE552" s="297"/>
      <c r="BF552" s="297"/>
      <c r="BG552" s="297"/>
      <c r="BH552" s="297"/>
      <c r="BI552" s="152"/>
      <c r="BJ552" s="170"/>
      <c r="BK552" s="148"/>
      <c r="BL552" s="324"/>
      <c r="BM552" s="324"/>
      <c r="BN552" s="170"/>
      <c r="BO552" s="149"/>
      <c r="BP552" s="170"/>
      <c r="BQ552" s="149"/>
      <c r="BR552" s="170"/>
      <c r="BS552" s="171"/>
      <c r="BT552" s="708"/>
    </row>
    <row r="553" spans="1:72" s="2" customFormat="1" ht="24.9" customHeight="1">
      <c r="A553" s="147"/>
      <c r="B553" s="158"/>
      <c r="C553" s="179"/>
      <c r="D553" s="158"/>
      <c r="E553" s="160"/>
      <c r="F553" s="161"/>
      <c r="G553" s="161"/>
      <c r="H553" s="161"/>
      <c r="I553" s="163"/>
      <c r="J553" s="161"/>
      <c r="K553" s="163"/>
      <c r="L553" s="150"/>
      <c r="M553" s="164"/>
      <c r="N553" s="150"/>
      <c r="O553" s="151"/>
      <c r="P553" s="522"/>
      <c r="Q553" s="522"/>
      <c r="R553" s="154"/>
      <c r="S553" s="155"/>
      <c r="T553" s="156"/>
      <c r="U553" s="154"/>
      <c r="V553" s="155"/>
      <c r="W553" s="155"/>
      <c r="X553" s="419"/>
      <c r="Y553" s="157"/>
      <c r="Z553" s="217"/>
      <c r="AA553" s="150"/>
      <c r="AB553" s="151"/>
      <c r="AC553" s="152"/>
      <c r="AD553" s="506"/>
      <c r="AE553" s="184"/>
      <c r="AF553" s="150"/>
      <c r="AG553" s="152"/>
      <c r="AH553" s="150"/>
      <c r="AI553" s="152"/>
      <c r="AJ553" s="150"/>
      <c r="AK553" s="152"/>
      <c r="AL553" s="150"/>
      <c r="AM553" s="151"/>
      <c r="AN553" s="151"/>
      <c r="AO553" s="169"/>
      <c r="AP553" s="169"/>
      <c r="AQ553" s="149"/>
      <c r="AR553" s="324"/>
      <c r="AS553" s="324"/>
      <c r="AT553" s="324"/>
      <c r="AU553" s="324"/>
      <c r="AV553" s="324"/>
      <c r="AW553" s="324"/>
      <c r="AX553" s="150"/>
      <c r="AY553" s="297"/>
      <c r="AZ553" s="297"/>
      <c r="BA553" s="297"/>
      <c r="BB553" s="297"/>
      <c r="BC553" s="152"/>
      <c r="BD553" s="150"/>
      <c r="BE553" s="297"/>
      <c r="BF553" s="297"/>
      <c r="BG553" s="297"/>
      <c r="BH553" s="297"/>
      <c r="BI553" s="152"/>
      <c r="BJ553" s="170"/>
      <c r="BK553" s="148"/>
      <c r="BL553" s="324"/>
      <c r="BM553" s="324"/>
      <c r="BN553" s="170"/>
      <c r="BO553" s="149"/>
      <c r="BP553" s="170"/>
      <c r="BQ553" s="149"/>
      <c r="BR553" s="170"/>
      <c r="BS553" s="171"/>
      <c r="BT553" s="708"/>
    </row>
    <row r="554" spans="1:72" s="2" customFormat="1" ht="24.9" customHeight="1">
      <c r="A554" s="147"/>
      <c r="B554" s="158"/>
      <c r="C554" s="179"/>
      <c r="D554" s="157"/>
      <c r="E554" s="160"/>
      <c r="F554" s="161"/>
      <c r="G554" s="161"/>
      <c r="H554" s="161"/>
      <c r="I554" s="163"/>
      <c r="J554" s="161"/>
      <c r="K554" s="163"/>
      <c r="L554" s="150"/>
      <c r="M554" s="164"/>
      <c r="N554" s="150"/>
      <c r="O554" s="151"/>
      <c r="P554" s="522"/>
      <c r="Q554" s="522"/>
      <c r="R554" s="154"/>
      <c r="S554" s="155"/>
      <c r="T554" s="156"/>
      <c r="U554" s="154"/>
      <c r="V554" s="155"/>
      <c r="W554" s="155"/>
      <c r="X554" s="419"/>
      <c r="Y554" s="157"/>
      <c r="Z554" s="217"/>
      <c r="AA554" s="150"/>
      <c r="AB554" s="151"/>
      <c r="AC554" s="152"/>
      <c r="AD554" s="506"/>
      <c r="AE554" s="184"/>
      <c r="AF554" s="150"/>
      <c r="AG554" s="152"/>
      <c r="AH554" s="150"/>
      <c r="AI554" s="152"/>
      <c r="AJ554" s="150"/>
      <c r="AK554" s="152"/>
      <c r="AL554" s="150"/>
      <c r="AM554" s="151"/>
      <c r="AN554" s="151"/>
      <c r="AO554" s="169"/>
      <c r="AP554" s="169"/>
      <c r="AQ554" s="149"/>
      <c r="AR554" s="324"/>
      <c r="AS554" s="324"/>
      <c r="AT554" s="324"/>
      <c r="AU554" s="324"/>
      <c r="AV554" s="324"/>
      <c r="AW554" s="324"/>
      <c r="AX554" s="150"/>
      <c r="AY554" s="297"/>
      <c r="AZ554" s="297"/>
      <c r="BA554" s="297"/>
      <c r="BB554" s="297"/>
      <c r="BC554" s="152"/>
      <c r="BD554" s="150"/>
      <c r="BE554" s="297"/>
      <c r="BF554" s="297"/>
      <c r="BG554" s="297"/>
      <c r="BH554" s="297"/>
      <c r="BI554" s="152"/>
      <c r="BJ554" s="170"/>
      <c r="BK554" s="148"/>
      <c r="BL554" s="324"/>
      <c r="BM554" s="324"/>
      <c r="BN554" s="170"/>
      <c r="BO554" s="149"/>
      <c r="BP554" s="170"/>
      <c r="BQ554" s="149"/>
      <c r="BR554" s="170"/>
      <c r="BS554" s="171"/>
      <c r="BT554" s="708"/>
    </row>
    <row r="555" spans="1:72" s="2" customFormat="1" ht="24.9" customHeight="1">
      <c r="A555" s="147"/>
      <c r="B555" s="158"/>
      <c r="C555" s="179"/>
      <c r="D555" s="158"/>
      <c r="E555" s="160"/>
      <c r="F555" s="161"/>
      <c r="G555" s="161"/>
      <c r="H555" s="161"/>
      <c r="I555" s="163"/>
      <c r="J555" s="161"/>
      <c r="K555" s="163"/>
      <c r="L555" s="150"/>
      <c r="M555" s="164"/>
      <c r="N555" s="150"/>
      <c r="O555" s="151"/>
      <c r="P555" s="522"/>
      <c r="Q555" s="522"/>
      <c r="R555" s="154"/>
      <c r="S555" s="155"/>
      <c r="T555" s="156"/>
      <c r="U555" s="154"/>
      <c r="V555" s="155"/>
      <c r="W555" s="155"/>
      <c r="X555" s="419"/>
      <c r="Y555" s="157"/>
      <c r="Z555" s="217"/>
      <c r="AA555" s="150"/>
      <c r="AB555" s="151"/>
      <c r="AC555" s="152"/>
      <c r="AD555" s="506"/>
      <c r="AE555" s="181"/>
      <c r="AF555" s="150"/>
      <c r="AG555" s="152"/>
      <c r="AH555" s="150"/>
      <c r="AI555" s="152"/>
      <c r="AJ555" s="150"/>
      <c r="AK555" s="152"/>
      <c r="AL555" s="150"/>
      <c r="AM555" s="151"/>
      <c r="AN555" s="151"/>
      <c r="AO555" s="169"/>
      <c r="AP555" s="169"/>
      <c r="AQ555" s="149"/>
      <c r="AR555" s="324"/>
      <c r="AS555" s="324"/>
      <c r="AT555" s="324"/>
      <c r="AU555" s="324"/>
      <c r="AV555" s="324"/>
      <c r="AW555" s="324"/>
      <c r="AX555" s="150"/>
      <c r="AY555" s="297"/>
      <c r="AZ555" s="297"/>
      <c r="BA555" s="297"/>
      <c r="BB555" s="297"/>
      <c r="BC555" s="152"/>
      <c r="BD555" s="150"/>
      <c r="BE555" s="297"/>
      <c r="BF555" s="297"/>
      <c r="BG555" s="297"/>
      <c r="BH555" s="297"/>
      <c r="BI555" s="152"/>
      <c r="BJ555" s="170"/>
      <c r="BK555" s="148"/>
      <c r="BL555" s="324"/>
      <c r="BM555" s="324"/>
      <c r="BN555" s="170"/>
      <c r="BO555" s="149"/>
      <c r="BP555" s="170"/>
      <c r="BQ555" s="149"/>
      <c r="BR555" s="170"/>
      <c r="BS555" s="171"/>
      <c r="BT555" s="708"/>
    </row>
    <row r="556" spans="1:72" s="2" customFormat="1" ht="24.9" customHeight="1">
      <c r="A556" s="147"/>
      <c r="B556" s="158"/>
      <c r="C556" s="179"/>
      <c r="D556" s="158"/>
      <c r="E556" s="160"/>
      <c r="F556" s="161"/>
      <c r="G556" s="161"/>
      <c r="H556" s="161"/>
      <c r="I556" s="163"/>
      <c r="J556" s="161"/>
      <c r="K556" s="163"/>
      <c r="L556" s="150"/>
      <c r="M556" s="164"/>
      <c r="N556" s="150"/>
      <c r="O556" s="151"/>
      <c r="P556" s="522"/>
      <c r="Q556" s="522"/>
      <c r="R556" s="154"/>
      <c r="S556" s="155"/>
      <c r="T556" s="156"/>
      <c r="U556" s="154"/>
      <c r="V556" s="155"/>
      <c r="W556" s="155"/>
      <c r="X556" s="419"/>
      <c r="Y556" s="157"/>
      <c r="Z556" s="217"/>
      <c r="AA556" s="150"/>
      <c r="AB556" s="151"/>
      <c r="AC556" s="152"/>
      <c r="AD556" s="506"/>
      <c r="AE556" s="181"/>
      <c r="AF556" s="150"/>
      <c r="AG556" s="152"/>
      <c r="AH556" s="150"/>
      <c r="AI556" s="152"/>
      <c r="AJ556" s="150"/>
      <c r="AK556" s="152"/>
      <c r="AL556" s="150"/>
      <c r="AM556" s="151"/>
      <c r="AN556" s="151"/>
      <c r="AO556" s="169"/>
      <c r="AP556" s="169"/>
      <c r="AQ556" s="149"/>
      <c r="AR556" s="324"/>
      <c r="AS556" s="324"/>
      <c r="AT556" s="324"/>
      <c r="AU556" s="324"/>
      <c r="AV556" s="324"/>
      <c r="AW556" s="324"/>
      <c r="AX556" s="150"/>
      <c r="AY556" s="297"/>
      <c r="AZ556" s="297"/>
      <c r="BA556" s="297"/>
      <c r="BB556" s="297"/>
      <c r="BC556" s="152"/>
      <c r="BD556" s="150"/>
      <c r="BE556" s="297"/>
      <c r="BF556" s="297"/>
      <c r="BG556" s="297"/>
      <c r="BH556" s="297"/>
      <c r="BI556" s="152"/>
      <c r="BJ556" s="170"/>
      <c r="BK556" s="148"/>
      <c r="BL556" s="324"/>
      <c r="BM556" s="324"/>
      <c r="BN556" s="170"/>
      <c r="BO556" s="149"/>
      <c r="BP556" s="170"/>
      <c r="BQ556" s="149"/>
      <c r="BR556" s="170"/>
      <c r="BS556" s="171"/>
      <c r="BT556" s="708"/>
    </row>
    <row r="557" spans="1:72" s="2" customFormat="1" ht="24.9" customHeight="1">
      <c r="A557" s="147"/>
      <c r="B557" s="158"/>
      <c r="C557" s="179"/>
      <c r="D557" s="158"/>
      <c r="E557" s="160"/>
      <c r="F557" s="161"/>
      <c r="G557" s="161"/>
      <c r="H557" s="161"/>
      <c r="I557" s="163"/>
      <c r="J557" s="161"/>
      <c r="K557" s="163"/>
      <c r="L557" s="150"/>
      <c r="M557" s="164"/>
      <c r="N557" s="150"/>
      <c r="O557" s="151"/>
      <c r="P557" s="522"/>
      <c r="Q557" s="522"/>
      <c r="R557" s="154"/>
      <c r="S557" s="155"/>
      <c r="T557" s="156"/>
      <c r="U557" s="154"/>
      <c r="V557" s="155"/>
      <c r="W557" s="155"/>
      <c r="X557" s="419"/>
      <c r="Y557" s="157"/>
      <c r="Z557" s="217"/>
      <c r="AA557" s="150"/>
      <c r="AB557" s="151"/>
      <c r="AC557" s="152"/>
      <c r="AD557" s="506"/>
      <c r="AE557" s="181"/>
      <c r="AF557" s="150"/>
      <c r="AG557" s="152"/>
      <c r="AH557" s="150"/>
      <c r="AI557" s="152"/>
      <c r="AJ557" s="150"/>
      <c r="AK557" s="152"/>
      <c r="AL557" s="150"/>
      <c r="AM557" s="151"/>
      <c r="AN557" s="151"/>
      <c r="AO557" s="169"/>
      <c r="AP557" s="169"/>
      <c r="AQ557" s="149"/>
      <c r="AR557" s="324"/>
      <c r="AS557" s="324"/>
      <c r="AT557" s="324"/>
      <c r="AU557" s="324"/>
      <c r="AV557" s="324"/>
      <c r="AW557" s="324"/>
      <c r="AX557" s="150"/>
      <c r="AY557" s="297"/>
      <c r="AZ557" s="297"/>
      <c r="BA557" s="297"/>
      <c r="BB557" s="297"/>
      <c r="BC557" s="152"/>
      <c r="BD557" s="150"/>
      <c r="BE557" s="297"/>
      <c r="BF557" s="297"/>
      <c r="BG557" s="297"/>
      <c r="BH557" s="297"/>
      <c r="BI557" s="152"/>
      <c r="BJ557" s="170"/>
      <c r="BK557" s="148"/>
      <c r="BL557" s="324"/>
      <c r="BM557" s="324"/>
      <c r="BN557" s="170"/>
      <c r="BO557" s="149"/>
      <c r="BP557" s="170"/>
      <c r="BQ557" s="149"/>
      <c r="BR557" s="170"/>
      <c r="BS557" s="171"/>
      <c r="BT557" s="708"/>
    </row>
    <row r="558" spans="1:72" s="2" customFormat="1" ht="24.9" customHeight="1">
      <c r="A558" s="147"/>
      <c r="B558" s="158"/>
      <c r="C558" s="179"/>
      <c r="D558" s="158"/>
      <c r="E558" s="160"/>
      <c r="F558" s="161"/>
      <c r="G558" s="161"/>
      <c r="H558" s="161"/>
      <c r="I558" s="163"/>
      <c r="J558" s="161"/>
      <c r="K558" s="163"/>
      <c r="L558" s="150"/>
      <c r="M558" s="164"/>
      <c r="N558" s="150"/>
      <c r="O558" s="151"/>
      <c r="P558" s="522"/>
      <c r="Q558" s="522"/>
      <c r="R558" s="154"/>
      <c r="S558" s="155"/>
      <c r="T558" s="156"/>
      <c r="U558" s="154"/>
      <c r="V558" s="155"/>
      <c r="W558" s="155"/>
      <c r="X558" s="419"/>
      <c r="Y558" s="157"/>
      <c r="Z558" s="217"/>
      <c r="AA558" s="150"/>
      <c r="AB558" s="151"/>
      <c r="AC558" s="152"/>
      <c r="AD558" s="506"/>
      <c r="AE558" s="181"/>
      <c r="AF558" s="150"/>
      <c r="AG558" s="152"/>
      <c r="AH558" s="150"/>
      <c r="AI558" s="152"/>
      <c r="AJ558" s="150"/>
      <c r="AK558" s="152"/>
      <c r="AL558" s="150"/>
      <c r="AM558" s="151"/>
      <c r="AN558" s="151"/>
      <c r="AO558" s="169"/>
      <c r="AP558" s="169"/>
      <c r="AQ558" s="149"/>
      <c r="AR558" s="324"/>
      <c r="AS558" s="324"/>
      <c r="AT558" s="324"/>
      <c r="AU558" s="324"/>
      <c r="AV558" s="324"/>
      <c r="AW558" s="324"/>
      <c r="AX558" s="150"/>
      <c r="AY558" s="297"/>
      <c r="AZ558" s="297"/>
      <c r="BA558" s="297"/>
      <c r="BB558" s="297"/>
      <c r="BC558" s="152"/>
      <c r="BD558" s="150"/>
      <c r="BE558" s="297"/>
      <c r="BF558" s="297"/>
      <c r="BG558" s="297"/>
      <c r="BH558" s="297"/>
      <c r="BI558" s="152"/>
      <c r="BJ558" s="170"/>
      <c r="BK558" s="148"/>
      <c r="BL558" s="324"/>
      <c r="BM558" s="324"/>
      <c r="BN558" s="170"/>
      <c r="BO558" s="149"/>
      <c r="BP558" s="170"/>
      <c r="BQ558" s="149"/>
      <c r="BR558" s="170"/>
      <c r="BS558" s="171"/>
      <c r="BT558" s="708"/>
    </row>
    <row r="559" spans="1:72" s="2" customFormat="1" ht="24.9" customHeight="1">
      <c r="A559" s="147"/>
      <c r="B559" s="158"/>
      <c r="C559" s="179"/>
      <c r="D559" s="158"/>
      <c r="E559" s="160"/>
      <c r="F559" s="161"/>
      <c r="G559" s="161"/>
      <c r="H559" s="161"/>
      <c r="I559" s="163"/>
      <c r="J559" s="161"/>
      <c r="K559" s="163"/>
      <c r="L559" s="150"/>
      <c r="M559" s="164"/>
      <c r="N559" s="150"/>
      <c r="O559" s="151"/>
      <c r="P559" s="522"/>
      <c r="Q559" s="522"/>
      <c r="R559" s="154"/>
      <c r="S559" s="155"/>
      <c r="T559" s="156"/>
      <c r="U559" s="154"/>
      <c r="V559" s="155"/>
      <c r="W559" s="155"/>
      <c r="X559" s="419"/>
      <c r="Y559" s="157"/>
      <c r="Z559" s="217"/>
      <c r="AA559" s="150"/>
      <c r="AB559" s="151"/>
      <c r="AC559" s="152"/>
      <c r="AD559" s="506"/>
      <c r="AE559" s="181"/>
      <c r="AF559" s="150"/>
      <c r="AG559" s="152"/>
      <c r="AH559" s="150"/>
      <c r="AI559" s="152"/>
      <c r="AJ559" s="150"/>
      <c r="AK559" s="152"/>
      <c r="AL559" s="150"/>
      <c r="AM559" s="151"/>
      <c r="AN559" s="151"/>
      <c r="AO559" s="169"/>
      <c r="AP559" s="169"/>
      <c r="AQ559" s="149"/>
      <c r="AR559" s="324"/>
      <c r="AS559" s="324"/>
      <c r="AT559" s="324"/>
      <c r="AU559" s="324"/>
      <c r="AV559" s="324"/>
      <c r="AW559" s="324"/>
      <c r="AX559" s="150"/>
      <c r="AY559" s="297"/>
      <c r="AZ559" s="297"/>
      <c r="BA559" s="297"/>
      <c r="BB559" s="297"/>
      <c r="BC559" s="152"/>
      <c r="BD559" s="150"/>
      <c r="BE559" s="297"/>
      <c r="BF559" s="297"/>
      <c r="BG559" s="297"/>
      <c r="BH559" s="297"/>
      <c r="BI559" s="152"/>
      <c r="BJ559" s="170"/>
      <c r="BK559" s="148"/>
      <c r="BL559" s="324"/>
      <c r="BM559" s="324"/>
      <c r="BN559" s="170"/>
      <c r="BO559" s="149"/>
      <c r="BP559" s="170"/>
      <c r="BQ559" s="149"/>
      <c r="BR559" s="170"/>
      <c r="BS559" s="171"/>
      <c r="BT559" s="708"/>
    </row>
    <row r="560" spans="1:72" s="2" customFormat="1" ht="24.9" customHeight="1">
      <c r="A560" s="147"/>
      <c r="B560" s="158"/>
      <c r="C560" s="179"/>
      <c r="D560" s="158"/>
      <c r="E560" s="160"/>
      <c r="F560" s="161"/>
      <c r="G560" s="161"/>
      <c r="H560" s="161"/>
      <c r="I560" s="163"/>
      <c r="J560" s="161"/>
      <c r="K560" s="163"/>
      <c r="L560" s="150"/>
      <c r="M560" s="164"/>
      <c r="N560" s="150"/>
      <c r="O560" s="151"/>
      <c r="P560" s="522"/>
      <c r="Q560" s="522"/>
      <c r="R560" s="154"/>
      <c r="S560" s="155"/>
      <c r="T560" s="156"/>
      <c r="U560" s="154"/>
      <c r="V560" s="155"/>
      <c r="W560" s="155"/>
      <c r="X560" s="419"/>
      <c r="Y560" s="157"/>
      <c r="Z560" s="217"/>
      <c r="AA560" s="150"/>
      <c r="AB560" s="151"/>
      <c r="AC560" s="152"/>
      <c r="AD560" s="506"/>
      <c r="AE560" s="181"/>
      <c r="AF560" s="150"/>
      <c r="AG560" s="152"/>
      <c r="AH560" s="150"/>
      <c r="AI560" s="152"/>
      <c r="AJ560" s="150"/>
      <c r="AK560" s="152"/>
      <c r="AL560" s="150"/>
      <c r="AM560" s="151"/>
      <c r="AN560" s="151"/>
      <c r="AO560" s="169"/>
      <c r="AP560" s="169"/>
      <c r="AQ560" s="149"/>
      <c r="AR560" s="324"/>
      <c r="AS560" s="324"/>
      <c r="AT560" s="324"/>
      <c r="AU560" s="324"/>
      <c r="AV560" s="324"/>
      <c r="AW560" s="324"/>
      <c r="AX560" s="150"/>
      <c r="AY560" s="297"/>
      <c r="AZ560" s="297"/>
      <c r="BA560" s="297"/>
      <c r="BB560" s="297"/>
      <c r="BC560" s="152"/>
      <c r="BD560" s="150"/>
      <c r="BE560" s="297"/>
      <c r="BF560" s="297"/>
      <c r="BG560" s="297"/>
      <c r="BH560" s="297"/>
      <c r="BI560" s="152"/>
      <c r="BJ560" s="170"/>
      <c r="BK560" s="148"/>
      <c r="BL560" s="324"/>
      <c r="BM560" s="324"/>
      <c r="BN560" s="170"/>
      <c r="BO560" s="149"/>
      <c r="BP560" s="170"/>
      <c r="BQ560" s="149"/>
      <c r="BR560" s="170"/>
      <c r="BS560" s="171"/>
      <c r="BT560" s="708"/>
    </row>
    <row r="561" spans="1:72" s="2" customFormat="1" ht="24.9" customHeight="1">
      <c r="A561" s="147"/>
      <c r="B561" s="158"/>
      <c r="C561" s="179"/>
      <c r="D561" s="158"/>
      <c r="E561" s="160"/>
      <c r="F561" s="161"/>
      <c r="G561" s="161"/>
      <c r="H561" s="161"/>
      <c r="I561" s="163"/>
      <c r="J561" s="161"/>
      <c r="K561" s="163"/>
      <c r="L561" s="150"/>
      <c r="M561" s="164"/>
      <c r="N561" s="150"/>
      <c r="O561" s="151"/>
      <c r="P561" s="522"/>
      <c r="Q561" s="522"/>
      <c r="R561" s="154"/>
      <c r="S561" s="155"/>
      <c r="T561" s="156"/>
      <c r="U561" s="154"/>
      <c r="V561" s="155"/>
      <c r="W561" s="155"/>
      <c r="X561" s="419"/>
      <c r="Y561" s="157"/>
      <c r="Z561" s="217"/>
      <c r="AA561" s="150"/>
      <c r="AB561" s="151"/>
      <c r="AC561" s="152"/>
      <c r="AD561" s="506"/>
      <c r="AE561" s="181"/>
      <c r="AF561" s="150"/>
      <c r="AG561" s="152"/>
      <c r="AH561" s="150"/>
      <c r="AI561" s="152"/>
      <c r="AJ561" s="150"/>
      <c r="AK561" s="152"/>
      <c r="AL561" s="150"/>
      <c r="AM561" s="151"/>
      <c r="AN561" s="151"/>
      <c r="AO561" s="169"/>
      <c r="AP561" s="169"/>
      <c r="AQ561" s="149"/>
      <c r="AR561" s="324"/>
      <c r="AS561" s="324"/>
      <c r="AT561" s="324"/>
      <c r="AU561" s="324"/>
      <c r="AV561" s="324"/>
      <c r="AW561" s="324"/>
      <c r="AX561" s="150"/>
      <c r="AY561" s="297"/>
      <c r="AZ561" s="297"/>
      <c r="BA561" s="297"/>
      <c r="BB561" s="297"/>
      <c r="BC561" s="152"/>
      <c r="BD561" s="150"/>
      <c r="BE561" s="297"/>
      <c r="BF561" s="297"/>
      <c r="BG561" s="297"/>
      <c r="BH561" s="297"/>
      <c r="BI561" s="152"/>
      <c r="BJ561" s="170"/>
      <c r="BK561" s="148"/>
      <c r="BL561" s="324"/>
      <c r="BM561" s="324"/>
      <c r="BN561" s="170"/>
      <c r="BO561" s="149"/>
      <c r="BP561" s="170"/>
      <c r="BQ561" s="149"/>
      <c r="BR561" s="170"/>
      <c r="BS561" s="171"/>
      <c r="BT561" s="708"/>
    </row>
    <row r="562" spans="1:72" s="2" customFormat="1" ht="24.9" customHeight="1">
      <c r="A562" s="147"/>
      <c r="B562" s="158"/>
      <c r="C562" s="179"/>
      <c r="D562" s="158"/>
      <c r="E562" s="160"/>
      <c r="F562" s="161"/>
      <c r="G562" s="161"/>
      <c r="H562" s="161"/>
      <c r="I562" s="163"/>
      <c r="J562" s="161"/>
      <c r="K562" s="163"/>
      <c r="L562" s="150"/>
      <c r="M562" s="164"/>
      <c r="N562" s="150"/>
      <c r="O562" s="151"/>
      <c r="P562" s="522"/>
      <c r="Q562" s="522"/>
      <c r="R562" s="154"/>
      <c r="S562" s="155"/>
      <c r="T562" s="156"/>
      <c r="U562" s="154"/>
      <c r="V562" s="155"/>
      <c r="W562" s="155"/>
      <c r="X562" s="419"/>
      <c r="Y562" s="157"/>
      <c r="Z562" s="217"/>
      <c r="AA562" s="150"/>
      <c r="AB562" s="151"/>
      <c r="AC562" s="152"/>
      <c r="AD562" s="506"/>
      <c r="AE562" s="181"/>
      <c r="AF562" s="150"/>
      <c r="AG562" s="152"/>
      <c r="AH562" s="150"/>
      <c r="AI562" s="152"/>
      <c r="AJ562" s="150"/>
      <c r="AK562" s="152"/>
      <c r="AL562" s="150"/>
      <c r="AM562" s="151"/>
      <c r="AN562" s="151"/>
      <c r="AO562" s="169"/>
      <c r="AP562" s="169"/>
      <c r="AQ562" s="149"/>
      <c r="AR562" s="324"/>
      <c r="AS562" s="324"/>
      <c r="AT562" s="324"/>
      <c r="AU562" s="324"/>
      <c r="AV562" s="324"/>
      <c r="AW562" s="324"/>
      <c r="AX562" s="150"/>
      <c r="AY562" s="297"/>
      <c r="AZ562" s="297"/>
      <c r="BA562" s="297"/>
      <c r="BB562" s="297"/>
      <c r="BC562" s="152"/>
      <c r="BD562" s="150"/>
      <c r="BE562" s="297"/>
      <c r="BF562" s="297"/>
      <c r="BG562" s="297"/>
      <c r="BH562" s="297"/>
      <c r="BI562" s="152"/>
      <c r="BJ562" s="170"/>
      <c r="BK562" s="148"/>
      <c r="BL562" s="324"/>
      <c r="BM562" s="324"/>
      <c r="BN562" s="170"/>
      <c r="BO562" s="149"/>
      <c r="BP562" s="170"/>
      <c r="BQ562" s="149"/>
      <c r="BR562" s="170"/>
      <c r="BS562" s="171"/>
      <c r="BT562" s="708"/>
    </row>
    <row r="563" spans="1:72" s="2" customFormat="1" ht="24.9" customHeight="1">
      <c r="A563" s="147"/>
      <c r="B563" s="158"/>
      <c r="C563" s="179"/>
      <c r="D563" s="158"/>
      <c r="E563" s="160"/>
      <c r="F563" s="161"/>
      <c r="G563" s="161"/>
      <c r="H563" s="161"/>
      <c r="I563" s="163"/>
      <c r="J563" s="161"/>
      <c r="K563" s="163"/>
      <c r="L563" s="150"/>
      <c r="M563" s="164"/>
      <c r="N563" s="150"/>
      <c r="O563" s="151"/>
      <c r="P563" s="522"/>
      <c r="Q563" s="522"/>
      <c r="R563" s="154"/>
      <c r="S563" s="155"/>
      <c r="T563" s="156"/>
      <c r="U563" s="154"/>
      <c r="V563" s="155"/>
      <c r="W563" s="155"/>
      <c r="X563" s="419"/>
      <c r="Y563" s="157"/>
      <c r="Z563" s="217"/>
      <c r="AA563" s="150"/>
      <c r="AB563" s="151"/>
      <c r="AC563" s="152"/>
      <c r="AD563" s="506"/>
      <c r="AE563" s="181"/>
      <c r="AF563" s="150"/>
      <c r="AG563" s="152"/>
      <c r="AH563" s="150"/>
      <c r="AI563" s="152"/>
      <c r="AJ563" s="150"/>
      <c r="AK563" s="152"/>
      <c r="AL563" s="150"/>
      <c r="AM563" s="151"/>
      <c r="AN563" s="151"/>
      <c r="AO563" s="169"/>
      <c r="AP563" s="169"/>
      <c r="AQ563" s="149"/>
      <c r="AR563" s="324"/>
      <c r="AS563" s="324"/>
      <c r="AT563" s="324"/>
      <c r="AU563" s="324"/>
      <c r="AV563" s="324"/>
      <c r="AW563" s="324"/>
      <c r="AX563" s="150"/>
      <c r="AY563" s="297"/>
      <c r="AZ563" s="297"/>
      <c r="BA563" s="297"/>
      <c r="BB563" s="297"/>
      <c r="BC563" s="152"/>
      <c r="BD563" s="150"/>
      <c r="BE563" s="297"/>
      <c r="BF563" s="297"/>
      <c r="BG563" s="297"/>
      <c r="BH563" s="297"/>
      <c r="BI563" s="152"/>
      <c r="BJ563" s="170"/>
      <c r="BK563" s="148"/>
      <c r="BL563" s="324"/>
      <c r="BM563" s="324"/>
      <c r="BN563" s="170"/>
      <c r="BO563" s="149"/>
      <c r="BP563" s="170"/>
      <c r="BQ563" s="149"/>
      <c r="BR563" s="170"/>
      <c r="BS563" s="171"/>
      <c r="BT563" s="708"/>
    </row>
    <row r="564" spans="1:72" s="2" customFormat="1" ht="24.9" customHeight="1">
      <c r="A564" s="147"/>
      <c r="B564" s="158"/>
      <c r="C564" s="179"/>
      <c r="D564" s="158"/>
      <c r="E564" s="160"/>
      <c r="F564" s="161"/>
      <c r="G564" s="161"/>
      <c r="H564" s="161"/>
      <c r="I564" s="163"/>
      <c r="J564" s="161"/>
      <c r="K564" s="163"/>
      <c r="L564" s="150"/>
      <c r="M564" s="164"/>
      <c r="N564" s="150"/>
      <c r="O564" s="151"/>
      <c r="P564" s="522"/>
      <c r="Q564" s="522"/>
      <c r="R564" s="154"/>
      <c r="S564" s="155"/>
      <c r="T564" s="156"/>
      <c r="U564" s="154"/>
      <c r="V564" s="155"/>
      <c r="W564" s="155"/>
      <c r="X564" s="419"/>
      <c r="Y564" s="157"/>
      <c r="Z564" s="217"/>
      <c r="AA564" s="150"/>
      <c r="AB564" s="151"/>
      <c r="AC564" s="152"/>
      <c r="AD564" s="506"/>
      <c r="AE564" s="181"/>
      <c r="AF564" s="150"/>
      <c r="AG564" s="152"/>
      <c r="AH564" s="150"/>
      <c r="AI564" s="152"/>
      <c r="AJ564" s="150"/>
      <c r="AK564" s="152"/>
      <c r="AL564" s="150"/>
      <c r="AM564" s="151"/>
      <c r="AN564" s="151"/>
      <c r="AO564" s="169"/>
      <c r="AP564" s="169"/>
      <c r="AQ564" s="149"/>
      <c r="AR564" s="324"/>
      <c r="AS564" s="324"/>
      <c r="AT564" s="324"/>
      <c r="AU564" s="324"/>
      <c r="AV564" s="324"/>
      <c r="AW564" s="324"/>
      <c r="AX564" s="150"/>
      <c r="AY564" s="297"/>
      <c r="AZ564" s="297"/>
      <c r="BA564" s="297"/>
      <c r="BB564" s="297"/>
      <c r="BC564" s="152"/>
      <c r="BD564" s="150"/>
      <c r="BE564" s="297"/>
      <c r="BF564" s="297"/>
      <c r="BG564" s="297"/>
      <c r="BH564" s="297"/>
      <c r="BI564" s="152"/>
      <c r="BJ564" s="170"/>
      <c r="BK564" s="148"/>
      <c r="BL564" s="324"/>
      <c r="BM564" s="324"/>
      <c r="BN564" s="170"/>
      <c r="BO564" s="149"/>
      <c r="BP564" s="170"/>
      <c r="BQ564" s="149"/>
      <c r="BR564" s="170"/>
      <c r="BS564" s="171"/>
      <c r="BT564" s="708"/>
    </row>
    <row r="565" spans="1:72" s="2" customFormat="1" ht="24.9" customHeight="1">
      <c r="A565" s="147"/>
      <c r="B565" s="158"/>
      <c r="C565" s="179"/>
      <c r="D565" s="158"/>
      <c r="E565" s="160"/>
      <c r="F565" s="161"/>
      <c r="G565" s="161"/>
      <c r="H565" s="161"/>
      <c r="I565" s="163"/>
      <c r="J565" s="161"/>
      <c r="K565" s="163"/>
      <c r="L565" s="150"/>
      <c r="M565" s="164"/>
      <c r="N565" s="150"/>
      <c r="O565" s="151"/>
      <c r="P565" s="522"/>
      <c r="Q565" s="522"/>
      <c r="R565" s="154"/>
      <c r="S565" s="155"/>
      <c r="T565" s="156"/>
      <c r="U565" s="154"/>
      <c r="V565" s="155"/>
      <c r="W565" s="155"/>
      <c r="X565" s="419"/>
      <c r="Y565" s="157"/>
      <c r="Z565" s="217"/>
      <c r="AA565" s="150"/>
      <c r="AB565" s="151"/>
      <c r="AC565" s="152"/>
      <c r="AD565" s="506"/>
      <c r="AE565" s="181"/>
      <c r="AF565" s="150"/>
      <c r="AG565" s="152"/>
      <c r="AH565" s="150"/>
      <c r="AI565" s="152"/>
      <c r="AJ565" s="150"/>
      <c r="AK565" s="152"/>
      <c r="AL565" s="150"/>
      <c r="AM565" s="151"/>
      <c r="AN565" s="151"/>
      <c r="AO565" s="169"/>
      <c r="AP565" s="169"/>
      <c r="AQ565" s="149"/>
      <c r="AR565" s="324"/>
      <c r="AS565" s="324"/>
      <c r="AT565" s="324"/>
      <c r="AU565" s="324"/>
      <c r="AV565" s="324"/>
      <c r="AW565" s="324"/>
      <c r="AX565" s="150"/>
      <c r="AY565" s="297"/>
      <c r="AZ565" s="297"/>
      <c r="BA565" s="297"/>
      <c r="BB565" s="297"/>
      <c r="BC565" s="152"/>
      <c r="BD565" s="150"/>
      <c r="BE565" s="297"/>
      <c r="BF565" s="297"/>
      <c r="BG565" s="297"/>
      <c r="BH565" s="297"/>
      <c r="BI565" s="152"/>
      <c r="BJ565" s="170"/>
      <c r="BK565" s="148"/>
      <c r="BL565" s="324"/>
      <c r="BM565" s="324"/>
      <c r="BN565" s="170"/>
      <c r="BO565" s="149"/>
      <c r="BP565" s="170"/>
      <c r="BQ565" s="149"/>
      <c r="BR565" s="170"/>
      <c r="BS565" s="171"/>
      <c r="BT565" s="708"/>
    </row>
    <row r="566" spans="1:72" s="2" customFormat="1" ht="24.9" customHeight="1">
      <c r="A566" s="147"/>
      <c r="B566" s="158"/>
      <c r="C566" s="179"/>
      <c r="D566" s="158"/>
      <c r="E566" s="160"/>
      <c r="F566" s="161"/>
      <c r="G566" s="161"/>
      <c r="H566" s="161"/>
      <c r="I566" s="163"/>
      <c r="J566" s="161"/>
      <c r="K566" s="163"/>
      <c r="L566" s="150"/>
      <c r="M566" s="164"/>
      <c r="N566" s="150"/>
      <c r="O566" s="151"/>
      <c r="P566" s="522"/>
      <c r="Q566" s="522"/>
      <c r="R566" s="154"/>
      <c r="S566" s="155"/>
      <c r="T566" s="156"/>
      <c r="U566" s="154"/>
      <c r="V566" s="155"/>
      <c r="W566" s="155"/>
      <c r="X566" s="419"/>
      <c r="Y566" s="157"/>
      <c r="Z566" s="217"/>
      <c r="AA566" s="150"/>
      <c r="AB566" s="151"/>
      <c r="AC566" s="152"/>
      <c r="AD566" s="506"/>
      <c r="AE566" s="181"/>
      <c r="AF566" s="150"/>
      <c r="AG566" s="152"/>
      <c r="AH566" s="150"/>
      <c r="AI566" s="152"/>
      <c r="AJ566" s="150"/>
      <c r="AK566" s="152"/>
      <c r="AL566" s="150"/>
      <c r="AM566" s="151"/>
      <c r="AN566" s="151"/>
      <c r="AO566" s="169"/>
      <c r="AP566" s="169"/>
      <c r="AQ566" s="149"/>
      <c r="AR566" s="324"/>
      <c r="AS566" s="324"/>
      <c r="AT566" s="324"/>
      <c r="AU566" s="324"/>
      <c r="AV566" s="324"/>
      <c r="AW566" s="324"/>
      <c r="AX566" s="150"/>
      <c r="AY566" s="297"/>
      <c r="AZ566" s="297"/>
      <c r="BA566" s="297"/>
      <c r="BB566" s="297"/>
      <c r="BC566" s="152"/>
      <c r="BD566" s="150"/>
      <c r="BE566" s="297"/>
      <c r="BF566" s="297"/>
      <c r="BG566" s="297"/>
      <c r="BH566" s="297"/>
      <c r="BI566" s="152"/>
      <c r="BJ566" s="170"/>
      <c r="BK566" s="148"/>
      <c r="BL566" s="324"/>
      <c r="BM566" s="324"/>
      <c r="BN566" s="170"/>
      <c r="BO566" s="149"/>
      <c r="BP566" s="170"/>
      <c r="BQ566" s="149"/>
      <c r="BR566" s="170"/>
      <c r="BS566" s="171"/>
      <c r="BT566" s="708"/>
    </row>
    <row r="567" spans="1:72" s="2" customFormat="1" ht="24.9" customHeight="1">
      <c r="A567" s="147"/>
      <c r="B567" s="158"/>
      <c r="C567" s="179"/>
      <c r="D567" s="158"/>
      <c r="E567" s="160"/>
      <c r="F567" s="161"/>
      <c r="G567" s="161"/>
      <c r="H567" s="161"/>
      <c r="I567" s="163"/>
      <c r="J567" s="161"/>
      <c r="K567" s="163"/>
      <c r="L567" s="150"/>
      <c r="M567" s="164"/>
      <c r="N567" s="150"/>
      <c r="O567" s="151"/>
      <c r="P567" s="522"/>
      <c r="Q567" s="522"/>
      <c r="R567" s="154"/>
      <c r="S567" s="155"/>
      <c r="T567" s="156"/>
      <c r="U567" s="154"/>
      <c r="V567" s="155"/>
      <c r="W567" s="155"/>
      <c r="X567" s="419"/>
      <c r="Y567" s="157"/>
      <c r="Z567" s="217"/>
      <c r="AA567" s="150"/>
      <c r="AB567" s="151"/>
      <c r="AC567" s="152"/>
      <c r="AD567" s="506"/>
      <c r="AE567" s="181"/>
      <c r="AF567" s="150"/>
      <c r="AG567" s="152"/>
      <c r="AH567" s="150"/>
      <c r="AI567" s="152"/>
      <c r="AJ567" s="150"/>
      <c r="AK567" s="152"/>
      <c r="AL567" s="150"/>
      <c r="AM567" s="151"/>
      <c r="AN567" s="151"/>
      <c r="AO567" s="169"/>
      <c r="AP567" s="169"/>
      <c r="AQ567" s="149"/>
      <c r="AR567" s="324"/>
      <c r="AS567" s="324"/>
      <c r="AT567" s="324"/>
      <c r="AU567" s="324"/>
      <c r="AV567" s="324"/>
      <c r="AW567" s="324"/>
      <c r="AX567" s="150"/>
      <c r="AY567" s="297"/>
      <c r="AZ567" s="297"/>
      <c r="BA567" s="297"/>
      <c r="BB567" s="297"/>
      <c r="BC567" s="152"/>
      <c r="BD567" s="150"/>
      <c r="BE567" s="297"/>
      <c r="BF567" s="297"/>
      <c r="BG567" s="297"/>
      <c r="BH567" s="297"/>
      <c r="BI567" s="152"/>
      <c r="BJ567" s="170"/>
      <c r="BK567" s="148"/>
      <c r="BL567" s="324"/>
      <c r="BM567" s="324"/>
      <c r="BN567" s="170"/>
      <c r="BO567" s="149"/>
      <c r="BP567" s="170"/>
      <c r="BQ567" s="149"/>
      <c r="BR567" s="170"/>
      <c r="BS567" s="171"/>
      <c r="BT567" s="708"/>
    </row>
    <row r="568" spans="1:72" s="2" customFormat="1" ht="24.9" customHeight="1">
      <c r="A568" s="147"/>
      <c r="B568" s="158"/>
      <c r="C568" s="179"/>
      <c r="D568" s="158"/>
      <c r="E568" s="160"/>
      <c r="F568" s="161"/>
      <c r="G568" s="161"/>
      <c r="H568" s="161"/>
      <c r="I568" s="163"/>
      <c r="J568" s="161"/>
      <c r="K568" s="163"/>
      <c r="L568" s="150"/>
      <c r="M568" s="164"/>
      <c r="N568" s="150"/>
      <c r="O568" s="151"/>
      <c r="P568" s="522"/>
      <c r="Q568" s="522"/>
      <c r="R568" s="154"/>
      <c r="S568" s="155"/>
      <c r="T568" s="156"/>
      <c r="U568" s="154"/>
      <c r="V568" s="155"/>
      <c r="W568" s="155"/>
      <c r="X568" s="419"/>
      <c r="Y568" s="157"/>
      <c r="Z568" s="217"/>
      <c r="AA568" s="150"/>
      <c r="AB568" s="151"/>
      <c r="AC568" s="152"/>
      <c r="AD568" s="506"/>
      <c r="AE568" s="166"/>
      <c r="AF568" s="150"/>
      <c r="AG568" s="152"/>
      <c r="AH568" s="150"/>
      <c r="AI568" s="152"/>
      <c r="AJ568" s="150"/>
      <c r="AK568" s="152"/>
      <c r="AL568" s="150"/>
      <c r="AM568" s="151"/>
      <c r="AN568" s="151"/>
      <c r="AO568" s="169"/>
      <c r="AP568" s="169"/>
      <c r="AQ568" s="149"/>
      <c r="AR568" s="324"/>
      <c r="AS568" s="324"/>
      <c r="AT568" s="324"/>
      <c r="AU568" s="324"/>
      <c r="AV568" s="324"/>
      <c r="AW568" s="324"/>
      <c r="AX568" s="150"/>
      <c r="AY568" s="297"/>
      <c r="AZ568" s="297"/>
      <c r="BA568" s="297"/>
      <c r="BB568" s="297"/>
      <c r="BC568" s="152"/>
      <c r="BD568" s="150"/>
      <c r="BE568" s="297"/>
      <c r="BF568" s="297"/>
      <c r="BG568" s="297"/>
      <c r="BH568" s="297"/>
      <c r="BI568" s="152"/>
      <c r="BJ568" s="170"/>
      <c r="BK568" s="148"/>
      <c r="BL568" s="324"/>
      <c r="BM568" s="324"/>
      <c r="BN568" s="170"/>
      <c r="BO568" s="149"/>
      <c r="BP568" s="170"/>
      <c r="BQ568" s="149"/>
      <c r="BR568" s="170"/>
      <c r="BS568" s="171"/>
      <c r="BT568" s="708"/>
    </row>
    <row r="569" spans="1:72" s="2" customFormat="1" ht="24.9" customHeight="1">
      <c r="A569" s="147"/>
      <c r="B569" s="158"/>
      <c r="C569" s="179"/>
      <c r="D569" s="158"/>
      <c r="E569" s="160"/>
      <c r="F569" s="161"/>
      <c r="G569" s="161"/>
      <c r="H569" s="161"/>
      <c r="I569" s="163"/>
      <c r="J569" s="161"/>
      <c r="K569" s="163"/>
      <c r="L569" s="150"/>
      <c r="M569" s="164"/>
      <c r="N569" s="150"/>
      <c r="O569" s="151"/>
      <c r="P569" s="522"/>
      <c r="Q569" s="522"/>
      <c r="R569" s="154"/>
      <c r="S569" s="155"/>
      <c r="T569" s="156"/>
      <c r="U569" s="154"/>
      <c r="V569" s="155"/>
      <c r="W569" s="155"/>
      <c r="X569" s="419"/>
      <c r="Y569" s="157"/>
      <c r="Z569" s="217"/>
      <c r="AA569" s="150"/>
      <c r="AB569" s="151"/>
      <c r="AC569" s="152"/>
      <c r="AD569" s="506"/>
      <c r="AE569" s="181"/>
      <c r="AF569" s="150"/>
      <c r="AG569" s="152"/>
      <c r="AH569" s="150"/>
      <c r="AI569" s="152"/>
      <c r="AJ569" s="150"/>
      <c r="AK569" s="152"/>
      <c r="AL569" s="150"/>
      <c r="AM569" s="151"/>
      <c r="AN569" s="151"/>
      <c r="AO569" s="169"/>
      <c r="AP569" s="169"/>
      <c r="AQ569" s="149"/>
      <c r="AR569" s="324"/>
      <c r="AS569" s="324"/>
      <c r="AT569" s="324"/>
      <c r="AU569" s="324"/>
      <c r="AV569" s="324"/>
      <c r="AW569" s="324"/>
      <c r="AX569" s="150"/>
      <c r="AY569" s="297"/>
      <c r="AZ569" s="297"/>
      <c r="BA569" s="297"/>
      <c r="BB569" s="297"/>
      <c r="BC569" s="152"/>
      <c r="BD569" s="150"/>
      <c r="BE569" s="297"/>
      <c r="BF569" s="297"/>
      <c r="BG569" s="297"/>
      <c r="BH569" s="297"/>
      <c r="BI569" s="152"/>
      <c r="BJ569" s="170"/>
      <c r="BK569" s="148"/>
      <c r="BL569" s="324"/>
      <c r="BM569" s="324"/>
      <c r="BN569" s="170"/>
      <c r="BO569" s="149"/>
      <c r="BP569" s="170"/>
      <c r="BQ569" s="149"/>
      <c r="BR569" s="170"/>
      <c r="BS569" s="171"/>
      <c r="BT569" s="708"/>
    </row>
    <row r="570" spans="1:72" s="2" customFormat="1" ht="24.9" customHeight="1">
      <c r="A570" s="147"/>
      <c r="B570" s="158"/>
      <c r="C570" s="179"/>
      <c r="D570" s="158"/>
      <c r="E570" s="160"/>
      <c r="F570" s="161"/>
      <c r="G570" s="161"/>
      <c r="H570" s="161"/>
      <c r="I570" s="163"/>
      <c r="J570" s="161"/>
      <c r="K570" s="163"/>
      <c r="L570" s="150"/>
      <c r="M570" s="164"/>
      <c r="N570" s="150"/>
      <c r="O570" s="151"/>
      <c r="P570" s="522"/>
      <c r="Q570" s="522"/>
      <c r="R570" s="154"/>
      <c r="S570" s="155"/>
      <c r="T570" s="156"/>
      <c r="U570" s="154"/>
      <c r="V570" s="155"/>
      <c r="W570" s="155"/>
      <c r="X570" s="419"/>
      <c r="Y570" s="157"/>
      <c r="Z570" s="217"/>
      <c r="AA570" s="150"/>
      <c r="AB570" s="151"/>
      <c r="AC570" s="152"/>
      <c r="AD570" s="506"/>
      <c r="AE570" s="181"/>
      <c r="AF570" s="150"/>
      <c r="AG570" s="152"/>
      <c r="AH570" s="150"/>
      <c r="AI570" s="152"/>
      <c r="AJ570" s="150"/>
      <c r="AK570" s="152"/>
      <c r="AL570" s="150"/>
      <c r="AM570" s="151"/>
      <c r="AN570" s="151"/>
      <c r="AO570" s="169"/>
      <c r="AP570" s="169"/>
      <c r="AQ570" s="149"/>
      <c r="AR570" s="324"/>
      <c r="AS570" s="324"/>
      <c r="AT570" s="324"/>
      <c r="AU570" s="324"/>
      <c r="AV570" s="324"/>
      <c r="AW570" s="324"/>
      <c r="AX570" s="150"/>
      <c r="AY570" s="297"/>
      <c r="AZ570" s="297"/>
      <c r="BA570" s="297"/>
      <c r="BB570" s="297"/>
      <c r="BC570" s="152"/>
      <c r="BD570" s="150"/>
      <c r="BE570" s="297"/>
      <c r="BF570" s="297"/>
      <c r="BG570" s="297"/>
      <c r="BH570" s="297"/>
      <c r="BI570" s="152"/>
      <c r="BJ570" s="170"/>
      <c r="BK570" s="148"/>
      <c r="BL570" s="324"/>
      <c r="BM570" s="324"/>
      <c r="BN570" s="170"/>
      <c r="BO570" s="149"/>
      <c r="BP570" s="170"/>
      <c r="BQ570" s="149"/>
      <c r="BR570" s="170"/>
      <c r="BS570" s="171"/>
      <c r="BT570" s="708"/>
    </row>
    <row r="571" spans="1:72" s="2" customFormat="1" ht="24.9" customHeight="1">
      <c r="A571" s="147"/>
      <c r="B571" s="158"/>
      <c r="C571" s="179"/>
      <c r="D571" s="158"/>
      <c r="E571" s="160"/>
      <c r="F571" s="161"/>
      <c r="G571" s="161"/>
      <c r="H571" s="161"/>
      <c r="I571" s="163"/>
      <c r="J571" s="161"/>
      <c r="K571" s="163"/>
      <c r="L571" s="150"/>
      <c r="M571" s="164"/>
      <c r="N571" s="150"/>
      <c r="O571" s="151"/>
      <c r="P571" s="522"/>
      <c r="Q571" s="522"/>
      <c r="R571" s="154"/>
      <c r="S571" s="155"/>
      <c r="T571" s="156"/>
      <c r="U571" s="154"/>
      <c r="V571" s="155"/>
      <c r="W571" s="155"/>
      <c r="X571" s="419"/>
      <c r="Y571" s="157"/>
      <c r="Z571" s="217"/>
      <c r="AA571" s="150"/>
      <c r="AB571" s="151"/>
      <c r="AC571" s="152"/>
      <c r="AD571" s="506"/>
      <c r="AE571" s="181"/>
      <c r="AF571" s="150"/>
      <c r="AG571" s="152"/>
      <c r="AH571" s="150"/>
      <c r="AI571" s="152"/>
      <c r="AJ571" s="150"/>
      <c r="AK571" s="152"/>
      <c r="AL571" s="150"/>
      <c r="AM571" s="151"/>
      <c r="AN571" s="151"/>
      <c r="AO571" s="169"/>
      <c r="AP571" s="169"/>
      <c r="AQ571" s="149"/>
      <c r="AR571" s="324"/>
      <c r="AS571" s="324"/>
      <c r="AT571" s="324"/>
      <c r="AU571" s="324"/>
      <c r="AV571" s="324"/>
      <c r="AW571" s="324"/>
      <c r="AX571" s="150"/>
      <c r="AY571" s="297"/>
      <c r="AZ571" s="297"/>
      <c r="BA571" s="297"/>
      <c r="BB571" s="297"/>
      <c r="BC571" s="152"/>
      <c r="BD571" s="150"/>
      <c r="BE571" s="297"/>
      <c r="BF571" s="297"/>
      <c r="BG571" s="297"/>
      <c r="BH571" s="297"/>
      <c r="BI571" s="152"/>
      <c r="BJ571" s="170"/>
      <c r="BK571" s="148"/>
      <c r="BL571" s="324"/>
      <c r="BM571" s="324"/>
      <c r="BN571" s="170"/>
      <c r="BO571" s="149"/>
      <c r="BP571" s="170"/>
      <c r="BQ571" s="149"/>
      <c r="BR571" s="170"/>
      <c r="BS571" s="171"/>
      <c r="BT571" s="708"/>
    </row>
    <row r="572" spans="1:72" s="2" customFormat="1" ht="24.9" customHeight="1">
      <c r="A572" s="147"/>
      <c r="B572" s="158"/>
      <c r="C572" s="179"/>
      <c r="D572" s="158"/>
      <c r="E572" s="160"/>
      <c r="F572" s="161"/>
      <c r="G572" s="161"/>
      <c r="H572" s="161"/>
      <c r="I572" s="163"/>
      <c r="J572" s="161"/>
      <c r="K572" s="163"/>
      <c r="L572" s="150"/>
      <c r="M572" s="164"/>
      <c r="N572" s="150"/>
      <c r="O572" s="151"/>
      <c r="P572" s="522"/>
      <c r="Q572" s="522"/>
      <c r="R572" s="154"/>
      <c r="S572" s="155"/>
      <c r="T572" s="156"/>
      <c r="U572" s="154"/>
      <c r="V572" s="155"/>
      <c r="W572" s="155"/>
      <c r="X572" s="419"/>
      <c r="Y572" s="157"/>
      <c r="Z572" s="217"/>
      <c r="AA572" s="150"/>
      <c r="AB572" s="151"/>
      <c r="AC572" s="152"/>
      <c r="AD572" s="506"/>
      <c r="AE572" s="181"/>
      <c r="AF572" s="150"/>
      <c r="AG572" s="152"/>
      <c r="AH572" s="150"/>
      <c r="AI572" s="152"/>
      <c r="AJ572" s="150"/>
      <c r="AK572" s="152"/>
      <c r="AL572" s="150"/>
      <c r="AM572" s="151"/>
      <c r="AN572" s="151"/>
      <c r="AO572" s="169"/>
      <c r="AP572" s="169"/>
      <c r="AQ572" s="149"/>
      <c r="AR572" s="324"/>
      <c r="AS572" s="324"/>
      <c r="AT572" s="324"/>
      <c r="AU572" s="324"/>
      <c r="AV572" s="324"/>
      <c r="AW572" s="324"/>
      <c r="AX572" s="150"/>
      <c r="AY572" s="297"/>
      <c r="AZ572" s="297"/>
      <c r="BA572" s="297"/>
      <c r="BB572" s="297"/>
      <c r="BC572" s="152"/>
      <c r="BD572" s="150"/>
      <c r="BE572" s="297"/>
      <c r="BF572" s="297"/>
      <c r="BG572" s="297"/>
      <c r="BH572" s="297"/>
      <c r="BI572" s="152"/>
      <c r="BJ572" s="170"/>
      <c r="BK572" s="148"/>
      <c r="BL572" s="324"/>
      <c r="BM572" s="324"/>
      <c r="BN572" s="170"/>
      <c r="BO572" s="149"/>
      <c r="BP572" s="170"/>
      <c r="BQ572" s="149"/>
      <c r="BR572" s="170"/>
      <c r="BS572" s="171"/>
      <c r="BT572" s="708"/>
    </row>
    <row r="573" spans="1:72" s="2" customFormat="1" ht="24.9" customHeight="1">
      <c r="A573" s="147"/>
      <c r="B573" s="158"/>
      <c r="C573" s="179"/>
      <c r="D573" s="158"/>
      <c r="E573" s="160"/>
      <c r="F573" s="161"/>
      <c r="G573" s="161"/>
      <c r="H573" s="161"/>
      <c r="I573" s="163"/>
      <c r="J573" s="161"/>
      <c r="K573" s="163"/>
      <c r="L573" s="150"/>
      <c r="M573" s="164"/>
      <c r="N573" s="150"/>
      <c r="O573" s="151"/>
      <c r="P573" s="522"/>
      <c r="Q573" s="522"/>
      <c r="R573" s="154"/>
      <c r="S573" s="155"/>
      <c r="T573" s="156"/>
      <c r="U573" s="154"/>
      <c r="V573" s="155"/>
      <c r="W573" s="155"/>
      <c r="X573" s="419"/>
      <c r="Y573" s="157"/>
      <c r="Z573" s="217"/>
      <c r="AA573" s="150"/>
      <c r="AB573" s="151"/>
      <c r="AC573" s="152"/>
      <c r="AD573" s="506"/>
      <c r="AE573" s="181"/>
      <c r="AF573" s="150"/>
      <c r="AG573" s="152"/>
      <c r="AH573" s="150"/>
      <c r="AI573" s="152"/>
      <c r="AJ573" s="150"/>
      <c r="AK573" s="152"/>
      <c r="AL573" s="150"/>
      <c r="AM573" s="151"/>
      <c r="AN573" s="151"/>
      <c r="AO573" s="169"/>
      <c r="AP573" s="169"/>
      <c r="AQ573" s="149"/>
      <c r="AR573" s="324"/>
      <c r="AS573" s="324"/>
      <c r="AT573" s="324"/>
      <c r="AU573" s="324"/>
      <c r="AV573" s="324"/>
      <c r="AW573" s="324"/>
      <c r="AX573" s="150"/>
      <c r="AY573" s="297"/>
      <c r="AZ573" s="297"/>
      <c r="BA573" s="297"/>
      <c r="BB573" s="297"/>
      <c r="BC573" s="152"/>
      <c r="BD573" s="150"/>
      <c r="BE573" s="297"/>
      <c r="BF573" s="297"/>
      <c r="BG573" s="297"/>
      <c r="BH573" s="297"/>
      <c r="BI573" s="152"/>
      <c r="BJ573" s="170"/>
      <c r="BK573" s="148"/>
      <c r="BL573" s="324"/>
      <c r="BM573" s="324"/>
      <c r="BN573" s="170"/>
      <c r="BO573" s="149"/>
      <c r="BP573" s="170"/>
      <c r="BQ573" s="149"/>
      <c r="BR573" s="170"/>
      <c r="BS573" s="171"/>
      <c r="BT573" s="708"/>
    </row>
    <row r="574" spans="1:72" s="2" customFormat="1" ht="24.9" customHeight="1">
      <c r="A574" s="147"/>
      <c r="B574" s="158"/>
      <c r="C574" s="179"/>
      <c r="D574" s="158"/>
      <c r="E574" s="160"/>
      <c r="F574" s="161"/>
      <c r="G574" s="161"/>
      <c r="H574" s="161"/>
      <c r="I574" s="163"/>
      <c r="J574" s="161"/>
      <c r="K574" s="163"/>
      <c r="L574" s="150"/>
      <c r="M574" s="164"/>
      <c r="N574" s="150"/>
      <c r="O574" s="151"/>
      <c r="P574" s="522"/>
      <c r="Q574" s="522"/>
      <c r="R574" s="154"/>
      <c r="S574" s="155"/>
      <c r="T574" s="156"/>
      <c r="U574" s="154"/>
      <c r="V574" s="155"/>
      <c r="W574" s="155"/>
      <c r="X574" s="419"/>
      <c r="Y574" s="157"/>
      <c r="Z574" s="217"/>
      <c r="AA574" s="150"/>
      <c r="AB574" s="151"/>
      <c r="AC574" s="152"/>
      <c r="AD574" s="506"/>
      <c r="AE574" s="181"/>
      <c r="AF574" s="150"/>
      <c r="AG574" s="152"/>
      <c r="AH574" s="150"/>
      <c r="AI574" s="152"/>
      <c r="AJ574" s="150"/>
      <c r="AK574" s="152"/>
      <c r="AL574" s="150"/>
      <c r="AM574" s="151"/>
      <c r="AN574" s="151"/>
      <c r="AO574" s="169"/>
      <c r="AP574" s="169"/>
      <c r="AQ574" s="149"/>
      <c r="AR574" s="324"/>
      <c r="AS574" s="324"/>
      <c r="AT574" s="324"/>
      <c r="AU574" s="324"/>
      <c r="AV574" s="324"/>
      <c r="AW574" s="324"/>
      <c r="AX574" s="150"/>
      <c r="AY574" s="297"/>
      <c r="AZ574" s="297"/>
      <c r="BA574" s="297"/>
      <c r="BB574" s="297"/>
      <c r="BC574" s="152"/>
      <c r="BD574" s="150"/>
      <c r="BE574" s="297"/>
      <c r="BF574" s="297"/>
      <c r="BG574" s="297"/>
      <c r="BH574" s="297"/>
      <c r="BI574" s="152"/>
      <c r="BJ574" s="170"/>
      <c r="BK574" s="148"/>
      <c r="BL574" s="324"/>
      <c r="BM574" s="324"/>
      <c r="BN574" s="170"/>
      <c r="BO574" s="149"/>
      <c r="BP574" s="170"/>
      <c r="BQ574" s="149"/>
      <c r="BR574" s="170"/>
      <c r="BS574" s="171"/>
      <c r="BT574" s="708"/>
    </row>
    <row r="575" spans="1:72" s="2" customFormat="1" ht="24.9" customHeight="1">
      <c r="A575" s="147"/>
      <c r="B575" s="158"/>
      <c r="C575" s="179"/>
      <c r="D575" s="158"/>
      <c r="E575" s="160"/>
      <c r="F575" s="161"/>
      <c r="G575" s="161"/>
      <c r="H575" s="161"/>
      <c r="I575" s="163"/>
      <c r="J575" s="161"/>
      <c r="K575" s="163"/>
      <c r="L575" s="150"/>
      <c r="M575" s="164"/>
      <c r="N575" s="150"/>
      <c r="O575" s="151"/>
      <c r="P575" s="522"/>
      <c r="Q575" s="522"/>
      <c r="R575" s="154"/>
      <c r="S575" s="155"/>
      <c r="T575" s="156"/>
      <c r="U575" s="154"/>
      <c r="V575" s="155"/>
      <c r="W575" s="155"/>
      <c r="X575" s="419"/>
      <c r="Y575" s="157"/>
      <c r="Z575" s="217"/>
      <c r="AA575" s="150"/>
      <c r="AB575" s="151"/>
      <c r="AC575" s="152"/>
      <c r="AD575" s="506"/>
      <c r="AE575" s="181"/>
      <c r="AF575" s="150"/>
      <c r="AG575" s="152"/>
      <c r="AH575" s="150"/>
      <c r="AI575" s="152"/>
      <c r="AJ575" s="150"/>
      <c r="AK575" s="152"/>
      <c r="AL575" s="150"/>
      <c r="AM575" s="151"/>
      <c r="AN575" s="151"/>
      <c r="AO575" s="169"/>
      <c r="AP575" s="169"/>
      <c r="AQ575" s="149"/>
      <c r="AR575" s="324"/>
      <c r="AS575" s="324"/>
      <c r="AT575" s="324"/>
      <c r="AU575" s="324"/>
      <c r="AV575" s="324"/>
      <c r="AW575" s="324"/>
      <c r="AX575" s="150"/>
      <c r="AY575" s="297"/>
      <c r="AZ575" s="297"/>
      <c r="BA575" s="297"/>
      <c r="BB575" s="297"/>
      <c r="BC575" s="152"/>
      <c r="BD575" s="150"/>
      <c r="BE575" s="297"/>
      <c r="BF575" s="297"/>
      <c r="BG575" s="297"/>
      <c r="BH575" s="297"/>
      <c r="BI575" s="152"/>
      <c r="BJ575" s="170"/>
      <c r="BK575" s="148"/>
      <c r="BL575" s="324"/>
      <c r="BM575" s="324"/>
      <c r="BN575" s="170"/>
      <c r="BO575" s="149"/>
      <c r="BP575" s="170"/>
      <c r="BQ575" s="149"/>
      <c r="BR575" s="170"/>
      <c r="BS575" s="171"/>
      <c r="BT575" s="708"/>
    </row>
    <row r="576" spans="1:72" s="2" customFormat="1" ht="24.9" customHeight="1">
      <c r="A576" s="147"/>
      <c r="B576" s="158"/>
      <c r="C576" s="179"/>
      <c r="D576" s="158"/>
      <c r="E576" s="160"/>
      <c r="F576" s="161"/>
      <c r="G576" s="161"/>
      <c r="H576" s="161"/>
      <c r="I576" s="163"/>
      <c r="J576" s="161"/>
      <c r="K576" s="163"/>
      <c r="L576" s="150"/>
      <c r="M576" s="164"/>
      <c r="N576" s="150"/>
      <c r="O576" s="151"/>
      <c r="P576" s="522"/>
      <c r="Q576" s="522"/>
      <c r="R576" s="154"/>
      <c r="S576" s="155"/>
      <c r="T576" s="156"/>
      <c r="U576" s="154"/>
      <c r="V576" s="155"/>
      <c r="W576" s="155"/>
      <c r="X576" s="419"/>
      <c r="Y576" s="157"/>
      <c r="Z576" s="217"/>
      <c r="AA576" s="150"/>
      <c r="AB576" s="151"/>
      <c r="AC576" s="152"/>
      <c r="AD576" s="506"/>
      <c r="AE576" s="184"/>
      <c r="AF576" s="150"/>
      <c r="AG576" s="152"/>
      <c r="AH576" s="150"/>
      <c r="AI576" s="152"/>
      <c r="AJ576" s="150"/>
      <c r="AK576" s="152"/>
      <c r="AL576" s="150"/>
      <c r="AM576" s="151"/>
      <c r="AN576" s="151"/>
      <c r="AO576" s="169"/>
      <c r="AP576" s="169"/>
      <c r="AQ576" s="149"/>
      <c r="AR576" s="324"/>
      <c r="AS576" s="324"/>
      <c r="AT576" s="324"/>
      <c r="AU576" s="324"/>
      <c r="AV576" s="324"/>
      <c r="AW576" s="324"/>
      <c r="AX576" s="150"/>
      <c r="AY576" s="297"/>
      <c r="AZ576" s="297"/>
      <c r="BA576" s="297"/>
      <c r="BB576" s="297"/>
      <c r="BC576" s="152"/>
      <c r="BD576" s="150"/>
      <c r="BE576" s="297"/>
      <c r="BF576" s="297"/>
      <c r="BG576" s="297"/>
      <c r="BH576" s="297"/>
      <c r="BI576" s="152"/>
      <c r="BJ576" s="170"/>
      <c r="BK576" s="148"/>
      <c r="BL576" s="324"/>
      <c r="BM576" s="324"/>
      <c r="BN576" s="170"/>
      <c r="BO576" s="149"/>
      <c r="BP576" s="170"/>
      <c r="BQ576" s="149"/>
      <c r="BR576" s="170"/>
      <c r="BS576" s="171"/>
      <c r="BT576" s="708"/>
    </row>
    <row r="577" spans="1:72" s="2" customFormat="1" ht="24.9" customHeight="1">
      <c r="A577" s="147"/>
      <c r="B577" s="158"/>
      <c r="C577" s="179"/>
      <c r="D577" s="158"/>
      <c r="E577" s="160"/>
      <c r="F577" s="161"/>
      <c r="G577" s="161"/>
      <c r="H577" s="161"/>
      <c r="I577" s="163"/>
      <c r="J577" s="161"/>
      <c r="K577" s="163"/>
      <c r="L577" s="150"/>
      <c r="M577" s="164"/>
      <c r="N577" s="150"/>
      <c r="O577" s="151"/>
      <c r="P577" s="522"/>
      <c r="Q577" s="522"/>
      <c r="R577" s="154"/>
      <c r="S577" s="155"/>
      <c r="T577" s="156"/>
      <c r="U577" s="154"/>
      <c r="V577" s="155"/>
      <c r="W577" s="155"/>
      <c r="X577" s="419"/>
      <c r="Y577" s="157"/>
      <c r="Z577" s="217"/>
      <c r="AA577" s="150"/>
      <c r="AB577" s="151"/>
      <c r="AC577" s="152"/>
      <c r="AD577" s="506"/>
      <c r="AE577" s="181"/>
      <c r="AF577" s="150"/>
      <c r="AG577" s="152"/>
      <c r="AH577" s="150"/>
      <c r="AI577" s="152"/>
      <c r="AJ577" s="150"/>
      <c r="AK577" s="152"/>
      <c r="AL577" s="150"/>
      <c r="AM577" s="151"/>
      <c r="AN577" s="151"/>
      <c r="AO577" s="169"/>
      <c r="AP577" s="169"/>
      <c r="AQ577" s="149"/>
      <c r="AR577" s="324"/>
      <c r="AS577" s="324"/>
      <c r="AT577" s="324"/>
      <c r="AU577" s="324"/>
      <c r="AV577" s="324"/>
      <c r="AW577" s="324"/>
      <c r="AX577" s="150"/>
      <c r="AY577" s="297"/>
      <c r="AZ577" s="297"/>
      <c r="BA577" s="297"/>
      <c r="BB577" s="297"/>
      <c r="BC577" s="152"/>
      <c r="BD577" s="150"/>
      <c r="BE577" s="297"/>
      <c r="BF577" s="297"/>
      <c r="BG577" s="297"/>
      <c r="BH577" s="297"/>
      <c r="BI577" s="152"/>
      <c r="BJ577" s="170"/>
      <c r="BK577" s="148"/>
      <c r="BL577" s="324"/>
      <c r="BM577" s="324"/>
      <c r="BN577" s="170"/>
      <c r="BO577" s="149"/>
      <c r="BP577" s="170"/>
      <c r="BQ577" s="149"/>
      <c r="BR577" s="170"/>
      <c r="BS577" s="171"/>
      <c r="BT577" s="708"/>
    </row>
    <row r="578" spans="1:72" s="2" customFormat="1" ht="24.9" customHeight="1">
      <c r="A578" s="147"/>
      <c r="B578" s="158"/>
      <c r="C578" s="179"/>
      <c r="D578" s="158"/>
      <c r="E578" s="160"/>
      <c r="F578" s="161"/>
      <c r="G578" s="161"/>
      <c r="H578" s="161"/>
      <c r="I578" s="163"/>
      <c r="J578" s="161"/>
      <c r="K578" s="163"/>
      <c r="L578" s="150"/>
      <c r="M578" s="164"/>
      <c r="N578" s="150"/>
      <c r="O578" s="174"/>
      <c r="P578" s="523"/>
      <c r="Q578" s="523"/>
      <c r="R578" s="154"/>
      <c r="S578" s="155"/>
      <c r="T578" s="156"/>
      <c r="U578" s="154"/>
      <c r="V578" s="155"/>
      <c r="W578" s="155"/>
      <c r="X578" s="419"/>
      <c r="Y578" s="157"/>
      <c r="Z578" s="217"/>
      <c r="AA578" s="150"/>
      <c r="AB578" s="151"/>
      <c r="AC578" s="152"/>
      <c r="AD578" s="506"/>
      <c r="AE578" s="166"/>
      <c r="AF578" s="150"/>
      <c r="AG578" s="152"/>
      <c r="AH578" s="150"/>
      <c r="AI578" s="152"/>
      <c r="AJ578" s="150"/>
      <c r="AK578" s="152"/>
      <c r="AL578" s="150"/>
      <c r="AM578" s="151"/>
      <c r="AN578" s="151"/>
      <c r="AO578" s="169"/>
      <c r="AP578" s="169"/>
      <c r="AQ578" s="149"/>
      <c r="AR578" s="324"/>
      <c r="AS578" s="324"/>
      <c r="AT578" s="324"/>
      <c r="AU578" s="324"/>
      <c r="AV578" s="324"/>
      <c r="AW578" s="324"/>
      <c r="AX578" s="150"/>
      <c r="AY578" s="297"/>
      <c r="AZ578" s="297"/>
      <c r="BA578" s="297"/>
      <c r="BB578" s="297"/>
      <c r="BC578" s="152"/>
      <c r="BD578" s="150"/>
      <c r="BE578" s="297"/>
      <c r="BF578" s="297"/>
      <c r="BG578" s="297"/>
      <c r="BH578" s="297"/>
      <c r="BI578" s="152"/>
      <c r="BJ578" s="170"/>
      <c r="BK578" s="148"/>
      <c r="BL578" s="324"/>
      <c r="BM578" s="324"/>
      <c r="BN578" s="170"/>
      <c r="BO578" s="149"/>
      <c r="BP578" s="170"/>
      <c r="BQ578" s="149"/>
      <c r="BR578" s="170"/>
      <c r="BS578" s="171"/>
      <c r="BT578" s="707"/>
    </row>
    <row r="579" spans="1:72" s="2" customFormat="1" ht="24.9" customHeight="1">
      <c r="A579" s="147"/>
      <c r="B579" s="158"/>
      <c r="C579" s="179"/>
      <c r="D579" s="158"/>
      <c r="E579" s="160"/>
      <c r="F579" s="161"/>
      <c r="G579" s="161"/>
      <c r="H579" s="161"/>
      <c r="I579" s="163"/>
      <c r="J579" s="161"/>
      <c r="K579" s="163"/>
      <c r="L579" s="150"/>
      <c r="M579" s="164"/>
      <c r="N579" s="150"/>
      <c r="O579" s="174"/>
      <c r="P579" s="523"/>
      <c r="Q579" s="523"/>
      <c r="R579" s="154"/>
      <c r="S579" s="155"/>
      <c r="T579" s="156"/>
      <c r="U579" s="154"/>
      <c r="V579" s="155"/>
      <c r="W579" s="155"/>
      <c r="X579" s="419"/>
      <c r="Y579" s="157"/>
      <c r="Z579" s="217"/>
      <c r="AA579" s="150"/>
      <c r="AB579" s="151"/>
      <c r="AC579" s="152"/>
      <c r="AD579" s="506"/>
      <c r="AE579" s="166"/>
      <c r="AF579" s="150"/>
      <c r="AG579" s="152"/>
      <c r="AH579" s="150"/>
      <c r="AI579" s="152"/>
      <c r="AJ579" s="150"/>
      <c r="AK579" s="152"/>
      <c r="AL579" s="150"/>
      <c r="AM579" s="151"/>
      <c r="AN579" s="151"/>
      <c r="AO579" s="169"/>
      <c r="AP579" s="169"/>
      <c r="AQ579" s="149"/>
      <c r="AR579" s="324"/>
      <c r="AS579" s="324"/>
      <c r="AT579" s="324"/>
      <c r="AU579" s="324"/>
      <c r="AV579" s="324"/>
      <c r="AW579" s="324"/>
      <c r="AX579" s="150"/>
      <c r="AY579" s="297"/>
      <c r="AZ579" s="297"/>
      <c r="BA579" s="297"/>
      <c r="BB579" s="297"/>
      <c r="BC579" s="152"/>
      <c r="BD579" s="150"/>
      <c r="BE579" s="297"/>
      <c r="BF579" s="297"/>
      <c r="BG579" s="297"/>
      <c r="BH579" s="297"/>
      <c r="BI579" s="152"/>
      <c r="BJ579" s="170"/>
      <c r="BK579" s="148"/>
      <c r="BL579" s="324"/>
      <c r="BM579" s="324"/>
      <c r="BN579" s="170"/>
      <c r="BO579" s="149"/>
      <c r="BP579" s="170"/>
      <c r="BQ579" s="149"/>
      <c r="BR579" s="170"/>
      <c r="BS579" s="171"/>
      <c r="BT579" s="706"/>
    </row>
    <row r="580" spans="1:72" s="2" customFormat="1" ht="24.9" customHeight="1">
      <c r="A580" s="147"/>
      <c r="B580" s="158"/>
      <c r="C580" s="179"/>
      <c r="D580" s="158"/>
      <c r="E580" s="160"/>
      <c r="F580" s="161"/>
      <c r="G580" s="161"/>
      <c r="H580" s="161"/>
      <c r="I580" s="163"/>
      <c r="J580" s="161"/>
      <c r="K580" s="163"/>
      <c r="L580" s="150"/>
      <c r="M580" s="164"/>
      <c r="N580" s="150"/>
      <c r="O580" s="174"/>
      <c r="P580" s="523"/>
      <c r="Q580" s="523"/>
      <c r="R580" s="154"/>
      <c r="S580" s="155"/>
      <c r="T580" s="156"/>
      <c r="U580" s="154"/>
      <c r="V580" s="155"/>
      <c r="W580" s="155"/>
      <c r="X580" s="419"/>
      <c r="Y580" s="157"/>
      <c r="Z580" s="217"/>
      <c r="AA580" s="150"/>
      <c r="AB580" s="151"/>
      <c r="AC580" s="152"/>
      <c r="AD580" s="506"/>
      <c r="AE580" s="166"/>
      <c r="AF580" s="150"/>
      <c r="AG580" s="152"/>
      <c r="AH580" s="150"/>
      <c r="AI580" s="152"/>
      <c r="AJ580" s="150"/>
      <c r="AK580" s="152"/>
      <c r="AL580" s="150"/>
      <c r="AM580" s="151"/>
      <c r="AN580" s="151"/>
      <c r="AO580" s="169"/>
      <c r="AP580" s="169"/>
      <c r="AQ580" s="149"/>
      <c r="AR580" s="324"/>
      <c r="AS580" s="324"/>
      <c r="AT580" s="324"/>
      <c r="AU580" s="324"/>
      <c r="AV580" s="324"/>
      <c r="AW580" s="324"/>
      <c r="AX580" s="150"/>
      <c r="AY580" s="297"/>
      <c r="AZ580" s="297"/>
      <c r="BA580" s="297"/>
      <c r="BB580" s="297"/>
      <c r="BC580" s="152"/>
      <c r="BD580" s="150"/>
      <c r="BE580" s="297"/>
      <c r="BF580" s="297"/>
      <c r="BG580" s="297"/>
      <c r="BH580" s="297"/>
      <c r="BI580" s="152"/>
      <c r="BJ580" s="170"/>
      <c r="BK580" s="148"/>
      <c r="BL580" s="324"/>
      <c r="BM580" s="324"/>
      <c r="BN580" s="170"/>
      <c r="BO580" s="149"/>
      <c r="BP580" s="170"/>
      <c r="BQ580" s="149"/>
      <c r="BR580" s="170"/>
      <c r="BS580" s="171"/>
      <c r="BT580" s="707"/>
    </row>
    <row r="581" spans="1:72" s="2" customFormat="1" ht="24.9" customHeight="1">
      <c r="A581" s="147"/>
      <c r="B581" s="158"/>
      <c r="C581" s="179"/>
      <c r="D581" s="158"/>
      <c r="E581" s="160"/>
      <c r="F581" s="161"/>
      <c r="G581" s="161"/>
      <c r="H581" s="161"/>
      <c r="I581" s="163"/>
      <c r="J581" s="161"/>
      <c r="K581" s="163"/>
      <c r="L581" s="150"/>
      <c r="M581" s="164"/>
      <c r="N581" s="150"/>
      <c r="O581" s="174"/>
      <c r="P581" s="523"/>
      <c r="Q581" s="523"/>
      <c r="R581" s="154"/>
      <c r="S581" s="155"/>
      <c r="T581" s="156"/>
      <c r="U581" s="154"/>
      <c r="V581" s="155"/>
      <c r="W581" s="155"/>
      <c r="X581" s="419"/>
      <c r="Y581" s="157"/>
      <c r="Z581" s="217"/>
      <c r="AA581" s="150"/>
      <c r="AB581" s="151"/>
      <c r="AC581" s="152"/>
      <c r="AD581" s="506"/>
      <c r="AE581" s="166"/>
      <c r="AF581" s="150"/>
      <c r="AG581" s="152"/>
      <c r="AH581" s="150"/>
      <c r="AI581" s="152"/>
      <c r="AJ581" s="150"/>
      <c r="AK581" s="152"/>
      <c r="AL581" s="150"/>
      <c r="AM581" s="151"/>
      <c r="AN581" s="151"/>
      <c r="AO581" s="169"/>
      <c r="AP581" s="169"/>
      <c r="AQ581" s="149"/>
      <c r="AR581" s="324"/>
      <c r="AS581" s="324"/>
      <c r="AT581" s="324"/>
      <c r="AU581" s="324"/>
      <c r="AV581" s="324"/>
      <c r="AW581" s="324"/>
      <c r="AX581" s="150"/>
      <c r="AY581" s="297"/>
      <c r="AZ581" s="297"/>
      <c r="BA581" s="297"/>
      <c r="BB581" s="297"/>
      <c r="BC581" s="152"/>
      <c r="BD581" s="150"/>
      <c r="BE581" s="297"/>
      <c r="BF581" s="297"/>
      <c r="BG581" s="297"/>
      <c r="BH581" s="297"/>
      <c r="BI581" s="152"/>
      <c r="BJ581" s="170"/>
      <c r="BK581" s="148"/>
      <c r="BL581" s="324"/>
      <c r="BM581" s="324"/>
      <c r="BN581" s="170"/>
      <c r="BO581" s="149"/>
      <c r="BP581" s="170"/>
      <c r="BQ581" s="149"/>
      <c r="BR581" s="170"/>
      <c r="BS581" s="171"/>
      <c r="BT581" s="706"/>
    </row>
    <row r="582" spans="1:72" s="2" customFormat="1" ht="24.9" customHeight="1">
      <c r="A582" s="147"/>
      <c r="B582" s="158"/>
      <c r="C582" s="179"/>
      <c r="D582" s="158"/>
      <c r="E582" s="160"/>
      <c r="F582" s="161"/>
      <c r="G582" s="161"/>
      <c r="H582" s="161"/>
      <c r="I582" s="163"/>
      <c r="J582" s="161"/>
      <c r="K582" s="163"/>
      <c r="L582" s="150"/>
      <c r="M582" s="164"/>
      <c r="N582" s="150"/>
      <c r="O582" s="151"/>
      <c r="P582" s="522"/>
      <c r="Q582" s="522"/>
      <c r="R582" s="154"/>
      <c r="S582" s="155"/>
      <c r="T582" s="156"/>
      <c r="U582" s="154"/>
      <c r="V582" s="155"/>
      <c r="W582" s="155"/>
      <c r="X582" s="419"/>
      <c r="Y582" s="157"/>
      <c r="Z582" s="217"/>
      <c r="AA582" s="150"/>
      <c r="AB582" s="151"/>
      <c r="AC582" s="152"/>
      <c r="AD582" s="506"/>
      <c r="AE582" s="166"/>
      <c r="AF582" s="150"/>
      <c r="AG582" s="152"/>
      <c r="AH582" s="150"/>
      <c r="AI582" s="152"/>
      <c r="AJ582" s="150"/>
      <c r="AK582" s="152"/>
      <c r="AL582" s="150"/>
      <c r="AM582" s="151"/>
      <c r="AN582" s="151"/>
      <c r="AO582" s="169"/>
      <c r="AP582" s="169"/>
      <c r="AQ582" s="149"/>
      <c r="AR582" s="324"/>
      <c r="AS582" s="324"/>
      <c r="AT582" s="324"/>
      <c r="AU582" s="324"/>
      <c r="AV582" s="324"/>
      <c r="AW582" s="324"/>
      <c r="AX582" s="150"/>
      <c r="AY582" s="297"/>
      <c r="AZ582" s="297"/>
      <c r="BA582" s="297"/>
      <c r="BB582" s="297"/>
      <c r="BC582" s="152"/>
      <c r="BD582" s="150"/>
      <c r="BE582" s="297"/>
      <c r="BF582" s="297"/>
      <c r="BG582" s="297"/>
      <c r="BH582" s="297"/>
      <c r="BI582" s="152"/>
      <c r="BJ582" s="170"/>
      <c r="BK582" s="148"/>
      <c r="BL582" s="324"/>
      <c r="BM582" s="324"/>
      <c r="BN582" s="170"/>
      <c r="BO582" s="149"/>
      <c r="BP582" s="170"/>
      <c r="BQ582" s="149"/>
      <c r="BR582" s="170"/>
      <c r="BS582" s="171"/>
      <c r="BT582" s="708"/>
    </row>
    <row r="583" spans="1:72" s="2" customFormat="1" ht="24.9" customHeight="1">
      <c r="A583" s="147"/>
      <c r="B583" s="158"/>
      <c r="C583" s="179"/>
      <c r="D583" s="158"/>
      <c r="E583" s="160"/>
      <c r="F583" s="161"/>
      <c r="G583" s="161"/>
      <c r="H583" s="161"/>
      <c r="I583" s="163"/>
      <c r="J583" s="161"/>
      <c r="K583" s="163"/>
      <c r="L583" s="150"/>
      <c r="M583" s="164"/>
      <c r="N583" s="150"/>
      <c r="O583" s="174"/>
      <c r="P583" s="523"/>
      <c r="Q583" s="523"/>
      <c r="R583" s="154"/>
      <c r="S583" s="155"/>
      <c r="T583" s="156"/>
      <c r="U583" s="154"/>
      <c r="V583" s="155"/>
      <c r="W583" s="155"/>
      <c r="X583" s="419"/>
      <c r="Y583" s="157"/>
      <c r="Z583" s="217"/>
      <c r="AA583" s="150"/>
      <c r="AB583" s="151"/>
      <c r="AC583" s="152"/>
      <c r="AD583" s="506"/>
      <c r="AE583" s="166"/>
      <c r="AF583" s="150"/>
      <c r="AG583" s="152"/>
      <c r="AH583" s="150"/>
      <c r="AI583" s="152"/>
      <c r="AJ583" s="150"/>
      <c r="AK583" s="152"/>
      <c r="AL583" s="150"/>
      <c r="AM583" s="151"/>
      <c r="AN583" s="151"/>
      <c r="AO583" s="169"/>
      <c r="AP583" s="169"/>
      <c r="AQ583" s="149"/>
      <c r="AR583" s="324"/>
      <c r="AS583" s="324"/>
      <c r="AT583" s="324"/>
      <c r="AU583" s="324"/>
      <c r="AV583" s="324"/>
      <c r="AW583" s="324"/>
      <c r="AX583" s="150"/>
      <c r="AY583" s="297"/>
      <c r="AZ583" s="297"/>
      <c r="BA583" s="297"/>
      <c r="BB583" s="297"/>
      <c r="BC583" s="152"/>
      <c r="BD583" s="150"/>
      <c r="BE583" s="297"/>
      <c r="BF583" s="297"/>
      <c r="BG583" s="297"/>
      <c r="BH583" s="297"/>
      <c r="BI583" s="152"/>
      <c r="BJ583" s="170"/>
      <c r="BK583" s="148"/>
      <c r="BL583" s="324"/>
      <c r="BM583" s="324"/>
      <c r="BN583" s="170"/>
      <c r="BO583" s="149"/>
      <c r="BP583" s="170"/>
      <c r="BQ583" s="149"/>
      <c r="BR583" s="170"/>
      <c r="BS583" s="171"/>
      <c r="BT583" s="707"/>
    </row>
    <row r="584" spans="1:72" s="2" customFormat="1" ht="24.9" customHeight="1">
      <c r="A584" s="147"/>
      <c r="B584" s="158"/>
      <c r="C584" s="179"/>
      <c r="D584" s="158"/>
      <c r="E584" s="160"/>
      <c r="F584" s="161"/>
      <c r="G584" s="161"/>
      <c r="H584" s="161"/>
      <c r="I584" s="163"/>
      <c r="J584" s="161"/>
      <c r="K584" s="163"/>
      <c r="L584" s="150"/>
      <c r="M584" s="164"/>
      <c r="N584" s="150"/>
      <c r="O584" s="174"/>
      <c r="P584" s="523"/>
      <c r="Q584" s="523"/>
      <c r="R584" s="154"/>
      <c r="S584" s="155"/>
      <c r="T584" s="156"/>
      <c r="U584" s="154"/>
      <c r="V584" s="155"/>
      <c r="W584" s="155"/>
      <c r="X584" s="419"/>
      <c r="Y584" s="157"/>
      <c r="Z584" s="217"/>
      <c r="AA584" s="150"/>
      <c r="AB584" s="151"/>
      <c r="AC584" s="152"/>
      <c r="AD584" s="506"/>
      <c r="AE584" s="166"/>
      <c r="AF584" s="150"/>
      <c r="AG584" s="152"/>
      <c r="AH584" s="150"/>
      <c r="AI584" s="152"/>
      <c r="AJ584" s="150"/>
      <c r="AK584" s="152"/>
      <c r="AL584" s="150"/>
      <c r="AM584" s="151"/>
      <c r="AN584" s="151"/>
      <c r="AO584" s="169"/>
      <c r="AP584" s="169"/>
      <c r="AQ584" s="149"/>
      <c r="AR584" s="324"/>
      <c r="AS584" s="324"/>
      <c r="AT584" s="324"/>
      <c r="AU584" s="324"/>
      <c r="AV584" s="324"/>
      <c r="AW584" s="324"/>
      <c r="AX584" s="150"/>
      <c r="AY584" s="297"/>
      <c r="AZ584" s="297"/>
      <c r="BA584" s="297"/>
      <c r="BB584" s="297"/>
      <c r="BC584" s="152"/>
      <c r="BD584" s="150"/>
      <c r="BE584" s="297"/>
      <c r="BF584" s="297"/>
      <c r="BG584" s="297"/>
      <c r="BH584" s="297"/>
      <c r="BI584" s="152"/>
      <c r="BJ584" s="170"/>
      <c r="BK584" s="148"/>
      <c r="BL584" s="324"/>
      <c r="BM584" s="324"/>
      <c r="BN584" s="170"/>
      <c r="BO584" s="149"/>
      <c r="BP584" s="170"/>
      <c r="BQ584" s="149"/>
      <c r="BR584" s="170"/>
      <c r="BS584" s="171"/>
      <c r="BT584" s="706"/>
    </row>
    <row r="585" spans="1:72" s="2" customFormat="1" ht="24.9" customHeight="1">
      <c r="A585" s="147"/>
      <c r="B585" s="158"/>
      <c r="C585" s="179"/>
      <c r="D585" s="158"/>
      <c r="E585" s="160"/>
      <c r="F585" s="161"/>
      <c r="G585" s="161"/>
      <c r="H585" s="161"/>
      <c r="I585" s="163"/>
      <c r="J585" s="161"/>
      <c r="K585" s="163"/>
      <c r="L585" s="150"/>
      <c r="M585" s="164"/>
      <c r="N585" s="150"/>
      <c r="O585" s="174"/>
      <c r="P585" s="523"/>
      <c r="Q585" s="523"/>
      <c r="R585" s="154"/>
      <c r="S585" s="155"/>
      <c r="T585" s="156"/>
      <c r="U585" s="154"/>
      <c r="V585" s="155"/>
      <c r="W585" s="155"/>
      <c r="X585" s="419"/>
      <c r="Y585" s="157"/>
      <c r="Z585" s="217"/>
      <c r="AA585" s="150"/>
      <c r="AB585" s="151"/>
      <c r="AC585" s="152"/>
      <c r="AD585" s="506"/>
      <c r="AE585" s="166"/>
      <c r="AF585" s="150"/>
      <c r="AG585" s="152"/>
      <c r="AH585" s="150"/>
      <c r="AI585" s="152"/>
      <c r="AJ585" s="150"/>
      <c r="AK585" s="152"/>
      <c r="AL585" s="150"/>
      <c r="AM585" s="151"/>
      <c r="AN585" s="151"/>
      <c r="AO585" s="169"/>
      <c r="AP585" s="169"/>
      <c r="AQ585" s="149"/>
      <c r="AR585" s="324"/>
      <c r="AS585" s="324"/>
      <c r="AT585" s="324"/>
      <c r="AU585" s="324"/>
      <c r="AV585" s="324"/>
      <c r="AW585" s="324"/>
      <c r="AX585" s="150"/>
      <c r="AY585" s="297"/>
      <c r="AZ585" s="297"/>
      <c r="BA585" s="297"/>
      <c r="BB585" s="297"/>
      <c r="BC585" s="152"/>
      <c r="BD585" s="150"/>
      <c r="BE585" s="297"/>
      <c r="BF585" s="297"/>
      <c r="BG585" s="297"/>
      <c r="BH585" s="297"/>
      <c r="BI585" s="152"/>
      <c r="BJ585" s="170"/>
      <c r="BK585" s="148"/>
      <c r="BL585" s="324"/>
      <c r="BM585" s="324"/>
      <c r="BN585" s="170"/>
      <c r="BO585" s="149"/>
      <c r="BP585" s="170"/>
      <c r="BQ585" s="149"/>
      <c r="BR585" s="170"/>
      <c r="BS585" s="171"/>
      <c r="BT585" s="707"/>
    </row>
    <row r="586" spans="1:72" s="2" customFormat="1" ht="24.9" customHeight="1">
      <c r="A586" s="147"/>
      <c r="B586" s="158"/>
      <c r="C586" s="179"/>
      <c r="D586" s="158"/>
      <c r="E586" s="160"/>
      <c r="F586" s="161"/>
      <c r="G586" s="161"/>
      <c r="H586" s="161"/>
      <c r="I586" s="163"/>
      <c r="J586" s="161"/>
      <c r="K586" s="163"/>
      <c r="L586" s="150"/>
      <c r="M586" s="164"/>
      <c r="N586" s="150"/>
      <c r="O586" s="174"/>
      <c r="P586" s="523"/>
      <c r="Q586" s="523"/>
      <c r="R586" s="154"/>
      <c r="S586" s="155"/>
      <c r="T586" s="156"/>
      <c r="U586" s="154"/>
      <c r="V586" s="155"/>
      <c r="W586" s="155"/>
      <c r="X586" s="419"/>
      <c r="Y586" s="157"/>
      <c r="Z586" s="217"/>
      <c r="AA586" s="150"/>
      <c r="AB586" s="151"/>
      <c r="AC586" s="152"/>
      <c r="AD586" s="506"/>
      <c r="AE586" s="166"/>
      <c r="AF586" s="150"/>
      <c r="AG586" s="152"/>
      <c r="AH586" s="150"/>
      <c r="AI586" s="152"/>
      <c r="AJ586" s="150"/>
      <c r="AK586" s="152"/>
      <c r="AL586" s="150"/>
      <c r="AM586" s="151"/>
      <c r="AN586" s="151"/>
      <c r="AO586" s="169"/>
      <c r="AP586" s="169"/>
      <c r="AQ586" s="149"/>
      <c r="AR586" s="324"/>
      <c r="AS586" s="324"/>
      <c r="AT586" s="324"/>
      <c r="AU586" s="324"/>
      <c r="AV586" s="324"/>
      <c r="AW586" s="324"/>
      <c r="AX586" s="150"/>
      <c r="AY586" s="297"/>
      <c r="AZ586" s="297"/>
      <c r="BA586" s="297"/>
      <c r="BB586" s="297"/>
      <c r="BC586" s="152"/>
      <c r="BD586" s="150"/>
      <c r="BE586" s="297"/>
      <c r="BF586" s="297"/>
      <c r="BG586" s="297"/>
      <c r="BH586" s="297"/>
      <c r="BI586" s="152"/>
      <c r="BJ586" s="170"/>
      <c r="BK586" s="148"/>
      <c r="BL586" s="324"/>
      <c r="BM586" s="324"/>
      <c r="BN586" s="170"/>
      <c r="BO586" s="149"/>
      <c r="BP586" s="170"/>
      <c r="BQ586" s="149"/>
      <c r="BR586" s="170"/>
      <c r="BS586" s="171"/>
      <c r="BT586" s="706"/>
    </row>
    <row r="587" spans="1:72" s="2" customFormat="1" ht="24.9" customHeight="1">
      <c r="A587" s="147"/>
      <c r="B587" s="158"/>
      <c r="C587" s="179"/>
      <c r="D587" s="158"/>
      <c r="E587" s="160"/>
      <c r="F587" s="161"/>
      <c r="G587" s="161"/>
      <c r="H587" s="161"/>
      <c r="I587" s="163"/>
      <c r="J587" s="161"/>
      <c r="K587" s="163"/>
      <c r="L587" s="150"/>
      <c r="M587" s="164"/>
      <c r="N587" s="150"/>
      <c r="O587" s="174"/>
      <c r="P587" s="523"/>
      <c r="Q587" s="523"/>
      <c r="R587" s="154"/>
      <c r="S587" s="155"/>
      <c r="T587" s="156"/>
      <c r="U587" s="154"/>
      <c r="V587" s="155"/>
      <c r="W587" s="155"/>
      <c r="X587" s="419"/>
      <c r="Y587" s="157"/>
      <c r="Z587" s="217"/>
      <c r="AA587" s="150"/>
      <c r="AB587" s="151"/>
      <c r="AC587" s="152"/>
      <c r="AD587" s="506"/>
      <c r="AE587" s="166"/>
      <c r="AF587" s="150"/>
      <c r="AG587" s="152"/>
      <c r="AH587" s="150"/>
      <c r="AI587" s="152"/>
      <c r="AJ587" s="150"/>
      <c r="AK587" s="152"/>
      <c r="AL587" s="150"/>
      <c r="AM587" s="151"/>
      <c r="AN587" s="151"/>
      <c r="AO587" s="169"/>
      <c r="AP587" s="169"/>
      <c r="AQ587" s="149"/>
      <c r="AR587" s="324"/>
      <c r="AS587" s="324"/>
      <c r="AT587" s="324"/>
      <c r="AU587" s="324"/>
      <c r="AV587" s="324"/>
      <c r="AW587" s="324"/>
      <c r="AX587" s="150"/>
      <c r="AY587" s="297"/>
      <c r="AZ587" s="297"/>
      <c r="BA587" s="297"/>
      <c r="BB587" s="297"/>
      <c r="BC587" s="152"/>
      <c r="BD587" s="150"/>
      <c r="BE587" s="297"/>
      <c r="BF587" s="297"/>
      <c r="BG587" s="297"/>
      <c r="BH587" s="297"/>
      <c r="BI587" s="152"/>
      <c r="BJ587" s="170"/>
      <c r="BK587" s="148"/>
      <c r="BL587" s="324"/>
      <c r="BM587" s="324"/>
      <c r="BN587" s="170"/>
      <c r="BO587" s="149"/>
      <c r="BP587" s="170"/>
      <c r="BQ587" s="149"/>
      <c r="BR587" s="170"/>
      <c r="BS587" s="171"/>
      <c r="BT587" s="707"/>
    </row>
    <row r="588" spans="1:72" s="2" customFormat="1" ht="24.9" customHeight="1">
      <c r="A588" s="147"/>
      <c r="B588" s="158"/>
      <c r="C588" s="179"/>
      <c r="D588" s="158"/>
      <c r="E588" s="160"/>
      <c r="F588" s="161"/>
      <c r="G588" s="161"/>
      <c r="H588" s="161"/>
      <c r="I588" s="163"/>
      <c r="J588" s="161"/>
      <c r="K588" s="163"/>
      <c r="L588" s="150"/>
      <c r="M588" s="164"/>
      <c r="N588" s="150"/>
      <c r="O588" s="174"/>
      <c r="P588" s="523"/>
      <c r="Q588" s="523"/>
      <c r="R588" s="154"/>
      <c r="S588" s="155"/>
      <c r="T588" s="156"/>
      <c r="U588" s="154"/>
      <c r="V588" s="155"/>
      <c r="W588" s="155"/>
      <c r="X588" s="419"/>
      <c r="Y588" s="157"/>
      <c r="Z588" s="217"/>
      <c r="AA588" s="150"/>
      <c r="AB588" s="151"/>
      <c r="AC588" s="152"/>
      <c r="AD588" s="506"/>
      <c r="AE588" s="166"/>
      <c r="AF588" s="150"/>
      <c r="AG588" s="152"/>
      <c r="AH588" s="150"/>
      <c r="AI588" s="152"/>
      <c r="AJ588" s="150"/>
      <c r="AK588" s="152"/>
      <c r="AL588" s="150"/>
      <c r="AM588" s="151"/>
      <c r="AN588" s="151"/>
      <c r="AO588" s="169"/>
      <c r="AP588" s="169"/>
      <c r="AQ588" s="149"/>
      <c r="AR588" s="324"/>
      <c r="AS588" s="324"/>
      <c r="AT588" s="324"/>
      <c r="AU588" s="324"/>
      <c r="AV588" s="324"/>
      <c r="AW588" s="324"/>
      <c r="AX588" s="150"/>
      <c r="AY588" s="297"/>
      <c r="AZ588" s="297"/>
      <c r="BA588" s="297"/>
      <c r="BB588" s="297"/>
      <c r="BC588" s="152"/>
      <c r="BD588" s="150"/>
      <c r="BE588" s="297"/>
      <c r="BF588" s="297"/>
      <c r="BG588" s="297"/>
      <c r="BH588" s="297"/>
      <c r="BI588" s="152"/>
      <c r="BJ588" s="170"/>
      <c r="BK588" s="148"/>
      <c r="BL588" s="324"/>
      <c r="BM588" s="324"/>
      <c r="BN588" s="170"/>
      <c r="BO588" s="149"/>
      <c r="BP588" s="170"/>
      <c r="BQ588" s="149"/>
      <c r="BR588" s="170"/>
      <c r="BS588" s="171"/>
      <c r="BT588" s="706"/>
    </row>
    <row r="589" spans="1:72" s="2" customFormat="1" ht="24.9" customHeight="1">
      <c r="A589" s="147"/>
      <c r="B589" s="158"/>
      <c r="C589" s="179"/>
      <c r="D589" s="158"/>
      <c r="E589" s="160"/>
      <c r="F589" s="161"/>
      <c r="G589" s="161"/>
      <c r="H589" s="161"/>
      <c r="I589" s="163"/>
      <c r="J589" s="161"/>
      <c r="K589" s="163"/>
      <c r="L589" s="150"/>
      <c r="M589" s="164"/>
      <c r="N589" s="150"/>
      <c r="O589" s="151"/>
      <c r="P589" s="522"/>
      <c r="Q589" s="522"/>
      <c r="R589" s="154"/>
      <c r="S589" s="155"/>
      <c r="T589" s="156"/>
      <c r="U589" s="154"/>
      <c r="V589" s="155"/>
      <c r="W589" s="155"/>
      <c r="X589" s="419"/>
      <c r="Y589" s="157"/>
      <c r="Z589" s="217"/>
      <c r="AA589" s="150"/>
      <c r="AB589" s="151"/>
      <c r="AC589" s="152"/>
      <c r="AD589" s="506"/>
      <c r="AE589" s="166"/>
      <c r="AF589" s="150"/>
      <c r="AG589" s="152"/>
      <c r="AH589" s="150"/>
      <c r="AI589" s="152"/>
      <c r="AJ589" s="150"/>
      <c r="AK589" s="152"/>
      <c r="AL589" s="150"/>
      <c r="AM589" s="151"/>
      <c r="AN589" s="151"/>
      <c r="AO589" s="169"/>
      <c r="AP589" s="169"/>
      <c r="AQ589" s="149"/>
      <c r="AR589" s="324"/>
      <c r="AS589" s="324"/>
      <c r="AT589" s="324"/>
      <c r="AU589" s="324"/>
      <c r="AV589" s="324"/>
      <c r="AW589" s="324"/>
      <c r="AX589" s="150"/>
      <c r="AY589" s="297"/>
      <c r="AZ589" s="297"/>
      <c r="BA589" s="297"/>
      <c r="BB589" s="297"/>
      <c r="BC589" s="152"/>
      <c r="BD589" s="150"/>
      <c r="BE589" s="297"/>
      <c r="BF589" s="297"/>
      <c r="BG589" s="297"/>
      <c r="BH589" s="297"/>
      <c r="BI589" s="152"/>
      <c r="BJ589" s="170"/>
      <c r="BK589" s="148"/>
      <c r="BL589" s="324"/>
      <c r="BM589" s="324"/>
      <c r="BN589" s="170"/>
      <c r="BO589" s="149"/>
      <c r="BP589" s="170"/>
      <c r="BQ589" s="149"/>
      <c r="BR589" s="170"/>
      <c r="BS589" s="171"/>
      <c r="BT589" s="708"/>
    </row>
    <row r="590" spans="1:72" s="2" customFormat="1" ht="24.9" customHeight="1">
      <c r="A590" s="147"/>
      <c r="B590" s="158"/>
      <c r="C590" s="179"/>
      <c r="D590" s="158"/>
      <c r="E590" s="160"/>
      <c r="F590" s="161"/>
      <c r="G590" s="161"/>
      <c r="H590" s="161"/>
      <c r="I590" s="163"/>
      <c r="J590" s="161"/>
      <c r="K590" s="163"/>
      <c r="L590" s="150"/>
      <c r="M590" s="164"/>
      <c r="N590" s="150"/>
      <c r="O590" s="174"/>
      <c r="P590" s="523"/>
      <c r="Q590" s="523"/>
      <c r="R590" s="154"/>
      <c r="S590" s="155"/>
      <c r="T590" s="156"/>
      <c r="U590" s="154"/>
      <c r="V590" s="155"/>
      <c r="W590" s="155"/>
      <c r="X590" s="419"/>
      <c r="Y590" s="157"/>
      <c r="Z590" s="217"/>
      <c r="AA590" s="150"/>
      <c r="AB590" s="151"/>
      <c r="AC590" s="152"/>
      <c r="AD590" s="506"/>
      <c r="AE590" s="166"/>
      <c r="AF590" s="150"/>
      <c r="AG590" s="152"/>
      <c r="AH590" s="150"/>
      <c r="AI590" s="152"/>
      <c r="AJ590" s="150"/>
      <c r="AK590" s="152"/>
      <c r="AL590" s="150"/>
      <c r="AM590" s="151"/>
      <c r="AN590" s="151"/>
      <c r="AO590" s="169"/>
      <c r="AP590" s="169"/>
      <c r="AQ590" s="149"/>
      <c r="AR590" s="324"/>
      <c r="AS590" s="324"/>
      <c r="AT590" s="324"/>
      <c r="AU590" s="324"/>
      <c r="AV590" s="324"/>
      <c r="AW590" s="324"/>
      <c r="AX590" s="150"/>
      <c r="AY590" s="297"/>
      <c r="AZ590" s="297"/>
      <c r="BA590" s="297"/>
      <c r="BB590" s="297"/>
      <c r="BC590" s="152"/>
      <c r="BD590" s="150"/>
      <c r="BE590" s="297"/>
      <c r="BF590" s="297"/>
      <c r="BG590" s="297"/>
      <c r="BH590" s="297"/>
      <c r="BI590" s="152"/>
      <c r="BJ590" s="170"/>
      <c r="BK590" s="148"/>
      <c r="BL590" s="324"/>
      <c r="BM590" s="324"/>
      <c r="BN590" s="170"/>
      <c r="BO590" s="149"/>
      <c r="BP590" s="170"/>
      <c r="BQ590" s="149"/>
      <c r="BR590" s="170"/>
      <c r="BS590" s="171"/>
      <c r="BT590" s="708"/>
    </row>
    <row r="591" spans="1:72" s="2" customFormat="1" ht="24.9" customHeight="1">
      <c r="A591" s="147"/>
      <c r="B591" s="158"/>
      <c r="C591" s="179"/>
      <c r="D591" s="158"/>
      <c r="E591" s="160"/>
      <c r="F591" s="161"/>
      <c r="G591" s="161"/>
      <c r="H591" s="161"/>
      <c r="I591" s="163"/>
      <c r="J591" s="161"/>
      <c r="K591" s="163"/>
      <c r="L591" s="150"/>
      <c r="M591" s="164"/>
      <c r="N591" s="150"/>
      <c r="O591" s="151"/>
      <c r="P591" s="522"/>
      <c r="Q591" s="522"/>
      <c r="R591" s="154"/>
      <c r="S591" s="155"/>
      <c r="T591" s="156"/>
      <c r="U591" s="154"/>
      <c r="V591" s="155"/>
      <c r="W591" s="155"/>
      <c r="X591" s="419"/>
      <c r="Y591" s="157"/>
      <c r="Z591" s="217"/>
      <c r="AA591" s="150"/>
      <c r="AB591" s="151"/>
      <c r="AC591" s="152"/>
      <c r="AD591" s="506"/>
      <c r="AE591" s="166"/>
      <c r="AF591" s="150"/>
      <c r="AG591" s="152"/>
      <c r="AH591" s="150"/>
      <c r="AI591" s="152"/>
      <c r="AJ591" s="150"/>
      <c r="AK591" s="152"/>
      <c r="AL591" s="150"/>
      <c r="AM591" s="151"/>
      <c r="AN591" s="151"/>
      <c r="AO591" s="169"/>
      <c r="AP591" s="169"/>
      <c r="AQ591" s="149"/>
      <c r="AR591" s="324"/>
      <c r="AS591" s="324"/>
      <c r="AT591" s="324"/>
      <c r="AU591" s="324"/>
      <c r="AV591" s="324"/>
      <c r="AW591" s="324"/>
      <c r="AX591" s="150"/>
      <c r="AY591" s="297"/>
      <c r="AZ591" s="297"/>
      <c r="BA591" s="297"/>
      <c r="BB591" s="297"/>
      <c r="BC591" s="152"/>
      <c r="BD591" s="150"/>
      <c r="BE591" s="297"/>
      <c r="BF591" s="297"/>
      <c r="BG591" s="297"/>
      <c r="BH591" s="297"/>
      <c r="BI591" s="152"/>
      <c r="BJ591" s="170"/>
      <c r="BK591" s="148"/>
      <c r="BL591" s="324"/>
      <c r="BM591" s="324"/>
      <c r="BN591" s="170"/>
      <c r="BO591" s="149"/>
      <c r="BP591" s="170"/>
      <c r="BQ591" s="149"/>
      <c r="BR591" s="170"/>
      <c r="BS591" s="171"/>
      <c r="BT591" s="707"/>
    </row>
    <row r="592" spans="1:72" s="2" customFormat="1" ht="24.9" customHeight="1">
      <c r="A592" s="147"/>
      <c r="B592" s="158"/>
      <c r="C592" s="179"/>
      <c r="D592" s="158"/>
      <c r="E592" s="160"/>
      <c r="F592" s="161"/>
      <c r="G592" s="161"/>
      <c r="H592" s="161"/>
      <c r="I592" s="163"/>
      <c r="J592" s="161"/>
      <c r="K592" s="163"/>
      <c r="L592" s="150"/>
      <c r="M592" s="164"/>
      <c r="N592" s="150"/>
      <c r="O592" s="174"/>
      <c r="P592" s="523"/>
      <c r="Q592" s="523"/>
      <c r="R592" s="154"/>
      <c r="S592" s="155"/>
      <c r="T592" s="156"/>
      <c r="U592" s="154"/>
      <c r="V592" s="155"/>
      <c r="W592" s="155"/>
      <c r="X592" s="419"/>
      <c r="Y592" s="157"/>
      <c r="Z592" s="217"/>
      <c r="AA592" s="150"/>
      <c r="AB592" s="151"/>
      <c r="AC592" s="152"/>
      <c r="AD592" s="506"/>
      <c r="AE592" s="166"/>
      <c r="AF592" s="150"/>
      <c r="AG592" s="152"/>
      <c r="AH592" s="150"/>
      <c r="AI592" s="152"/>
      <c r="AJ592" s="150"/>
      <c r="AK592" s="152"/>
      <c r="AL592" s="150"/>
      <c r="AM592" s="151"/>
      <c r="AN592" s="151"/>
      <c r="AO592" s="169"/>
      <c r="AP592" s="169"/>
      <c r="AQ592" s="149"/>
      <c r="AR592" s="324"/>
      <c r="AS592" s="324"/>
      <c r="AT592" s="324"/>
      <c r="AU592" s="324"/>
      <c r="AV592" s="324"/>
      <c r="AW592" s="324"/>
      <c r="AX592" s="150"/>
      <c r="AY592" s="297"/>
      <c r="AZ592" s="297"/>
      <c r="BA592" s="297"/>
      <c r="BB592" s="297"/>
      <c r="BC592" s="152"/>
      <c r="BD592" s="150"/>
      <c r="BE592" s="297"/>
      <c r="BF592" s="297"/>
      <c r="BG592" s="297"/>
      <c r="BH592" s="297"/>
      <c r="BI592" s="152"/>
      <c r="BJ592" s="170"/>
      <c r="BK592" s="148"/>
      <c r="BL592" s="324"/>
      <c r="BM592" s="324"/>
      <c r="BN592" s="170"/>
      <c r="BO592" s="149"/>
      <c r="BP592" s="170"/>
      <c r="BQ592" s="149"/>
      <c r="BR592" s="170"/>
      <c r="BS592" s="171"/>
      <c r="BT592" s="706"/>
    </row>
    <row r="593" spans="1:72" s="2" customFormat="1" ht="24.9" customHeight="1">
      <c r="A593" s="147"/>
      <c r="B593" s="158"/>
      <c r="C593" s="179"/>
      <c r="D593" s="158"/>
      <c r="E593" s="160"/>
      <c r="F593" s="161"/>
      <c r="G593" s="161"/>
      <c r="H593" s="161"/>
      <c r="I593" s="163"/>
      <c r="J593" s="161"/>
      <c r="K593" s="163"/>
      <c r="L593" s="150"/>
      <c r="M593" s="164"/>
      <c r="N593" s="150"/>
      <c r="O593" s="151"/>
      <c r="P593" s="522"/>
      <c r="Q593" s="522"/>
      <c r="R593" s="154"/>
      <c r="S593" s="155"/>
      <c r="T593" s="156"/>
      <c r="U593" s="154"/>
      <c r="V593" s="155"/>
      <c r="W593" s="155"/>
      <c r="X593" s="419"/>
      <c r="Y593" s="157"/>
      <c r="Z593" s="217"/>
      <c r="AA593" s="150"/>
      <c r="AB593" s="151"/>
      <c r="AC593" s="152"/>
      <c r="AD593" s="506"/>
      <c r="AE593" s="166"/>
      <c r="AF593" s="150"/>
      <c r="AG593" s="152"/>
      <c r="AH593" s="150"/>
      <c r="AI593" s="152"/>
      <c r="AJ593" s="150"/>
      <c r="AK593" s="152"/>
      <c r="AL593" s="150"/>
      <c r="AM593" s="151"/>
      <c r="AN593" s="151"/>
      <c r="AO593" s="169"/>
      <c r="AP593" s="169"/>
      <c r="AQ593" s="149"/>
      <c r="AR593" s="324"/>
      <c r="AS593" s="324"/>
      <c r="AT593" s="324"/>
      <c r="AU593" s="324"/>
      <c r="AV593" s="324"/>
      <c r="AW593" s="324"/>
      <c r="AX593" s="150"/>
      <c r="AY593" s="297"/>
      <c r="AZ593" s="297"/>
      <c r="BA593" s="297"/>
      <c r="BB593" s="297"/>
      <c r="BC593" s="152"/>
      <c r="BD593" s="150"/>
      <c r="BE593" s="297"/>
      <c r="BF593" s="297"/>
      <c r="BG593" s="297"/>
      <c r="BH593" s="297"/>
      <c r="BI593" s="152"/>
      <c r="BJ593" s="170"/>
      <c r="BK593" s="148"/>
      <c r="BL593" s="324"/>
      <c r="BM593" s="324"/>
      <c r="BN593" s="170"/>
      <c r="BO593" s="149"/>
      <c r="BP593" s="170"/>
      <c r="BQ593" s="149"/>
      <c r="BR593" s="170"/>
      <c r="BS593" s="171"/>
      <c r="BT593" s="708"/>
    </row>
    <row r="594" spans="1:72" s="2" customFormat="1" ht="24.9" customHeight="1">
      <c r="A594" s="147"/>
      <c r="B594" s="158"/>
      <c r="C594" s="179"/>
      <c r="D594" s="158"/>
      <c r="E594" s="160"/>
      <c r="F594" s="161"/>
      <c r="G594" s="161"/>
      <c r="H594" s="161"/>
      <c r="I594" s="163"/>
      <c r="J594" s="161"/>
      <c r="K594" s="163"/>
      <c r="L594" s="150"/>
      <c r="M594" s="164"/>
      <c r="N594" s="150"/>
      <c r="O594" s="174"/>
      <c r="P594" s="523"/>
      <c r="Q594" s="523"/>
      <c r="R594" s="154"/>
      <c r="S594" s="155"/>
      <c r="T594" s="156"/>
      <c r="U594" s="154"/>
      <c r="V594" s="155"/>
      <c r="W594" s="155"/>
      <c r="X594" s="419"/>
      <c r="Y594" s="157"/>
      <c r="Z594" s="217"/>
      <c r="AA594" s="150"/>
      <c r="AB594" s="151"/>
      <c r="AC594" s="152"/>
      <c r="AD594" s="506"/>
      <c r="AE594" s="166"/>
      <c r="AF594" s="150"/>
      <c r="AG594" s="152"/>
      <c r="AH594" s="150"/>
      <c r="AI594" s="152"/>
      <c r="AJ594" s="150"/>
      <c r="AK594" s="152"/>
      <c r="AL594" s="150"/>
      <c r="AM594" s="151"/>
      <c r="AN594" s="151"/>
      <c r="AO594" s="169"/>
      <c r="AP594" s="169"/>
      <c r="AQ594" s="149"/>
      <c r="AR594" s="324"/>
      <c r="AS594" s="324"/>
      <c r="AT594" s="324"/>
      <c r="AU594" s="324"/>
      <c r="AV594" s="324"/>
      <c r="AW594" s="324"/>
      <c r="AX594" s="150"/>
      <c r="AY594" s="297"/>
      <c r="AZ594" s="297"/>
      <c r="BA594" s="297"/>
      <c r="BB594" s="297"/>
      <c r="BC594" s="152"/>
      <c r="BD594" s="150"/>
      <c r="BE594" s="297"/>
      <c r="BF594" s="297"/>
      <c r="BG594" s="297"/>
      <c r="BH594" s="297"/>
      <c r="BI594" s="152"/>
      <c r="BJ594" s="170"/>
      <c r="BK594" s="148"/>
      <c r="BL594" s="324"/>
      <c r="BM594" s="324"/>
      <c r="BN594" s="170"/>
      <c r="BO594" s="149"/>
      <c r="BP594" s="170"/>
      <c r="BQ594" s="149"/>
      <c r="BR594" s="170"/>
      <c r="BS594" s="171"/>
      <c r="BT594" s="707"/>
    </row>
    <row r="595" spans="1:72" s="2" customFormat="1" ht="24.9" customHeight="1">
      <c r="A595" s="147"/>
      <c r="B595" s="158"/>
      <c r="C595" s="179"/>
      <c r="D595" s="158"/>
      <c r="E595" s="160"/>
      <c r="F595" s="161"/>
      <c r="G595" s="161"/>
      <c r="H595" s="161"/>
      <c r="I595" s="163"/>
      <c r="J595" s="161"/>
      <c r="K595" s="163"/>
      <c r="L595" s="150"/>
      <c r="M595" s="164"/>
      <c r="N595" s="150"/>
      <c r="O595" s="174"/>
      <c r="P595" s="523"/>
      <c r="Q595" s="523"/>
      <c r="R595" s="154"/>
      <c r="S595" s="155"/>
      <c r="T595" s="156"/>
      <c r="U595" s="154"/>
      <c r="V595" s="155"/>
      <c r="W595" s="155"/>
      <c r="X595" s="419"/>
      <c r="Y595" s="157"/>
      <c r="Z595" s="217"/>
      <c r="AA595" s="150"/>
      <c r="AB595" s="151"/>
      <c r="AC595" s="152"/>
      <c r="AD595" s="506"/>
      <c r="AE595" s="166"/>
      <c r="AF595" s="150"/>
      <c r="AG595" s="152"/>
      <c r="AH595" s="150"/>
      <c r="AI595" s="152"/>
      <c r="AJ595" s="150"/>
      <c r="AK595" s="152"/>
      <c r="AL595" s="150"/>
      <c r="AM595" s="151"/>
      <c r="AN595" s="151"/>
      <c r="AO595" s="169"/>
      <c r="AP595" s="169"/>
      <c r="AQ595" s="149"/>
      <c r="AR595" s="324"/>
      <c r="AS595" s="324"/>
      <c r="AT595" s="324"/>
      <c r="AU595" s="324"/>
      <c r="AV595" s="324"/>
      <c r="AW595" s="324"/>
      <c r="AX595" s="150"/>
      <c r="AY595" s="297"/>
      <c r="AZ595" s="297"/>
      <c r="BA595" s="297"/>
      <c r="BB595" s="297"/>
      <c r="BC595" s="152"/>
      <c r="BD595" s="150"/>
      <c r="BE595" s="297"/>
      <c r="BF595" s="297"/>
      <c r="BG595" s="297"/>
      <c r="BH595" s="297"/>
      <c r="BI595" s="152"/>
      <c r="BJ595" s="170"/>
      <c r="BK595" s="148"/>
      <c r="BL595" s="324"/>
      <c r="BM595" s="324"/>
      <c r="BN595" s="170"/>
      <c r="BO595" s="149"/>
      <c r="BP595" s="170"/>
      <c r="BQ595" s="149"/>
      <c r="BR595" s="170"/>
      <c r="BS595" s="171"/>
      <c r="BT595" s="710"/>
    </row>
    <row r="596" spans="1:72" s="2" customFormat="1" ht="24.9" customHeight="1">
      <c r="A596" s="147"/>
      <c r="B596" s="158"/>
      <c r="C596" s="179"/>
      <c r="D596" s="158"/>
      <c r="E596" s="160"/>
      <c r="F596" s="161"/>
      <c r="G596" s="161"/>
      <c r="H596" s="161"/>
      <c r="I596" s="163"/>
      <c r="J596" s="161"/>
      <c r="K596" s="163"/>
      <c r="L596" s="150"/>
      <c r="M596" s="164"/>
      <c r="N596" s="150"/>
      <c r="O596" s="174"/>
      <c r="P596" s="523"/>
      <c r="Q596" s="523"/>
      <c r="R596" s="154"/>
      <c r="S596" s="155"/>
      <c r="T596" s="156"/>
      <c r="U596" s="154"/>
      <c r="V596" s="155"/>
      <c r="W596" s="155"/>
      <c r="X596" s="419"/>
      <c r="Y596" s="157"/>
      <c r="Z596" s="217"/>
      <c r="AA596" s="150"/>
      <c r="AB596" s="151"/>
      <c r="AC596" s="152"/>
      <c r="AD596" s="506"/>
      <c r="AE596" s="166"/>
      <c r="AF596" s="150"/>
      <c r="AG596" s="152"/>
      <c r="AH596" s="150"/>
      <c r="AI596" s="152"/>
      <c r="AJ596" s="150"/>
      <c r="AK596" s="152"/>
      <c r="AL596" s="150"/>
      <c r="AM596" s="151"/>
      <c r="AN596" s="151"/>
      <c r="AO596" s="169"/>
      <c r="AP596" s="169"/>
      <c r="AQ596" s="149"/>
      <c r="AR596" s="324"/>
      <c r="AS596" s="324"/>
      <c r="AT596" s="324"/>
      <c r="AU596" s="324"/>
      <c r="AV596" s="324"/>
      <c r="AW596" s="324"/>
      <c r="AX596" s="150"/>
      <c r="AY596" s="297"/>
      <c r="AZ596" s="297"/>
      <c r="BA596" s="297"/>
      <c r="BB596" s="297"/>
      <c r="BC596" s="152"/>
      <c r="BD596" s="150"/>
      <c r="BE596" s="297"/>
      <c r="BF596" s="297"/>
      <c r="BG596" s="297"/>
      <c r="BH596" s="297"/>
      <c r="BI596" s="152"/>
      <c r="BJ596" s="170"/>
      <c r="BK596" s="148"/>
      <c r="BL596" s="324"/>
      <c r="BM596" s="324"/>
      <c r="BN596" s="170"/>
      <c r="BO596" s="149"/>
      <c r="BP596" s="170"/>
      <c r="BQ596" s="149"/>
      <c r="BR596" s="170"/>
      <c r="BS596" s="171"/>
      <c r="BT596" s="707"/>
    </row>
    <row r="597" spans="1:72" s="2" customFormat="1" ht="24.9" customHeight="1">
      <c r="A597" s="147"/>
      <c r="B597" s="158"/>
      <c r="C597" s="179"/>
      <c r="D597" s="158"/>
      <c r="E597" s="160"/>
      <c r="F597" s="161"/>
      <c r="G597" s="161"/>
      <c r="H597" s="161"/>
      <c r="I597" s="163"/>
      <c r="J597" s="161"/>
      <c r="K597" s="163"/>
      <c r="L597" s="150"/>
      <c r="M597" s="164"/>
      <c r="N597" s="150"/>
      <c r="O597" s="174"/>
      <c r="P597" s="523"/>
      <c r="Q597" s="523"/>
      <c r="R597" s="154"/>
      <c r="S597" s="155"/>
      <c r="T597" s="156"/>
      <c r="U597" s="154"/>
      <c r="V597" s="155"/>
      <c r="W597" s="155"/>
      <c r="X597" s="419"/>
      <c r="Y597" s="157"/>
      <c r="Z597" s="217"/>
      <c r="AA597" s="150"/>
      <c r="AB597" s="151"/>
      <c r="AC597" s="152"/>
      <c r="AD597" s="506"/>
      <c r="AE597" s="166"/>
      <c r="AF597" s="150"/>
      <c r="AG597" s="152"/>
      <c r="AH597" s="150"/>
      <c r="AI597" s="152"/>
      <c r="AJ597" s="150"/>
      <c r="AK597" s="152"/>
      <c r="AL597" s="150"/>
      <c r="AM597" s="151"/>
      <c r="AN597" s="151"/>
      <c r="AO597" s="169"/>
      <c r="AP597" s="169"/>
      <c r="AQ597" s="149"/>
      <c r="AR597" s="324"/>
      <c r="AS597" s="324"/>
      <c r="AT597" s="324"/>
      <c r="AU597" s="324"/>
      <c r="AV597" s="324"/>
      <c r="AW597" s="324"/>
      <c r="AX597" s="150"/>
      <c r="AY597" s="297"/>
      <c r="AZ597" s="297"/>
      <c r="BA597" s="297"/>
      <c r="BB597" s="297"/>
      <c r="BC597" s="152"/>
      <c r="BD597" s="150"/>
      <c r="BE597" s="297"/>
      <c r="BF597" s="297"/>
      <c r="BG597" s="297"/>
      <c r="BH597" s="297"/>
      <c r="BI597" s="152"/>
      <c r="BJ597" s="170"/>
      <c r="BK597" s="148"/>
      <c r="BL597" s="324"/>
      <c r="BM597" s="324"/>
      <c r="BN597" s="170"/>
      <c r="BO597" s="149"/>
      <c r="BP597" s="170"/>
      <c r="BQ597" s="149"/>
      <c r="BR597" s="170"/>
      <c r="BS597" s="171"/>
      <c r="BT597" s="706"/>
    </row>
    <row r="598" spans="1:72" s="2" customFormat="1" ht="24.9" customHeight="1">
      <c r="A598" s="147"/>
      <c r="B598" s="158"/>
      <c r="C598" s="179"/>
      <c r="D598" s="158"/>
      <c r="E598" s="160"/>
      <c r="F598" s="161"/>
      <c r="G598" s="161"/>
      <c r="H598" s="161"/>
      <c r="I598" s="163"/>
      <c r="J598" s="161"/>
      <c r="K598" s="163"/>
      <c r="L598" s="150"/>
      <c r="M598" s="164"/>
      <c r="N598" s="150"/>
      <c r="O598" s="151"/>
      <c r="P598" s="522"/>
      <c r="Q598" s="522"/>
      <c r="R598" s="154"/>
      <c r="S598" s="155"/>
      <c r="T598" s="156"/>
      <c r="U598" s="154"/>
      <c r="V598" s="155"/>
      <c r="W598" s="155"/>
      <c r="X598" s="419"/>
      <c r="Y598" s="157"/>
      <c r="Z598" s="217"/>
      <c r="AA598" s="150"/>
      <c r="AB598" s="151"/>
      <c r="AC598" s="152"/>
      <c r="AD598" s="506"/>
      <c r="AE598" s="166"/>
      <c r="AF598" s="150"/>
      <c r="AG598" s="152"/>
      <c r="AH598" s="150"/>
      <c r="AI598" s="152"/>
      <c r="AJ598" s="150"/>
      <c r="AK598" s="152"/>
      <c r="AL598" s="150"/>
      <c r="AM598" s="151"/>
      <c r="AN598" s="151"/>
      <c r="AO598" s="169"/>
      <c r="AP598" s="169"/>
      <c r="AQ598" s="149"/>
      <c r="AR598" s="324"/>
      <c r="AS598" s="324"/>
      <c r="AT598" s="324"/>
      <c r="AU598" s="324"/>
      <c r="AV598" s="324"/>
      <c r="AW598" s="324"/>
      <c r="AX598" s="150"/>
      <c r="AY598" s="297"/>
      <c r="AZ598" s="297"/>
      <c r="BA598" s="297"/>
      <c r="BB598" s="297"/>
      <c r="BC598" s="152"/>
      <c r="BD598" s="150"/>
      <c r="BE598" s="297"/>
      <c r="BF598" s="297"/>
      <c r="BG598" s="297"/>
      <c r="BH598" s="297"/>
      <c r="BI598" s="152"/>
      <c r="BJ598" s="170"/>
      <c r="BK598" s="148"/>
      <c r="BL598" s="324"/>
      <c r="BM598" s="324"/>
      <c r="BN598" s="170"/>
      <c r="BO598" s="149"/>
      <c r="BP598" s="170"/>
      <c r="BQ598" s="149"/>
      <c r="BR598" s="170"/>
      <c r="BS598" s="171"/>
      <c r="BT598" s="708"/>
    </row>
    <row r="599" spans="1:72" s="2" customFormat="1" ht="24.9" customHeight="1">
      <c r="A599" s="147"/>
      <c r="B599" s="158"/>
      <c r="C599" s="179"/>
      <c r="D599" s="158"/>
      <c r="E599" s="160"/>
      <c r="F599" s="161"/>
      <c r="G599" s="161"/>
      <c r="H599" s="161"/>
      <c r="I599" s="163"/>
      <c r="J599" s="161"/>
      <c r="K599" s="163"/>
      <c r="L599" s="150"/>
      <c r="M599" s="164"/>
      <c r="N599" s="150"/>
      <c r="O599" s="174"/>
      <c r="P599" s="523"/>
      <c r="Q599" s="523"/>
      <c r="R599" s="154"/>
      <c r="S599" s="155"/>
      <c r="T599" s="156"/>
      <c r="U599" s="154"/>
      <c r="V599" s="155"/>
      <c r="W599" s="155"/>
      <c r="X599" s="419"/>
      <c r="Y599" s="157"/>
      <c r="Z599" s="217"/>
      <c r="AA599" s="150"/>
      <c r="AB599" s="151"/>
      <c r="AC599" s="152"/>
      <c r="AD599" s="506"/>
      <c r="AE599" s="166"/>
      <c r="AF599" s="150"/>
      <c r="AG599" s="152"/>
      <c r="AH599" s="150"/>
      <c r="AI599" s="152"/>
      <c r="AJ599" s="150"/>
      <c r="AK599" s="152"/>
      <c r="AL599" s="150"/>
      <c r="AM599" s="151"/>
      <c r="AN599" s="151"/>
      <c r="AO599" s="169"/>
      <c r="AP599" s="169"/>
      <c r="AQ599" s="149"/>
      <c r="AR599" s="324"/>
      <c r="AS599" s="324"/>
      <c r="AT599" s="324"/>
      <c r="AU599" s="324"/>
      <c r="AV599" s="324"/>
      <c r="AW599" s="324"/>
      <c r="AX599" s="150"/>
      <c r="AY599" s="297"/>
      <c r="AZ599" s="297"/>
      <c r="BA599" s="297"/>
      <c r="BB599" s="297"/>
      <c r="BC599" s="152"/>
      <c r="BD599" s="150"/>
      <c r="BE599" s="297"/>
      <c r="BF599" s="297"/>
      <c r="BG599" s="297"/>
      <c r="BH599" s="297"/>
      <c r="BI599" s="152"/>
      <c r="BJ599" s="170"/>
      <c r="BK599" s="148"/>
      <c r="BL599" s="324"/>
      <c r="BM599" s="324"/>
      <c r="BN599" s="170"/>
      <c r="BO599" s="149"/>
      <c r="BP599" s="170"/>
      <c r="BQ599" s="149"/>
      <c r="BR599" s="170"/>
      <c r="BS599" s="171"/>
      <c r="BT599" s="707"/>
    </row>
    <row r="600" spans="1:72" s="2" customFormat="1" ht="24.9" customHeight="1">
      <c r="A600" s="147"/>
      <c r="B600" s="158"/>
      <c r="C600" s="179"/>
      <c r="D600" s="158"/>
      <c r="E600" s="160"/>
      <c r="F600" s="161"/>
      <c r="G600" s="161"/>
      <c r="H600" s="161"/>
      <c r="I600" s="163"/>
      <c r="J600" s="161"/>
      <c r="K600" s="163"/>
      <c r="L600" s="150"/>
      <c r="M600" s="164"/>
      <c r="N600" s="150"/>
      <c r="O600" s="174"/>
      <c r="P600" s="523"/>
      <c r="Q600" s="523"/>
      <c r="R600" s="154"/>
      <c r="S600" s="155"/>
      <c r="T600" s="156"/>
      <c r="U600" s="154"/>
      <c r="V600" s="155"/>
      <c r="W600" s="155"/>
      <c r="X600" s="419"/>
      <c r="Y600" s="157"/>
      <c r="Z600" s="217"/>
      <c r="AA600" s="150"/>
      <c r="AB600" s="151"/>
      <c r="AC600" s="152"/>
      <c r="AD600" s="506"/>
      <c r="AE600" s="166"/>
      <c r="AF600" s="150"/>
      <c r="AG600" s="152"/>
      <c r="AH600" s="150"/>
      <c r="AI600" s="152"/>
      <c r="AJ600" s="150"/>
      <c r="AK600" s="152"/>
      <c r="AL600" s="150"/>
      <c r="AM600" s="151"/>
      <c r="AN600" s="151"/>
      <c r="AO600" s="169"/>
      <c r="AP600" s="169"/>
      <c r="AQ600" s="149"/>
      <c r="AR600" s="324"/>
      <c r="AS600" s="324"/>
      <c r="AT600" s="324"/>
      <c r="AU600" s="324"/>
      <c r="AV600" s="324"/>
      <c r="AW600" s="324"/>
      <c r="AX600" s="150"/>
      <c r="AY600" s="297"/>
      <c r="AZ600" s="297"/>
      <c r="BA600" s="297"/>
      <c r="BB600" s="297"/>
      <c r="BC600" s="152"/>
      <c r="BD600" s="150"/>
      <c r="BE600" s="297"/>
      <c r="BF600" s="297"/>
      <c r="BG600" s="297"/>
      <c r="BH600" s="297"/>
      <c r="BI600" s="152"/>
      <c r="BJ600" s="170"/>
      <c r="BK600" s="148"/>
      <c r="BL600" s="324"/>
      <c r="BM600" s="324"/>
      <c r="BN600" s="170"/>
      <c r="BO600" s="149"/>
      <c r="BP600" s="170"/>
      <c r="BQ600" s="149"/>
      <c r="BR600" s="170"/>
      <c r="BS600" s="171"/>
      <c r="BT600" s="706"/>
    </row>
    <row r="601" spans="1:72" s="2" customFormat="1" ht="24.9" customHeight="1">
      <c r="A601" s="147"/>
      <c r="B601" s="158"/>
      <c r="C601" s="179"/>
      <c r="D601" s="158"/>
      <c r="E601" s="160"/>
      <c r="F601" s="161"/>
      <c r="G601" s="161"/>
      <c r="H601" s="161"/>
      <c r="I601" s="163"/>
      <c r="J601" s="161"/>
      <c r="K601" s="163"/>
      <c r="L601" s="150"/>
      <c r="M601" s="164"/>
      <c r="N601" s="150"/>
      <c r="O601" s="174"/>
      <c r="P601" s="523"/>
      <c r="Q601" s="523"/>
      <c r="R601" s="154"/>
      <c r="S601" s="155"/>
      <c r="T601" s="156"/>
      <c r="U601" s="154"/>
      <c r="V601" s="155"/>
      <c r="W601" s="155"/>
      <c r="X601" s="419"/>
      <c r="Y601" s="157"/>
      <c r="Z601" s="217"/>
      <c r="AA601" s="150"/>
      <c r="AB601" s="151"/>
      <c r="AC601" s="152"/>
      <c r="AD601" s="506"/>
      <c r="AE601" s="166"/>
      <c r="AF601" s="150"/>
      <c r="AG601" s="152"/>
      <c r="AH601" s="150"/>
      <c r="AI601" s="152"/>
      <c r="AJ601" s="150"/>
      <c r="AK601" s="152"/>
      <c r="AL601" s="150"/>
      <c r="AM601" s="151"/>
      <c r="AN601" s="151"/>
      <c r="AO601" s="169"/>
      <c r="AP601" s="169"/>
      <c r="AQ601" s="149"/>
      <c r="AR601" s="324"/>
      <c r="AS601" s="324"/>
      <c r="AT601" s="324"/>
      <c r="AU601" s="324"/>
      <c r="AV601" s="324"/>
      <c r="AW601" s="324"/>
      <c r="AX601" s="150"/>
      <c r="AY601" s="297"/>
      <c r="AZ601" s="297"/>
      <c r="BA601" s="297"/>
      <c r="BB601" s="297"/>
      <c r="BC601" s="152"/>
      <c r="BD601" s="150"/>
      <c r="BE601" s="297"/>
      <c r="BF601" s="297"/>
      <c r="BG601" s="297"/>
      <c r="BH601" s="297"/>
      <c r="BI601" s="152"/>
      <c r="BJ601" s="170"/>
      <c r="BK601" s="148"/>
      <c r="BL601" s="324"/>
      <c r="BM601" s="324"/>
      <c r="BN601" s="170"/>
      <c r="BO601" s="149"/>
      <c r="BP601" s="170"/>
      <c r="BQ601" s="149"/>
      <c r="BR601" s="170"/>
      <c r="BS601" s="171"/>
      <c r="BT601" s="707"/>
    </row>
    <row r="602" spans="1:72" s="2" customFormat="1" ht="24.9" customHeight="1">
      <c r="A602" s="147"/>
      <c r="B602" s="158"/>
      <c r="C602" s="179"/>
      <c r="D602" s="158"/>
      <c r="E602" s="160"/>
      <c r="F602" s="161"/>
      <c r="G602" s="161"/>
      <c r="H602" s="161"/>
      <c r="I602" s="163"/>
      <c r="J602" s="161"/>
      <c r="K602" s="163"/>
      <c r="L602" s="150"/>
      <c r="M602" s="164"/>
      <c r="N602" s="150"/>
      <c r="O602" s="174"/>
      <c r="P602" s="523"/>
      <c r="Q602" s="523"/>
      <c r="R602" s="154"/>
      <c r="S602" s="155"/>
      <c r="T602" s="156"/>
      <c r="U602" s="154"/>
      <c r="V602" s="155"/>
      <c r="W602" s="155"/>
      <c r="X602" s="419"/>
      <c r="Y602" s="157"/>
      <c r="Z602" s="217"/>
      <c r="AA602" s="150"/>
      <c r="AB602" s="151"/>
      <c r="AC602" s="152"/>
      <c r="AD602" s="506"/>
      <c r="AE602" s="166"/>
      <c r="AF602" s="150"/>
      <c r="AG602" s="152"/>
      <c r="AH602" s="150"/>
      <c r="AI602" s="152"/>
      <c r="AJ602" s="150"/>
      <c r="AK602" s="152"/>
      <c r="AL602" s="150"/>
      <c r="AM602" s="151"/>
      <c r="AN602" s="151"/>
      <c r="AO602" s="169"/>
      <c r="AP602" s="169"/>
      <c r="AQ602" s="149"/>
      <c r="AR602" s="324"/>
      <c r="AS602" s="324"/>
      <c r="AT602" s="324"/>
      <c r="AU602" s="324"/>
      <c r="AV602" s="324"/>
      <c r="AW602" s="324"/>
      <c r="AX602" s="150"/>
      <c r="AY602" s="297"/>
      <c r="AZ602" s="297"/>
      <c r="BA602" s="297"/>
      <c r="BB602" s="297"/>
      <c r="BC602" s="152"/>
      <c r="BD602" s="150"/>
      <c r="BE602" s="297"/>
      <c r="BF602" s="297"/>
      <c r="BG602" s="297"/>
      <c r="BH602" s="297"/>
      <c r="BI602" s="152"/>
      <c r="BJ602" s="170"/>
      <c r="BK602" s="148"/>
      <c r="BL602" s="324"/>
      <c r="BM602" s="324"/>
      <c r="BN602" s="170"/>
      <c r="BO602" s="149"/>
      <c r="BP602" s="170"/>
      <c r="BQ602" s="149"/>
      <c r="BR602" s="170"/>
      <c r="BS602" s="171"/>
      <c r="BT602" s="706"/>
    </row>
    <row r="603" spans="1:72" s="2" customFormat="1" ht="24.9" customHeight="1">
      <c r="A603" s="147"/>
      <c r="B603" s="158"/>
      <c r="C603" s="179"/>
      <c r="D603" s="158"/>
      <c r="E603" s="160"/>
      <c r="F603" s="161"/>
      <c r="G603" s="161"/>
      <c r="H603" s="161"/>
      <c r="I603" s="163"/>
      <c r="J603" s="161"/>
      <c r="K603" s="163"/>
      <c r="L603" s="150"/>
      <c r="M603" s="164"/>
      <c r="N603" s="150"/>
      <c r="O603" s="174"/>
      <c r="P603" s="523"/>
      <c r="Q603" s="523"/>
      <c r="R603" s="154"/>
      <c r="S603" s="155"/>
      <c r="T603" s="156"/>
      <c r="U603" s="154"/>
      <c r="V603" s="155"/>
      <c r="W603" s="155"/>
      <c r="X603" s="419"/>
      <c r="Y603" s="157"/>
      <c r="Z603" s="217"/>
      <c r="AA603" s="150"/>
      <c r="AB603" s="151"/>
      <c r="AC603" s="152"/>
      <c r="AD603" s="506"/>
      <c r="AE603" s="166"/>
      <c r="AF603" s="150"/>
      <c r="AG603" s="152"/>
      <c r="AH603" s="150"/>
      <c r="AI603" s="152"/>
      <c r="AJ603" s="150"/>
      <c r="AK603" s="152"/>
      <c r="AL603" s="150"/>
      <c r="AM603" s="151"/>
      <c r="AN603" s="151"/>
      <c r="AO603" s="169"/>
      <c r="AP603" s="169"/>
      <c r="AQ603" s="149"/>
      <c r="AR603" s="324"/>
      <c r="AS603" s="324"/>
      <c r="AT603" s="324"/>
      <c r="AU603" s="324"/>
      <c r="AV603" s="324"/>
      <c r="AW603" s="324"/>
      <c r="AX603" s="150"/>
      <c r="AY603" s="297"/>
      <c r="AZ603" s="297"/>
      <c r="BA603" s="297"/>
      <c r="BB603" s="297"/>
      <c r="BC603" s="152"/>
      <c r="BD603" s="150"/>
      <c r="BE603" s="297"/>
      <c r="BF603" s="297"/>
      <c r="BG603" s="297"/>
      <c r="BH603" s="297"/>
      <c r="BI603" s="152"/>
      <c r="BJ603" s="170"/>
      <c r="BK603" s="148"/>
      <c r="BL603" s="324"/>
      <c r="BM603" s="324"/>
      <c r="BN603" s="170"/>
      <c r="BO603" s="149"/>
      <c r="BP603" s="170"/>
      <c r="BQ603" s="149"/>
      <c r="BR603" s="170"/>
      <c r="BS603" s="171"/>
      <c r="BT603" s="707"/>
    </row>
    <row r="604" spans="1:72" s="2" customFormat="1" ht="24.9" customHeight="1">
      <c r="A604" s="147"/>
      <c r="B604" s="158"/>
      <c r="C604" s="179"/>
      <c r="D604" s="158"/>
      <c r="E604" s="160"/>
      <c r="F604" s="161"/>
      <c r="G604" s="161"/>
      <c r="H604" s="161"/>
      <c r="I604" s="163"/>
      <c r="J604" s="161"/>
      <c r="K604" s="163"/>
      <c r="L604" s="150"/>
      <c r="M604" s="164"/>
      <c r="N604" s="150"/>
      <c r="O604" s="174"/>
      <c r="P604" s="523"/>
      <c r="Q604" s="523"/>
      <c r="R604" s="154"/>
      <c r="S604" s="155"/>
      <c r="T604" s="156"/>
      <c r="U604" s="154"/>
      <c r="V604" s="155"/>
      <c r="W604" s="155"/>
      <c r="X604" s="419"/>
      <c r="Y604" s="157"/>
      <c r="Z604" s="217"/>
      <c r="AA604" s="150"/>
      <c r="AB604" s="151"/>
      <c r="AC604" s="152"/>
      <c r="AD604" s="506"/>
      <c r="AE604" s="166"/>
      <c r="AF604" s="150"/>
      <c r="AG604" s="152"/>
      <c r="AH604" s="150"/>
      <c r="AI604" s="152"/>
      <c r="AJ604" s="150"/>
      <c r="AK604" s="152"/>
      <c r="AL604" s="150"/>
      <c r="AM604" s="151"/>
      <c r="AN604" s="151"/>
      <c r="AO604" s="169"/>
      <c r="AP604" s="169"/>
      <c r="AQ604" s="149"/>
      <c r="AR604" s="324"/>
      <c r="AS604" s="324"/>
      <c r="AT604" s="324"/>
      <c r="AU604" s="324"/>
      <c r="AV604" s="324"/>
      <c r="AW604" s="324"/>
      <c r="AX604" s="150"/>
      <c r="AY604" s="297"/>
      <c r="AZ604" s="297"/>
      <c r="BA604" s="297"/>
      <c r="BB604" s="297"/>
      <c r="BC604" s="152"/>
      <c r="BD604" s="150"/>
      <c r="BE604" s="297"/>
      <c r="BF604" s="297"/>
      <c r="BG604" s="297"/>
      <c r="BH604" s="297"/>
      <c r="BI604" s="152"/>
      <c r="BJ604" s="170"/>
      <c r="BK604" s="148"/>
      <c r="BL604" s="324"/>
      <c r="BM604" s="324"/>
      <c r="BN604" s="170"/>
      <c r="BO604" s="149"/>
      <c r="BP604" s="170"/>
      <c r="BQ604" s="149"/>
      <c r="BR604" s="170"/>
      <c r="BS604" s="171"/>
      <c r="BT604" s="706"/>
    </row>
    <row r="605" spans="1:72" s="2" customFormat="1" ht="24.9" customHeight="1">
      <c r="A605" s="147"/>
      <c r="B605" s="158"/>
      <c r="C605" s="179"/>
      <c r="D605" s="158"/>
      <c r="E605" s="160"/>
      <c r="F605" s="161"/>
      <c r="G605" s="161"/>
      <c r="H605" s="161"/>
      <c r="I605" s="163"/>
      <c r="J605" s="161"/>
      <c r="K605" s="163"/>
      <c r="L605" s="150"/>
      <c r="M605" s="164"/>
      <c r="N605" s="150"/>
      <c r="O605" s="151"/>
      <c r="P605" s="522"/>
      <c r="Q605" s="522"/>
      <c r="R605" s="154"/>
      <c r="S605" s="155"/>
      <c r="T605" s="156"/>
      <c r="U605" s="154"/>
      <c r="V605" s="155"/>
      <c r="W605" s="155"/>
      <c r="X605" s="419"/>
      <c r="Y605" s="157"/>
      <c r="Z605" s="217"/>
      <c r="AA605" s="150"/>
      <c r="AB605" s="151"/>
      <c r="AC605" s="152"/>
      <c r="AD605" s="506"/>
      <c r="AE605" s="166"/>
      <c r="AF605" s="150"/>
      <c r="AG605" s="152"/>
      <c r="AH605" s="150"/>
      <c r="AI605" s="152"/>
      <c r="AJ605" s="150"/>
      <c r="AK605" s="152"/>
      <c r="AL605" s="150"/>
      <c r="AM605" s="151"/>
      <c r="AN605" s="151"/>
      <c r="AO605" s="169"/>
      <c r="AP605" s="169"/>
      <c r="AQ605" s="149"/>
      <c r="AR605" s="324"/>
      <c r="AS605" s="324"/>
      <c r="AT605" s="324"/>
      <c r="AU605" s="324"/>
      <c r="AV605" s="324"/>
      <c r="AW605" s="324"/>
      <c r="AX605" s="150"/>
      <c r="AY605" s="297"/>
      <c r="AZ605" s="297"/>
      <c r="BA605" s="297"/>
      <c r="BB605" s="297"/>
      <c r="BC605" s="152"/>
      <c r="BD605" s="150"/>
      <c r="BE605" s="297"/>
      <c r="BF605" s="297"/>
      <c r="BG605" s="297"/>
      <c r="BH605" s="297"/>
      <c r="BI605" s="152"/>
      <c r="BJ605" s="170"/>
      <c r="BK605" s="148"/>
      <c r="BL605" s="324"/>
      <c r="BM605" s="324"/>
      <c r="BN605" s="170"/>
      <c r="BO605" s="149"/>
      <c r="BP605" s="170"/>
      <c r="BQ605" s="149"/>
      <c r="BR605" s="170"/>
      <c r="BS605" s="171"/>
      <c r="BT605" s="708"/>
    </row>
    <row r="606" spans="1:72" s="2" customFormat="1" ht="24.9" customHeight="1">
      <c r="A606" s="147"/>
      <c r="B606" s="158"/>
      <c r="C606" s="179"/>
      <c r="D606" s="158"/>
      <c r="E606" s="160"/>
      <c r="F606" s="161"/>
      <c r="G606" s="161"/>
      <c r="H606" s="161"/>
      <c r="I606" s="163"/>
      <c r="J606" s="161"/>
      <c r="K606" s="163"/>
      <c r="L606" s="150"/>
      <c r="M606" s="164"/>
      <c r="N606" s="150"/>
      <c r="O606" s="174"/>
      <c r="P606" s="523"/>
      <c r="Q606" s="523"/>
      <c r="R606" s="154"/>
      <c r="S606" s="155"/>
      <c r="T606" s="156"/>
      <c r="U606" s="154"/>
      <c r="V606" s="155"/>
      <c r="W606" s="155"/>
      <c r="X606" s="419"/>
      <c r="Y606" s="157"/>
      <c r="Z606" s="217"/>
      <c r="AA606" s="150"/>
      <c r="AB606" s="151"/>
      <c r="AC606" s="152"/>
      <c r="AD606" s="506"/>
      <c r="AE606" s="166"/>
      <c r="AF606" s="150"/>
      <c r="AG606" s="152"/>
      <c r="AH606" s="150"/>
      <c r="AI606" s="152"/>
      <c r="AJ606" s="150"/>
      <c r="AK606" s="152"/>
      <c r="AL606" s="150"/>
      <c r="AM606" s="151"/>
      <c r="AN606" s="151"/>
      <c r="AO606" s="169"/>
      <c r="AP606" s="169"/>
      <c r="AQ606" s="149"/>
      <c r="AR606" s="324"/>
      <c r="AS606" s="324"/>
      <c r="AT606" s="324"/>
      <c r="AU606" s="324"/>
      <c r="AV606" s="324"/>
      <c r="AW606" s="324"/>
      <c r="AX606" s="150"/>
      <c r="AY606" s="297"/>
      <c r="AZ606" s="297"/>
      <c r="BA606" s="297"/>
      <c r="BB606" s="297"/>
      <c r="BC606" s="152"/>
      <c r="BD606" s="150"/>
      <c r="BE606" s="297"/>
      <c r="BF606" s="297"/>
      <c r="BG606" s="297"/>
      <c r="BH606" s="297"/>
      <c r="BI606" s="152"/>
      <c r="BJ606" s="170"/>
      <c r="BK606" s="148"/>
      <c r="BL606" s="324"/>
      <c r="BM606" s="324"/>
      <c r="BN606" s="170"/>
      <c r="BO606" s="149"/>
      <c r="BP606" s="170"/>
      <c r="BQ606" s="149"/>
      <c r="BR606" s="170"/>
      <c r="BS606" s="171"/>
      <c r="BT606" s="707"/>
    </row>
    <row r="607" spans="1:72" s="2" customFormat="1" ht="24.9" customHeight="1">
      <c r="A607" s="147"/>
      <c r="B607" s="158"/>
      <c r="C607" s="179"/>
      <c r="D607" s="158"/>
      <c r="E607" s="160"/>
      <c r="F607" s="161"/>
      <c r="G607" s="161"/>
      <c r="H607" s="161"/>
      <c r="I607" s="163"/>
      <c r="J607" s="161"/>
      <c r="K607" s="163"/>
      <c r="L607" s="150"/>
      <c r="M607" s="164"/>
      <c r="N607" s="150"/>
      <c r="O607" s="174"/>
      <c r="P607" s="523"/>
      <c r="Q607" s="523"/>
      <c r="R607" s="154"/>
      <c r="S607" s="155"/>
      <c r="T607" s="156"/>
      <c r="U607" s="154"/>
      <c r="V607" s="155"/>
      <c r="W607" s="155"/>
      <c r="X607" s="419"/>
      <c r="Y607" s="157"/>
      <c r="Z607" s="217"/>
      <c r="AA607" s="150"/>
      <c r="AB607" s="151"/>
      <c r="AC607" s="152"/>
      <c r="AD607" s="506"/>
      <c r="AE607" s="166"/>
      <c r="AF607" s="150"/>
      <c r="AG607" s="152"/>
      <c r="AH607" s="150"/>
      <c r="AI607" s="152"/>
      <c r="AJ607" s="150"/>
      <c r="AK607" s="152"/>
      <c r="AL607" s="150"/>
      <c r="AM607" s="151"/>
      <c r="AN607" s="151"/>
      <c r="AO607" s="169"/>
      <c r="AP607" s="169"/>
      <c r="AQ607" s="149"/>
      <c r="AR607" s="324"/>
      <c r="AS607" s="324"/>
      <c r="AT607" s="324"/>
      <c r="AU607" s="324"/>
      <c r="AV607" s="324"/>
      <c r="AW607" s="324"/>
      <c r="AX607" s="150"/>
      <c r="AY607" s="297"/>
      <c r="AZ607" s="297"/>
      <c r="BA607" s="297"/>
      <c r="BB607" s="297"/>
      <c r="BC607" s="152"/>
      <c r="BD607" s="150"/>
      <c r="BE607" s="297"/>
      <c r="BF607" s="297"/>
      <c r="BG607" s="297"/>
      <c r="BH607" s="297"/>
      <c r="BI607" s="152"/>
      <c r="BJ607" s="170"/>
      <c r="BK607" s="148"/>
      <c r="BL607" s="324"/>
      <c r="BM607" s="324"/>
      <c r="BN607" s="170"/>
      <c r="BO607" s="149"/>
      <c r="BP607" s="170"/>
      <c r="BQ607" s="149"/>
      <c r="BR607" s="170"/>
      <c r="BS607" s="171"/>
      <c r="BT607" s="706"/>
    </row>
    <row r="608" spans="1:72" s="2" customFormat="1" ht="24.9" customHeight="1">
      <c r="A608" s="147"/>
      <c r="B608" s="158"/>
      <c r="C608" s="179"/>
      <c r="D608" s="158"/>
      <c r="E608" s="160"/>
      <c r="F608" s="161"/>
      <c r="G608" s="161"/>
      <c r="H608" s="161"/>
      <c r="I608" s="163"/>
      <c r="J608" s="161"/>
      <c r="K608" s="163"/>
      <c r="L608" s="150"/>
      <c r="M608" s="164"/>
      <c r="N608" s="150"/>
      <c r="O608" s="151"/>
      <c r="P608" s="522"/>
      <c r="Q608" s="522"/>
      <c r="R608" s="154"/>
      <c r="S608" s="155"/>
      <c r="T608" s="156"/>
      <c r="U608" s="154"/>
      <c r="V608" s="155"/>
      <c r="W608" s="155"/>
      <c r="X608" s="419"/>
      <c r="Y608" s="157"/>
      <c r="Z608" s="217"/>
      <c r="AA608" s="150"/>
      <c r="AB608" s="151"/>
      <c r="AC608" s="152"/>
      <c r="AD608" s="506"/>
      <c r="AE608" s="166"/>
      <c r="AF608" s="150"/>
      <c r="AG608" s="152"/>
      <c r="AH608" s="150"/>
      <c r="AI608" s="152"/>
      <c r="AJ608" s="150"/>
      <c r="AK608" s="152"/>
      <c r="AL608" s="150"/>
      <c r="AM608" s="151"/>
      <c r="AN608" s="151"/>
      <c r="AO608" s="169"/>
      <c r="AP608" s="169"/>
      <c r="AQ608" s="149"/>
      <c r="AR608" s="324"/>
      <c r="AS608" s="324"/>
      <c r="AT608" s="324"/>
      <c r="AU608" s="324"/>
      <c r="AV608" s="324"/>
      <c r="AW608" s="324"/>
      <c r="AX608" s="150"/>
      <c r="AY608" s="297"/>
      <c r="AZ608" s="297"/>
      <c r="BA608" s="297"/>
      <c r="BB608" s="297"/>
      <c r="BC608" s="152"/>
      <c r="BD608" s="150"/>
      <c r="BE608" s="297"/>
      <c r="BF608" s="297"/>
      <c r="BG608" s="297"/>
      <c r="BH608" s="297"/>
      <c r="BI608" s="152"/>
      <c r="BJ608" s="170"/>
      <c r="BK608" s="148"/>
      <c r="BL608" s="324"/>
      <c r="BM608" s="324"/>
      <c r="BN608" s="170"/>
      <c r="BO608" s="149"/>
      <c r="BP608" s="170"/>
      <c r="BQ608" s="149"/>
      <c r="BR608" s="170"/>
      <c r="BS608" s="171"/>
      <c r="BT608" s="708"/>
    </row>
    <row r="609" spans="1:72" s="2" customFormat="1" ht="24.9" customHeight="1">
      <c r="A609" s="147"/>
      <c r="B609" s="158"/>
      <c r="C609" s="179"/>
      <c r="D609" s="158"/>
      <c r="E609" s="160"/>
      <c r="F609" s="161"/>
      <c r="G609" s="161"/>
      <c r="H609" s="161"/>
      <c r="I609" s="163"/>
      <c r="J609" s="161"/>
      <c r="K609" s="163"/>
      <c r="L609" s="150"/>
      <c r="M609" s="164"/>
      <c r="N609" s="150"/>
      <c r="O609" s="174"/>
      <c r="P609" s="523"/>
      <c r="Q609" s="523"/>
      <c r="R609" s="154"/>
      <c r="S609" s="155"/>
      <c r="T609" s="156"/>
      <c r="U609" s="154"/>
      <c r="V609" s="155"/>
      <c r="W609" s="155"/>
      <c r="X609" s="419"/>
      <c r="Y609" s="157"/>
      <c r="Z609" s="217"/>
      <c r="AA609" s="150"/>
      <c r="AB609" s="151"/>
      <c r="AC609" s="152"/>
      <c r="AD609" s="506"/>
      <c r="AE609" s="166"/>
      <c r="AF609" s="150"/>
      <c r="AG609" s="152"/>
      <c r="AH609" s="150"/>
      <c r="AI609" s="152"/>
      <c r="AJ609" s="150"/>
      <c r="AK609" s="152"/>
      <c r="AL609" s="150"/>
      <c r="AM609" s="151"/>
      <c r="AN609" s="151"/>
      <c r="AO609" s="169"/>
      <c r="AP609" s="169"/>
      <c r="AQ609" s="149"/>
      <c r="AR609" s="324"/>
      <c r="AS609" s="324"/>
      <c r="AT609" s="324"/>
      <c r="AU609" s="324"/>
      <c r="AV609" s="324"/>
      <c r="AW609" s="324"/>
      <c r="AX609" s="150"/>
      <c r="AY609" s="297"/>
      <c r="AZ609" s="297"/>
      <c r="BA609" s="297"/>
      <c r="BB609" s="297"/>
      <c r="BC609" s="152"/>
      <c r="BD609" s="150"/>
      <c r="BE609" s="297"/>
      <c r="BF609" s="297"/>
      <c r="BG609" s="297"/>
      <c r="BH609" s="297"/>
      <c r="BI609" s="152"/>
      <c r="BJ609" s="170"/>
      <c r="BK609" s="148"/>
      <c r="BL609" s="324"/>
      <c r="BM609" s="324"/>
      <c r="BN609" s="170"/>
      <c r="BO609" s="149"/>
      <c r="BP609" s="170"/>
      <c r="BQ609" s="149"/>
      <c r="BR609" s="170"/>
      <c r="BS609" s="171"/>
      <c r="BT609" s="707"/>
    </row>
    <row r="610" spans="1:72" s="2" customFormat="1" ht="24.9" customHeight="1">
      <c r="A610" s="147"/>
      <c r="B610" s="158"/>
      <c r="C610" s="179"/>
      <c r="D610" s="158"/>
      <c r="E610" s="160"/>
      <c r="F610" s="161"/>
      <c r="G610" s="161"/>
      <c r="H610" s="161"/>
      <c r="I610" s="163"/>
      <c r="J610" s="161"/>
      <c r="K610" s="163"/>
      <c r="L610" s="150"/>
      <c r="M610" s="164"/>
      <c r="N610" s="150"/>
      <c r="O610" s="174"/>
      <c r="P610" s="523"/>
      <c r="Q610" s="523"/>
      <c r="R610" s="154"/>
      <c r="S610" s="155"/>
      <c r="T610" s="156"/>
      <c r="U610" s="154"/>
      <c r="V610" s="155"/>
      <c r="W610" s="155"/>
      <c r="X610" s="419"/>
      <c r="Y610" s="157"/>
      <c r="Z610" s="217"/>
      <c r="AA610" s="150"/>
      <c r="AB610" s="151"/>
      <c r="AC610" s="152"/>
      <c r="AD610" s="506"/>
      <c r="AE610" s="166"/>
      <c r="AF610" s="150"/>
      <c r="AG610" s="152"/>
      <c r="AH610" s="150"/>
      <c r="AI610" s="152"/>
      <c r="AJ610" s="150"/>
      <c r="AK610" s="152"/>
      <c r="AL610" s="150"/>
      <c r="AM610" s="151"/>
      <c r="AN610" s="151"/>
      <c r="AO610" s="169"/>
      <c r="AP610" s="169"/>
      <c r="AQ610" s="149"/>
      <c r="AR610" s="324"/>
      <c r="AS610" s="324"/>
      <c r="AT610" s="324"/>
      <c r="AU610" s="324"/>
      <c r="AV610" s="324"/>
      <c r="AW610" s="324"/>
      <c r="AX610" s="150"/>
      <c r="AY610" s="297"/>
      <c r="AZ610" s="297"/>
      <c r="BA610" s="297"/>
      <c r="BB610" s="297"/>
      <c r="BC610" s="152"/>
      <c r="BD610" s="150"/>
      <c r="BE610" s="297"/>
      <c r="BF610" s="297"/>
      <c r="BG610" s="297"/>
      <c r="BH610" s="297"/>
      <c r="BI610" s="152"/>
      <c r="BJ610" s="170"/>
      <c r="BK610" s="148"/>
      <c r="BL610" s="324"/>
      <c r="BM610" s="324"/>
      <c r="BN610" s="170"/>
      <c r="BO610" s="149"/>
      <c r="BP610" s="170"/>
      <c r="BQ610" s="149"/>
      <c r="BR610" s="170"/>
      <c r="BS610" s="171"/>
      <c r="BT610" s="706"/>
    </row>
    <row r="611" spans="1:72" s="2" customFormat="1" ht="24.9" customHeight="1">
      <c r="A611" s="147"/>
      <c r="B611" s="158"/>
      <c r="C611" s="179"/>
      <c r="D611" s="158"/>
      <c r="E611" s="160"/>
      <c r="F611" s="161"/>
      <c r="G611" s="161"/>
      <c r="H611" s="161"/>
      <c r="I611" s="163"/>
      <c r="J611" s="161"/>
      <c r="K611" s="163"/>
      <c r="L611" s="150"/>
      <c r="M611" s="164"/>
      <c r="N611" s="150"/>
      <c r="O611" s="174"/>
      <c r="P611" s="523"/>
      <c r="Q611" s="523"/>
      <c r="R611" s="154"/>
      <c r="S611" s="155"/>
      <c r="T611" s="156"/>
      <c r="U611" s="154"/>
      <c r="V611" s="155"/>
      <c r="W611" s="155"/>
      <c r="X611" s="419"/>
      <c r="Y611" s="157"/>
      <c r="Z611" s="217"/>
      <c r="AA611" s="150"/>
      <c r="AB611" s="151"/>
      <c r="AC611" s="152"/>
      <c r="AD611" s="506"/>
      <c r="AE611" s="166"/>
      <c r="AF611" s="150"/>
      <c r="AG611" s="152"/>
      <c r="AH611" s="150"/>
      <c r="AI611" s="152"/>
      <c r="AJ611" s="150"/>
      <c r="AK611" s="152"/>
      <c r="AL611" s="150"/>
      <c r="AM611" s="151"/>
      <c r="AN611" s="151"/>
      <c r="AO611" s="169"/>
      <c r="AP611" s="169"/>
      <c r="AQ611" s="149"/>
      <c r="AR611" s="324"/>
      <c r="AS611" s="324"/>
      <c r="AT611" s="324"/>
      <c r="AU611" s="324"/>
      <c r="AV611" s="324"/>
      <c r="AW611" s="324"/>
      <c r="AX611" s="150"/>
      <c r="AY611" s="297"/>
      <c r="AZ611" s="297"/>
      <c r="BA611" s="297"/>
      <c r="BB611" s="297"/>
      <c r="BC611" s="152"/>
      <c r="BD611" s="150"/>
      <c r="BE611" s="297"/>
      <c r="BF611" s="297"/>
      <c r="BG611" s="297"/>
      <c r="BH611" s="297"/>
      <c r="BI611" s="152"/>
      <c r="BJ611" s="170"/>
      <c r="BK611" s="148"/>
      <c r="BL611" s="324"/>
      <c r="BM611" s="324"/>
      <c r="BN611" s="170"/>
      <c r="BO611" s="149"/>
      <c r="BP611" s="170"/>
      <c r="BQ611" s="149"/>
      <c r="BR611" s="170"/>
      <c r="BS611" s="171"/>
      <c r="BT611" s="707"/>
    </row>
    <row r="612" spans="1:72" s="2" customFormat="1" ht="24.9" customHeight="1">
      <c r="A612" s="147"/>
      <c r="B612" s="40"/>
      <c r="C612" s="59"/>
      <c r="D612" s="40"/>
      <c r="E612" s="140"/>
      <c r="F612" s="44"/>
      <c r="G612" s="44"/>
      <c r="H612" s="44" t="s">
        <v>6</v>
      </c>
      <c r="I612" s="45" t="s">
        <v>6</v>
      </c>
      <c r="J612" s="44" t="s">
        <v>6</v>
      </c>
      <c r="K612" s="45" t="s">
        <v>6</v>
      </c>
      <c r="L612" s="46" t="s">
        <v>6</v>
      </c>
      <c r="M612" s="47" t="s">
        <v>6</v>
      </c>
      <c r="N612" s="46" t="s">
        <v>6</v>
      </c>
      <c r="O612" s="48" t="s">
        <v>6</v>
      </c>
      <c r="P612" s="524"/>
      <c r="Q612" s="524"/>
      <c r="R612" s="50" t="s">
        <v>6</v>
      </c>
      <c r="S612" s="51" t="s">
        <v>6</v>
      </c>
      <c r="T612" s="52" t="s">
        <v>6</v>
      </c>
      <c r="U612" s="50" t="s">
        <v>6</v>
      </c>
      <c r="V612" s="51" t="s">
        <v>6</v>
      </c>
      <c r="W612" s="51" t="s">
        <v>6</v>
      </c>
      <c r="X612" s="420"/>
      <c r="Y612" s="41" t="s">
        <v>6</v>
      </c>
      <c r="Z612" s="216"/>
      <c r="AA612" s="46" t="s">
        <v>6</v>
      </c>
      <c r="AB612" s="48" t="s">
        <v>6</v>
      </c>
      <c r="AC612" s="53" t="s">
        <v>6</v>
      </c>
      <c r="AD612" s="508"/>
      <c r="AE612" s="54" t="s">
        <v>6</v>
      </c>
      <c r="AF612" s="46" t="s">
        <v>6</v>
      </c>
      <c r="AG612" s="53" t="s">
        <v>6</v>
      </c>
      <c r="AH612" s="46" t="s">
        <v>6</v>
      </c>
      <c r="AI612" s="53" t="s">
        <v>6</v>
      </c>
      <c r="AJ612" s="46" t="s">
        <v>6</v>
      </c>
      <c r="AK612" s="53" t="s">
        <v>6</v>
      </c>
      <c r="AL612" s="46" t="s">
        <v>6</v>
      </c>
      <c r="AM612" s="48" t="s">
        <v>6</v>
      </c>
      <c r="AN612" s="48" t="s">
        <v>6</v>
      </c>
      <c r="AO612" s="132" t="str">
        <f t="shared" ref="AO612:AO618" si="0">IF(AL612=" - "," - ",AN612/AL612)</f>
        <v xml:space="preserve"> - </v>
      </c>
      <c r="AP612" s="132" t="str">
        <f t="shared" ref="AP612:AP618" si="1">IF(AM612=" - "," - ",AN612/AM612)</f>
        <v xml:space="preserve"> - </v>
      </c>
      <c r="AQ612" s="49" t="s">
        <v>6</v>
      </c>
      <c r="AR612" s="325"/>
      <c r="AS612" s="325"/>
      <c r="AT612" s="325"/>
      <c r="AU612" s="325"/>
      <c r="AV612" s="325"/>
      <c r="AW612" s="325"/>
      <c r="AX612" s="46" t="s">
        <v>6</v>
      </c>
      <c r="AY612" s="299"/>
      <c r="AZ612" s="299"/>
      <c r="BA612" s="299"/>
      <c r="BB612" s="299"/>
      <c r="BC612" s="53" t="s">
        <v>6</v>
      </c>
      <c r="BD612" s="46" t="s">
        <v>6</v>
      </c>
      <c r="BE612" s="299"/>
      <c r="BF612" s="299"/>
      <c r="BG612" s="299"/>
      <c r="BH612" s="299"/>
      <c r="BI612" s="53" t="s">
        <v>6</v>
      </c>
      <c r="BJ612" s="55" t="s">
        <v>6</v>
      </c>
      <c r="BK612" s="49" t="s">
        <v>6</v>
      </c>
      <c r="BL612" s="325"/>
      <c r="BM612" s="325"/>
      <c r="BN612" s="55" t="s">
        <v>6</v>
      </c>
      <c r="BO612" s="49" t="s">
        <v>6</v>
      </c>
      <c r="BP612" s="55" t="s">
        <v>6</v>
      </c>
      <c r="BQ612" s="49" t="s">
        <v>6</v>
      </c>
      <c r="BR612" s="55" t="s">
        <v>6</v>
      </c>
      <c r="BS612" s="56" t="s">
        <v>6</v>
      </c>
      <c r="BT612" s="57" t="s">
        <v>6</v>
      </c>
    </row>
    <row r="613" spans="1:72" s="2" customFormat="1" ht="24.9" customHeight="1">
      <c r="A613" s="147"/>
      <c r="B613" s="40"/>
      <c r="C613" s="59"/>
      <c r="D613" s="40"/>
      <c r="E613" s="140"/>
      <c r="F613" s="44"/>
      <c r="G613" s="44"/>
      <c r="H613" s="44" t="s">
        <v>6</v>
      </c>
      <c r="I613" s="45" t="s">
        <v>6</v>
      </c>
      <c r="J613" s="44" t="s">
        <v>6</v>
      </c>
      <c r="K613" s="45" t="s">
        <v>6</v>
      </c>
      <c r="L613" s="46" t="s">
        <v>6</v>
      </c>
      <c r="M613" s="47" t="s">
        <v>6</v>
      </c>
      <c r="N613" s="46" t="s">
        <v>6</v>
      </c>
      <c r="O613" s="48" t="s">
        <v>6</v>
      </c>
      <c r="P613" s="524"/>
      <c r="Q613" s="524"/>
      <c r="R613" s="50" t="s">
        <v>6</v>
      </c>
      <c r="S613" s="51" t="s">
        <v>6</v>
      </c>
      <c r="T613" s="52" t="s">
        <v>6</v>
      </c>
      <c r="U613" s="50" t="s">
        <v>6</v>
      </c>
      <c r="V613" s="51" t="s">
        <v>6</v>
      </c>
      <c r="W613" s="51" t="s">
        <v>6</v>
      </c>
      <c r="X613" s="420"/>
      <c r="Y613" s="41" t="s">
        <v>6</v>
      </c>
      <c r="Z613" s="216"/>
      <c r="AA613" s="46" t="s">
        <v>6</v>
      </c>
      <c r="AB613" s="48" t="s">
        <v>6</v>
      </c>
      <c r="AC613" s="53" t="s">
        <v>6</v>
      </c>
      <c r="AD613" s="508"/>
      <c r="AE613" s="54" t="s">
        <v>6</v>
      </c>
      <c r="AF613" s="46" t="s">
        <v>6</v>
      </c>
      <c r="AG613" s="53" t="s">
        <v>6</v>
      </c>
      <c r="AH613" s="46" t="s">
        <v>6</v>
      </c>
      <c r="AI613" s="53" t="s">
        <v>6</v>
      </c>
      <c r="AJ613" s="46" t="s">
        <v>6</v>
      </c>
      <c r="AK613" s="53" t="s">
        <v>6</v>
      </c>
      <c r="AL613" s="46" t="s">
        <v>6</v>
      </c>
      <c r="AM613" s="48" t="s">
        <v>6</v>
      </c>
      <c r="AN613" s="48" t="s">
        <v>6</v>
      </c>
      <c r="AO613" s="132" t="str">
        <f t="shared" si="0"/>
        <v xml:space="preserve"> - </v>
      </c>
      <c r="AP613" s="132" t="str">
        <f t="shared" si="1"/>
        <v xml:space="preserve"> - </v>
      </c>
      <c r="AQ613" s="49" t="s">
        <v>6</v>
      </c>
      <c r="AR613" s="325"/>
      <c r="AS613" s="325"/>
      <c r="AT613" s="325"/>
      <c r="AU613" s="325"/>
      <c r="AV613" s="325"/>
      <c r="AW613" s="325"/>
      <c r="AX613" s="46" t="s">
        <v>6</v>
      </c>
      <c r="AY613" s="299"/>
      <c r="AZ613" s="299"/>
      <c r="BA613" s="299"/>
      <c r="BB613" s="299"/>
      <c r="BC613" s="53" t="s">
        <v>6</v>
      </c>
      <c r="BD613" s="46" t="s">
        <v>6</v>
      </c>
      <c r="BE613" s="299"/>
      <c r="BF613" s="299"/>
      <c r="BG613" s="299"/>
      <c r="BH613" s="299"/>
      <c r="BI613" s="53" t="s">
        <v>6</v>
      </c>
      <c r="BJ613" s="55" t="s">
        <v>6</v>
      </c>
      <c r="BK613" s="49" t="s">
        <v>6</v>
      </c>
      <c r="BL613" s="325"/>
      <c r="BM613" s="325"/>
      <c r="BN613" s="55" t="s">
        <v>6</v>
      </c>
      <c r="BO613" s="49" t="s">
        <v>6</v>
      </c>
      <c r="BP613" s="55" t="s">
        <v>6</v>
      </c>
      <c r="BQ613" s="49" t="s">
        <v>6</v>
      </c>
      <c r="BR613" s="55" t="s">
        <v>6</v>
      </c>
      <c r="BS613" s="56" t="s">
        <v>6</v>
      </c>
      <c r="BT613" s="57" t="s">
        <v>6</v>
      </c>
    </row>
    <row r="614" spans="1:72" s="2" customFormat="1" ht="24.9" customHeight="1">
      <c r="A614" s="147"/>
      <c r="B614" s="40"/>
      <c r="C614" s="59"/>
      <c r="D614" s="40"/>
      <c r="E614" s="140"/>
      <c r="F614" s="44"/>
      <c r="G614" s="44"/>
      <c r="H614" s="44" t="s">
        <v>6</v>
      </c>
      <c r="I614" s="45" t="s">
        <v>6</v>
      </c>
      <c r="J614" s="44" t="s">
        <v>6</v>
      </c>
      <c r="K614" s="45" t="s">
        <v>6</v>
      </c>
      <c r="L614" s="46" t="s">
        <v>6</v>
      </c>
      <c r="M614" s="47" t="s">
        <v>6</v>
      </c>
      <c r="N614" s="46" t="s">
        <v>6</v>
      </c>
      <c r="O614" s="48" t="s">
        <v>6</v>
      </c>
      <c r="P614" s="524"/>
      <c r="Q614" s="524"/>
      <c r="R614" s="50" t="s">
        <v>6</v>
      </c>
      <c r="S614" s="51" t="s">
        <v>6</v>
      </c>
      <c r="T614" s="52" t="s">
        <v>6</v>
      </c>
      <c r="U614" s="50" t="s">
        <v>6</v>
      </c>
      <c r="V614" s="51" t="s">
        <v>6</v>
      </c>
      <c r="W614" s="51" t="s">
        <v>6</v>
      </c>
      <c r="X614" s="420"/>
      <c r="Y614" s="41" t="s">
        <v>6</v>
      </c>
      <c r="Z614" s="216"/>
      <c r="AA614" s="46" t="s">
        <v>6</v>
      </c>
      <c r="AB614" s="48" t="s">
        <v>6</v>
      </c>
      <c r="AC614" s="53" t="s">
        <v>6</v>
      </c>
      <c r="AD614" s="508"/>
      <c r="AE614" s="54" t="s">
        <v>6</v>
      </c>
      <c r="AF614" s="46" t="s">
        <v>6</v>
      </c>
      <c r="AG614" s="53" t="s">
        <v>6</v>
      </c>
      <c r="AH614" s="46" t="s">
        <v>6</v>
      </c>
      <c r="AI614" s="53" t="s">
        <v>6</v>
      </c>
      <c r="AJ614" s="46" t="s">
        <v>6</v>
      </c>
      <c r="AK614" s="53" t="s">
        <v>6</v>
      </c>
      <c r="AL614" s="46" t="s">
        <v>6</v>
      </c>
      <c r="AM614" s="48" t="s">
        <v>6</v>
      </c>
      <c r="AN614" s="48" t="s">
        <v>6</v>
      </c>
      <c r="AO614" s="132" t="str">
        <f t="shared" si="0"/>
        <v xml:space="preserve"> - </v>
      </c>
      <c r="AP614" s="132" t="str">
        <f t="shared" si="1"/>
        <v xml:space="preserve"> - </v>
      </c>
      <c r="AQ614" s="49" t="s">
        <v>6</v>
      </c>
      <c r="AR614" s="325"/>
      <c r="AS614" s="325"/>
      <c r="AT614" s="325"/>
      <c r="AU614" s="325"/>
      <c r="AV614" s="325"/>
      <c r="AW614" s="325"/>
      <c r="AX614" s="46" t="s">
        <v>6</v>
      </c>
      <c r="AY614" s="299"/>
      <c r="AZ614" s="299"/>
      <c r="BA614" s="299"/>
      <c r="BB614" s="299"/>
      <c r="BC614" s="53" t="s">
        <v>6</v>
      </c>
      <c r="BD614" s="46" t="s">
        <v>6</v>
      </c>
      <c r="BE614" s="299"/>
      <c r="BF614" s="299"/>
      <c r="BG614" s="299"/>
      <c r="BH614" s="299"/>
      <c r="BI614" s="53" t="s">
        <v>6</v>
      </c>
      <c r="BJ614" s="55" t="s">
        <v>6</v>
      </c>
      <c r="BK614" s="49" t="s">
        <v>6</v>
      </c>
      <c r="BL614" s="325"/>
      <c r="BM614" s="325"/>
      <c r="BN614" s="55" t="s">
        <v>6</v>
      </c>
      <c r="BO614" s="49" t="s">
        <v>6</v>
      </c>
      <c r="BP614" s="55" t="s">
        <v>6</v>
      </c>
      <c r="BQ614" s="49" t="s">
        <v>6</v>
      </c>
      <c r="BR614" s="55" t="s">
        <v>6</v>
      </c>
      <c r="BS614" s="56" t="s">
        <v>6</v>
      </c>
      <c r="BT614" s="57" t="s">
        <v>6</v>
      </c>
    </row>
    <row r="615" spans="1:72" s="2" customFormat="1" ht="24.9" customHeight="1">
      <c r="A615" s="40"/>
      <c r="B615" s="40"/>
      <c r="C615" s="59"/>
      <c r="D615" s="40"/>
      <c r="E615" s="43"/>
      <c r="F615" s="44"/>
      <c r="G615" s="44" t="str">
        <f>IF(E615="","",_xlfn.ISOWEEKNUM(E615))</f>
        <v/>
      </c>
      <c r="H615" s="44" t="s">
        <v>6</v>
      </c>
      <c r="I615" s="45" t="s">
        <v>6</v>
      </c>
      <c r="J615" s="44" t="s">
        <v>6</v>
      </c>
      <c r="K615" s="45" t="s">
        <v>6</v>
      </c>
      <c r="L615" s="46" t="s">
        <v>6</v>
      </c>
      <c r="M615" s="47" t="s">
        <v>6</v>
      </c>
      <c r="N615" s="46" t="s">
        <v>6</v>
      </c>
      <c r="O615" s="48" t="s">
        <v>6</v>
      </c>
      <c r="P615" s="524"/>
      <c r="Q615" s="524"/>
      <c r="R615" s="50" t="s">
        <v>6</v>
      </c>
      <c r="S615" s="51" t="s">
        <v>6</v>
      </c>
      <c r="T615" s="52" t="s">
        <v>6</v>
      </c>
      <c r="U615" s="50" t="s">
        <v>6</v>
      </c>
      <c r="V615" s="51" t="s">
        <v>6</v>
      </c>
      <c r="W615" s="51" t="s">
        <v>6</v>
      </c>
      <c r="X615" s="420"/>
      <c r="Y615" s="41" t="s">
        <v>6</v>
      </c>
      <c r="Z615" s="216"/>
      <c r="AA615" s="46" t="s">
        <v>6</v>
      </c>
      <c r="AB615" s="48" t="s">
        <v>6</v>
      </c>
      <c r="AC615" s="53" t="s">
        <v>6</v>
      </c>
      <c r="AD615" s="508"/>
      <c r="AE615" s="54" t="s">
        <v>6</v>
      </c>
      <c r="AF615" s="46" t="s">
        <v>6</v>
      </c>
      <c r="AG615" s="53" t="s">
        <v>6</v>
      </c>
      <c r="AH615" s="46" t="s">
        <v>6</v>
      </c>
      <c r="AI615" s="53" t="s">
        <v>6</v>
      </c>
      <c r="AJ615" s="46" t="s">
        <v>6</v>
      </c>
      <c r="AK615" s="53" t="s">
        <v>6</v>
      </c>
      <c r="AL615" s="46" t="s">
        <v>6</v>
      </c>
      <c r="AM615" s="48" t="s">
        <v>6</v>
      </c>
      <c r="AN615" s="48" t="s">
        <v>6</v>
      </c>
      <c r="AO615" s="132" t="str">
        <f t="shared" si="0"/>
        <v xml:space="preserve"> - </v>
      </c>
      <c r="AP615" s="132" t="str">
        <f t="shared" si="1"/>
        <v xml:space="preserve"> - </v>
      </c>
      <c r="AQ615" s="49" t="s">
        <v>6</v>
      </c>
      <c r="AR615" s="325"/>
      <c r="AS615" s="325"/>
      <c r="AT615" s="325"/>
      <c r="AU615" s="325"/>
      <c r="AV615" s="325"/>
      <c r="AW615" s="325"/>
      <c r="AX615" s="46" t="s">
        <v>6</v>
      </c>
      <c r="AY615" s="299"/>
      <c r="AZ615" s="299"/>
      <c r="BA615" s="299"/>
      <c r="BB615" s="299"/>
      <c r="BC615" s="53" t="s">
        <v>6</v>
      </c>
      <c r="BD615" s="46" t="s">
        <v>6</v>
      </c>
      <c r="BE615" s="299"/>
      <c r="BF615" s="299"/>
      <c r="BG615" s="299"/>
      <c r="BH615" s="299"/>
      <c r="BI615" s="53" t="s">
        <v>6</v>
      </c>
      <c r="BJ615" s="55" t="s">
        <v>6</v>
      </c>
      <c r="BK615" s="49" t="s">
        <v>6</v>
      </c>
      <c r="BL615" s="325"/>
      <c r="BM615" s="325"/>
      <c r="BN615" s="55" t="s">
        <v>6</v>
      </c>
      <c r="BO615" s="49" t="s">
        <v>6</v>
      </c>
      <c r="BP615" s="55" t="s">
        <v>6</v>
      </c>
      <c r="BQ615" s="49" t="s">
        <v>6</v>
      </c>
      <c r="BR615" s="55" t="s">
        <v>6</v>
      </c>
      <c r="BS615" s="56" t="s">
        <v>6</v>
      </c>
      <c r="BT615" s="57" t="s">
        <v>6</v>
      </c>
    </row>
    <row r="616" spans="1:72" s="2" customFormat="1" ht="24.9" customHeight="1">
      <c r="A616" s="40"/>
      <c r="B616" s="40"/>
      <c r="C616" s="59"/>
      <c r="D616" s="40"/>
      <c r="E616" s="43"/>
      <c r="F616" s="44"/>
      <c r="G616" s="44" t="str">
        <f>IF(E616="","",_xlfn.ISOWEEKNUM(E616))</f>
        <v/>
      </c>
      <c r="H616" s="44" t="s">
        <v>6</v>
      </c>
      <c r="I616" s="45" t="s">
        <v>6</v>
      </c>
      <c r="J616" s="44" t="s">
        <v>6</v>
      </c>
      <c r="K616" s="45" t="s">
        <v>6</v>
      </c>
      <c r="L616" s="46" t="s">
        <v>6</v>
      </c>
      <c r="M616" s="47" t="s">
        <v>6</v>
      </c>
      <c r="N616" s="46" t="s">
        <v>6</v>
      </c>
      <c r="O616" s="48" t="s">
        <v>6</v>
      </c>
      <c r="P616" s="524"/>
      <c r="Q616" s="524"/>
      <c r="R616" s="50" t="s">
        <v>6</v>
      </c>
      <c r="S616" s="51" t="s">
        <v>6</v>
      </c>
      <c r="T616" s="52" t="s">
        <v>6</v>
      </c>
      <c r="U616" s="50" t="s">
        <v>6</v>
      </c>
      <c r="V616" s="51" t="s">
        <v>6</v>
      </c>
      <c r="W616" s="51" t="s">
        <v>6</v>
      </c>
      <c r="X616" s="420"/>
      <c r="Y616" s="41" t="s">
        <v>6</v>
      </c>
      <c r="Z616" s="216"/>
      <c r="AA616" s="46" t="s">
        <v>6</v>
      </c>
      <c r="AB616" s="48" t="s">
        <v>6</v>
      </c>
      <c r="AC616" s="53" t="s">
        <v>6</v>
      </c>
      <c r="AD616" s="508"/>
      <c r="AE616" s="54" t="s">
        <v>6</v>
      </c>
      <c r="AF616" s="46" t="s">
        <v>6</v>
      </c>
      <c r="AG616" s="53" t="s">
        <v>6</v>
      </c>
      <c r="AH616" s="46" t="s">
        <v>6</v>
      </c>
      <c r="AI616" s="53" t="s">
        <v>6</v>
      </c>
      <c r="AJ616" s="46" t="s">
        <v>6</v>
      </c>
      <c r="AK616" s="53" t="s">
        <v>6</v>
      </c>
      <c r="AL616" s="46" t="s">
        <v>6</v>
      </c>
      <c r="AM616" s="48" t="s">
        <v>6</v>
      </c>
      <c r="AN616" s="48" t="s">
        <v>6</v>
      </c>
      <c r="AO616" s="132" t="str">
        <f t="shared" si="0"/>
        <v xml:space="preserve"> - </v>
      </c>
      <c r="AP616" s="132" t="str">
        <f t="shared" si="1"/>
        <v xml:space="preserve"> - </v>
      </c>
      <c r="AQ616" s="49" t="s">
        <v>6</v>
      </c>
      <c r="AR616" s="325"/>
      <c r="AS616" s="325"/>
      <c r="AT616" s="325"/>
      <c r="AU616" s="325"/>
      <c r="AV616" s="325"/>
      <c r="AW616" s="325"/>
      <c r="AX616" s="46" t="s">
        <v>6</v>
      </c>
      <c r="AY616" s="299"/>
      <c r="AZ616" s="299"/>
      <c r="BA616" s="299"/>
      <c r="BB616" s="299"/>
      <c r="BC616" s="53" t="s">
        <v>6</v>
      </c>
      <c r="BD616" s="46" t="s">
        <v>6</v>
      </c>
      <c r="BE616" s="299"/>
      <c r="BF616" s="299"/>
      <c r="BG616" s="299"/>
      <c r="BH616" s="299"/>
      <c r="BI616" s="53" t="s">
        <v>6</v>
      </c>
      <c r="BJ616" s="55" t="s">
        <v>6</v>
      </c>
      <c r="BK616" s="49" t="s">
        <v>6</v>
      </c>
      <c r="BL616" s="325"/>
      <c r="BM616" s="325"/>
      <c r="BN616" s="55" t="s">
        <v>6</v>
      </c>
      <c r="BO616" s="49" t="s">
        <v>6</v>
      </c>
      <c r="BP616" s="55" t="s">
        <v>6</v>
      </c>
      <c r="BQ616" s="49" t="s">
        <v>6</v>
      </c>
      <c r="BR616" s="55" t="s">
        <v>6</v>
      </c>
      <c r="BS616" s="56" t="s">
        <v>6</v>
      </c>
      <c r="BT616" s="57" t="s">
        <v>6</v>
      </c>
    </row>
    <row r="617" spans="1:72" s="2" customFormat="1" ht="24.9" customHeight="1">
      <c r="A617" s="40"/>
      <c r="B617" s="40"/>
      <c r="C617" s="59"/>
      <c r="D617" s="40"/>
      <c r="E617" s="43"/>
      <c r="F617" s="44"/>
      <c r="G617" s="44" t="str">
        <f>IF(E617="","",_xlfn.ISOWEEKNUM(E617))</f>
        <v/>
      </c>
      <c r="H617" s="44" t="s">
        <v>6</v>
      </c>
      <c r="I617" s="45" t="s">
        <v>6</v>
      </c>
      <c r="J617" s="44" t="s">
        <v>6</v>
      </c>
      <c r="K617" s="45" t="s">
        <v>6</v>
      </c>
      <c r="L617" s="46" t="s">
        <v>6</v>
      </c>
      <c r="M617" s="47" t="s">
        <v>6</v>
      </c>
      <c r="N617" s="46" t="s">
        <v>6</v>
      </c>
      <c r="O617" s="48" t="s">
        <v>6</v>
      </c>
      <c r="P617" s="524"/>
      <c r="Q617" s="524"/>
      <c r="R617" s="50" t="s">
        <v>6</v>
      </c>
      <c r="S617" s="51" t="s">
        <v>6</v>
      </c>
      <c r="T617" s="52" t="s">
        <v>6</v>
      </c>
      <c r="U617" s="50" t="s">
        <v>6</v>
      </c>
      <c r="V617" s="51" t="s">
        <v>6</v>
      </c>
      <c r="W617" s="51" t="s">
        <v>6</v>
      </c>
      <c r="X617" s="420"/>
      <c r="Y617" s="41" t="s">
        <v>6</v>
      </c>
      <c r="Z617" s="216"/>
      <c r="AA617" s="46" t="s">
        <v>6</v>
      </c>
      <c r="AB617" s="48" t="s">
        <v>6</v>
      </c>
      <c r="AC617" s="53" t="s">
        <v>6</v>
      </c>
      <c r="AD617" s="508"/>
      <c r="AE617" s="54" t="s">
        <v>6</v>
      </c>
      <c r="AF617" s="46" t="s">
        <v>6</v>
      </c>
      <c r="AG617" s="53" t="s">
        <v>6</v>
      </c>
      <c r="AH617" s="46" t="s">
        <v>6</v>
      </c>
      <c r="AI617" s="53" t="s">
        <v>6</v>
      </c>
      <c r="AJ617" s="46" t="s">
        <v>6</v>
      </c>
      <c r="AK617" s="53" t="s">
        <v>6</v>
      </c>
      <c r="AL617" s="46" t="s">
        <v>6</v>
      </c>
      <c r="AM617" s="48" t="s">
        <v>6</v>
      </c>
      <c r="AN617" s="48" t="s">
        <v>6</v>
      </c>
      <c r="AO617" s="132" t="str">
        <f t="shared" si="0"/>
        <v xml:space="preserve"> - </v>
      </c>
      <c r="AP617" s="132" t="str">
        <f t="shared" si="1"/>
        <v xml:space="preserve"> - </v>
      </c>
      <c r="AQ617" s="49" t="s">
        <v>6</v>
      </c>
      <c r="AR617" s="325"/>
      <c r="AS617" s="325"/>
      <c r="AT617" s="325"/>
      <c r="AU617" s="325"/>
      <c r="AV617" s="325"/>
      <c r="AW617" s="325"/>
      <c r="AX617" s="46" t="s">
        <v>6</v>
      </c>
      <c r="AY617" s="299"/>
      <c r="AZ617" s="299"/>
      <c r="BA617" s="299"/>
      <c r="BB617" s="299"/>
      <c r="BC617" s="53" t="s">
        <v>6</v>
      </c>
      <c r="BD617" s="46" t="s">
        <v>6</v>
      </c>
      <c r="BE617" s="299"/>
      <c r="BF617" s="299"/>
      <c r="BG617" s="299"/>
      <c r="BH617" s="299"/>
      <c r="BI617" s="53" t="s">
        <v>6</v>
      </c>
      <c r="BJ617" s="55" t="s">
        <v>6</v>
      </c>
      <c r="BK617" s="49" t="s">
        <v>6</v>
      </c>
      <c r="BL617" s="325"/>
      <c r="BM617" s="325"/>
      <c r="BN617" s="55" t="s">
        <v>6</v>
      </c>
      <c r="BO617" s="49" t="s">
        <v>6</v>
      </c>
      <c r="BP617" s="55" t="s">
        <v>6</v>
      </c>
      <c r="BQ617" s="49" t="s">
        <v>6</v>
      </c>
      <c r="BR617" s="55" t="s">
        <v>6</v>
      </c>
      <c r="BS617" s="56" t="s">
        <v>6</v>
      </c>
      <c r="BT617" s="57" t="s">
        <v>6</v>
      </c>
    </row>
    <row r="618" spans="1:72" s="2" customFormat="1" ht="24.9" customHeight="1">
      <c r="A618" s="40"/>
      <c r="B618" s="40"/>
      <c r="C618" s="59"/>
      <c r="D618" s="40" t="s">
        <v>241</v>
      </c>
      <c r="E618" s="43"/>
      <c r="F618" s="44"/>
      <c r="G618" s="44" t="str">
        <f>IF(E618="","",_xlfn.ISOWEEKNUM(E618))</f>
        <v/>
      </c>
      <c r="H618" s="44" t="s">
        <v>6</v>
      </c>
      <c r="I618" s="45" t="s">
        <v>6</v>
      </c>
      <c r="J618" s="44" t="s">
        <v>6</v>
      </c>
      <c r="K618" s="45" t="s">
        <v>6</v>
      </c>
      <c r="L618" s="46" t="s">
        <v>6</v>
      </c>
      <c r="M618" s="47" t="s">
        <v>6</v>
      </c>
      <c r="N618" s="46" t="s">
        <v>6</v>
      </c>
      <c r="O618" s="48" t="s">
        <v>6</v>
      </c>
      <c r="P618" s="524"/>
      <c r="Q618" s="524"/>
      <c r="R618" s="50" t="s">
        <v>6</v>
      </c>
      <c r="S618" s="51" t="s">
        <v>6</v>
      </c>
      <c r="T618" s="52" t="s">
        <v>6</v>
      </c>
      <c r="U618" s="50" t="s">
        <v>6</v>
      </c>
      <c r="V618" s="51" t="s">
        <v>6</v>
      </c>
      <c r="W618" s="51" t="s">
        <v>6</v>
      </c>
      <c r="X618" s="420"/>
      <c r="Y618" s="41" t="s">
        <v>6</v>
      </c>
      <c r="Z618" s="216"/>
      <c r="AA618" s="46" t="s">
        <v>6</v>
      </c>
      <c r="AB618" s="48" t="s">
        <v>6</v>
      </c>
      <c r="AC618" s="53" t="s">
        <v>6</v>
      </c>
      <c r="AD618" s="508"/>
      <c r="AE618" s="54" t="s">
        <v>6</v>
      </c>
      <c r="AF618" s="46" t="s">
        <v>6</v>
      </c>
      <c r="AG618" s="53" t="s">
        <v>6</v>
      </c>
      <c r="AH618" s="46" t="s">
        <v>6</v>
      </c>
      <c r="AI618" s="53" t="s">
        <v>6</v>
      </c>
      <c r="AJ618" s="46" t="s">
        <v>6</v>
      </c>
      <c r="AK618" s="53" t="s">
        <v>6</v>
      </c>
      <c r="AL618" s="46" t="s">
        <v>6</v>
      </c>
      <c r="AM618" s="48" t="s">
        <v>6</v>
      </c>
      <c r="AN618" s="48" t="s">
        <v>6</v>
      </c>
      <c r="AO618" s="132" t="str">
        <f t="shared" si="0"/>
        <v xml:space="preserve"> - </v>
      </c>
      <c r="AP618" s="132" t="str">
        <f t="shared" si="1"/>
        <v xml:space="preserve"> - </v>
      </c>
      <c r="AQ618" s="49" t="s">
        <v>6</v>
      </c>
      <c r="AR618" s="325"/>
      <c r="AS618" s="325"/>
      <c r="AT618" s="325"/>
      <c r="AU618" s="325"/>
      <c r="AV618" s="325"/>
      <c r="AW618" s="325"/>
      <c r="AX618" s="46" t="s">
        <v>6</v>
      </c>
      <c r="AY618" s="299"/>
      <c r="AZ618" s="299"/>
      <c r="BA618" s="299"/>
      <c r="BB618" s="299"/>
      <c r="BC618" s="53" t="s">
        <v>6</v>
      </c>
      <c r="BD618" s="46" t="s">
        <v>6</v>
      </c>
      <c r="BE618" s="299"/>
      <c r="BF618" s="299"/>
      <c r="BG618" s="299"/>
      <c r="BH618" s="299"/>
      <c r="BI618" s="53" t="s">
        <v>6</v>
      </c>
      <c r="BJ618" s="55" t="s">
        <v>6</v>
      </c>
      <c r="BK618" s="49" t="s">
        <v>6</v>
      </c>
      <c r="BL618" s="325"/>
      <c r="BM618" s="325"/>
      <c r="BN618" s="55" t="s">
        <v>6</v>
      </c>
      <c r="BO618" s="49" t="s">
        <v>6</v>
      </c>
      <c r="BP618" s="55" t="s">
        <v>6</v>
      </c>
      <c r="BQ618" s="49" t="s">
        <v>6</v>
      </c>
      <c r="BR618" s="55" t="s">
        <v>6</v>
      </c>
      <c r="BS618" s="56" t="s">
        <v>6</v>
      </c>
      <c r="BT618" s="57" t="s">
        <v>6</v>
      </c>
    </row>
    <row r="619" spans="1:72" ht="6.9" customHeight="1">
      <c r="A619" s="60" t="s">
        <v>6</v>
      </c>
      <c r="B619" s="60" t="s">
        <v>6</v>
      </c>
      <c r="C619" s="60"/>
      <c r="D619" s="60" t="s">
        <v>6</v>
      </c>
      <c r="E619" s="60" t="s">
        <v>6</v>
      </c>
      <c r="F619" s="44"/>
      <c r="G619" s="60" t="s">
        <v>6</v>
      </c>
      <c r="H619" s="60" t="s">
        <v>6</v>
      </c>
      <c r="I619" s="60" t="s">
        <v>6</v>
      </c>
      <c r="J619" s="60" t="s">
        <v>6</v>
      </c>
      <c r="K619" s="60" t="s">
        <v>6</v>
      </c>
      <c r="L619" s="60" t="s">
        <v>6</v>
      </c>
      <c r="M619" s="60" t="s">
        <v>6</v>
      </c>
      <c r="N619" s="60" t="s">
        <v>6</v>
      </c>
      <c r="O619" s="60" t="s">
        <v>6</v>
      </c>
      <c r="P619" s="60"/>
      <c r="Q619" s="60"/>
      <c r="R619" s="60" t="s">
        <v>6</v>
      </c>
      <c r="S619" s="60" t="s">
        <v>6</v>
      </c>
      <c r="T619" s="60" t="s">
        <v>6</v>
      </c>
      <c r="U619" s="60" t="s">
        <v>6</v>
      </c>
      <c r="V619" s="60" t="s">
        <v>6</v>
      </c>
      <c r="W619" s="60" t="s">
        <v>6</v>
      </c>
      <c r="X619" s="60"/>
      <c r="Y619" s="60" t="s">
        <v>6</v>
      </c>
      <c r="Z619" s="60"/>
      <c r="AA619" s="60" t="s">
        <v>6</v>
      </c>
      <c r="AB619" s="60" t="s">
        <v>6</v>
      </c>
      <c r="AC619" s="60" t="s">
        <v>6</v>
      </c>
      <c r="AD619" s="60"/>
      <c r="AE619" s="60" t="s">
        <v>6</v>
      </c>
      <c r="AF619" s="60" t="s">
        <v>6</v>
      </c>
      <c r="AG619" s="60" t="s">
        <v>6</v>
      </c>
      <c r="AH619" s="60" t="s">
        <v>6</v>
      </c>
      <c r="AI619" s="60" t="s">
        <v>6</v>
      </c>
      <c r="AJ619" s="60" t="s">
        <v>6</v>
      </c>
      <c r="AK619" s="60" t="s">
        <v>6</v>
      </c>
      <c r="AL619" s="60" t="s">
        <v>6</v>
      </c>
      <c r="AM619" s="60" t="s">
        <v>6</v>
      </c>
      <c r="AN619" s="60" t="s">
        <v>6</v>
      </c>
      <c r="AO619" s="61"/>
      <c r="AP619" s="61"/>
      <c r="AQ619" s="60" t="s">
        <v>6</v>
      </c>
      <c r="AR619" s="60"/>
      <c r="AS619" s="60"/>
      <c r="AT619" s="60"/>
      <c r="AU619" s="60"/>
      <c r="AV619" s="60"/>
      <c r="AW619" s="60"/>
      <c r="AX619" s="60" t="s">
        <v>6</v>
      </c>
      <c r="AY619" s="60"/>
      <c r="AZ619" s="60"/>
      <c r="BA619" s="60"/>
      <c r="BB619" s="60"/>
      <c r="BC619" s="60" t="s">
        <v>6</v>
      </c>
      <c r="BD619" s="60" t="s">
        <v>6</v>
      </c>
      <c r="BE619" s="60"/>
      <c r="BF619" s="60"/>
      <c r="BG619" s="60"/>
      <c r="BH619" s="60"/>
      <c r="BI619" s="60" t="s">
        <v>6</v>
      </c>
      <c r="BJ619" s="60" t="s">
        <v>6</v>
      </c>
      <c r="BK619" s="60" t="s">
        <v>6</v>
      </c>
      <c r="BL619" s="60"/>
      <c r="BM619" s="60"/>
      <c r="BN619" s="60" t="s">
        <v>6</v>
      </c>
      <c r="BO619" s="60" t="s">
        <v>6</v>
      </c>
      <c r="BP619" s="60" t="s">
        <v>6</v>
      </c>
      <c r="BQ619" s="60" t="s">
        <v>6</v>
      </c>
      <c r="BR619" s="60" t="s">
        <v>6</v>
      </c>
      <c r="BS619" s="60" t="s">
        <v>6</v>
      </c>
      <c r="BT619" s="60" t="s">
        <v>6</v>
      </c>
    </row>
    <row r="620" spans="1:72">
      <c r="F620" s="60" t="s">
        <v>6</v>
      </c>
    </row>
    <row r="621" spans="1:72">
      <c r="B621" s="64" t="s">
        <v>242</v>
      </c>
      <c r="C621" s="64"/>
    </row>
    <row r="623" spans="1:72" ht="15.75" customHeight="1">
      <c r="A623" s="65" t="s">
        <v>243</v>
      </c>
      <c r="B623" s="65">
        <v>1</v>
      </c>
      <c r="C623" s="604" t="s">
        <v>244</v>
      </c>
      <c r="D623" s="593"/>
      <c r="E623" s="593"/>
    </row>
    <row r="624" spans="1:72" ht="15.65" customHeight="1">
      <c r="A624" s="65"/>
      <c r="B624" s="65">
        <v>2</v>
      </c>
      <c r="C624" s="604" t="s">
        <v>244</v>
      </c>
      <c r="D624" s="593"/>
      <c r="E624" s="593"/>
    </row>
    <row r="625" spans="1:5" ht="15.65" customHeight="1">
      <c r="A625" s="65"/>
      <c r="B625" s="65">
        <v>3</v>
      </c>
      <c r="C625" s="604" t="s">
        <v>244</v>
      </c>
      <c r="D625" s="593"/>
      <c r="E625" s="593"/>
    </row>
    <row r="626" spans="1:5" ht="15.75" customHeight="1">
      <c r="A626" s="6"/>
    </row>
    <row r="627" spans="1:5" ht="15.75" customHeight="1">
      <c r="A627" s="646" t="s">
        <v>245</v>
      </c>
      <c r="B627" s="593"/>
      <c r="C627" s="104" t="s">
        <v>246</v>
      </c>
      <c r="D627" s="66" t="s">
        <v>247</v>
      </c>
      <c r="E627" s="67"/>
    </row>
    <row r="628" spans="1:5" ht="15.65" customHeight="1">
      <c r="A628" s="68"/>
      <c r="B628" s="67"/>
      <c r="C628" s="104" t="s">
        <v>248</v>
      </c>
      <c r="D628" s="66" t="s">
        <v>249</v>
      </c>
      <c r="E628" s="67"/>
    </row>
    <row r="629" spans="1:5">
      <c r="B629" s="62"/>
      <c r="C629" s="62"/>
      <c r="D629" s="62"/>
      <c r="E629" s="62"/>
    </row>
    <row r="630" spans="1:5">
      <c r="B630" s="64"/>
      <c r="C630" s="62"/>
      <c r="D630" s="62"/>
      <c r="E630" s="62"/>
    </row>
    <row r="631" spans="1:5">
      <c r="B631" s="62"/>
      <c r="C631" s="62"/>
      <c r="D631" s="62"/>
      <c r="E631" s="62"/>
    </row>
  </sheetData>
  <mergeCells count="272">
    <mergeCell ref="C624:E624"/>
    <mergeCell ref="B3:D3"/>
    <mergeCell ref="BT268:BT270"/>
    <mergeCell ref="BT588:BT591"/>
    <mergeCell ref="BT366:BT368"/>
    <mergeCell ref="BT87:BT88"/>
    <mergeCell ref="BT329:BT330"/>
    <mergeCell ref="BT345:BT347"/>
    <mergeCell ref="BT145:BT147"/>
    <mergeCell ref="BT20:BT27"/>
    <mergeCell ref="BT443:BT445"/>
    <mergeCell ref="BT481:BT482"/>
    <mergeCell ref="BJ8:BS8"/>
    <mergeCell ref="BT201:BT204"/>
    <mergeCell ref="BF10:BG10"/>
    <mergeCell ref="BT107:BT108"/>
    <mergeCell ref="BT540:BT542"/>
    <mergeCell ref="BT169:BT171"/>
    <mergeCell ref="BT32:BT35"/>
    <mergeCell ref="BT185:BT188"/>
    <mergeCell ref="BT290:BT291"/>
    <mergeCell ref="BT395:BT396"/>
    <mergeCell ref="BT131:BT132"/>
    <mergeCell ref="BB10:BC10"/>
    <mergeCell ref="BT162:BT164"/>
    <mergeCell ref="BD10:BE10"/>
    <mergeCell ref="BT524:BT527"/>
    <mergeCell ref="Y8:Y10"/>
    <mergeCell ref="BT522:BT523"/>
    <mergeCell ref="Q9:Q10"/>
    <mergeCell ref="P8:Q8"/>
    <mergeCell ref="BT409:BT410"/>
    <mergeCell ref="BT483:BT484"/>
    <mergeCell ref="BT176:BT178"/>
    <mergeCell ref="AF8:AK8"/>
    <mergeCell ref="BT95:BT96"/>
    <mergeCell ref="BT248:BT251"/>
    <mergeCell ref="BT46:BT47"/>
    <mergeCell ref="BT59:BT61"/>
    <mergeCell ref="BT142:BT144"/>
    <mergeCell ref="BT160:BT161"/>
    <mergeCell ref="BT304:BT306"/>
    <mergeCell ref="BR9:BS10"/>
    <mergeCell ref="AR9:AW10"/>
    <mergeCell ref="BT380:BT381"/>
    <mergeCell ref="BT216:BT218"/>
    <mergeCell ref="BT333:BT335"/>
    <mergeCell ref="BT174:BT175"/>
    <mergeCell ref="BT339:BT340"/>
    <mergeCell ref="BT183:BT184"/>
    <mergeCell ref="BT385:BT388"/>
    <mergeCell ref="BT55:BT56"/>
    <mergeCell ref="BT112:BT114"/>
    <mergeCell ref="BT348:BT350"/>
    <mergeCell ref="BT193:BT196"/>
    <mergeCell ref="BT158:BT159"/>
    <mergeCell ref="J9:K10"/>
    <mergeCell ref="BT463:BT465"/>
    <mergeCell ref="BT519:BT521"/>
    <mergeCell ref="BT441:BT442"/>
    <mergeCell ref="BT292:BT294"/>
    <mergeCell ref="BT324:BT325"/>
    <mergeCell ref="BT277:BT279"/>
    <mergeCell ref="BT140:BT141"/>
    <mergeCell ref="BT391:BT394"/>
    <mergeCell ref="BT413:BT417"/>
    <mergeCell ref="BL9:BM10"/>
    <mergeCell ref="BJ9:BK10"/>
    <mergeCell ref="BT496:BT497"/>
    <mergeCell ref="BT478:BT480"/>
    <mergeCell ref="BT307:BT309"/>
    <mergeCell ref="BT285:BT287"/>
    <mergeCell ref="BT505:BT506"/>
    <mergeCell ref="BT425:BT427"/>
    <mergeCell ref="BT223:BT225"/>
    <mergeCell ref="BT397:BT398"/>
    <mergeCell ref="BT375:BT377"/>
    <mergeCell ref="BT226:BT229"/>
    <mergeCell ref="BT191:BT192"/>
    <mergeCell ref="BT498:BT499"/>
    <mergeCell ref="B8:B11"/>
    <mergeCell ref="BT547:BT550"/>
    <mergeCell ref="X8:X10"/>
    <mergeCell ref="BT453:BT454"/>
    <mergeCell ref="BT57:BT58"/>
    <mergeCell ref="AA10:AD10"/>
    <mergeCell ref="BT468:BT469"/>
    <mergeCell ref="N8:O8"/>
    <mergeCell ref="BT244:BT245"/>
    <mergeCell ref="BT389:BT390"/>
    <mergeCell ref="O9:O11"/>
    <mergeCell ref="BT358:BT360"/>
    <mergeCell ref="BT219:BT220"/>
    <mergeCell ref="BT259:BT260"/>
    <mergeCell ref="BT241:BT243"/>
    <mergeCell ref="BT70:BT72"/>
    <mergeCell ref="BT404:BT405"/>
    <mergeCell ref="N9:N10"/>
    <mergeCell ref="AA9:AD9"/>
    <mergeCell ref="BT8:BT11"/>
    <mergeCell ref="BT399:BT401"/>
    <mergeCell ref="BT422:BT424"/>
    <mergeCell ref="BH10:BI10"/>
    <mergeCell ref="BT261:BT262"/>
    <mergeCell ref="BT607:BT609"/>
    <mergeCell ref="BT67:BT69"/>
    <mergeCell ref="BT263:BT265"/>
    <mergeCell ref="BT610:BT611"/>
    <mergeCell ref="BT364:BT365"/>
    <mergeCell ref="BT97:BT99"/>
    <mergeCell ref="BT78:BT79"/>
    <mergeCell ref="BT205:BT206"/>
    <mergeCell ref="BT354:BT355"/>
    <mergeCell ref="BT252:BT253"/>
    <mergeCell ref="BT428:BT429"/>
    <mergeCell ref="BT274:BT276"/>
    <mergeCell ref="BT80:BT81"/>
    <mergeCell ref="BT378:BT379"/>
    <mergeCell ref="BT129:BT130"/>
    <mergeCell ref="BT602:BT603"/>
    <mergeCell ref="BT356:BT357"/>
    <mergeCell ref="BT313:BT314"/>
    <mergeCell ref="BT89:BT90"/>
    <mergeCell ref="BT500:BT502"/>
    <mergeCell ref="BT136:BT139"/>
    <mergeCell ref="BT581:BT583"/>
    <mergeCell ref="BT600:BT601"/>
    <mergeCell ref="BT592:BT594"/>
    <mergeCell ref="H8:M8"/>
    <mergeCell ref="BT485:BT487"/>
    <mergeCell ref="BT490:BT491"/>
    <mergeCell ref="BT102:BT103"/>
    <mergeCell ref="BT50:BT54"/>
    <mergeCell ref="BT584:BT585"/>
    <mergeCell ref="BT295:BT296"/>
    <mergeCell ref="BT317:BT319"/>
    <mergeCell ref="BT133:BT135"/>
    <mergeCell ref="BT75:BT77"/>
    <mergeCell ref="BT369:BT371"/>
    <mergeCell ref="BT351:BT353"/>
    <mergeCell ref="BT238:BT240"/>
    <mergeCell ref="BP9:BQ10"/>
    <mergeCell ref="AX9:BC9"/>
    <mergeCell ref="BT402:BT403"/>
    <mergeCell ref="BT115:BT122"/>
    <mergeCell ref="BT207:BT208"/>
    <mergeCell ref="BT65:BT66"/>
    <mergeCell ref="U9:W10"/>
    <mergeCell ref="AO9:AP10"/>
    <mergeCell ref="AA8:AD8"/>
    <mergeCell ref="AQ9:AQ11"/>
    <mergeCell ref="H9:I10"/>
    <mergeCell ref="L9:M10"/>
    <mergeCell ref="BN9:BO10"/>
    <mergeCell ref="BT189:BT190"/>
    <mergeCell ref="BT382:BT384"/>
    <mergeCell ref="BT586:BT587"/>
    <mergeCell ref="BT543:BT544"/>
    <mergeCell ref="BT148:BT150"/>
    <mergeCell ref="BT446:BT448"/>
    <mergeCell ref="BT433:BT434"/>
    <mergeCell ref="AJ9:AK10"/>
    <mergeCell ref="BT91:BT94"/>
    <mergeCell ref="BT18:BT19"/>
    <mergeCell ref="AL9:AM10"/>
    <mergeCell ref="BT123:BT125"/>
    <mergeCell ref="AN9:AN11"/>
    <mergeCell ref="BT449:BT452"/>
    <mergeCell ref="BT545:BT546"/>
    <mergeCell ref="BT430:BT432"/>
    <mergeCell ref="BT341:BT344"/>
    <mergeCell ref="BT100:BT101"/>
    <mergeCell ref="BT473:BT475"/>
    <mergeCell ref="BT165:BT166"/>
    <mergeCell ref="BT197:BT198"/>
    <mergeCell ref="BT300:BT303"/>
    <mergeCell ref="BT172:BT173"/>
    <mergeCell ref="Z8:Z10"/>
    <mergeCell ref="P9:P10"/>
    <mergeCell ref="BT266:BT267"/>
    <mergeCell ref="BT470:BT472"/>
    <mergeCell ref="AX10:AY10"/>
    <mergeCell ref="BT597:BT599"/>
    <mergeCell ref="BT331:BT332"/>
    <mergeCell ref="BT492:BT495"/>
    <mergeCell ref="BT153:BT154"/>
    <mergeCell ref="BT209:BT211"/>
    <mergeCell ref="AZ10:BA10"/>
    <mergeCell ref="BT280:BT282"/>
    <mergeCell ref="BT236:BT237"/>
    <mergeCell ref="BT503:BT504"/>
    <mergeCell ref="BT532:BT535"/>
    <mergeCell ref="AX8:BI8"/>
    <mergeCell ref="R8:W8"/>
    <mergeCell ref="AR8:AW8"/>
    <mergeCell ref="BT372:BT374"/>
    <mergeCell ref="BT126:BT128"/>
    <mergeCell ref="BT246:BT247"/>
    <mergeCell ref="BT595:BT596"/>
    <mergeCell ref="BT455:BT458"/>
    <mergeCell ref="B4:D4"/>
    <mergeCell ref="BT411:BT412"/>
    <mergeCell ref="BT538:BT539"/>
    <mergeCell ref="BT513:BT514"/>
    <mergeCell ref="BT420:BT421"/>
    <mergeCell ref="BT271:BT273"/>
    <mergeCell ref="BT256:BT258"/>
    <mergeCell ref="BT42:BT45"/>
    <mergeCell ref="BT507:BT509"/>
    <mergeCell ref="BT336:BT338"/>
    <mergeCell ref="BT230:BT231"/>
    <mergeCell ref="BT199:BT200"/>
    <mergeCell ref="BT28:BT29"/>
    <mergeCell ref="BT466:BT467"/>
    <mergeCell ref="BT435:BT436"/>
    <mergeCell ref="BT326:BT328"/>
    <mergeCell ref="BT73:BT74"/>
    <mergeCell ref="AE8:AE10"/>
    <mergeCell ref="D8:D11"/>
    <mergeCell ref="BT167:BT168"/>
    <mergeCell ref="BT320:BT323"/>
    <mergeCell ref="BT48:BT49"/>
    <mergeCell ref="BT30:BT31"/>
    <mergeCell ref="BT459:BT460"/>
    <mergeCell ref="A6:BT6"/>
    <mergeCell ref="BT155:BT157"/>
    <mergeCell ref="BT488:BT489"/>
    <mergeCell ref="BT510:BT512"/>
    <mergeCell ref="BT528:BT529"/>
    <mergeCell ref="A7:B7"/>
    <mergeCell ref="BT214:BT215"/>
    <mergeCell ref="BT254:BT255"/>
    <mergeCell ref="C623:E623"/>
    <mergeCell ref="BT39:BT41"/>
    <mergeCell ref="BT310:BT312"/>
    <mergeCell ref="AL8:AQ8"/>
    <mergeCell ref="BT179:BT182"/>
    <mergeCell ref="BT85:BT86"/>
    <mergeCell ref="BT151:BT152"/>
    <mergeCell ref="BT515:BT518"/>
    <mergeCell ref="BT418:BT419"/>
    <mergeCell ref="BT36:BT38"/>
    <mergeCell ref="A8:A11"/>
    <mergeCell ref="C8:C11"/>
    <mergeCell ref="BT579:BT580"/>
    <mergeCell ref="BT288:BT289"/>
    <mergeCell ref="BT530:BT531"/>
    <mergeCell ref="E8:G10"/>
    <mergeCell ref="A627:B627"/>
    <mergeCell ref="BT536:BT537"/>
    <mergeCell ref="AF9:AG10"/>
    <mergeCell ref="AH9:AI10"/>
    <mergeCell ref="BT361:BT363"/>
    <mergeCell ref="BT315:BT316"/>
    <mergeCell ref="R9:T10"/>
    <mergeCell ref="BT82:BT84"/>
    <mergeCell ref="BT109:BT111"/>
    <mergeCell ref="BT212:BT213"/>
    <mergeCell ref="BT283:BT284"/>
    <mergeCell ref="BT221:BT222"/>
    <mergeCell ref="BT551:BT578"/>
    <mergeCell ref="BT437:BT440"/>
    <mergeCell ref="BT104:BT106"/>
    <mergeCell ref="BT297:BT299"/>
    <mergeCell ref="BT406:BT408"/>
    <mergeCell ref="BD9:BI9"/>
    <mergeCell ref="BT62:BT64"/>
    <mergeCell ref="BT604:BT606"/>
    <mergeCell ref="C625:E625"/>
    <mergeCell ref="BT461:BT462"/>
    <mergeCell ref="BT476:BT477"/>
    <mergeCell ref="BT232:BT235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7030A0"/>
    <pageSetUpPr fitToPage="1"/>
  </sheetPr>
  <dimension ref="A1:BV645"/>
  <sheetViews>
    <sheetView showGridLines="0" zoomScale="70" zoomScaleNormal="70" workbookViewId="0">
      <pane xSplit="7" ySplit="11" topLeftCell="H137" activePane="bottomRight" state="frozen"/>
      <selection pane="topRight" activeCell="H1" sqref="H1"/>
      <selection pane="bottomLeft" activeCell="A16" sqref="A16"/>
      <selection pane="bottomRight" activeCell="B145" sqref="B145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4.453125" style="6" customWidth="1"/>
    <col min="4" max="4" width="10.90625" style="6" hidden="1" customWidth="1"/>
    <col min="5" max="5" width="15.6328125" style="6" customWidth="1"/>
    <col min="6" max="6" width="5.453125" style="6" customWidth="1"/>
    <col min="7" max="7" width="7.08984375" style="6" customWidth="1"/>
    <col min="8" max="8" width="14" style="6" customWidth="1"/>
    <col min="9" max="16" width="9.6328125" style="6" customWidth="1"/>
    <col min="17" max="17" width="12.6328125" style="6" customWidth="1"/>
    <col min="18" max="18" width="7.90625" style="6" customWidth="1"/>
    <col min="19" max="19" width="12.36328125" style="6" customWidth="1"/>
    <col min="20" max="20" width="12.08984375" style="6" customWidth="1"/>
    <col min="21" max="26" width="8.36328125" style="6" customWidth="1"/>
    <col min="27" max="28" width="15.6328125" style="6" customWidth="1"/>
    <col min="29" max="32" width="8.36328125" style="6" customWidth="1"/>
    <col min="33" max="33" width="15.6328125" style="6" customWidth="1"/>
    <col min="34" max="39" width="8.36328125" style="6" customWidth="1"/>
    <col min="40" max="41" width="9" style="6" customWidth="1"/>
    <col min="42" max="42" width="8.36328125" style="6" customWidth="1"/>
    <col min="43" max="44" width="4.6328125" style="63" customWidth="1"/>
    <col min="45" max="45" width="10.6328125" style="6" bestFit="1" customWidth="1"/>
    <col min="46" max="46" width="5.90625" style="6" customWidth="1"/>
    <col min="47" max="47" width="6.54296875" style="6" customWidth="1"/>
    <col min="48" max="48" width="6.90625" style="6" customWidth="1"/>
    <col min="49" max="49" width="5.6328125" style="6" customWidth="1"/>
    <col min="50" max="50" width="5.90625" style="6" customWidth="1"/>
    <col min="51" max="51" width="5.453125" style="6" customWidth="1"/>
    <col min="52" max="52" width="13.08984375" style="6" customWidth="1"/>
    <col min="53" max="53" width="12.453125" style="6" customWidth="1"/>
    <col min="54" max="55" width="13.08984375" style="6" customWidth="1"/>
    <col min="56" max="56" width="12.6328125" style="6" bestFit="1" customWidth="1"/>
    <col min="57" max="57" width="13.6328125" style="6" customWidth="1"/>
    <col min="58" max="58" width="15.6328125" style="6" customWidth="1"/>
    <col min="59" max="59" width="12.36328125" style="6" customWidth="1"/>
    <col min="60" max="60" width="13.54296875" style="6" customWidth="1"/>
    <col min="61" max="61" width="11.54296875" style="6" customWidth="1"/>
    <col min="62" max="62" width="13.08984375" style="6" bestFit="1" customWidth="1"/>
    <col min="63" max="63" width="10" style="6" bestFit="1" customWidth="1"/>
    <col min="64" max="64" width="23" style="6" customWidth="1"/>
    <col min="65" max="65" width="14.90625" style="6" customWidth="1"/>
    <col min="66" max="66" width="17.453125" style="6" bestFit="1" customWidth="1"/>
    <col min="67" max="67" width="11.453125" style="6" customWidth="1"/>
    <col min="68" max="68" width="24.36328125" style="6" customWidth="1"/>
    <col min="69" max="69" width="14.6328125" style="6" customWidth="1"/>
    <col min="70" max="70" width="23.08984375" style="6" bestFit="1" customWidth="1"/>
    <col min="71" max="71" width="12.54296875" style="6" customWidth="1"/>
    <col min="72" max="72" width="31" style="6" bestFit="1" customWidth="1"/>
    <col min="73" max="73" width="17.90625" style="6" customWidth="1"/>
    <col min="74" max="74" width="90.36328125" style="6" bestFit="1" customWidth="1"/>
    <col min="75" max="75" width="9.08984375" style="6" customWidth="1"/>
    <col min="76" max="16384" width="9.08984375" style="6"/>
  </cols>
  <sheetData>
    <row r="1" spans="1:74" s="1" customFormat="1" ht="22.5" customHeight="1">
      <c r="A1" s="294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8"/>
      <c r="AR1" s="108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</row>
    <row r="2" spans="1:74" s="2" customFormat="1" ht="24" customHeight="1">
      <c r="A2" s="295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</row>
    <row r="3" spans="1:74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4"/>
      <c r="K3" s="4"/>
      <c r="L3" s="5"/>
      <c r="M3" s="5"/>
      <c r="N3" s="5"/>
      <c r="R3" s="7"/>
      <c r="S3" s="7"/>
      <c r="T3" s="7"/>
      <c r="U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3"/>
      <c r="AR3" s="3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</row>
    <row r="4" spans="1:74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4"/>
      <c r="K4" s="4"/>
      <c r="L4" s="5"/>
      <c r="M4" s="5"/>
      <c r="N4" s="5"/>
      <c r="R4" s="7"/>
      <c r="S4" s="7"/>
      <c r="T4" s="7"/>
      <c r="U4" s="8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10"/>
      <c r="AR4" s="10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</row>
    <row r="5" spans="1:74" ht="21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4"/>
      <c r="K5" s="4"/>
      <c r="L5" s="5"/>
      <c r="M5" s="5"/>
      <c r="N5" s="5"/>
      <c r="R5" s="7"/>
      <c r="S5" s="7"/>
      <c r="T5" s="7"/>
      <c r="U5" s="8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</row>
    <row r="6" spans="1:74" ht="11.25" customHeight="1">
      <c r="A6" s="638"/>
      <c r="B6" s="616"/>
      <c r="C6" s="616"/>
      <c r="D6" s="616"/>
      <c r="E6" s="616"/>
      <c r="F6" s="616"/>
      <c r="G6" s="616"/>
      <c r="H6" s="616"/>
      <c r="I6" s="616"/>
      <c r="J6" s="616"/>
      <c r="K6" s="616"/>
      <c r="L6" s="616"/>
      <c r="M6" s="616"/>
      <c r="N6" s="616"/>
      <c r="O6" s="616"/>
      <c r="P6" s="616"/>
      <c r="Q6" s="616"/>
      <c r="R6" s="616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616"/>
      <c r="AH6" s="616"/>
      <c r="AI6" s="616"/>
      <c r="AJ6" s="616"/>
      <c r="AK6" s="616"/>
      <c r="AL6" s="616"/>
      <c r="AM6" s="616"/>
      <c r="AN6" s="616"/>
      <c r="AO6" s="616"/>
      <c r="AP6" s="616"/>
      <c r="AQ6" s="616"/>
      <c r="AR6" s="616"/>
      <c r="AS6" s="616"/>
      <c r="AT6" s="616"/>
      <c r="AU6" s="616"/>
      <c r="AV6" s="616"/>
      <c r="AW6" s="616"/>
      <c r="AX6" s="616"/>
      <c r="AY6" s="616"/>
      <c r="AZ6" s="616"/>
      <c r="BA6" s="616"/>
      <c r="BB6" s="616"/>
      <c r="BC6" s="616"/>
      <c r="BD6" s="616"/>
      <c r="BE6" s="616"/>
      <c r="BF6" s="616"/>
      <c r="BG6" s="616"/>
      <c r="BH6" s="616"/>
      <c r="BI6" s="616"/>
      <c r="BJ6" s="616"/>
      <c r="BK6" s="616"/>
      <c r="BL6" s="616"/>
      <c r="BM6" s="616"/>
      <c r="BN6" s="616"/>
      <c r="BO6" s="616"/>
      <c r="BP6" s="616"/>
      <c r="BQ6" s="616"/>
      <c r="BR6" s="616"/>
      <c r="BS6" s="616"/>
      <c r="BT6" s="616"/>
      <c r="BU6" s="616"/>
      <c r="BV6" s="639"/>
    </row>
    <row r="7" spans="1:74" ht="20.399999999999999" hidden="1" customHeight="1">
      <c r="A7" s="615" t="s">
        <v>5</v>
      </c>
      <c r="B7" s="616"/>
      <c r="C7" s="18"/>
      <c r="D7" s="19"/>
      <c r="E7" s="20"/>
      <c r="F7" s="21"/>
      <c r="G7" s="22" t="s">
        <v>6</v>
      </c>
      <c r="H7" s="370"/>
      <c r="I7" s="111"/>
      <c r="J7" s="112"/>
      <c r="K7" s="128"/>
      <c r="L7" s="111"/>
      <c r="M7" s="112"/>
      <c r="N7" s="128"/>
      <c r="O7" s="113"/>
      <c r="P7" s="114"/>
      <c r="Q7" s="113"/>
      <c r="R7" s="115"/>
      <c r="S7" s="520"/>
      <c r="T7" s="520"/>
      <c r="U7" s="111"/>
      <c r="V7" s="116"/>
      <c r="W7" s="117"/>
      <c r="X7" s="111"/>
      <c r="Y7" s="116"/>
      <c r="Z7" s="119"/>
      <c r="AA7" s="120"/>
      <c r="AB7" s="214"/>
      <c r="AC7" s="121"/>
      <c r="AD7" s="122"/>
      <c r="AE7" s="123"/>
      <c r="AF7" s="504"/>
      <c r="AG7" s="120"/>
      <c r="AH7" s="111"/>
      <c r="AI7" s="112"/>
      <c r="AJ7" s="111"/>
      <c r="AK7" s="112"/>
      <c r="AL7" s="111"/>
      <c r="AM7" s="112"/>
      <c r="AN7" s="111"/>
      <c r="AO7" s="125"/>
      <c r="AP7" s="125"/>
      <c r="AQ7" s="126"/>
      <c r="AR7" s="126"/>
      <c r="AS7" s="127"/>
      <c r="AT7" s="536"/>
      <c r="AU7" s="536"/>
      <c r="AV7" s="536"/>
      <c r="AW7" s="536"/>
      <c r="AX7" s="536"/>
      <c r="AY7" s="536"/>
      <c r="AZ7" s="111"/>
      <c r="BA7" s="128"/>
      <c r="BB7" s="128"/>
      <c r="BC7" s="128"/>
      <c r="BD7" s="128"/>
      <c r="BE7" s="112"/>
      <c r="BF7" s="111"/>
      <c r="BG7" s="128"/>
      <c r="BH7" s="128"/>
      <c r="BI7" s="128"/>
      <c r="BJ7" s="128"/>
      <c r="BK7" s="112"/>
      <c r="BL7" s="111"/>
      <c r="BM7" s="112"/>
      <c r="BN7" s="128"/>
      <c r="BO7" s="128"/>
      <c r="BP7" s="111"/>
      <c r="BQ7" s="112"/>
      <c r="BR7" s="111"/>
      <c r="BS7" s="112"/>
      <c r="BT7" s="111"/>
      <c r="BU7" s="129"/>
      <c r="BV7" s="120"/>
    </row>
    <row r="8" spans="1:74" ht="38.25" customHeight="1">
      <c r="A8" s="635" t="s">
        <v>7</v>
      </c>
      <c r="B8" s="617" t="s">
        <v>8</v>
      </c>
      <c r="C8" s="640" t="s">
        <v>9</v>
      </c>
      <c r="D8" s="652" t="s">
        <v>10</v>
      </c>
      <c r="E8" s="656" t="s">
        <v>11</v>
      </c>
      <c r="F8" s="648"/>
      <c r="G8" s="606"/>
      <c r="H8" s="628" t="s">
        <v>12</v>
      </c>
      <c r="I8" s="603" t="s">
        <v>13</v>
      </c>
      <c r="J8" s="601"/>
      <c r="K8" s="601"/>
      <c r="L8" s="601"/>
      <c r="M8" s="601"/>
      <c r="N8" s="601"/>
      <c r="O8" s="601"/>
      <c r="P8" s="591"/>
      <c r="Q8" s="603" t="s">
        <v>14</v>
      </c>
      <c r="R8" s="591"/>
      <c r="S8" s="605" t="s">
        <v>15</v>
      </c>
      <c r="T8" s="606"/>
      <c r="U8" s="627" t="s">
        <v>16</v>
      </c>
      <c r="V8" s="601"/>
      <c r="W8" s="601"/>
      <c r="X8" s="601"/>
      <c r="Y8" s="601"/>
      <c r="Z8" s="601"/>
      <c r="AA8" s="612" t="s">
        <v>17</v>
      </c>
      <c r="AB8" s="659" t="s">
        <v>18</v>
      </c>
      <c r="AC8" s="647" t="s">
        <v>19</v>
      </c>
      <c r="AD8" s="648"/>
      <c r="AE8" s="648"/>
      <c r="AF8" s="606"/>
      <c r="AG8" s="612" t="s">
        <v>20</v>
      </c>
      <c r="AH8" s="660" t="s">
        <v>21</v>
      </c>
      <c r="AI8" s="601"/>
      <c r="AJ8" s="601"/>
      <c r="AK8" s="601"/>
      <c r="AL8" s="601"/>
      <c r="AM8" s="591"/>
      <c r="AN8" s="603" t="s">
        <v>22</v>
      </c>
      <c r="AO8" s="601"/>
      <c r="AP8" s="601"/>
      <c r="AQ8" s="601"/>
      <c r="AR8" s="601"/>
      <c r="AS8" s="591"/>
      <c r="AT8" s="612" t="s">
        <v>23</v>
      </c>
      <c r="AU8" s="633"/>
      <c r="AV8" s="633"/>
      <c r="AW8" s="633"/>
      <c r="AX8" s="633"/>
      <c r="AY8" s="666"/>
      <c r="AZ8" s="632" t="s">
        <v>24</v>
      </c>
      <c r="BA8" s="633"/>
      <c r="BB8" s="633"/>
      <c r="BC8" s="633"/>
      <c r="BD8" s="633"/>
      <c r="BE8" s="633"/>
      <c r="BF8" s="633"/>
      <c r="BG8" s="633"/>
      <c r="BH8" s="633"/>
      <c r="BI8" s="633"/>
      <c r="BJ8" s="633"/>
      <c r="BK8" s="633"/>
      <c r="BL8" s="624" t="s">
        <v>25</v>
      </c>
      <c r="BM8" s="601"/>
      <c r="BN8" s="601"/>
      <c r="BO8" s="601"/>
      <c r="BP8" s="601"/>
      <c r="BQ8" s="601"/>
      <c r="BR8" s="601"/>
      <c r="BS8" s="601"/>
      <c r="BT8" s="601"/>
      <c r="BU8" s="591"/>
      <c r="BV8" s="645" t="s">
        <v>26</v>
      </c>
    </row>
    <row r="9" spans="1:74" ht="29.25" customHeight="1">
      <c r="A9" s="636"/>
      <c r="B9" s="618"/>
      <c r="C9" s="641"/>
      <c r="D9" s="653"/>
      <c r="E9" s="657"/>
      <c r="F9" s="593"/>
      <c r="G9" s="594"/>
      <c r="H9" s="613"/>
      <c r="I9" s="599" t="s">
        <v>27</v>
      </c>
      <c r="J9" s="600"/>
      <c r="K9" s="589"/>
      <c r="L9" s="608" t="s">
        <v>28</v>
      </c>
      <c r="M9" s="600"/>
      <c r="N9" s="589"/>
      <c r="O9" s="634" t="s">
        <v>29</v>
      </c>
      <c r="P9" s="622"/>
      <c r="Q9" s="599" t="s">
        <v>30</v>
      </c>
      <c r="R9" s="608" t="s">
        <v>31</v>
      </c>
      <c r="S9" s="599" t="s">
        <v>32</v>
      </c>
      <c r="T9" s="599" t="s">
        <v>33</v>
      </c>
      <c r="U9" s="602" t="s">
        <v>34</v>
      </c>
      <c r="V9" s="600"/>
      <c r="W9" s="600"/>
      <c r="X9" s="665" t="s">
        <v>35</v>
      </c>
      <c r="Y9" s="600"/>
      <c r="Z9" s="600"/>
      <c r="AA9" s="613"/>
      <c r="AB9" s="618"/>
      <c r="AC9" s="592" t="s">
        <v>36</v>
      </c>
      <c r="AD9" s="593"/>
      <c r="AE9" s="593"/>
      <c r="AF9" s="594"/>
      <c r="AG9" s="613"/>
      <c r="AH9" s="588" t="s">
        <v>37</v>
      </c>
      <c r="AI9" s="589"/>
      <c r="AJ9" s="630" t="s">
        <v>38</v>
      </c>
      <c r="AK9" s="589"/>
      <c r="AL9" s="631" t="s">
        <v>39</v>
      </c>
      <c r="AM9" s="622"/>
      <c r="AN9" s="599" t="s">
        <v>40</v>
      </c>
      <c r="AO9" s="589"/>
      <c r="AP9" s="608" t="s">
        <v>41</v>
      </c>
      <c r="AQ9" s="611" t="s">
        <v>42</v>
      </c>
      <c r="AR9" s="589"/>
      <c r="AS9" s="634" t="s">
        <v>43</v>
      </c>
      <c r="AT9" s="649" t="s">
        <v>44</v>
      </c>
      <c r="AU9" s="600"/>
      <c r="AV9" s="600"/>
      <c r="AW9" s="600"/>
      <c r="AX9" s="600"/>
      <c r="AY9" s="600"/>
      <c r="AZ9" s="662" t="s">
        <v>45</v>
      </c>
      <c r="BA9" s="663"/>
      <c r="BB9" s="663"/>
      <c r="BC9" s="663"/>
      <c r="BD9" s="663"/>
      <c r="BE9" s="664"/>
      <c r="BF9" s="625" t="s">
        <v>46</v>
      </c>
      <c r="BG9" s="626"/>
      <c r="BH9" s="626"/>
      <c r="BI9" s="626"/>
      <c r="BJ9" s="626"/>
      <c r="BK9" s="626"/>
      <c r="BL9" s="655" t="s">
        <v>47</v>
      </c>
      <c r="BM9" s="589"/>
      <c r="BN9" s="619" t="s">
        <v>48</v>
      </c>
      <c r="BO9" s="589"/>
      <c r="BP9" s="619" t="s">
        <v>49</v>
      </c>
      <c r="BQ9" s="589"/>
      <c r="BR9" s="629" t="s">
        <v>50</v>
      </c>
      <c r="BS9" s="589"/>
      <c r="BT9" s="621" t="s">
        <v>51</v>
      </c>
      <c r="BU9" s="622"/>
      <c r="BV9" s="613"/>
    </row>
    <row r="10" spans="1:74" ht="29.25" customHeight="1">
      <c r="A10" s="636"/>
      <c r="B10" s="618"/>
      <c r="C10" s="641"/>
      <c r="D10" s="653"/>
      <c r="E10" s="658"/>
      <c r="F10" s="601"/>
      <c r="G10" s="623"/>
      <c r="H10" s="614"/>
      <c r="I10" s="590"/>
      <c r="J10" s="601"/>
      <c r="K10" s="591"/>
      <c r="L10" s="620"/>
      <c r="M10" s="601"/>
      <c r="N10" s="591"/>
      <c r="O10" s="620"/>
      <c r="P10" s="623"/>
      <c r="Q10" s="607"/>
      <c r="R10" s="609"/>
      <c r="S10" s="607"/>
      <c r="T10" s="607"/>
      <c r="U10" s="590"/>
      <c r="V10" s="601"/>
      <c r="W10" s="601"/>
      <c r="X10" s="620"/>
      <c r="Y10" s="601"/>
      <c r="Z10" s="601"/>
      <c r="AA10" s="614"/>
      <c r="AB10" s="590"/>
      <c r="AC10" s="661" t="s">
        <v>52</v>
      </c>
      <c r="AD10" s="593"/>
      <c r="AE10" s="593"/>
      <c r="AF10" s="594"/>
      <c r="AG10" s="614"/>
      <c r="AH10" s="590"/>
      <c r="AI10" s="591"/>
      <c r="AJ10" s="620"/>
      <c r="AK10" s="591"/>
      <c r="AL10" s="620"/>
      <c r="AM10" s="623"/>
      <c r="AN10" s="590"/>
      <c r="AO10" s="591"/>
      <c r="AP10" s="609"/>
      <c r="AQ10" s="590"/>
      <c r="AR10" s="591"/>
      <c r="AS10" s="650"/>
      <c r="AT10" s="590"/>
      <c r="AU10" s="601"/>
      <c r="AV10" s="601"/>
      <c r="AW10" s="601"/>
      <c r="AX10" s="601"/>
      <c r="AY10" s="601"/>
      <c r="AZ10" s="597" t="s">
        <v>53</v>
      </c>
      <c r="BA10" s="598"/>
      <c r="BB10" s="643" t="s">
        <v>54</v>
      </c>
      <c r="BC10" s="644"/>
      <c r="BD10" s="595" t="s">
        <v>55</v>
      </c>
      <c r="BE10" s="596"/>
      <c r="BF10" s="597" t="s">
        <v>53</v>
      </c>
      <c r="BG10" s="598"/>
      <c r="BH10" s="643" t="s">
        <v>54</v>
      </c>
      <c r="BI10" s="644"/>
      <c r="BJ10" s="595" t="s">
        <v>55</v>
      </c>
      <c r="BK10" s="596"/>
      <c r="BL10" s="590"/>
      <c r="BM10" s="591"/>
      <c r="BN10" s="620"/>
      <c r="BO10" s="591"/>
      <c r="BP10" s="620"/>
      <c r="BQ10" s="591"/>
      <c r="BR10" s="620"/>
      <c r="BS10" s="591"/>
      <c r="BT10" s="620"/>
      <c r="BU10" s="623"/>
      <c r="BV10" s="613"/>
    </row>
    <row r="11" spans="1:74" ht="33" customHeight="1">
      <c r="A11" s="637"/>
      <c r="B11" s="590"/>
      <c r="C11" s="641"/>
      <c r="D11" s="654"/>
      <c r="E11" s="326" t="s">
        <v>56</v>
      </c>
      <c r="F11" s="327" t="s">
        <v>57</v>
      </c>
      <c r="G11" s="328" t="s">
        <v>58</v>
      </c>
      <c r="H11" s="328" t="s">
        <v>59</v>
      </c>
      <c r="I11" s="314" t="s">
        <v>60</v>
      </c>
      <c r="J11" s="312" t="s">
        <v>61</v>
      </c>
      <c r="K11" s="311" t="s">
        <v>62</v>
      </c>
      <c r="L11" s="314" t="s">
        <v>63</v>
      </c>
      <c r="M11" s="312" t="s">
        <v>64</v>
      </c>
      <c r="N11" s="312" t="s">
        <v>62</v>
      </c>
      <c r="O11" s="312" t="s">
        <v>65</v>
      </c>
      <c r="P11" s="312" t="s">
        <v>66</v>
      </c>
      <c r="Q11" s="312" t="s">
        <v>67</v>
      </c>
      <c r="R11" s="610"/>
      <c r="S11" s="311" t="s">
        <v>68</v>
      </c>
      <c r="T11" s="311" t="s">
        <v>69</v>
      </c>
      <c r="U11" s="329" t="s">
        <v>70</v>
      </c>
      <c r="V11" s="330" t="s">
        <v>71</v>
      </c>
      <c r="W11" s="331" t="s">
        <v>72</v>
      </c>
      <c r="X11" s="332" t="s">
        <v>70</v>
      </c>
      <c r="Y11" s="330" t="s">
        <v>71</v>
      </c>
      <c r="Z11" s="333" t="s">
        <v>72</v>
      </c>
      <c r="AA11" s="310" t="s">
        <v>73</v>
      </c>
      <c r="AB11" s="310" t="s">
        <v>73</v>
      </c>
      <c r="AC11" s="334" t="s">
        <v>70</v>
      </c>
      <c r="AD11" s="335" t="s">
        <v>71</v>
      </c>
      <c r="AE11" s="336" t="s">
        <v>72</v>
      </c>
      <c r="AF11" s="336" t="s">
        <v>74</v>
      </c>
      <c r="AG11" s="337" t="s">
        <v>75</v>
      </c>
      <c r="AH11" s="338" t="s">
        <v>53</v>
      </c>
      <c r="AI11" s="339" t="s">
        <v>76</v>
      </c>
      <c r="AJ11" s="339" t="s">
        <v>53</v>
      </c>
      <c r="AK11" s="339" t="s">
        <v>76</v>
      </c>
      <c r="AL11" s="339" t="s">
        <v>53</v>
      </c>
      <c r="AM11" s="340" t="s">
        <v>76</v>
      </c>
      <c r="AN11" s="314" t="s">
        <v>77</v>
      </c>
      <c r="AO11" s="312" t="s">
        <v>78</v>
      </c>
      <c r="AP11" s="610"/>
      <c r="AQ11" s="460" t="s">
        <v>77</v>
      </c>
      <c r="AR11" s="461" t="s">
        <v>78</v>
      </c>
      <c r="AS11" s="651"/>
      <c r="AT11" s="460">
        <v>1</v>
      </c>
      <c r="AU11" s="460">
        <v>2</v>
      </c>
      <c r="AV11" s="460">
        <v>3</v>
      </c>
      <c r="AW11" s="460">
        <v>4</v>
      </c>
      <c r="AX11" s="460">
        <v>5</v>
      </c>
      <c r="AY11" s="460" t="s">
        <v>74</v>
      </c>
      <c r="AZ11" s="300" t="s">
        <v>79</v>
      </c>
      <c r="BA11" s="301" t="s">
        <v>80</v>
      </c>
      <c r="BB11" s="302" t="s">
        <v>81</v>
      </c>
      <c r="BC11" s="303" t="s">
        <v>82</v>
      </c>
      <c r="BD11" s="300" t="s">
        <v>79</v>
      </c>
      <c r="BE11" s="303" t="s">
        <v>82</v>
      </c>
      <c r="BF11" s="300" t="s">
        <v>79</v>
      </c>
      <c r="BG11" s="301" t="s">
        <v>80</v>
      </c>
      <c r="BH11" s="302" t="s">
        <v>81</v>
      </c>
      <c r="BI11" s="303" t="s">
        <v>82</v>
      </c>
      <c r="BJ11" s="300" t="s">
        <v>79</v>
      </c>
      <c r="BK11" s="301" t="s">
        <v>80</v>
      </c>
      <c r="BL11" s="314" t="s">
        <v>83</v>
      </c>
      <c r="BM11" s="312" t="s">
        <v>84</v>
      </c>
      <c r="BN11" s="312" t="s">
        <v>83</v>
      </c>
      <c r="BO11" s="312" t="s">
        <v>84</v>
      </c>
      <c r="BP11" s="312" t="s">
        <v>83</v>
      </c>
      <c r="BQ11" s="312" t="s">
        <v>84</v>
      </c>
      <c r="BR11" s="312" t="s">
        <v>83</v>
      </c>
      <c r="BS11" s="312" t="s">
        <v>84</v>
      </c>
      <c r="BT11" s="312" t="s">
        <v>83</v>
      </c>
      <c r="BU11" s="313" t="s">
        <v>84</v>
      </c>
      <c r="BV11" s="614"/>
    </row>
    <row r="12" spans="1:74" s="2" customFormat="1" ht="24.9" customHeight="1">
      <c r="A12" s="147" t="s">
        <v>85</v>
      </c>
      <c r="B12" s="354" t="s">
        <v>86</v>
      </c>
      <c r="C12" s="355"/>
      <c r="D12" s="356"/>
      <c r="E12" s="357">
        <v>46206</v>
      </c>
      <c r="F12" s="358">
        <v>2</v>
      </c>
      <c r="G12" s="307" t="s">
        <v>87</v>
      </c>
      <c r="H12" s="360" t="s">
        <v>88</v>
      </c>
      <c r="I12" s="360"/>
      <c r="J12" s="360" t="s">
        <v>88</v>
      </c>
      <c r="K12" s="360" t="str">
        <f>IF(I12&lt;&gt;0,(AVERAGE(I12:J12)),"x")</f>
        <v>x</v>
      </c>
      <c r="L12" s="360" t="s">
        <v>88</v>
      </c>
      <c r="M12" s="360" t="s">
        <v>88</v>
      </c>
      <c r="N12" s="360"/>
      <c r="O12" s="317" t="s">
        <v>88</v>
      </c>
      <c r="P12" s="317" t="s">
        <v>88</v>
      </c>
      <c r="Q12" s="316" t="s">
        <v>88</v>
      </c>
      <c r="R12" s="317" t="s">
        <v>88</v>
      </c>
      <c r="S12" s="317" t="s">
        <v>88</v>
      </c>
      <c r="T12" s="317" t="s">
        <v>88</v>
      </c>
      <c r="U12" s="316" t="s">
        <v>88</v>
      </c>
      <c r="V12" s="316" t="s">
        <v>88</v>
      </c>
      <c r="W12" s="316" t="s">
        <v>88</v>
      </c>
      <c r="X12" s="316" t="s">
        <v>88</v>
      </c>
      <c r="Y12" s="316" t="s">
        <v>88</v>
      </c>
      <c r="Z12" s="316" t="s">
        <v>88</v>
      </c>
      <c r="AA12" s="361" t="s">
        <v>88</v>
      </c>
      <c r="AB12" s="361" t="s">
        <v>88</v>
      </c>
      <c r="AC12" s="361" t="s">
        <v>88</v>
      </c>
      <c r="AD12" s="361" t="s">
        <v>88</v>
      </c>
      <c r="AE12" s="361" t="s">
        <v>88</v>
      </c>
      <c r="AF12" s="361" t="s">
        <v>88</v>
      </c>
      <c r="AG12" s="361" t="s">
        <v>88</v>
      </c>
      <c r="AH12" s="361" t="s">
        <v>88</v>
      </c>
      <c r="AI12" s="361" t="s">
        <v>88</v>
      </c>
      <c r="AJ12" s="361" t="s">
        <v>88</v>
      </c>
      <c r="AK12" s="361" t="s">
        <v>88</v>
      </c>
      <c r="AL12" s="361" t="s">
        <v>88</v>
      </c>
      <c r="AM12" s="361" t="s">
        <v>88</v>
      </c>
      <c r="AN12" s="361" t="s">
        <v>88</v>
      </c>
      <c r="AO12" s="361" t="s">
        <v>88</v>
      </c>
      <c r="AP12" s="361" t="s">
        <v>88</v>
      </c>
      <c r="AQ12" s="361" t="s">
        <v>88</v>
      </c>
      <c r="AR12" s="361" t="s">
        <v>88</v>
      </c>
      <c r="AS12" s="361" t="s">
        <v>88</v>
      </c>
      <c r="AT12" s="361" t="s">
        <v>88</v>
      </c>
      <c r="AU12" s="361" t="s">
        <v>88</v>
      </c>
      <c r="AV12" s="361" t="s">
        <v>88</v>
      </c>
      <c r="AW12" s="361" t="s">
        <v>88</v>
      </c>
      <c r="AX12" s="361" t="s">
        <v>88</v>
      </c>
      <c r="AY12" s="361" t="s">
        <v>88</v>
      </c>
      <c r="AZ12" s="371">
        <v>43.33</v>
      </c>
      <c r="BA12" s="371">
        <v>38.83</v>
      </c>
      <c r="BB12" s="371">
        <v>36.89</v>
      </c>
      <c r="BC12" s="371">
        <v>32.18</v>
      </c>
      <c r="BD12" s="317" t="s">
        <v>88</v>
      </c>
      <c r="BE12" s="317" t="s">
        <v>88</v>
      </c>
      <c r="BF12" s="371">
        <v>77.3</v>
      </c>
      <c r="BG12" s="371">
        <v>38.340000000000003</v>
      </c>
      <c r="BH12" s="371">
        <v>40.42</v>
      </c>
      <c r="BI12" s="371">
        <v>31.39</v>
      </c>
      <c r="BJ12" s="317" t="s">
        <v>88</v>
      </c>
      <c r="BK12" s="317" t="s">
        <v>88</v>
      </c>
      <c r="BL12" s="354" t="s">
        <v>89</v>
      </c>
      <c r="BM12" s="354" t="s">
        <v>90</v>
      </c>
      <c r="BN12" s="354" t="s">
        <v>91</v>
      </c>
      <c r="BO12" s="354">
        <v>225876</v>
      </c>
      <c r="BP12" s="354" t="s">
        <v>92</v>
      </c>
      <c r="BQ12" s="354" t="s">
        <v>93</v>
      </c>
      <c r="BR12" s="354" t="s">
        <v>94</v>
      </c>
      <c r="BS12" s="354">
        <v>63250612</v>
      </c>
      <c r="BT12" s="354" t="s">
        <v>95</v>
      </c>
      <c r="BU12" s="354" t="s">
        <v>96</v>
      </c>
      <c r="BV12" s="362"/>
    </row>
    <row r="13" spans="1:74" s="2" customFormat="1" ht="24.9" customHeight="1">
      <c r="A13" s="147" t="s">
        <v>85</v>
      </c>
      <c r="B13" s="364" t="s">
        <v>97</v>
      </c>
      <c r="C13" s="355"/>
      <c r="D13" s="364"/>
      <c r="E13" s="357">
        <v>46206</v>
      </c>
      <c r="F13" s="358">
        <v>2</v>
      </c>
      <c r="G13" s="307" t="s">
        <v>87</v>
      </c>
      <c r="H13" s="360" t="s">
        <v>88</v>
      </c>
      <c r="I13" s="371">
        <v>318</v>
      </c>
      <c r="J13" s="371">
        <v>405</v>
      </c>
      <c r="K13" s="371"/>
      <c r="L13" s="371">
        <v>221</v>
      </c>
      <c r="M13" s="371">
        <v>298</v>
      </c>
      <c r="N13" s="371"/>
      <c r="O13" s="317" t="s">
        <v>88</v>
      </c>
      <c r="P13" s="317" t="s">
        <v>88</v>
      </c>
      <c r="Q13" s="371">
        <v>-0.21</v>
      </c>
      <c r="R13" s="317" t="s">
        <v>88</v>
      </c>
      <c r="S13" s="317" t="s">
        <v>88</v>
      </c>
      <c r="T13" s="317" t="s">
        <v>88</v>
      </c>
      <c r="U13" s="316" t="s">
        <v>88</v>
      </c>
      <c r="V13" s="316" t="s">
        <v>88</v>
      </c>
      <c r="W13" s="316" t="s">
        <v>88</v>
      </c>
      <c r="X13" s="316" t="s">
        <v>88</v>
      </c>
      <c r="Y13" s="316" t="s">
        <v>88</v>
      </c>
      <c r="Z13" s="316" t="s">
        <v>88</v>
      </c>
      <c r="AA13" s="361" t="s">
        <v>88</v>
      </c>
      <c r="AB13" s="361" t="s">
        <v>88</v>
      </c>
      <c r="AC13" s="361" t="s">
        <v>88</v>
      </c>
      <c r="AD13" s="361" t="s">
        <v>88</v>
      </c>
      <c r="AE13" s="361" t="s">
        <v>88</v>
      </c>
      <c r="AF13" s="361" t="s">
        <v>88</v>
      </c>
      <c r="AG13" s="371">
        <v>-1.31</v>
      </c>
      <c r="AH13" s="361" t="s">
        <v>88</v>
      </c>
      <c r="AI13" s="361" t="s">
        <v>88</v>
      </c>
      <c r="AJ13" s="361" t="s">
        <v>88</v>
      </c>
      <c r="AK13" s="361" t="s">
        <v>88</v>
      </c>
      <c r="AL13" s="361" t="s">
        <v>88</v>
      </c>
      <c r="AM13" s="361" t="s">
        <v>88</v>
      </c>
      <c r="AN13" s="361" t="s">
        <v>88</v>
      </c>
      <c r="AO13" s="361" t="s">
        <v>88</v>
      </c>
      <c r="AP13" s="361" t="s">
        <v>88</v>
      </c>
      <c r="AQ13" s="361" t="s">
        <v>88</v>
      </c>
      <c r="AR13" s="361" t="s">
        <v>88</v>
      </c>
      <c r="AS13" s="361" t="s">
        <v>88</v>
      </c>
      <c r="AT13" s="361" t="s">
        <v>88</v>
      </c>
      <c r="AU13" s="361" t="s">
        <v>88</v>
      </c>
      <c r="AV13" s="361" t="s">
        <v>88</v>
      </c>
      <c r="AW13" s="361" t="s">
        <v>88</v>
      </c>
      <c r="AX13" s="361" t="s">
        <v>88</v>
      </c>
      <c r="AY13" s="361" t="s">
        <v>88</v>
      </c>
      <c r="AZ13" s="316" t="s">
        <v>88</v>
      </c>
      <c r="BA13" s="316" t="s">
        <v>88</v>
      </c>
      <c r="BB13" s="316" t="s">
        <v>88</v>
      </c>
      <c r="BC13" s="316" t="s">
        <v>88</v>
      </c>
      <c r="BD13" s="316" t="s">
        <v>88</v>
      </c>
      <c r="BE13" s="316" t="s">
        <v>88</v>
      </c>
      <c r="BF13" s="316" t="s">
        <v>88</v>
      </c>
      <c r="BG13" s="316" t="s">
        <v>88</v>
      </c>
      <c r="BH13" s="316" t="s">
        <v>88</v>
      </c>
      <c r="BI13" s="316" t="s">
        <v>88</v>
      </c>
      <c r="BJ13" s="316" t="s">
        <v>88</v>
      </c>
      <c r="BK13" s="316" t="s">
        <v>88</v>
      </c>
      <c r="BL13" s="354" t="s">
        <v>89</v>
      </c>
      <c r="BM13" s="354" t="s">
        <v>90</v>
      </c>
      <c r="BN13" s="354" t="s">
        <v>91</v>
      </c>
      <c r="BO13" s="354">
        <v>225876</v>
      </c>
      <c r="BP13" s="354" t="s">
        <v>92</v>
      </c>
      <c r="BQ13" s="354" t="s">
        <v>93</v>
      </c>
      <c r="BR13" s="354" t="s">
        <v>94</v>
      </c>
      <c r="BS13" s="354">
        <v>63250612</v>
      </c>
      <c r="BT13" s="354" t="s">
        <v>95</v>
      </c>
      <c r="BU13" s="354" t="s">
        <v>96</v>
      </c>
      <c r="BV13" s="366"/>
    </row>
    <row r="14" spans="1:74" s="2" customFormat="1" ht="24.9" customHeight="1">
      <c r="A14" s="147" t="s">
        <v>85</v>
      </c>
      <c r="B14" s="364" t="s">
        <v>98</v>
      </c>
      <c r="C14" s="355"/>
      <c r="D14" s="364"/>
      <c r="E14" s="363">
        <v>46206</v>
      </c>
      <c r="F14" s="358">
        <v>2</v>
      </c>
      <c r="G14" s="364">
        <v>27</v>
      </c>
      <c r="H14" s="360" t="s">
        <v>88</v>
      </c>
      <c r="I14" s="316" t="s">
        <v>88</v>
      </c>
      <c r="J14" s="316" t="s">
        <v>88</v>
      </c>
      <c r="K14" s="316" t="s">
        <v>88</v>
      </c>
      <c r="L14" s="316" t="s">
        <v>88</v>
      </c>
      <c r="M14" s="316" t="s">
        <v>88</v>
      </c>
      <c r="N14" s="316" t="s">
        <v>88</v>
      </c>
      <c r="O14" s="316" t="s">
        <v>88</v>
      </c>
      <c r="P14" s="316" t="s">
        <v>88</v>
      </c>
      <c r="Q14" s="316" t="s">
        <v>88</v>
      </c>
      <c r="R14" s="316" t="s">
        <v>88</v>
      </c>
      <c r="S14" s="316" t="s">
        <v>88</v>
      </c>
      <c r="T14" s="316" t="s">
        <v>88</v>
      </c>
      <c r="U14" s="316" t="s">
        <v>88</v>
      </c>
      <c r="V14" s="316" t="s">
        <v>88</v>
      </c>
      <c r="W14" s="316" t="s">
        <v>88</v>
      </c>
      <c r="X14" s="316" t="s">
        <v>88</v>
      </c>
      <c r="Y14" s="316" t="s">
        <v>88</v>
      </c>
      <c r="Z14" s="316" t="s">
        <v>88</v>
      </c>
      <c r="AA14" s="361" t="s">
        <v>88</v>
      </c>
      <c r="AB14" s="361" t="s">
        <v>88</v>
      </c>
      <c r="AC14" s="371">
        <v>2.2599999999999998</v>
      </c>
      <c r="AD14" s="371">
        <v>2.37</v>
      </c>
      <c r="AE14" s="371">
        <v>2.2999999999999998</v>
      </c>
      <c r="AF14" s="371">
        <f>AVERAGE(AC14:AE14)</f>
        <v>2.31</v>
      </c>
      <c r="AG14" s="316" t="s">
        <v>88</v>
      </c>
      <c r="AH14" s="372" t="s">
        <v>99</v>
      </c>
      <c r="AI14" s="372" t="s">
        <v>99</v>
      </c>
      <c r="AJ14" s="372" t="s">
        <v>99</v>
      </c>
      <c r="AK14" s="372" t="s">
        <v>99</v>
      </c>
      <c r="AL14" s="372" t="s">
        <v>99</v>
      </c>
      <c r="AM14" s="372" t="s">
        <v>99</v>
      </c>
      <c r="AN14" s="361" t="s">
        <v>88</v>
      </c>
      <c r="AO14" s="361" t="s">
        <v>88</v>
      </c>
      <c r="AP14" s="361" t="s">
        <v>88</v>
      </c>
      <c r="AQ14" s="361" t="s">
        <v>88</v>
      </c>
      <c r="AR14" s="361" t="s">
        <v>88</v>
      </c>
      <c r="AS14" s="361" t="s">
        <v>88</v>
      </c>
      <c r="AT14" s="361" t="s">
        <v>88</v>
      </c>
      <c r="AU14" s="361" t="s">
        <v>88</v>
      </c>
      <c r="AV14" s="361" t="s">
        <v>88</v>
      </c>
      <c r="AW14" s="361" t="s">
        <v>88</v>
      </c>
      <c r="AX14" s="361" t="s">
        <v>88</v>
      </c>
      <c r="AY14" s="361" t="s">
        <v>88</v>
      </c>
      <c r="AZ14" s="316" t="s">
        <v>88</v>
      </c>
      <c r="BA14" s="316" t="s">
        <v>88</v>
      </c>
      <c r="BB14" s="316" t="s">
        <v>88</v>
      </c>
      <c r="BC14" s="316" t="s">
        <v>88</v>
      </c>
      <c r="BD14" s="316" t="s">
        <v>88</v>
      </c>
      <c r="BE14" s="316" t="s">
        <v>88</v>
      </c>
      <c r="BF14" s="316" t="s">
        <v>88</v>
      </c>
      <c r="BG14" s="316" t="s">
        <v>88</v>
      </c>
      <c r="BH14" s="316" t="s">
        <v>88</v>
      </c>
      <c r="BI14" s="316" t="s">
        <v>88</v>
      </c>
      <c r="BJ14" s="316" t="s">
        <v>88</v>
      </c>
      <c r="BK14" s="316" t="s">
        <v>88</v>
      </c>
      <c r="BL14" s="354" t="s">
        <v>89</v>
      </c>
      <c r="BM14" s="354" t="s">
        <v>90</v>
      </c>
      <c r="BN14" s="354" t="s">
        <v>91</v>
      </c>
      <c r="BO14" s="354">
        <v>225876</v>
      </c>
      <c r="BP14" s="354" t="s">
        <v>92</v>
      </c>
      <c r="BQ14" s="354" t="s">
        <v>93</v>
      </c>
      <c r="BR14" s="354" t="s">
        <v>94</v>
      </c>
      <c r="BS14" s="354">
        <v>63250612</v>
      </c>
      <c r="BT14" s="354" t="s">
        <v>95</v>
      </c>
      <c r="BU14" s="354" t="s">
        <v>96</v>
      </c>
      <c r="BV14" s="366"/>
    </row>
    <row r="15" spans="1:74" s="2" customFormat="1" ht="24.9" customHeight="1">
      <c r="A15" s="147" t="s">
        <v>85</v>
      </c>
      <c r="B15" s="356" t="s">
        <v>100</v>
      </c>
      <c r="C15" s="355"/>
      <c r="D15" s="356"/>
      <c r="E15" s="363">
        <v>46206</v>
      </c>
      <c r="F15" s="358">
        <v>3</v>
      </c>
      <c r="G15" s="307" t="s">
        <v>87</v>
      </c>
      <c r="H15" s="511" t="s">
        <v>101</v>
      </c>
      <c r="I15" s="316" t="s">
        <v>88</v>
      </c>
      <c r="J15" s="316" t="s">
        <v>88</v>
      </c>
      <c r="K15" s="316" t="s">
        <v>88</v>
      </c>
      <c r="L15" s="316" t="s">
        <v>88</v>
      </c>
      <c r="M15" s="316" t="s">
        <v>88</v>
      </c>
      <c r="N15" s="316" t="s">
        <v>88</v>
      </c>
      <c r="O15" s="316" t="s">
        <v>88</v>
      </c>
      <c r="P15" s="316" t="s">
        <v>88</v>
      </c>
      <c r="Q15" s="371">
        <v>-1.41</v>
      </c>
      <c r="R15" s="317" t="s">
        <v>88</v>
      </c>
      <c r="S15" s="317" t="s">
        <v>88</v>
      </c>
      <c r="T15" s="317" t="s">
        <v>88</v>
      </c>
      <c r="U15" s="316" t="s">
        <v>88</v>
      </c>
      <c r="V15" s="316" t="s">
        <v>88</v>
      </c>
      <c r="W15" s="316" t="s">
        <v>88</v>
      </c>
      <c r="X15" s="316" t="s">
        <v>88</v>
      </c>
      <c r="Y15" s="316" t="s">
        <v>88</v>
      </c>
      <c r="Z15" s="316" t="s">
        <v>88</v>
      </c>
      <c r="AA15" s="316" t="s">
        <v>88</v>
      </c>
      <c r="AB15" s="316" t="s">
        <v>88</v>
      </c>
      <c r="AC15" s="316" t="s">
        <v>88</v>
      </c>
      <c r="AD15" s="316" t="s">
        <v>88</v>
      </c>
      <c r="AE15" s="316" t="s">
        <v>88</v>
      </c>
      <c r="AF15" s="316" t="s">
        <v>88</v>
      </c>
      <c r="AG15" s="371">
        <v>16.79</v>
      </c>
      <c r="AH15" s="316" t="s">
        <v>88</v>
      </c>
      <c r="AI15" s="316" t="s">
        <v>88</v>
      </c>
      <c r="AJ15" s="316" t="s">
        <v>88</v>
      </c>
      <c r="AK15" s="316" t="s">
        <v>88</v>
      </c>
      <c r="AL15" s="316" t="s">
        <v>88</v>
      </c>
      <c r="AM15" s="316" t="s">
        <v>88</v>
      </c>
      <c r="AN15" s="316" t="s">
        <v>88</v>
      </c>
      <c r="AO15" s="316" t="s">
        <v>88</v>
      </c>
      <c r="AP15" s="316" t="s">
        <v>88</v>
      </c>
      <c r="AQ15" s="316" t="s">
        <v>88</v>
      </c>
      <c r="AR15" s="316" t="s">
        <v>88</v>
      </c>
      <c r="AS15" s="316" t="s">
        <v>88</v>
      </c>
      <c r="AT15" s="316" t="s">
        <v>88</v>
      </c>
      <c r="AU15" s="316" t="s">
        <v>88</v>
      </c>
      <c r="AV15" s="316" t="s">
        <v>88</v>
      </c>
      <c r="AW15" s="316" t="s">
        <v>88</v>
      </c>
      <c r="AX15" s="316" t="s">
        <v>88</v>
      </c>
      <c r="AY15" s="316" t="s">
        <v>88</v>
      </c>
      <c r="AZ15" s="316" t="s">
        <v>88</v>
      </c>
      <c r="BA15" s="316" t="s">
        <v>88</v>
      </c>
      <c r="BB15" s="316" t="s">
        <v>88</v>
      </c>
      <c r="BC15" s="316" t="s">
        <v>88</v>
      </c>
      <c r="BD15" s="316" t="s">
        <v>88</v>
      </c>
      <c r="BE15" s="316" t="s">
        <v>88</v>
      </c>
      <c r="BF15" s="316" t="s">
        <v>88</v>
      </c>
      <c r="BG15" s="316" t="s">
        <v>88</v>
      </c>
      <c r="BH15" s="316" t="s">
        <v>88</v>
      </c>
      <c r="BI15" s="316" t="s">
        <v>88</v>
      </c>
      <c r="BJ15" s="316" t="s">
        <v>88</v>
      </c>
      <c r="BK15" s="316" t="s">
        <v>88</v>
      </c>
      <c r="BL15" s="354" t="s">
        <v>89</v>
      </c>
      <c r="BM15" s="354" t="s">
        <v>90</v>
      </c>
      <c r="BN15" s="354" t="s">
        <v>91</v>
      </c>
      <c r="BO15" s="354">
        <v>225876</v>
      </c>
      <c r="BP15" s="354" t="s">
        <v>92</v>
      </c>
      <c r="BQ15" s="354" t="s">
        <v>93</v>
      </c>
      <c r="BR15" s="354" t="s">
        <v>94</v>
      </c>
      <c r="BS15" s="354">
        <v>63250612</v>
      </c>
      <c r="BT15" s="354" t="s">
        <v>95</v>
      </c>
      <c r="BU15" s="354" t="s">
        <v>96</v>
      </c>
      <c r="BV15" s="478"/>
    </row>
    <row r="16" spans="1:74" s="2" customFormat="1" ht="24.9" customHeight="1">
      <c r="A16" s="147" t="s">
        <v>85</v>
      </c>
      <c r="B16" s="356" t="s">
        <v>102</v>
      </c>
      <c r="C16" s="355"/>
      <c r="D16" s="356"/>
      <c r="E16" s="363">
        <v>46206</v>
      </c>
      <c r="F16" s="358">
        <v>3</v>
      </c>
      <c r="G16" s="307" t="s">
        <v>87</v>
      </c>
      <c r="H16" s="360" t="s">
        <v>88</v>
      </c>
      <c r="I16" s="316" t="s">
        <v>88</v>
      </c>
      <c r="J16" s="316" t="s">
        <v>88</v>
      </c>
      <c r="K16" s="316" t="s">
        <v>88</v>
      </c>
      <c r="L16" s="316" t="s">
        <v>88</v>
      </c>
      <c r="M16" s="316" t="s">
        <v>88</v>
      </c>
      <c r="N16" s="316" t="s">
        <v>88</v>
      </c>
      <c r="O16" s="316" t="s">
        <v>88</v>
      </c>
      <c r="P16" s="316" t="s">
        <v>88</v>
      </c>
      <c r="Q16" s="316" t="s">
        <v>88</v>
      </c>
      <c r="R16" s="316" t="s">
        <v>88</v>
      </c>
      <c r="S16" s="316" t="s">
        <v>88</v>
      </c>
      <c r="T16" s="316" t="s">
        <v>88</v>
      </c>
      <c r="U16" s="316" t="s">
        <v>88</v>
      </c>
      <c r="V16" s="316" t="s">
        <v>88</v>
      </c>
      <c r="W16" s="316" t="s">
        <v>88</v>
      </c>
      <c r="X16" s="316" t="s">
        <v>88</v>
      </c>
      <c r="Y16" s="316" t="s">
        <v>88</v>
      </c>
      <c r="Z16" s="316" t="s">
        <v>88</v>
      </c>
      <c r="AA16" s="316" t="s">
        <v>88</v>
      </c>
      <c r="AB16" s="316" t="s">
        <v>88</v>
      </c>
      <c r="AC16" s="316" t="s">
        <v>88</v>
      </c>
      <c r="AD16" s="316" t="s">
        <v>88</v>
      </c>
      <c r="AE16" s="316" t="s">
        <v>88</v>
      </c>
      <c r="AF16" s="316" t="s">
        <v>88</v>
      </c>
      <c r="AG16" s="316" t="s">
        <v>88</v>
      </c>
      <c r="AH16" s="316" t="s">
        <v>88</v>
      </c>
      <c r="AI16" s="316" t="s">
        <v>88</v>
      </c>
      <c r="AJ16" s="316" t="s">
        <v>88</v>
      </c>
      <c r="AK16" s="316" t="s">
        <v>88</v>
      </c>
      <c r="AL16" s="316" t="s">
        <v>88</v>
      </c>
      <c r="AM16" s="316" t="s">
        <v>88</v>
      </c>
      <c r="AN16" s="316" t="s">
        <v>88</v>
      </c>
      <c r="AO16" s="316" t="s">
        <v>88</v>
      </c>
      <c r="AP16" s="316" t="s">
        <v>88</v>
      </c>
      <c r="AQ16" s="316" t="s">
        <v>88</v>
      </c>
      <c r="AR16" s="316" t="s">
        <v>88</v>
      </c>
      <c r="AS16" s="316" t="s">
        <v>88</v>
      </c>
      <c r="AT16" s="316" t="s">
        <v>88</v>
      </c>
      <c r="AU16" s="316" t="s">
        <v>88</v>
      </c>
      <c r="AV16" s="316" t="s">
        <v>88</v>
      </c>
      <c r="AW16" s="316" t="s">
        <v>88</v>
      </c>
      <c r="AX16" s="316" t="s">
        <v>88</v>
      </c>
      <c r="AY16" s="316" t="s">
        <v>88</v>
      </c>
      <c r="AZ16" s="459">
        <v>89.86</v>
      </c>
      <c r="BA16" s="459">
        <v>38.25</v>
      </c>
      <c r="BB16" s="371">
        <v>53.76</v>
      </c>
      <c r="BC16" s="371">
        <v>21.19</v>
      </c>
      <c r="BD16" s="316" t="s">
        <v>88</v>
      </c>
      <c r="BE16" s="316" t="s">
        <v>88</v>
      </c>
      <c r="BF16" s="371">
        <v>53.32</v>
      </c>
      <c r="BG16" s="371">
        <v>32.61</v>
      </c>
      <c r="BH16" s="371">
        <v>47.09</v>
      </c>
      <c r="BI16" s="371">
        <v>27.08</v>
      </c>
      <c r="BJ16" s="316" t="s">
        <v>88</v>
      </c>
      <c r="BK16" s="316" t="s">
        <v>88</v>
      </c>
      <c r="BL16" s="354" t="s">
        <v>89</v>
      </c>
      <c r="BM16" s="354" t="s">
        <v>90</v>
      </c>
      <c r="BN16" s="354" t="s">
        <v>91</v>
      </c>
      <c r="BO16" s="354">
        <v>225876</v>
      </c>
      <c r="BP16" s="354" t="s">
        <v>92</v>
      </c>
      <c r="BQ16" s="354" t="s">
        <v>93</v>
      </c>
      <c r="BR16" s="354" t="s">
        <v>94</v>
      </c>
      <c r="BS16" s="354">
        <v>63250612</v>
      </c>
      <c r="BT16" s="354" t="s">
        <v>95</v>
      </c>
      <c r="BU16" s="354" t="s">
        <v>96</v>
      </c>
      <c r="BV16" s="476" t="s">
        <v>103</v>
      </c>
    </row>
    <row r="17" spans="1:74" s="2" customFormat="1" ht="24.9" customHeight="1">
      <c r="A17" s="147" t="s">
        <v>85</v>
      </c>
      <c r="B17" s="356" t="s">
        <v>104</v>
      </c>
      <c r="C17" s="355"/>
      <c r="D17" s="356"/>
      <c r="E17" s="363">
        <v>46207</v>
      </c>
      <c r="F17" s="358">
        <v>1</v>
      </c>
      <c r="G17" s="307" t="s">
        <v>87</v>
      </c>
      <c r="H17" s="360" t="s">
        <v>88</v>
      </c>
      <c r="I17" s="316" t="s">
        <v>88</v>
      </c>
      <c r="J17" s="316" t="s">
        <v>88</v>
      </c>
      <c r="K17" s="316" t="s">
        <v>88</v>
      </c>
      <c r="L17" s="316" t="s">
        <v>88</v>
      </c>
      <c r="M17" s="316" t="s">
        <v>88</v>
      </c>
      <c r="N17" s="316" t="s">
        <v>88</v>
      </c>
      <c r="O17" s="316" t="s">
        <v>88</v>
      </c>
      <c r="P17" s="316" t="s">
        <v>88</v>
      </c>
      <c r="Q17" s="316" t="s">
        <v>88</v>
      </c>
      <c r="R17" s="316" t="s">
        <v>88</v>
      </c>
      <c r="S17" s="316" t="s">
        <v>88</v>
      </c>
      <c r="T17" s="316" t="s">
        <v>88</v>
      </c>
      <c r="U17" s="316" t="s">
        <v>88</v>
      </c>
      <c r="V17" s="316" t="s">
        <v>88</v>
      </c>
      <c r="W17" s="316" t="s">
        <v>88</v>
      </c>
      <c r="X17" s="316" t="s">
        <v>88</v>
      </c>
      <c r="Y17" s="316" t="s">
        <v>88</v>
      </c>
      <c r="Z17" s="316" t="s">
        <v>88</v>
      </c>
      <c r="AA17" s="316" t="s">
        <v>88</v>
      </c>
      <c r="AB17" s="316" t="s">
        <v>88</v>
      </c>
      <c r="AC17" s="316" t="s">
        <v>88</v>
      </c>
      <c r="AD17" s="316" t="s">
        <v>88</v>
      </c>
      <c r="AE17" s="316" t="s">
        <v>88</v>
      </c>
      <c r="AF17" s="316" t="s">
        <v>88</v>
      </c>
      <c r="AG17" s="316" t="s">
        <v>88</v>
      </c>
      <c r="AH17" s="316" t="s">
        <v>88</v>
      </c>
      <c r="AI17" s="316" t="s">
        <v>88</v>
      </c>
      <c r="AJ17" s="316" t="s">
        <v>88</v>
      </c>
      <c r="AK17" s="316" t="s">
        <v>88</v>
      </c>
      <c r="AL17" s="316" t="s">
        <v>88</v>
      </c>
      <c r="AM17" s="316" t="s">
        <v>88</v>
      </c>
      <c r="AN17" s="316" t="s">
        <v>88</v>
      </c>
      <c r="AO17" s="316" t="s">
        <v>88</v>
      </c>
      <c r="AP17" s="316" t="s">
        <v>88</v>
      </c>
      <c r="AQ17" s="316" t="s">
        <v>88</v>
      </c>
      <c r="AR17" s="316" t="s">
        <v>88</v>
      </c>
      <c r="AS17" s="316" t="s">
        <v>88</v>
      </c>
      <c r="AT17" s="316" t="s">
        <v>88</v>
      </c>
      <c r="AU17" s="316" t="s">
        <v>88</v>
      </c>
      <c r="AV17" s="316" t="s">
        <v>88</v>
      </c>
      <c r="AW17" s="316" t="s">
        <v>88</v>
      </c>
      <c r="AX17" s="316" t="s">
        <v>88</v>
      </c>
      <c r="AY17" s="316" t="s">
        <v>88</v>
      </c>
      <c r="AZ17" s="371">
        <v>74.069999999999993</v>
      </c>
      <c r="BA17" s="371">
        <v>44.45</v>
      </c>
      <c r="BB17" s="371">
        <v>67.89</v>
      </c>
      <c r="BC17" s="371">
        <v>40.81</v>
      </c>
      <c r="BD17" s="316" t="s">
        <v>88</v>
      </c>
      <c r="BE17" s="316" t="s">
        <v>88</v>
      </c>
      <c r="BF17" s="371">
        <v>71.56</v>
      </c>
      <c r="BG17" s="371">
        <v>33.950000000000003</v>
      </c>
      <c r="BH17" s="371">
        <v>61.61</v>
      </c>
      <c r="BI17" s="371">
        <v>31.39</v>
      </c>
      <c r="BJ17" s="316" t="s">
        <v>88</v>
      </c>
      <c r="BK17" s="316" t="s">
        <v>88</v>
      </c>
      <c r="BL17" s="354" t="s">
        <v>89</v>
      </c>
      <c r="BM17" s="354" t="s">
        <v>90</v>
      </c>
      <c r="BN17" s="354" t="s">
        <v>91</v>
      </c>
      <c r="BO17" s="354">
        <v>225876</v>
      </c>
      <c r="BP17" s="354" t="s">
        <v>92</v>
      </c>
      <c r="BQ17" s="354" t="s">
        <v>93</v>
      </c>
      <c r="BR17" s="354" t="s">
        <v>94</v>
      </c>
      <c r="BS17" s="354">
        <v>63250612</v>
      </c>
      <c r="BT17" s="354" t="s">
        <v>95</v>
      </c>
      <c r="BU17" s="354" t="s">
        <v>96</v>
      </c>
      <c r="BV17" s="477"/>
    </row>
    <row r="18" spans="1:74" s="2" customFormat="1" ht="24.9" customHeight="1">
      <c r="A18" s="147" t="s">
        <v>85</v>
      </c>
      <c r="B18" s="356" t="s">
        <v>105</v>
      </c>
      <c r="C18" s="355"/>
      <c r="D18" s="356"/>
      <c r="E18" s="363">
        <v>46207</v>
      </c>
      <c r="F18" s="358">
        <v>1</v>
      </c>
      <c r="G18" s="307" t="s">
        <v>87</v>
      </c>
      <c r="H18" s="511" t="s">
        <v>101</v>
      </c>
      <c r="I18" s="371">
        <v>340</v>
      </c>
      <c r="J18" s="371">
        <v>436</v>
      </c>
      <c r="K18" s="371">
        <v>388.25</v>
      </c>
      <c r="L18" s="371">
        <v>202.75</v>
      </c>
      <c r="M18" s="371">
        <v>313.75</v>
      </c>
      <c r="N18" s="371">
        <v>266</v>
      </c>
      <c r="O18" s="316" t="s">
        <v>88</v>
      </c>
      <c r="P18" s="316" t="s">
        <v>88</v>
      </c>
      <c r="Q18" s="371">
        <v>1.69</v>
      </c>
      <c r="R18" s="316" t="s">
        <v>88</v>
      </c>
      <c r="S18" s="316" t="s">
        <v>88</v>
      </c>
      <c r="T18" s="316" t="s">
        <v>88</v>
      </c>
      <c r="U18" s="316" t="s">
        <v>88</v>
      </c>
      <c r="V18" s="316" t="s">
        <v>88</v>
      </c>
      <c r="W18" s="316" t="s">
        <v>88</v>
      </c>
      <c r="X18" s="316" t="s">
        <v>88</v>
      </c>
      <c r="Y18" s="316" t="s">
        <v>88</v>
      </c>
      <c r="Z18" s="316" t="s">
        <v>88</v>
      </c>
      <c r="AA18" s="316" t="s">
        <v>88</v>
      </c>
      <c r="AB18" s="316" t="s">
        <v>88</v>
      </c>
      <c r="AC18" s="316" t="s">
        <v>88</v>
      </c>
      <c r="AD18" s="316" t="s">
        <v>88</v>
      </c>
      <c r="AE18" s="306"/>
      <c r="AF18" s="306"/>
      <c r="AG18" s="371">
        <v>1.69</v>
      </c>
      <c r="AH18" s="316" t="s">
        <v>88</v>
      </c>
      <c r="AI18" s="316" t="s">
        <v>88</v>
      </c>
      <c r="AJ18" s="316" t="s">
        <v>88</v>
      </c>
      <c r="AK18" s="316" t="s">
        <v>88</v>
      </c>
      <c r="AL18" s="316" t="s">
        <v>88</v>
      </c>
      <c r="AM18" s="316" t="s">
        <v>88</v>
      </c>
      <c r="AN18" s="316" t="s">
        <v>88</v>
      </c>
      <c r="AO18" s="316" t="s">
        <v>88</v>
      </c>
      <c r="AP18" s="316" t="s">
        <v>88</v>
      </c>
      <c r="AQ18" s="316" t="s">
        <v>88</v>
      </c>
      <c r="AR18" s="316" t="s">
        <v>88</v>
      </c>
      <c r="AS18" s="316" t="s">
        <v>88</v>
      </c>
      <c r="AT18" s="316" t="s">
        <v>88</v>
      </c>
      <c r="AU18" s="316" t="s">
        <v>88</v>
      </c>
      <c r="AV18" s="316" t="s">
        <v>88</v>
      </c>
      <c r="AW18" s="316" t="s">
        <v>88</v>
      </c>
      <c r="AX18" s="316" t="s">
        <v>88</v>
      </c>
      <c r="AY18" s="316" t="s">
        <v>88</v>
      </c>
      <c r="AZ18" s="316" t="s">
        <v>88</v>
      </c>
      <c r="BA18" s="316" t="s">
        <v>88</v>
      </c>
      <c r="BB18" s="316" t="s">
        <v>88</v>
      </c>
      <c r="BC18" s="316" t="s">
        <v>88</v>
      </c>
      <c r="BD18" s="316" t="s">
        <v>88</v>
      </c>
      <c r="BE18" s="316" t="s">
        <v>88</v>
      </c>
      <c r="BF18" s="316" t="s">
        <v>88</v>
      </c>
      <c r="BG18" s="316" t="s">
        <v>88</v>
      </c>
      <c r="BH18" s="316" t="s">
        <v>88</v>
      </c>
      <c r="BI18" s="316" t="s">
        <v>88</v>
      </c>
      <c r="BJ18" s="316" t="s">
        <v>88</v>
      </c>
      <c r="BK18" s="316" t="s">
        <v>88</v>
      </c>
      <c r="BL18" s="354" t="s">
        <v>89</v>
      </c>
      <c r="BM18" s="354" t="s">
        <v>90</v>
      </c>
      <c r="BN18" s="354" t="s">
        <v>91</v>
      </c>
      <c r="BO18" s="354">
        <v>225876</v>
      </c>
      <c r="BP18" s="354" t="s">
        <v>92</v>
      </c>
      <c r="BQ18" s="354" t="s">
        <v>93</v>
      </c>
      <c r="BR18" s="354" t="s">
        <v>94</v>
      </c>
      <c r="BS18" s="354">
        <v>63250612</v>
      </c>
      <c r="BT18" s="354" t="s">
        <v>95</v>
      </c>
      <c r="BU18" s="354" t="s">
        <v>96</v>
      </c>
      <c r="BV18" s="477"/>
    </row>
    <row r="19" spans="1:74" s="2" customFormat="1" ht="24.9" customHeight="1">
      <c r="A19" s="147" t="s">
        <v>85</v>
      </c>
      <c r="B19" s="364" t="s">
        <v>106</v>
      </c>
      <c r="C19" s="355"/>
      <c r="D19" s="364"/>
      <c r="E19" s="363">
        <v>46207</v>
      </c>
      <c r="F19" s="358">
        <v>1</v>
      </c>
      <c r="G19" s="307" t="s">
        <v>87</v>
      </c>
      <c r="H19" s="360" t="s">
        <v>88</v>
      </c>
      <c r="I19" s="371">
        <v>351</v>
      </c>
      <c r="J19" s="371">
        <v>392</v>
      </c>
      <c r="K19" s="371">
        <v>368</v>
      </c>
      <c r="L19" s="371">
        <v>330</v>
      </c>
      <c r="M19" s="371">
        <v>393</v>
      </c>
      <c r="N19" s="371">
        <v>364.25</v>
      </c>
      <c r="O19" s="316" t="s">
        <v>88</v>
      </c>
      <c r="P19" s="316" t="s">
        <v>88</v>
      </c>
      <c r="Q19" s="316" t="s">
        <v>88</v>
      </c>
      <c r="R19" s="316" t="s">
        <v>88</v>
      </c>
      <c r="S19" s="316" t="s">
        <v>88</v>
      </c>
      <c r="T19" s="316" t="s">
        <v>88</v>
      </c>
      <c r="U19" s="316" t="s">
        <v>88</v>
      </c>
      <c r="V19" s="316" t="s">
        <v>88</v>
      </c>
      <c r="W19" s="316" t="s">
        <v>88</v>
      </c>
      <c r="X19" s="316" t="s">
        <v>88</v>
      </c>
      <c r="Y19" s="316" t="s">
        <v>88</v>
      </c>
      <c r="Z19" s="316" t="s">
        <v>88</v>
      </c>
      <c r="AA19" s="316" t="s">
        <v>88</v>
      </c>
      <c r="AB19" s="316" t="s">
        <v>88</v>
      </c>
      <c r="AC19" s="316" t="s">
        <v>88</v>
      </c>
      <c r="AD19" s="316" t="s">
        <v>88</v>
      </c>
      <c r="AE19" s="316" t="s">
        <v>88</v>
      </c>
      <c r="AF19" s="316" t="s">
        <v>88</v>
      </c>
      <c r="AG19" s="316" t="s">
        <v>88</v>
      </c>
      <c r="AH19" s="316" t="s">
        <v>88</v>
      </c>
      <c r="AI19" s="316" t="s">
        <v>88</v>
      </c>
      <c r="AJ19" s="316" t="s">
        <v>88</v>
      </c>
      <c r="AK19" s="316" t="s">
        <v>88</v>
      </c>
      <c r="AL19" s="316" t="s">
        <v>88</v>
      </c>
      <c r="AM19" s="316" t="s">
        <v>88</v>
      </c>
      <c r="AN19" s="316" t="s">
        <v>88</v>
      </c>
      <c r="AO19" s="316" t="s">
        <v>88</v>
      </c>
      <c r="AP19" s="316" t="s">
        <v>88</v>
      </c>
      <c r="AQ19" s="316" t="s">
        <v>88</v>
      </c>
      <c r="AR19" s="316" t="s">
        <v>88</v>
      </c>
      <c r="AS19" s="316" t="s">
        <v>88</v>
      </c>
      <c r="AT19" s="316" t="s">
        <v>88</v>
      </c>
      <c r="AU19" s="316" t="s">
        <v>88</v>
      </c>
      <c r="AV19" s="316" t="s">
        <v>88</v>
      </c>
      <c r="AW19" s="316" t="s">
        <v>88</v>
      </c>
      <c r="AX19" s="316" t="s">
        <v>88</v>
      </c>
      <c r="AY19" s="316" t="s">
        <v>88</v>
      </c>
      <c r="AZ19" s="316" t="s">
        <v>88</v>
      </c>
      <c r="BA19" s="316" t="s">
        <v>88</v>
      </c>
      <c r="BB19" s="316" t="s">
        <v>88</v>
      </c>
      <c r="BC19" s="316" t="s">
        <v>88</v>
      </c>
      <c r="BD19" s="316" t="s">
        <v>88</v>
      </c>
      <c r="BE19" s="316" t="s">
        <v>88</v>
      </c>
      <c r="BF19" s="316" t="s">
        <v>88</v>
      </c>
      <c r="BG19" s="316" t="s">
        <v>88</v>
      </c>
      <c r="BH19" s="316" t="s">
        <v>88</v>
      </c>
      <c r="BI19" s="316" t="s">
        <v>88</v>
      </c>
      <c r="BJ19" s="316" t="s">
        <v>88</v>
      </c>
      <c r="BK19" s="316" t="s">
        <v>88</v>
      </c>
      <c r="BL19" s="354" t="s">
        <v>89</v>
      </c>
      <c r="BM19" s="354" t="s">
        <v>90</v>
      </c>
      <c r="BN19" s="354" t="s">
        <v>91</v>
      </c>
      <c r="BO19" s="354">
        <v>225876</v>
      </c>
      <c r="BP19" s="354" t="s">
        <v>92</v>
      </c>
      <c r="BQ19" s="354" t="s">
        <v>93</v>
      </c>
      <c r="BR19" s="354" t="s">
        <v>94</v>
      </c>
      <c r="BS19" s="354">
        <v>63250612</v>
      </c>
      <c r="BT19" s="354" t="s">
        <v>95</v>
      </c>
      <c r="BU19" s="354" t="s">
        <v>96</v>
      </c>
      <c r="BV19" s="477"/>
    </row>
    <row r="20" spans="1:74" s="2" customFormat="1" ht="24.9" customHeight="1">
      <c r="A20" s="147" t="s">
        <v>85</v>
      </c>
      <c r="B20" s="356" t="s">
        <v>107</v>
      </c>
      <c r="C20" s="355"/>
      <c r="D20" s="356"/>
      <c r="E20" s="363">
        <v>46207</v>
      </c>
      <c r="F20" s="358">
        <v>2</v>
      </c>
      <c r="G20" s="358">
        <v>27</v>
      </c>
      <c r="H20" s="379" t="s">
        <v>88</v>
      </c>
      <c r="I20" s="371">
        <v>319</v>
      </c>
      <c r="J20" s="371">
        <v>409</v>
      </c>
      <c r="K20" s="371">
        <v>357</v>
      </c>
      <c r="L20" s="371">
        <v>207</v>
      </c>
      <c r="M20" s="371">
        <v>339</v>
      </c>
      <c r="N20" s="371">
        <v>250</v>
      </c>
      <c r="O20" s="316" t="s">
        <v>88</v>
      </c>
      <c r="P20" s="316" t="s">
        <v>88</v>
      </c>
      <c r="Q20" s="371">
        <v>-0.54</v>
      </c>
      <c r="R20" s="316" t="s">
        <v>88</v>
      </c>
      <c r="S20" s="316" t="s">
        <v>88</v>
      </c>
      <c r="T20" s="316" t="s">
        <v>88</v>
      </c>
      <c r="U20" s="316" t="s">
        <v>88</v>
      </c>
      <c r="V20" s="316" t="s">
        <v>88</v>
      </c>
      <c r="W20" s="316" t="s">
        <v>88</v>
      </c>
      <c r="X20" s="316" t="s">
        <v>88</v>
      </c>
      <c r="Y20" s="316" t="s">
        <v>88</v>
      </c>
      <c r="Z20" s="316" t="s">
        <v>88</v>
      </c>
      <c r="AA20" s="316" t="s">
        <v>88</v>
      </c>
      <c r="AB20" s="316" t="s">
        <v>88</v>
      </c>
      <c r="AC20" s="316" t="s">
        <v>88</v>
      </c>
      <c r="AD20" s="316" t="s">
        <v>88</v>
      </c>
      <c r="AE20" s="316" t="s">
        <v>88</v>
      </c>
      <c r="AF20" s="316" t="s">
        <v>88</v>
      </c>
      <c r="AG20" s="371">
        <v>1.46</v>
      </c>
      <c r="AH20" s="316" t="s">
        <v>88</v>
      </c>
      <c r="AI20" s="316" t="s">
        <v>88</v>
      </c>
      <c r="AJ20" s="316" t="s">
        <v>88</v>
      </c>
      <c r="AK20" s="316" t="s">
        <v>88</v>
      </c>
      <c r="AL20" s="316" t="s">
        <v>88</v>
      </c>
      <c r="AM20" s="316" t="s">
        <v>88</v>
      </c>
      <c r="AN20" s="316" t="s">
        <v>88</v>
      </c>
      <c r="AO20" s="316" t="s">
        <v>88</v>
      </c>
      <c r="AP20" s="316" t="s">
        <v>88</v>
      </c>
      <c r="AQ20" s="316" t="s">
        <v>88</v>
      </c>
      <c r="AR20" s="316" t="s">
        <v>88</v>
      </c>
      <c r="AS20" s="316" t="s">
        <v>88</v>
      </c>
      <c r="AT20" s="316" t="s">
        <v>88</v>
      </c>
      <c r="AU20" s="316" t="s">
        <v>88</v>
      </c>
      <c r="AV20" s="316" t="s">
        <v>88</v>
      </c>
      <c r="AW20" s="316" t="s">
        <v>88</v>
      </c>
      <c r="AX20" s="316" t="s">
        <v>88</v>
      </c>
      <c r="AY20" s="316" t="s">
        <v>88</v>
      </c>
      <c r="AZ20" s="316" t="s">
        <v>88</v>
      </c>
      <c r="BA20" s="316" t="s">
        <v>88</v>
      </c>
      <c r="BB20" s="316" t="s">
        <v>88</v>
      </c>
      <c r="BC20" s="316" t="s">
        <v>88</v>
      </c>
      <c r="BD20" s="316" t="s">
        <v>88</v>
      </c>
      <c r="BE20" s="316" t="s">
        <v>88</v>
      </c>
      <c r="BF20" s="316" t="s">
        <v>88</v>
      </c>
      <c r="BG20" s="316" t="s">
        <v>88</v>
      </c>
      <c r="BH20" s="316" t="s">
        <v>88</v>
      </c>
      <c r="BI20" s="316" t="s">
        <v>88</v>
      </c>
      <c r="BJ20" s="316" t="s">
        <v>88</v>
      </c>
      <c r="BK20" s="316" t="s">
        <v>88</v>
      </c>
      <c r="BL20" s="354" t="s">
        <v>89</v>
      </c>
      <c r="BM20" s="354" t="s">
        <v>90</v>
      </c>
      <c r="BN20" s="354" t="s">
        <v>91</v>
      </c>
      <c r="BO20" s="354">
        <v>225876</v>
      </c>
      <c r="BP20" s="354" t="s">
        <v>92</v>
      </c>
      <c r="BQ20" s="354" t="s">
        <v>93</v>
      </c>
      <c r="BR20" s="354" t="s">
        <v>94</v>
      </c>
      <c r="BS20" s="354">
        <v>63250612</v>
      </c>
      <c r="BT20" s="354" t="s">
        <v>95</v>
      </c>
      <c r="BU20" s="354" t="s">
        <v>96</v>
      </c>
      <c r="BV20" s="477"/>
    </row>
    <row r="21" spans="1:74" s="2" customFormat="1" ht="24.9" customHeight="1">
      <c r="A21" s="147" t="s">
        <v>85</v>
      </c>
      <c r="B21" s="356" t="s">
        <v>108</v>
      </c>
      <c r="C21" s="355"/>
      <c r="D21" s="356"/>
      <c r="E21" s="363">
        <v>46207</v>
      </c>
      <c r="F21" s="358">
        <v>2</v>
      </c>
      <c r="G21" s="358">
        <v>27</v>
      </c>
      <c r="H21" s="379" t="s">
        <v>88</v>
      </c>
      <c r="I21" s="316" t="s">
        <v>88</v>
      </c>
      <c r="J21" s="316" t="s">
        <v>88</v>
      </c>
      <c r="K21" s="316" t="s">
        <v>88</v>
      </c>
      <c r="L21" s="316" t="s">
        <v>88</v>
      </c>
      <c r="M21" s="316" t="s">
        <v>88</v>
      </c>
      <c r="N21" s="316" t="s">
        <v>88</v>
      </c>
      <c r="O21" s="316" t="s">
        <v>88</v>
      </c>
      <c r="P21" s="316" t="s">
        <v>88</v>
      </c>
      <c r="Q21" s="316" t="s">
        <v>88</v>
      </c>
      <c r="R21" s="316" t="s">
        <v>88</v>
      </c>
      <c r="S21" s="316" t="s">
        <v>88</v>
      </c>
      <c r="T21" s="316" t="s">
        <v>88</v>
      </c>
      <c r="U21" s="316" t="s">
        <v>88</v>
      </c>
      <c r="V21" s="316" t="s">
        <v>88</v>
      </c>
      <c r="W21" s="316" t="s">
        <v>88</v>
      </c>
      <c r="X21" s="316" t="s">
        <v>88</v>
      </c>
      <c r="Y21" s="316" t="s">
        <v>88</v>
      </c>
      <c r="Z21" s="316" t="s">
        <v>88</v>
      </c>
      <c r="AA21" s="316" t="s">
        <v>88</v>
      </c>
      <c r="AB21" s="316" t="s">
        <v>88</v>
      </c>
      <c r="AC21" s="316" t="s">
        <v>88</v>
      </c>
      <c r="AD21" s="316" t="s">
        <v>88</v>
      </c>
      <c r="AE21" s="316" t="s">
        <v>88</v>
      </c>
      <c r="AF21" s="316" t="s">
        <v>88</v>
      </c>
      <c r="AG21" s="316" t="s">
        <v>88</v>
      </c>
      <c r="AH21" s="316" t="s">
        <v>88</v>
      </c>
      <c r="AI21" s="316" t="s">
        <v>88</v>
      </c>
      <c r="AJ21" s="316" t="s">
        <v>88</v>
      </c>
      <c r="AK21" s="316" t="s">
        <v>88</v>
      </c>
      <c r="AL21" s="316" t="s">
        <v>88</v>
      </c>
      <c r="AM21" s="316" t="s">
        <v>88</v>
      </c>
      <c r="AN21" s="316" t="s">
        <v>88</v>
      </c>
      <c r="AO21" s="316" t="s">
        <v>88</v>
      </c>
      <c r="AP21" s="316" t="s">
        <v>88</v>
      </c>
      <c r="AQ21" s="316" t="s">
        <v>88</v>
      </c>
      <c r="AR21" s="316" t="s">
        <v>88</v>
      </c>
      <c r="AS21" s="316" t="s">
        <v>88</v>
      </c>
      <c r="AT21" s="316" t="s">
        <v>88</v>
      </c>
      <c r="AU21" s="316" t="s">
        <v>88</v>
      </c>
      <c r="AV21" s="316" t="s">
        <v>88</v>
      </c>
      <c r="AW21" s="316" t="s">
        <v>88</v>
      </c>
      <c r="AX21" s="316" t="s">
        <v>88</v>
      </c>
      <c r="AY21" s="316" t="s">
        <v>88</v>
      </c>
      <c r="AZ21" s="459">
        <v>88.29</v>
      </c>
      <c r="BA21" s="459">
        <v>41.12</v>
      </c>
      <c r="BB21" s="371">
        <v>34.92</v>
      </c>
      <c r="BC21" s="371">
        <v>36</v>
      </c>
      <c r="BD21" s="371">
        <v>88.29</v>
      </c>
      <c r="BE21" s="371">
        <v>48.66</v>
      </c>
      <c r="BF21" s="459">
        <v>63.99</v>
      </c>
      <c r="BG21" s="459">
        <v>47.28</v>
      </c>
      <c r="BH21" s="459">
        <v>52.19</v>
      </c>
      <c r="BI21" s="459">
        <v>34.53</v>
      </c>
      <c r="BJ21" s="316" t="s">
        <v>88</v>
      </c>
      <c r="BK21" s="316" t="s">
        <v>88</v>
      </c>
      <c r="BL21" s="354" t="s">
        <v>89</v>
      </c>
      <c r="BM21" s="354" t="s">
        <v>90</v>
      </c>
      <c r="BN21" s="354" t="s">
        <v>91</v>
      </c>
      <c r="BO21" s="354">
        <v>225876</v>
      </c>
      <c r="BP21" s="354" t="s">
        <v>92</v>
      </c>
      <c r="BQ21" s="354" t="s">
        <v>93</v>
      </c>
      <c r="BR21" s="354" t="s">
        <v>94</v>
      </c>
      <c r="BS21" s="354">
        <v>63250612</v>
      </c>
      <c r="BT21" s="354" t="s">
        <v>95</v>
      </c>
      <c r="BU21" s="354" t="s">
        <v>96</v>
      </c>
      <c r="BV21" s="477"/>
    </row>
    <row r="22" spans="1:74" s="2" customFormat="1" ht="24.9" customHeight="1">
      <c r="A22" s="147" t="s">
        <v>85</v>
      </c>
      <c r="B22" s="356" t="s">
        <v>109</v>
      </c>
      <c r="C22" s="355"/>
      <c r="D22" s="356"/>
      <c r="E22" s="363">
        <v>46207</v>
      </c>
      <c r="F22" s="358">
        <v>2</v>
      </c>
      <c r="G22" s="358">
        <v>27</v>
      </c>
      <c r="H22" s="379" t="s">
        <v>88</v>
      </c>
      <c r="I22" s="379" t="s">
        <v>88</v>
      </c>
      <c r="J22" s="379" t="s">
        <v>88</v>
      </c>
      <c r="K22" s="379" t="s">
        <v>88</v>
      </c>
      <c r="L22" s="379" t="s">
        <v>88</v>
      </c>
      <c r="M22" s="379" t="s">
        <v>88</v>
      </c>
      <c r="N22" s="379" t="s">
        <v>88</v>
      </c>
      <c r="O22" s="379" t="s">
        <v>88</v>
      </c>
      <c r="P22" s="379" t="s">
        <v>88</v>
      </c>
      <c r="Q22" s="379" t="s">
        <v>88</v>
      </c>
      <c r="R22" s="379" t="s">
        <v>88</v>
      </c>
      <c r="S22" s="379" t="s">
        <v>88</v>
      </c>
      <c r="T22" s="379" t="s">
        <v>88</v>
      </c>
      <c r="U22" s="379" t="s">
        <v>88</v>
      </c>
      <c r="V22" s="379" t="s">
        <v>88</v>
      </c>
      <c r="W22" s="379" t="s">
        <v>88</v>
      </c>
      <c r="X22" s="379" t="s">
        <v>88</v>
      </c>
      <c r="Y22" s="379" t="s">
        <v>88</v>
      </c>
      <c r="Z22" s="379" t="s">
        <v>88</v>
      </c>
      <c r="AA22" s="379" t="s">
        <v>88</v>
      </c>
      <c r="AB22" s="379" t="s">
        <v>88</v>
      </c>
      <c r="AC22" s="372">
        <v>2.36</v>
      </c>
      <c r="AD22" s="372">
        <v>2.0499999999999998</v>
      </c>
      <c r="AE22" s="372">
        <v>2.21</v>
      </c>
      <c r="AF22" s="371">
        <f>AVERAGE(AC22:AE22)</f>
        <v>2.2066666666666666</v>
      </c>
      <c r="AG22" s="316" t="s">
        <v>88</v>
      </c>
      <c r="AH22" s="372" t="s">
        <v>99</v>
      </c>
      <c r="AI22" s="372" t="s">
        <v>99</v>
      </c>
      <c r="AJ22" s="372" t="s">
        <v>99</v>
      </c>
      <c r="AK22" s="372" t="s">
        <v>99</v>
      </c>
      <c r="AL22" s="372" t="s">
        <v>99</v>
      </c>
      <c r="AM22" s="372" t="s">
        <v>99</v>
      </c>
      <c r="AN22" s="379" t="s">
        <v>88</v>
      </c>
      <c r="AO22" s="379" t="s">
        <v>88</v>
      </c>
      <c r="AP22" s="379" t="s">
        <v>88</v>
      </c>
      <c r="AQ22" s="379" t="s">
        <v>88</v>
      </c>
      <c r="AR22" s="379" t="s">
        <v>88</v>
      </c>
      <c r="AS22" s="379" t="s">
        <v>88</v>
      </c>
      <c r="AT22" s="379" t="s">
        <v>88</v>
      </c>
      <c r="AU22" s="379" t="s">
        <v>88</v>
      </c>
      <c r="AV22" s="379" t="s">
        <v>88</v>
      </c>
      <c r="AW22" s="379" t="s">
        <v>88</v>
      </c>
      <c r="AX22" s="379" t="s">
        <v>88</v>
      </c>
      <c r="AY22" s="379" t="s">
        <v>88</v>
      </c>
      <c r="AZ22" s="379" t="s">
        <v>88</v>
      </c>
      <c r="BA22" s="379" t="s">
        <v>88</v>
      </c>
      <c r="BB22" s="379" t="s">
        <v>88</v>
      </c>
      <c r="BC22" s="379" t="s">
        <v>88</v>
      </c>
      <c r="BD22" s="379" t="s">
        <v>88</v>
      </c>
      <c r="BE22" s="379" t="s">
        <v>88</v>
      </c>
      <c r="BF22" s="379" t="s">
        <v>88</v>
      </c>
      <c r="BG22" s="379" t="s">
        <v>88</v>
      </c>
      <c r="BH22" s="379" t="s">
        <v>88</v>
      </c>
      <c r="BI22" s="379" t="s">
        <v>88</v>
      </c>
      <c r="BJ22" s="379" t="s">
        <v>88</v>
      </c>
      <c r="BK22" s="379" t="s">
        <v>88</v>
      </c>
      <c r="BL22" s="354" t="s">
        <v>89</v>
      </c>
      <c r="BM22" s="354" t="s">
        <v>90</v>
      </c>
      <c r="BN22" s="354" t="s">
        <v>91</v>
      </c>
      <c r="BO22" s="354">
        <v>225876</v>
      </c>
      <c r="BP22" s="354" t="s">
        <v>92</v>
      </c>
      <c r="BQ22" s="354" t="s">
        <v>93</v>
      </c>
      <c r="BR22" s="354" t="s">
        <v>94</v>
      </c>
      <c r="BS22" s="354">
        <v>63250612</v>
      </c>
      <c r="BT22" s="354" t="s">
        <v>95</v>
      </c>
      <c r="BU22" s="354" t="s">
        <v>96</v>
      </c>
      <c r="BV22" s="477"/>
    </row>
    <row r="23" spans="1:74" s="2" customFormat="1" ht="24.9" customHeight="1">
      <c r="A23" s="147" t="s">
        <v>85</v>
      </c>
      <c r="B23" s="356" t="s">
        <v>110</v>
      </c>
      <c r="C23" s="355"/>
      <c r="D23" s="356"/>
      <c r="E23" s="363">
        <v>46207</v>
      </c>
      <c r="F23" s="358">
        <v>2</v>
      </c>
      <c r="G23" s="358">
        <v>27</v>
      </c>
      <c r="H23" s="511" t="s">
        <v>101</v>
      </c>
      <c r="I23" s="316">
        <v>305</v>
      </c>
      <c r="J23" s="316">
        <v>390</v>
      </c>
      <c r="K23" s="316">
        <v>357</v>
      </c>
      <c r="L23" s="316">
        <v>218</v>
      </c>
      <c r="M23" s="316">
        <v>285</v>
      </c>
      <c r="N23" s="316">
        <v>253</v>
      </c>
      <c r="O23" s="316" t="s">
        <v>88</v>
      </c>
      <c r="P23" s="316" t="s">
        <v>88</v>
      </c>
      <c r="Q23" s="316" t="s">
        <v>88</v>
      </c>
      <c r="R23" s="316" t="s">
        <v>88</v>
      </c>
      <c r="S23" s="316" t="s">
        <v>88</v>
      </c>
      <c r="T23" s="316" t="s">
        <v>88</v>
      </c>
      <c r="U23" s="316" t="s">
        <v>88</v>
      </c>
      <c r="V23" s="316" t="s">
        <v>88</v>
      </c>
      <c r="W23" s="316" t="s">
        <v>88</v>
      </c>
      <c r="X23" s="316" t="s">
        <v>88</v>
      </c>
      <c r="Y23" s="316" t="s">
        <v>88</v>
      </c>
      <c r="Z23" s="316" t="s">
        <v>88</v>
      </c>
      <c r="AA23" s="316" t="s">
        <v>88</v>
      </c>
      <c r="AB23" s="316" t="s">
        <v>88</v>
      </c>
      <c r="AC23" s="316" t="s">
        <v>88</v>
      </c>
      <c r="AD23" s="316" t="s">
        <v>88</v>
      </c>
      <c r="AE23" s="316" t="s">
        <v>88</v>
      </c>
      <c r="AF23" s="316" t="s">
        <v>88</v>
      </c>
      <c r="AG23" s="316" t="s">
        <v>88</v>
      </c>
      <c r="AH23" s="316" t="s">
        <v>88</v>
      </c>
      <c r="AI23" s="316" t="s">
        <v>88</v>
      </c>
      <c r="AJ23" s="316" t="s">
        <v>88</v>
      </c>
      <c r="AK23" s="316" t="s">
        <v>88</v>
      </c>
      <c r="AL23" s="316" t="s">
        <v>88</v>
      </c>
      <c r="AM23" s="316" t="s">
        <v>88</v>
      </c>
      <c r="AN23" s="316" t="s">
        <v>88</v>
      </c>
      <c r="AO23" s="316" t="s">
        <v>88</v>
      </c>
      <c r="AP23" s="316" t="s">
        <v>88</v>
      </c>
      <c r="AQ23" s="316" t="s">
        <v>88</v>
      </c>
      <c r="AR23" s="316" t="s">
        <v>88</v>
      </c>
      <c r="AS23" s="316" t="s">
        <v>88</v>
      </c>
      <c r="AT23" s="316" t="s">
        <v>88</v>
      </c>
      <c r="AU23" s="316" t="s">
        <v>88</v>
      </c>
      <c r="AV23" s="316" t="s">
        <v>88</v>
      </c>
      <c r="AW23" s="316" t="s">
        <v>88</v>
      </c>
      <c r="AX23" s="316" t="s">
        <v>88</v>
      </c>
      <c r="AY23" s="316" t="s">
        <v>88</v>
      </c>
      <c r="AZ23" s="316" t="s">
        <v>88</v>
      </c>
      <c r="BA23" s="316" t="s">
        <v>88</v>
      </c>
      <c r="BB23" s="316" t="s">
        <v>88</v>
      </c>
      <c r="BC23" s="316" t="s">
        <v>88</v>
      </c>
      <c r="BD23" s="316" t="s">
        <v>88</v>
      </c>
      <c r="BE23" s="316" t="s">
        <v>88</v>
      </c>
      <c r="BF23" s="316" t="s">
        <v>88</v>
      </c>
      <c r="BG23" s="316" t="s">
        <v>88</v>
      </c>
      <c r="BH23" s="316" t="s">
        <v>88</v>
      </c>
      <c r="BI23" s="316" t="s">
        <v>88</v>
      </c>
      <c r="BJ23" s="316" t="s">
        <v>88</v>
      </c>
      <c r="BK23" s="316" t="s">
        <v>88</v>
      </c>
      <c r="BL23" s="354" t="s">
        <v>89</v>
      </c>
      <c r="BM23" s="354" t="s">
        <v>90</v>
      </c>
      <c r="BN23" s="354" t="s">
        <v>91</v>
      </c>
      <c r="BO23" s="354">
        <v>225876</v>
      </c>
      <c r="BP23" s="354" t="s">
        <v>92</v>
      </c>
      <c r="BQ23" s="354" t="s">
        <v>93</v>
      </c>
      <c r="BR23" s="354" t="s">
        <v>94</v>
      </c>
      <c r="BS23" s="354">
        <v>63250612</v>
      </c>
      <c r="BT23" s="354" t="s">
        <v>95</v>
      </c>
      <c r="BU23" s="354" t="s">
        <v>96</v>
      </c>
      <c r="BV23" s="477"/>
    </row>
    <row r="24" spans="1:74" s="2" customFormat="1" ht="24.9" customHeight="1">
      <c r="A24" s="147" t="s">
        <v>85</v>
      </c>
      <c r="B24" s="364" t="s">
        <v>111</v>
      </c>
      <c r="C24" s="355"/>
      <c r="D24" s="364"/>
      <c r="E24" s="363">
        <v>46208</v>
      </c>
      <c r="F24" s="358">
        <v>3</v>
      </c>
      <c r="G24" s="358">
        <v>28</v>
      </c>
      <c r="H24" s="511" t="s">
        <v>101</v>
      </c>
      <c r="I24" s="316" t="s">
        <v>88</v>
      </c>
      <c r="J24" s="316" t="s">
        <v>88</v>
      </c>
      <c r="K24" s="371">
        <v>344</v>
      </c>
      <c r="L24" s="316" t="s">
        <v>88</v>
      </c>
      <c r="M24" s="316" t="s">
        <v>88</v>
      </c>
      <c r="N24" s="371">
        <v>276</v>
      </c>
      <c r="O24" s="316" t="s">
        <v>88</v>
      </c>
      <c r="P24" s="316" t="s">
        <v>88</v>
      </c>
      <c r="Q24" s="371">
        <v>-2.17</v>
      </c>
      <c r="R24" s="316" t="s">
        <v>88</v>
      </c>
      <c r="S24" s="316" t="s">
        <v>88</v>
      </c>
      <c r="T24" s="316" t="s">
        <v>88</v>
      </c>
      <c r="U24" s="316" t="s">
        <v>88</v>
      </c>
      <c r="V24" s="316" t="s">
        <v>88</v>
      </c>
      <c r="W24" s="316" t="s">
        <v>88</v>
      </c>
      <c r="X24" s="316" t="s">
        <v>88</v>
      </c>
      <c r="Y24" s="316" t="s">
        <v>88</v>
      </c>
      <c r="Z24" s="316" t="s">
        <v>88</v>
      </c>
      <c r="AA24" s="316" t="s">
        <v>88</v>
      </c>
      <c r="AB24" s="316" t="s">
        <v>88</v>
      </c>
      <c r="AC24" s="316" t="s">
        <v>88</v>
      </c>
      <c r="AD24" s="316" t="s">
        <v>88</v>
      </c>
      <c r="AE24" s="316" t="s">
        <v>88</v>
      </c>
      <c r="AF24" s="316"/>
      <c r="AG24" s="371">
        <v>-7.27</v>
      </c>
      <c r="AH24" s="316" t="s">
        <v>88</v>
      </c>
      <c r="AI24" s="316" t="s">
        <v>88</v>
      </c>
      <c r="AJ24" s="316" t="s">
        <v>88</v>
      </c>
      <c r="AK24" s="316" t="s">
        <v>88</v>
      </c>
      <c r="AL24" s="316" t="s">
        <v>88</v>
      </c>
      <c r="AM24" s="316" t="s">
        <v>88</v>
      </c>
      <c r="AN24" s="316" t="s">
        <v>88</v>
      </c>
      <c r="AO24" s="316" t="s">
        <v>88</v>
      </c>
      <c r="AP24" s="316" t="s">
        <v>88</v>
      </c>
      <c r="AQ24" s="316" t="s">
        <v>88</v>
      </c>
      <c r="AR24" s="316" t="s">
        <v>88</v>
      </c>
      <c r="AS24" s="316" t="s">
        <v>88</v>
      </c>
      <c r="AT24" s="316" t="s">
        <v>88</v>
      </c>
      <c r="AU24" s="316" t="s">
        <v>88</v>
      </c>
      <c r="AV24" s="316" t="s">
        <v>88</v>
      </c>
      <c r="AW24" s="316" t="s">
        <v>88</v>
      </c>
      <c r="AX24" s="316" t="s">
        <v>88</v>
      </c>
      <c r="AY24" s="316" t="s">
        <v>88</v>
      </c>
      <c r="AZ24" s="316" t="s">
        <v>88</v>
      </c>
      <c r="BA24" s="316" t="s">
        <v>88</v>
      </c>
      <c r="BB24" s="316" t="s">
        <v>88</v>
      </c>
      <c r="BC24" s="316" t="s">
        <v>88</v>
      </c>
      <c r="BD24" s="316" t="s">
        <v>88</v>
      </c>
      <c r="BE24" s="316" t="s">
        <v>88</v>
      </c>
      <c r="BF24" s="316" t="s">
        <v>88</v>
      </c>
      <c r="BG24" s="316" t="s">
        <v>88</v>
      </c>
      <c r="BH24" s="316" t="s">
        <v>88</v>
      </c>
      <c r="BI24" s="316" t="s">
        <v>88</v>
      </c>
      <c r="BJ24" s="316" t="s">
        <v>88</v>
      </c>
      <c r="BK24" s="316" t="s">
        <v>88</v>
      </c>
      <c r="BL24" s="354" t="s">
        <v>89</v>
      </c>
      <c r="BM24" s="354" t="s">
        <v>90</v>
      </c>
      <c r="BN24" s="354" t="s">
        <v>91</v>
      </c>
      <c r="BO24" s="354">
        <v>225876</v>
      </c>
      <c r="BP24" s="354" t="s">
        <v>92</v>
      </c>
      <c r="BQ24" s="354" t="s">
        <v>93</v>
      </c>
      <c r="BR24" s="354" t="s">
        <v>94</v>
      </c>
      <c r="BS24" s="354">
        <v>63250612</v>
      </c>
      <c r="BT24" s="354" t="s">
        <v>95</v>
      </c>
      <c r="BU24" s="433" t="s">
        <v>112</v>
      </c>
      <c r="BV24" s="477"/>
    </row>
    <row r="25" spans="1:74" s="2" customFormat="1" ht="24.9" customHeight="1">
      <c r="A25" s="147" t="s">
        <v>85</v>
      </c>
      <c r="B25" s="364" t="s">
        <v>113</v>
      </c>
      <c r="C25" s="355"/>
      <c r="D25" s="364"/>
      <c r="E25" s="363">
        <v>46208</v>
      </c>
      <c r="F25" s="358">
        <v>3</v>
      </c>
      <c r="G25" s="358">
        <v>28</v>
      </c>
      <c r="H25" s="379" t="s">
        <v>88</v>
      </c>
      <c r="I25" s="316" t="s">
        <v>88</v>
      </c>
      <c r="J25" s="316" t="s">
        <v>88</v>
      </c>
      <c r="K25" s="316" t="s">
        <v>88</v>
      </c>
      <c r="L25" s="316" t="s">
        <v>88</v>
      </c>
      <c r="M25" s="316" t="s">
        <v>88</v>
      </c>
      <c r="N25" s="316" t="s">
        <v>88</v>
      </c>
      <c r="O25" s="316" t="s">
        <v>88</v>
      </c>
      <c r="P25" s="316" t="s">
        <v>88</v>
      </c>
      <c r="Q25" s="316" t="s">
        <v>88</v>
      </c>
      <c r="R25" s="316" t="s">
        <v>88</v>
      </c>
      <c r="S25" s="316" t="s">
        <v>88</v>
      </c>
      <c r="T25" s="316" t="s">
        <v>88</v>
      </c>
      <c r="U25" s="316" t="s">
        <v>88</v>
      </c>
      <c r="V25" s="316" t="s">
        <v>88</v>
      </c>
      <c r="W25" s="316" t="s">
        <v>88</v>
      </c>
      <c r="X25" s="316" t="s">
        <v>88</v>
      </c>
      <c r="Y25" s="316" t="s">
        <v>88</v>
      </c>
      <c r="Z25" s="316" t="s">
        <v>88</v>
      </c>
      <c r="AA25" s="316" t="s">
        <v>88</v>
      </c>
      <c r="AB25" s="316" t="s">
        <v>88</v>
      </c>
      <c r="AC25" s="316" t="s">
        <v>88</v>
      </c>
      <c r="AD25" s="316" t="s">
        <v>88</v>
      </c>
      <c r="AE25" s="316" t="s">
        <v>88</v>
      </c>
      <c r="AF25" s="316"/>
      <c r="AG25" s="316" t="s">
        <v>88</v>
      </c>
      <c r="AH25" s="316" t="s">
        <v>88</v>
      </c>
      <c r="AI25" s="316" t="s">
        <v>88</v>
      </c>
      <c r="AJ25" s="316" t="s">
        <v>88</v>
      </c>
      <c r="AK25" s="316" t="s">
        <v>88</v>
      </c>
      <c r="AL25" s="316" t="s">
        <v>88</v>
      </c>
      <c r="AM25" s="316" t="s">
        <v>88</v>
      </c>
      <c r="AN25" s="316" t="s">
        <v>88</v>
      </c>
      <c r="AO25" s="316" t="s">
        <v>88</v>
      </c>
      <c r="AP25" s="316" t="s">
        <v>88</v>
      </c>
      <c r="AQ25" s="316" t="s">
        <v>88</v>
      </c>
      <c r="AR25" s="316" t="s">
        <v>88</v>
      </c>
      <c r="AS25" s="316" t="s">
        <v>88</v>
      </c>
      <c r="AT25" s="316" t="s">
        <v>88</v>
      </c>
      <c r="AU25" s="316" t="s">
        <v>88</v>
      </c>
      <c r="AV25" s="316" t="s">
        <v>88</v>
      </c>
      <c r="AW25" s="316" t="s">
        <v>88</v>
      </c>
      <c r="AX25" s="316" t="s">
        <v>88</v>
      </c>
      <c r="AY25" s="316" t="s">
        <v>88</v>
      </c>
      <c r="AZ25" s="371">
        <v>83.59</v>
      </c>
      <c r="BA25" s="371">
        <v>34.21</v>
      </c>
      <c r="BB25" s="371">
        <v>72.989999999999995</v>
      </c>
      <c r="BC25" s="371">
        <v>29.82</v>
      </c>
      <c r="BD25" s="316" t="s">
        <v>88</v>
      </c>
      <c r="BE25" s="316" t="s">
        <v>88</v>
      </c>
      <c r="BF25" s="371">
        <v>36.58</v>
      </c>
      <c r="BG25" s="371">
        <v>36.96</v>
      </c>
      <c r="BH25" s="371">
        <v>27.08</v>
      </c>
      <c r="BI25" s="371">
        <v>27.86</v>
      </c>
      <c r="BJ25" s="316"/>
      <c r="BK25" s="316"/>
      <c r="BL25" s="354" t="s">
        <v>89</v>
      </c>
      <c r="BM25" s="354" t="s">
        <v>90</v>
      </c>
      <c r="BN25" s="354" t="s">
        <v>91</v>
      </c>
      <c r="BO25" s="354">
        <v>225876</v>
      </c>
      <c r="BP25" s="354" t="s">
        <v>92</v>
      </c>
      <c r="BQ25" s="354" t="s">
        <v>93</v>
      </c>
      <c r="BR25" s="354" t="s">
        <v>94</v>
      </c>
      <c r="BS25" s="354">
        <v>63250612</v>
      </c>
      <c r="BT25" s="354" t="s">
        <v>95</v>
      </c>
      <c r="BU25" s="354" t="s">
        <v>112</v>
      </c>
      <c r="BV25" s="415"/>
    </row>
    <row r="26" spans="1:74" s="2" customFormat="1" ht="24.9" customHeight="1">
      <c r="A26" s="147" t="s">
        <v>85</v>
      </c>
      <c r="B26" s="356" t="s">
        <v>97</v>
      </c>
      <c r="C26" s="367"/>
      <c r="D26" s="356"/>
      <c r="E26" s="363">
        <v>46209</v>
      </c>
      <c r="F26" s="358">
        <v>1</v>
      </c>
      <c r="G26" s="358">
        <v>28</v>
      </c>
      <c r="H26" s="511" t="s">
        <v>101</v>
      </c>
      <c r="I26" s="371">
        <v>321</v>
      </c>
      <c r="J26" s="371">
        <v>413</v>
      </c>
      <c r="K26" s="371">
        <v>372.42</v>
      </c>
      <c r="L26" s="371">
        <v>200.58</v>
      </c>
      <c r="M26" s="371">
        <v>312.58</v>
      </c>
      <c r="N26" s="371">
        <v>242.67</v>
      </c>
      <c r="O26" s="316" t="s">
        <v>88</v>
      </c>
      <c r="P26" s="316" t="s">
        <v>88</v>
      </c>
      <c r="Q26" s="510">
        <v>-0.05</v>
      </c>
      <c r="R26" s="316" t="s">
        <v>88</v>
      </c>
      <c r="S26" s="316" t="s">
        <v>88</v>
      </c>
      <c r="T26" s="316" t="s">
        <v>88</v>
      </c>
      <c r="U26" s="316" t="s">
        <v>88</v>
      </c>
      <c r="V26" s="316" t="s">
        <v>88</v>
      </c>
      <c r="W26" s="316" t="s">
        <v>88</v>
      </c>
      <c r="X26" s="316" t="s">
        <v>88</v>
      </c>
      <c r="Y26" s="316" t="s">
        <v>88</v>
      </c>
      <c r="Z26" s="316" t="s">
        <v>88</v>
      </c>
      <c r="AA26" s="316" t="s">
        <v>88</v>
      </c>
      <c r="AB26" s="316" t="s">
        <v>88</v>
      </c>
      <c r="AC26" s="371">
        <v>1.88</v>
      </c>
      <c r="AD26" s="371">
        <v>2.08</v>
      </c>
      <c r="AE26" s="371">
        <v>2.06</v>
      </c>
      <c r="AF26" s="371">
        <f>AVERAGE(AC26:AE26)</f>
        <v>2.0066666666666664</v>
      </c>
      <c r="AG26" s="371">
        <v>0.71</v>
      </c>
      <c r="AH26" s="372" t="s">
        <v>99</v>
      </c>
      <c r="AI26" s="372" t="s">
        <v>99</v>
      </c>
      <c r="AJ26" s="372" t="s">
        <v>99</v>
      </c>
      <c r="AK26" s="372" t="s">
        <v>99</v>
      </c>
      <c r="AL26" s="372" t="s">
        <v>99</v>
      </c>
      <c r="AM26" s="372" t="s">
        <v>99</v>
      </c>
      <c r="AN26" s="316" t="s">
        <v>88</v>
      </c>
      <c r="AO26" s="316" t="s">
        <v>88</v>
      </c>
      <c r="AP26" s="316" t="s">
        <v>88</v>
      </c>
      <c r="AQ26" s="316" t="s">
        <v>88</v>
      </c>
      <c r="AR26" s="316" t="s">
        <v>88</v>
      </c>
      <c r="AS26" s="316" t="s">
        <v>88</v>
      </c>
      <c r="AT26" s="316" t="s">
        <v>88</v>
      </c>
      <c r="AU26" s="316" t="s">
        <v>88</v>
      </c>
      <c r="AV26" s="316" t="s">
        <v>88</v>
      </c>
      <c r="AW26" s="316" t="s">
        <v>88</v>
      </c>
      <c r="AX26" s="316" t="s">
        <v>88</v>
      </c>
      <c r="AY26" s="316" t="s">
        <v>88</v>
      </c>
      <c r="AZ26" s="316" t="s">
        <v>88</v>
      </c>
      <c r="BA26" s="316" t="s">
        <v>88</v>
      </c>
      <c r="BB26" s="316" t="s">
        <v>88</v>
      </c>
      <c r="BC26" s="316" t="s">
        <v>88</v>
      </c>
      <c r="BD26" s="316" t="s">
        <v>88</v>
      </c>
      <c r="BE26" s="316" t="s">
        <v>88</v>
      </c>
      <c r="BF26" s="316" t="s">
        <v>88</v>
      </c>
      <c r="BG26" s="316" t="s">
        <v>88</v>
      </c>
      <c r="BH26" s="316" t="s">
        <v>88</v>
      </c>
      <c r="BI26" s="316" t="s">
        <v>88</v>
      </c>
      <c r="BJ26" s="316" t="s">
        <v>88</v>
      </c>
      <c r="BK26" s="316" t="s">
        <v>88</v>
      </c>
      <c r="BL26" s="354" t="s">
        <v>89</v>
      </c>
      <c r="BM26" s="354" t="s">
        <v>90</v>
      </c>
      <c r="BN26" s="354" t="s">
        <v>91</v>
      </c>
      <c r="BO26" s="354">
        <v>225876</v>
      </c>
      <c r="BP26" s="354" t="s">
        <v>92</v>
      </c>
      <c r="BQ26" s="354" t="s">
        <v>93</v>
      </c>
      <c r="BR26" s="354" t="s">
        <v>94</v>
      </c>
      <c r="BS26" s="354">
        <v>63250612</v>
      </c>
      <c r="BT26" s="354" t="s">
        <v>95</v>
      </c>
      <c r="BU26" s="354" t="s">
        <v>112</v>
      </c>
      <c r="BV26" s="477"/>
    </row>
    <row r="27" spans="1:74" s="2" customFormat="1" ht="24.9" customHeight="1">
      <c r="A27" s="147" t="s">
        <v>85</v>
      </c>
      <c r="B27" s="356" t="s">
        <v>114</v>
      </c>
      <c r="C27" s="367"/>
      <c r="D27" s="356"/>
      <c r="E27" s="363">
        <v>46209</v>
      </c>
      <c r="F27" s="358">
        <v>1</v>
      </c>
      <c r="G27" s="358">
        <v>28</v>
      </c>
      <c r="H27" s="379" t="s">
        <v>88</v>
      </c>
      <c r="I27" s="316" t="s">
        <v>88</v>
      </c>
      <c r="J27" s="316" t="s">
        <v>88</v>
      </c>
      <c r="K27" s="316" t="s">
        <v>88</v>
      </c>
      <c r="L27" s="316" t="s">
        <v>88</v>
      </c>
      <c r="M27" s="316" t="s">
        <v>88</v>
      </c>
      <c r="N27" s="316" t="s">
        <v>88</v>
      </c>
      <c r="O27" s="316" t="s">
        <v>88</v>
      </c>
      <c r="P27" s="316" t="s">
        <v>88</v>
      </c>
      <c r="Q27" s="316" t="s">
        <v>88</v>
      </c>
      <c r="R27" s="316" t="s">
        <v>88</v>
      </c>
      <c r="S27" s="316" t="s">
        <v>88</v>
      </c>
      <c r="T27" s="316" t="s">
        <v>88</v>
      </c>
      <c r="U27" s="316" t="s">
        <v>88</v>
      </c>
      <c r="V27" s="316" t="s">
        <v>88</v>
      </c>
      <c r="W27" s="316" t="s">
        <v>88</v>
      </c>
      <c r="X27" s="316" t="s">
        <v>88</v>
      </c>
      <c r="Y27" s="316" t="s">
        <v>88</v>
      </c>
      <c r="Z27" s="316" t="s">
        <v>88</v>
      </c>
      <c r="AA27" s="316" t="s">
        <v>88</v>
      </c>
      <c r="AB27" s="316" t="s">
        <v>88</v>
      </c>
      <c r="AC27" s="316" t="s">
        <v>88</v>
      </c>
      <c r="AD27" s="316" t="s">
        <v>88</v>
      </c>
      <c r="AE27" s="316" t="s">
        <v>88</v>
      </c>
      <c r="AF27" s="316"/>
      <c r="AG27" s="316" t="s">
        <v>88</v>
      </c>
      <c r="AH27" s="316" t="s">
        <v>88</v>
      </c>
      <c r="AI27" s="316" t="s">
        <v>88</v>
      </c>
      <c r="AJ27" s="316" t="s">
        <v>88</v>
      </c>
      <c r="AK27" s="316" t="s">
        <v>88</v>
      </c>
      <c r="AL27" s="316" t="s">
        <v>88</v>
      </c>
      <c r="AM27" s="316" t="s">
        <v>88</v>
      </c>
      <c r="AN27" s="316" t="s">
        <v>88</v>
      </c>
      <c r="AO27" s="316" t="s">
        <v>88</v>
      </c>
      <c r="AP27" s="316" t="s">
        <v>88</v>
      </c>
      <c r="AQ27" s="316" t="s">
        <v>88</v>
      </c>
      <c r="AR27" s="316" t="s">
        <v>88</v>
      </c>
      <c r="AS27" s="316" t="s">
        <v>88</v>
      </c>
      <c r="AT27" s="316" t="s">
        <v>88</v>
      </c>
      <c r="AU27" s="316" t="s">
        <v>88</v>
      </c>
      <c r="AV27" s="316" t="s">
        <v>88</v>
      </c>
      <c r="AW27" s="316" t="s">
        <v>88</v>
      </c>
      <c r="AX27" s="316" t="s">
        <v>88</v>
      </c>
      <c r="AY27" s="316" t="s">
        <v>88</v>
      </c>
      <c r="AZ27" s="371">
        <v>47.93</v>
      </c>
      <c r="BA27" s="371">
        <v>35.520000000000003</v>
      </c>
      <c r="BB27" s="371">
        <v>45.12</v>
      </c>
      <c r="BC27" s="371">
        <v>31</v>
      </c>
      <c r="BD27" s="316" t="s">
        <v>88</v>
      </c>
      <c r="BE27" s="316" t="s">
        <v>88</v>
      </c>
      <c r="BF27" s="371">
        <v>64.84</v>
      </c>
      <c r="BG27" s="371">
        <v>38.31</v>
      </c>
      <c r="BH27" s="371">
        <v>55.72</v>
      </c>
      <c r="BI27" s="371">
        <v>34.92</v>
      </c>
      <c r="BJ27" s="316" t="s">
        <v>88</v>
      </c>
      <c r="BK27" s="316" t="s">
        <v>88</v>
      </c>
      <c r="BL27" s="354" t="s">
        <v>89</v>
      </c>
      <c r="BM27" s="354" t="s">
        <v>90</v>
      </c>
      <c r="BN27" s="354" t="s">
        <v>91</v>
      </c>
      <c r="BO27" s="354">
        <v>225876</v>
      </c>
      <c r="BP27" s="354" t="s">
        <v>92</v>
      </c>
      <c r="BQ27" s="354" t="s">
        <v>93</v>
      </c>
      <c r="BR27" s="354" t="s">
        <v>94</v>
      </c>
      <c r="BS27" s="354">
        <v>63250612</v>
      </c>
      <c r="BT27" s="354" t="s">
        <v>95</v>
      </c>
      <c r="BU27" s="354" t="s">
        <v>112</v>
      </c>
      <c r="BV27" s="477"/>
    </row>
    <row r="28" spans="1:74" s="2" customFormat="1" ht="24.9" customHeight="1">
      <c r="A28" s="147" t="s">
        <v>85</v>
      </c>
      <c r="B28" s="356" t="s">
        <v>115</v>
      </c>
      <c r="C28" s="367"/>
      <c r="D28" s="356"/>
      <c r="E28" s="363">
        <v>46209</v>
      </c>
      <c r="F28" s="358">
        <v>2</v>
      </c>
      <c r="G28" s="358">
        <v>28</v>
      </c>
      <c r="H28" s="511" t="s">
        <v>101</v>
      </c>
      <c r="I28" s="371">
        <v>297</v>
      </c>
      <c r="J28" s="371">
        <v>407</v>
      </c>
      <c r="K28" s="371">
        <v>348</v>
      </c>
      <c r="L28" s="371">
        <v>247</v>
      </c>
      <c r="M28" s="371">
        <v>362</v>
      </c>
      <c r="N28" s="371">
        <v>313</v>
      </c>
      <c r="O28" s="316" t="s">
        <v>88</v>
      </c>
      <c r="P28" s="316" t="s">
        <v>88</v>
      </c>
      <c r="Q28" s="459">
        <v>-1.46</v>
      </c>
      <c r="R28" s="316" t="s">
        <v>88</v>
      </c>
      <c r="S28" s="316" t="s">
        <v>88</v>
      </c>
      <c r="T28" s="316" t="s">
        <v>88</v>
      </c>
      <c r="U28" s="316" t="s">
        <v>88</v>
      </c>
      <c r="V28" s="316" t="s">
        <v>88</v>
      </c>
      <c r="W28" s="316" t="s">
        <v>88</v>
      </c>
      <c r="X28" s="316" t="s">
        <v>88</v>
      </c>
      <c r="Y28" s="316" t="s">
        <v>88</v>
      </c>
      <c r="Z28" s="316" t="s">
        <v>88</v>
      </c>
      <c r="AA28" s="316" t="s">
        <v>88</v>
      </c>
      <c r="AB28" s="316" t="s">
        <v>88</v>
      </c>
      <c r="AC28" s="316" t="s">
        <v>88</v>
      </c>
      <c r="AD28" s="316" t="s">
        <v>88</v>
      </c>
      <c r="AE28" s="316" t="s">
        <v>88</v>
      </c>
      <c r="AF28" s="316"/>
      <c r="AG28" s="459">
        <v>-3.75</v>
      </c>
      <c r="AH28" s="316"/>
      <c r="AI28" s="316"/>
      <c r="AJ28" s="316"/>
      <c r="AK28" s="316"/>
      <c r="AL28" s="316"/>
      <c r="AM28" s="316"/>
      <c r="AN28" s="316" t="s">
        <v>88</v>
      </c>
      <c r="AO28" s="316" t="s">
        <v>88</v>
      </c>
      <c r="AP28" s="316" t="s">
        <v>88</v>
      </c>
      <c r="AQ28" s="316" t="s">
        <v>88</v>
      </c>
      <c r="AR28" s="316" t="s">
        <v>88</v>
      </c>
      <c r="AS28" s="316" t="s">
        <v>88</v>
      </c>
      <c r="AT28" s="316" t="s">
        <v>88</v>
      </c>
      <c r="AU28" s="316" t="s">
        <v>88</v>
      </c>
      <c r="AV28" s="316" t="s">
        <v>88</v>
      </c>
      <c r="AW28" s="316" t="s">
        <v>88</v>
      </c>
      <c r="AX28" s="316" t="s">
        <v>88</v>
      </c>
      <c r="AY28" s="316" t="s">
        <v>88</v>
      </c>
      <c r="AZ28" s="316" t="s">
        <v>88</v>
      </c>
      <c r="BA28" s="316" t="s">
        <v>88</v>
      </c>
      <c r="BB28" s="316" t="s">
        <v>88</v>
      </c>
      <c r="BC28" s="316" t="s">
        <v>88</v>
      </c>
      <c r="BD28" s="316" t="s">
        <v>88</v>
      </c>
      <c r="BE28" s="316" t="s">
        <v>88</v>
      </c>
      <c r="BF28" s="316" t="s">
        <v>88</v>
      </c>
      <c r="BG28" s="316" t="s">
        <v>88</v>
      </c>
      <c r="BH28" s="316" t="s">
        <v>88</v>
      </c>
      <c r="BI28" s="316" t="s">
        <v>88</v>
      </c>
      <c r="BJ28" s="316" t="s">
        <v>88</v>
      </c>
      <c r="BK28" s="316" t="s">
        <v>88</v>
      </c>
      <c r="BL28" s="354" t="s">
        <v>89</v>
      </c>
      <c r="BM28" s="354" t="s">
        <v>90</v>
      </c>
      <c r="BN28" s="354" t="s">
        <v>91</v>
      </c>
      <c r="BO28" s="354">
        <v>225876</v>
      </c>
      <c r="BP28" s="354" t="s">
        <v>92</v>
      </c>
      <c r="BQ28" s="354" t="s">
        <v>93</v>
      </c>
      <c r="BR28" s="354" t="s">
        <v>94</v>
      </c>
      <c r="BS28" s="354">
        <v>63250612</v>
      </c>
      <c r="BT28" s="354" t="s">
        <v>95</v>
      </c>
      <c r="BU28" s="354" t="s">
        <v>112</v>
      </c>
      <c r="BV28" s="477"/>
    </row>
    <row r="29" spans="1:74" s="2" customFormat="1" ht="24.9" customHeight="1">
      <c r="A29" s="147" t="s">
        <v>85</v>
      </c>
      <c r="B29" s="356" t="s">
        <v>116</v>
      </c>
      <c r="C29" s="367"/>
      <c r="D29" s="356"/>
      <c r="E29" s="363">
        <v>46209</v>
      </c>
      <c r="F29" s="358">
        <v>2</v>
      </c>
      <c r="G29" s="358">
        <v>28</v>
      </c>
      <c r="H29" s="316" t="s">
        <v>88</v>
      </c>
      <c r="I29" s="316" t="s">
        <v>88</v>
      </c>
      <c r="J29" s="316" t="s">
        <v>88</v>
      </c>
      <c r="K29" s="316" t="s">
        <v>88</v>
      </c>
      <c r="L29" s="316" t="s">
        <v>88</v>
      </c>
      <c r="M29" s="316" t="s">
        <v>88</v>
      </c>
      <c r="N29" s="316" t="s">
        <v>88</v>
      </c>
      <c r="O29" s="316" t="s">
        <v>88</v>
      </c>
      <c r="P29" s="316" t="s">
        <v>88</v>
      </c>
      <c r="Q29" s="316" t="s">
        <v>88</v>
      </c>
      <c r="R29" s="316" t="s">
        <v>88</v>
      </c>
      <c r="S29" s="316" t="s">
        <v>88</v>
      </c>
      <c r="T29" s="316" t="s">
        <v>88</v>
      </c>
      <c r="U29" s="316" t="s">
        <v>88</v>
      </c>
      <c r="V29" s="316" t="s">
        <v>88</v>
      </c>
      <c r="W29" s="316" t="s">
        <v>88</v>
      </c>
      <c r="X29" s="316" t="s">
        <v>88</v>
      </c>
      <c r="Y29" s="316" t="s">
        <v>88</v>
      </c>
      <c r="Z29" s="316" t="s">
        <v>88</v>
      </c>
      <c r="AA29" s="316" t="s">
        <v>88</v>
      </c>
      <c r="AB29" s="316" t="s">
        <v>88</v>
      </c>
      <c r="AC29" s="316" t="s">
        <v>88</v>
      </c>
      <c r="AD29" s="316" t="s">
        <v>88</v>
      </c>
      <c r="AE29" s="316" t="s">
        <v>88</v>
      </c>
      <c r="AF29" s="316"/>
      <c r="AG29" s="316" t="s">
        <v>88</v>
      </c>
      <c r="AH29" s="316" t="s">
        <v>88</v>
      </c>
      <c r="AI29" s="316" t="s">
        <v>88</v>
      </c>
      <c r="AJ29" s="316" t="s">
        <v>88</v>
      </c>
      <c r="AK29" s="316" t="s">
        <v>88</v>
      </c>
      <c r="AL29" s="316" t="s">
        <v>88</v>
      </c>
      <c r="AM29" s="316" t="s">
        <v>88</v>
      </c>
      <c r="AN29" s="316" t="s">
        <v>88</v>
      </c>
      <c r="AO29" s="316" t="s">
        <v>88</v>
      </c>
      <c r="AP29" s="316" t="s">
        <v>88</v>
      </c>
      <c r="AQ29" s="316" t="s">
        <v>88</v>
      </c>
      <c r="AR29" s="316" t="s">
        <v>88</v>
      </c>
      <c r="AS29" s="316" t="s">
        <v>88</v>
      </c>
      <c r="AT29" s="316" t="s">
        <v>88</v>
      </c>
      <c r="AU29" s="316" t="s">
        <v>88</v>
      </c>
      <c r="AV29" s="316" t="s">
        <v>88</v>
      </c>
      <c r="AW29" s="316" t="s">
        <v>88</v>
      </c>
      <c r="AX29" s="316" t="s">
        <v>88</v>
      </c>
      <c r="AY29" s="316" t="s">
        <v>88</v>
      </c>
      <c r="AZ29" s="459">
        <v>56.62</v>
      </c>
      <c r="BA29" s="459">
        <v>51.9</v>
      </c>
      <c r="BB29" s="459">
        <v>48.66</v>
      </c>
      <c r="BC29" s="459">
        <v>42.77</v>
      </c>
      <c r="BD29" s="316" t="s">
        <v>88</v>
      </c>
      <c r="BE29" s="316" t="s">
        <v>88</v>
      </c>
      <c r="BF29" s="371">
        <v>59.16</v>
      </c>
      <c r="BG29" s="371">
        <v>37.01</v>
      </c>
      <c r="BH29" s="371">
        <v>50.23</v>
      </c>
      <c r="BI29" s="371">
        <v>29.43</v>
      </c>
      <c r="BJ29" s="316" t="s">
        <v>88</v>
      </c>
      <c r="BK29" s="316" t="s">
        <v>88</v>
      </c>
      <c r="BL29" s="354" t="s">
        <v>89</v>
      </c>
      <c r="BM29" s="354" t="s">
        <v>90</v>
      </c>
      <c r="BN29" s="354" t="s">
        <v>91</v>
      </c>
      <c r="BO29" s="354">
        <v>225876</v>
      </c>
      <c r="BP29" s="354" t="s">
        <v>92</v>
      </c>
      <c r="BQ29" s="354" t="s">
        <v>93</v>
      </c>
      <c r="BR29" s="354" t="s">
        <v>94</v>
      </c>
      <c r="BS29" s="354">
        <v>63250612</v>
      </c>
      <c r="BT29" s="354" t="s">
        <v>95</v>
      </c>
      <c r="BU29" s="354" t="s">
        <v>112</v>
      </c>
      <c r="BV29" s="477"/>
    </row>
    <row r="30" spans="1:74" s="2" customFormat="1" ht="24.9" customHeight="1">
      <c r="A30" s="147" t="s">
        <v>85</v>
      </c>
      <c r="B30" s="356" t="s">
        <v>117</v>
      </c>
      <c r="C30" s="367"/>
      <c r="D30" s="356"/>
      <c r="E30" s="363">
        <v>46209</v>
      </c>
      <c r="F30" s="358">
        <v>3</v>
      </c>
      <c r="G30" s="358">
        <v>28</v>
      </c>
      <c r="H30" s="316" t="s">
        <v>88</v>
      </c>
      <c r="I30" s="316" t="s">
        <v>88</v>
      </c>
      <c r="J30" s="316" t="s">
        <v>88</v>
      </c>
      <c r="K30" s="316" t="s">
        <v>88</v>
      </c>
      <c r="L30" s="316" t="s">
        <v>88</v>
      </c>
      <c r="M30" s="316" t="s">
        <v>88</v>
      </c>
      <c r="N30" s="316" t="s">
        <v>88</v>
      </c>
      <c r="O30" s="316" t="s">
        <v>88</v>
      </c>
      <c r="P30" s="316" t="s">
        <v>88</v>
      </c>
      <c r="Q30" s="316" t="s">
        <v>88</v>
      </c>
      <c r="R30" s="316" t="s">
        <v>88</v>
      </c>
      <c r="S30" s="316" t="s">
        <v>88</v>
      </c>
      <c r="T30" s="316" t="s">
        <v>88</v>
      </c>
      <c r="U30" s="316" t="s">
        <v>88</v>
      </c>
      <c r="V30" s="316" t="s">
        <v>88</v>
      </c>
      <c r="W30" s="316" t="s">
        <v>88</v>
      </c>
      <c r="X30" s="316" t="s">
        <v>88</v>
      </c>
      <c r="Y30" s="316" t="s">
        <v>88</v>
      </c>
      <c r="Z30" s="316" t="s">
        <v>88</v>
      </c>
      <c r="AA30" s="316" t="s">
        <v>88</v>
      </c>
      <c r="AB30" s="316" t="s">
        <v>88</v>
      </c>
      <c r="AC30" s="316" t="s">
        <v>88</v>
      </c>
      <c r="AD30" s="316" t="s">
        <v>88</v>
      </c>
      <c r="AE30" s="316" t="s">
        <v>88</v>
      </c>
      <c r="AF30" s="316"/>
      <c r="AG30" s="316" t="s">
        <v>88</v>
      </c>
      <c r="AH30" s="316" t="s">
        <v>88</v>
      </c>
      <c r="AI30" s="316" t="s">
        <v>88</v>
      </c>
      <c r="AJ30" s="316" t="s">
        <v>88</v>
      </c>
      <c r="AK30" s="316" t="s">
        <v>88</v>
      </c>
      <c r="AL30" s="316" t="s">
        <v>88</v>
      </c>
      <c r="AM30" s="316" t="s">
        <v>88</v>
      </c>
      <c r="AN30" s="316" t="s">
        <v>88</v>
      </c>
      <c r="AO30" s="316" t="s">
        <v>88</v>
      </c>
      <c r="AP30" s="316" t="s">
        <v>88</v>
      </c>
      <c r="AQ30" s="316" t="s">
        <v>88</v>
      </c>
      <c r="AR30" s="316" t="s">
        <v>88</v>
      </c>
      <c r="AS30" s="316" t="s">
        <v>88</v>
      </c>
      <c r="AT30" s="316" t="s">
        <v>88</v>
      </c>
      <c r="AU30" s="316" t="s">
        <v>88</v>
      </c>
      <c r="AV30" s="316" t="s">
        <v>88</v>
      </c>
      <c r="AW30" s="316" t="s">
        <v>88</v>
      </c>
      <c r="AX30" s="316" t="s">
        <v>88</v>
      </c>
      <c r="AY30" s="316" t="s">
        <v>88</v>
      </c>
      <c r="AZ30" s="371">
        <v>84.76</v>
      </c>
      <c r="BA30" s="371">
        <v>39.869999999999997</v>
      </c>
      <c r="BB30" s="371">
        <v>31.39</v>
      </c>
      <c r="BC30" s="371">
        <v>32.18</v>
      </c>
      <c r="BD30" s="316" t="s">
        <v>88</v>
      </c>
      <c r="BE30" s="316" t="s">
        <v>88</v>
      </c>
      <c r="BF30" s="371">
        <v>51.96</v>
      </c>
      <c r="BG30" s="371">
        <v>34.1</v>
      </c>
      <c r="BH30" s="371">
        <v>45.13</v>
      </c>
      <c r="BI30" s="371">
        <v>25.51</v>
      </c>
      <c r="BJ30" s="316" t="s">
        <v>88</v>
      </c>
      <c r="BK30" s="316" t="s">
        <v>88</v>
      </c>
      <c r="BL30" s="354" t="s">
        <v>89</v>
      </c>
      <c r="BM30" s="354" t="s">
        <v>90</v>
      </c>
      <c r="BN30" s="354" t="s">
        <v>91</v>
      </c>
      <c r="BO30" s="354">
        <v>225876</v>
      </c>
      <c r="BP30" s="354" t="s">
        <v>92</v>
      </c>
      <c r="BQ30" s="354" t="s">
        <v>93</v>
      </c>
      <c r="BR30" s="354" t="s">
        <v>94</v>
      </c>
      <c r="BS30" s="354">
        <v>63250612</v>
      </c>
      <c r="BT30" s="354" t="s">
        <v>95</v>
      </c>
      <c r="BU30" s="354" t="s">
        <v>112</v>
      </c>
      <c r="BV30" s="477"/>
    </row>
    <row r="31" spans="1:74" s="2" customFormat="1" ht="24.9" customHeight="1">
      <c r="A31" s="147" t="s">
        <v>85</v>
      </c>
      <c r="B31" s="356" t="s">
        <v>118</v>
      </c>
      <c r="C31" s="367"/>
      <c r="D31" s="356"/>
      <c r="E31" s="363">
        <v>46209</v>
      </c>
      <c r="F31" s="358">
        <v>3</v>
      </c>
      <c r="G31" s="358">
        <v>28</v>
      </c>
      <c r="H31" s="511" t="s">
        <v>101</v>
      </c>
      <c r="I31" s="316" t="s">
        <v>88</v>
      </c>
      <c r="J31" s="316" t="s">
        <v>88</v>
      </c>
      <c r="K31" s="371">
        <v>375</v>
      </c>
      <c r="L31" s="316" t="s">
        <v>88</v>
      </c>
      <c r="M31" s="316" t="s">
        <v>88</v>
      </c>
      <c r="N31" s="371">
        <v>286</v>
      </c>
      <c r="O31" s="316" t="s">
        <v>88</v>
      </c>
      <c r="P31" s="316" t="s">
        <v>88</v>
      </c>
      <c r="Q31" s="371">
        <v>-1.37</v>
      </c>
      <c r="R31" s="316" t="s">
        <v>88</v>
      </c>
      <c r="S31" s="316" t="s">
        <v>88</v>
      </c>
      <c r="T31" s="316" t="s">
        <v>88</v>
      </c>
      <c r="U31" s="316" t="s">
        <v>88</v>
      </c>
      <c r="V31" s="316" t="s">
        <v>88</v>
      </c>
      <c r="W31" s="316" t="s">
        <v>88</v>
      </c>
      <c r="X31" s="316" t="s">
        <v>88</v>
      </c>
      <c r="Y31" s="316" t="s">
        <v>88</v>
      </c>
      <c r="Z31" s="316" t="s">
        <v>88</v>
      </c>
      <c r="AA31" s="316" t="s">
        <v>88</v>
      </c>
      <c r="AB31" s="316" t="s">
        <v>88</v>
      </c>
      <c r="AC31" s="316" t="s">
        <v>88</v>
      </c>
      <c r="AD31" s="316" t="s">
        <v>88</v>
      </c>
      <c r="AE31" s="316" t="s">
        <v>88</v>
      </c>
      <c r="AF31" s="316"/>
      <c r="AG31" s="371">
        <v>-3.07</v>
      </c>
      <c r="AH31" s="316" t="s">
        <v>88</v>
      </c>
      <c r="AI31" s="316" t="s">
        <v>88</v>
      </c>
      <c r="AJ31" s="316" t="s">
        <v>88</v>
      </c>
      <c r="AK31" s="316" t="s">
        <v>88</v>
      </c>
      <c r="AL31" s="316" t="s">
        <v>88</v>
      </c>
      <c r="AM31" s="316" t="s">
        <v>88</v>
      </c>
      <c r="AN31" s="316" t="s">
        <v>88</v>
      </c>
      <c r="AO31" s="316" t="s">
        <v>88</v>
      </c>
      <c r="AP31" s="316" t="s">
        <v>88</v>
      </c>
      <c r="AQ31" s="316" t="s">
        <v>88</v>
      </c>
      <c r="AR31" s="316" t="s">
        <v>88</v>
      </c>
      <c r="AS31" s="316" t="s">
        <v>88</v>
      </c>
      <c r="AT31" s="316" t="s">
        <v>88</v>
      </c>
      <c r="AU31" s="316" t="s">
        <v>88</v>
      </c>
      <c r="AV31" s="316" t="s">
        <v>88</v>
      </c>
      <c r="AW31" s="316" t="s">
        <v>88</v>
      </c>
      <c r="AX31" s="316" t="s">
        <v>88</v>
      </c>
      <c r="AY31" s="316" t="s">
        <v>88</v>
      </c>
      <c r="AZ31" s="316" t="s">
        <v>88</v>
      </c>
      <c r="BA31" s="316" t="s">
        <v>88</v>
      </c>
      <c r="BB31" s="316" t="s">
        <v>88</v>
      </c>
      <c r="BC31" s="316" t="s">
        <v>88</v>
      </c>
      <c r="BD31" s="316" t="s">
        <v>88</v>
      </c>
      <c r="BE31" s="316" t="s">
        <v>88</v>
      </c>
      <c r="BF31" s="316" t="s">
        <v>88</v>
      </c>
      <c r="BG31" s="316" t="s">
        <v>88</v>
      </c>
      <c r="BH31" s="316" t="s">
        <v>88</v>
      </c>
      <c r="BI31" s="316" t="s">
        <v>88</v>
      </c>
      <c r="BJ31" s="316" t="s">
        <v>88</v>
      </c>
      <c r="BK31" s="316" t="s">
        <v>88</v>
      </c>
      <c r="BL31" s="354" t="s">
        <v>89</v>
      </c>
      <c r="BM31" s="354" t="s">
        <v>90</v>
      </c>
      <c r="BN31" s="354" t="s">
        <v>91</v>
      </c>
      <c r="BO31" s="354">
        <v>225876</v>
      </c>
      <c r="BP31" s="354" t="s">
        <v>92</v>
      </c>
      <c r="BQ31" s="354" t="s">
        <v>93</v>
      </c>
      <c r="BR31" s="354" t="s">
        <v>94</v>
      </c>
      <c r="BS31" s="354">
        <v>63250612</v>
      </c>
      <c r="BT31" s="354" t="s">
        <v>95</v>
      </c>
      <c r="BU31" s="354" t="s">
        <v>112</v>
      </c>
      <c r="BV31" s="477"/>
    </row>
    <row r="32" spans="1:74" s="2" customFormat="1" ht="24.9" customHeight="1">
      <c r="A32" s="147" t="s">
        <v>85</v>
      </c>
      <c r="B32" s="364" t="s">
        <v>119</v>
      </c>
      <c r="C32" s="355"/>
      <c r="D32" s="364"/>
      <c r="E32" s="363">
        <v>46210</v>
      </c>
      <c r="F32" s="358">
        <v>1</v>
      </c>
      <c r="G32" s="358">
        <v>28</v>
      </c>
      <c r="H32" s="511" t="s">
        <v>101</v>
      </c>
      <c r="I32" s="371">
        <v>337</v>
      </c>
      <c r="J32" s="371">
        <v>404</v>
      </c>
      <c r="K32" s="371">
        <v>367.5</v>
      </c>
      <c r="L32" s="371">
        <v>259.5</v>
      </c>
      <c r="M32" s="371">
        <v>390.5</v>
      </c>
      <c r="N32" s="371">
        <v>334.5</v>
      </c>
      <c r="O32" s="316" t="s">
        <v>88</v>
      </c>
      <c r="P32" s="316" t="s">
        <v>88</v>
      </c>
      <c r="Q32" s="371">
        <v>-1.1399999999999999</v>
      </c>
      <c r="R32" s="316" t="s">
        <v>88</v>
      </c>
      <c r="S32" s="316" t="s">
        <v>88</v>
      </c>
      <c r="T32" s="316" t="s">
        <v>88</v>
      </c>
      <c r="U32" s="316" t="s">
        <v>88</v>
      </c>
      <c r="V32" s="316" t="s">
        <v>88</v>
      </c>
      <c r="W32" s="316" t="s">
        <v>88</v>
      </c>
      <c r="X32" s="316" t="s">
        <v>88</v>
      </c>
      <c r="Y32" s="316" t="s">
        <v>88</v>
      </c>
      <c r="Z32" s="316" t="s">
        <v>88</v>
      </c>
      <c r="AA32" s="316" t="s">
        <v>88</v>
      </c>
      <c r="AB32" s="316" t="s">
        <v>88</v>
      </c>
      <c r="AC32" s="316" t="s">
        <v>88</v>
      </c>
      <c r="AD32" s="316" t="s">
        <v>88</v>
      </c>
      <c r="AE32" s="316" t="s">
        <v>88</v>
      </c>
      <c r="AF32" s="316"/>
      <c r="AG32" s="371">
        <v>1.91</v>
      </c>
      <c r="AH32" s="316" t="s">
        <v>88</v>
      </c>
      <c r="AI32" s="316" t="s">
        <v>88</v>
      </c>
      <c r="AJ32" s="316" t="s">
        <v>88</v>
      </c>
      <c r="AK32" s="316" t="s">
        <v>88</v>
      </c>
      <c r="AL32" s="316" t="s">
        <v>88</v>
      </c>
      <c r="AM32" s="316" t="s">
        <v>88</v>
      </c>
      <c r="AN32" s="316" t="s">
        <v>88</v>
      </c>
      <c r="AO32" s="316" t="s">
        <v>88</v>
      </c>
      <c r="AP32" s="316" t="s">
        <v>88</v>
      </c>
      <c r="AQ32" s="316" t="s">
        <v>88</v>
      </c>
      <c r="AR32" s="316" t="s">
        <v>88</v>
      </c>
      <c r="AS32" s="316" t="s">
        <v>88</v>
      </c>
      <c r="AT32" s="316" t="s">
        <v>88</v>
      </c>
      <c r="AU32" s="316" t="s">
        <v>88</v>
      </c>
      <c r="AV32" s="316" t="s">
        <v>88</v>
      </c>
      <c r="AW32" s="316" t="s">
        <v>88</v>
      </c>
      <c r="AX32" s="316" t="s">
        <v>88</v>
      </c>
      <c r="AY32" s="316" t="s">
        <v>88</v>
      </c>
      <c r="AZ32" s="316" t="s">
        <v>88</v>
      </c>
      <c r="BA32" s="316" t="s">
        <v>88</v>
      </c>
      <c r="BB32" s="316" t="s">
        <v>88</v>
      </c>
      <c r="BC32" s="316" t="s">
        <v>88</v>
      </c>
      <c r="BD32" s="316" t="s">
        <v>88</v>
      </c>
      <c r="BE32" s="316" t="s">
        <v>88</v>
      </c>
      <c r="BF32" s="316" t="s">
        <v>88</v>
      </c>
      <c r="BG32" s="316" t="s">
        <v>88</v>
      </c>
      <c r="BH32" s="316" t="s">
        <v>88</v>
      </c>
      <c r="BI32" s="316" t="s">
        <v>88</v>
      </c>
      <c r="BJ32" s="316" t="s">
        <v>88</v>
      </c>
      <c r="BK32" s="316" t="s">
        <v>88</v>
      </c>
      <c r="BL32" s="354" t="s">
        <v>89</v>
      </c>
      <c r="BM32" s="354" t="s">
        <v>90</v>
      </c>
      <c r="BN32" s="354" t="s">
        <v>91</v>
      </c>
      <c r="BO32" s="354">
        <v>225876</v>
      </c>
      <c r="BP32" s="354" t="s">
        <v>92</v>
      </c>
      <c r="BQ32" s="354" t="s">
        <v>93</v>
      </c>
      <c r="BR32" s="354" t="s">
        <v>94</v>
      </c>
      <c r="BS32" s="354">
        <v>63250612</v>
      </c>
      <c r="BT32" s="354" t="s">
        <v>95</v>
      </c>
      <c r="BU32" s="354" t="s">
        <v>112</v>
      </c>
      <c r="BV32" s="477"/>
    </row>
    <row r="33" spans="1:74" s="2" customFormat="1" ht="24.9" customHeight="1">
      <c r="A33" s="147" t="s">
        <v>85</v>
      </c>
      <c r="B33" s="364" t="s">
        <v>120</v>
      </c>
      <c r="C33" s="355"/>
      <c r="D33" s="364"/>
      <c r="E33" s="363">
        <v>46210</v>
      </c>
      <c r="F33" s="358">
        <v>1</v>
      </c>
      <c r="G33" s="358">
        <v>28</v>
      </c>
      <c r="H33" s="316" t="s">
        <v>88</v>
      </c>
      <c r="I33" s="316" t="s">
        <v>88</v>
      </c>
      <c r="J33" s="316" t="s">
        <v>88</v>
      </c>
      <c r="K33" s="316" t="s">
        <v>88</v>
      </c>
      <c r="L33" s="316" t="s">
        <v>88</v>
      </c>
      <c r="M33" s="316" t="s">
        <v>88</v>
      </c>
      <c r="N33" s="316" t="s">
        <v>88</v>
      </c>
      <c r="O33" s="316" t="s">
        <v>88</v>
      </c>
      <c r="P33" s="316" t="s">
        <v>88</v>
      </c>
      <c r="Q33" s="316" t="s">
        <v>88</v>
      </c>
      <c r="R33" s="316" t="s">
        <v>88</v>
      </c>
      <c r="S33" s="316" t="s">
        <v>88</v>
      </c>
      <c r="T33" s="316" t="s">
        <v>88</v>
      </c>
      <c r="U33" s="316" t="s">
        <v>88</v>
      </c>
      <c r="V33" s="316" t="s">
        <v>88</v>
      </c>
      <c r="W33" s="316" t="s">
        <v>88</v>
      </c>
      <c r="X33" s="316" t="s">
        <v>88</v>
      </c>
      <c r="Y33" s="316" t="s">
        <v>88</v>
      </c>
      <c r="Z33" s="316" t="s">
        <v>88</v>
      </c>
      <c r="AA33" s="316" t="s">
        <v>88</v>
      </c>
      <c r="AB33" s="316" t="s">
        <v>88</v>
      </c>
      <c r="AC33" s="316" t="s">
        <v>88</v>
      </c>
      <c r="AD33" s="316" t="s">
        <v>88</v>
      </c>
      <c r="AE33" s="316" t="s">
        <v>88</v>
      </c>
      <c r="AF33" s="316"/>
      <c r="AG33" s="316" t="s">
        <v>88</v>
      </c>
      <c r="AH33" s="316" t="s">
        <v>88</v>
      </c>
      <c r="AI33" s="316" t="s">
        <v>88</v>
      </c>
      <c r="AJ33" s="316" t="s">
        <v>88</v>
      </c>
      <c r="AK33" s="316" t="s">
        <v>88</v>
      </c>
      <c r="AL33" s="316" t="s">
        <v>88</v>
      </c>
      <c r="AM33" s="316" t="s">
        <v>88</v>
      </c>
      <c r="AN33" s="316" t="s">
        <v>88</v>
      </c>
      <c r="AO33" s="316" t="s">
        <v>88</v>
      </c>
      <c r="AP33" s="316" t="s">
        <v>88</v>
      </c>
      <c r="AQ33" s="316" t="s">
        <v>88</v>
      </c>
      <c r="AR33" s="316" t="s">
        <v>88</v>
      </c>
      <c r="AS33" s="316" t="s">
        <v>88</v>
      </c>
      <c r="AT33" s="316" t="s">
        <v>88</v>
      </c>
      <c r="AU33" s="316" t="s">
        <v>88</v>
      </c>
      <c r="AV33" s="316" t="s">
        <v>88</v>
      </c>
      <c r="AW33" s="316" t="s">
        <v>88</v>
      </c>
      <c r="AX33" s="316" t="s">
        <v>88</v>
      </c>
      <c r="AY33" s="316" t="s">
        <v>88</v>
      </c>
      <c r="AZ33" s="371">
        <v>67.73</v>
      </c>
      <c r="BA33" s="371">
        <v>35.94</v>
      </c>
      <c r="BB33" s="371">
        <v>60.04</v>
      </c>
      <c r="BC33" s="371">
        <v>25.9</v>
      </c>
      <c r="BD33" s="316" t="s">
        <v>88</v>
      </c>
      <c r="BE33" s="316" t="s">
        <v>88</v>
      </c>
      <c r="BF33" s="371">
        <v>59.92</v>
      </c>
      <c r="BG33" s="371">
        <v>40.020000000000003</v>
      </c>
      <c r="BH33" s="371">
        <v>53.76</v>
      </c>
      <c r="BI33" s="371">
        <v>35.71</v>
      </c>
      <c r="BJ33" s="316" t="s">
        <v>88</v>
      </c>
      <c r="BK33" s="316" t="s">
        <v>88</v>
      </c>
      <c r="BL33" s="354" t="s">
        <v>89</v>
      </c>
      <c r="BM33" s="354" t="s">
        <v>90</v>
      </c>
      <c r="BN33" s="354" t="s">
        <v>91</v>
      </c>
      <c r="BO33" s="354">
        <v>225876</v>
      </c>
      <c r="BP33" s="354" t="s">
        <v>92</v>
      </c>
      <c r="BQ33" s="354" t="s">
        <v>93</v>
      </c>
      <c r="BR33" s="354" t="s">
        <v>94</v>
      </c>
      <c r="BS33" s="354">
        <v>63250612</v>
      </c>
      <c r="BT33" s="354" t="s">
        <v>95</v>
      </c>
      <c r="BU33" s="354" t="s">
        <v>112</v>
      </c>
      <c r="BV33" s="477"/>
    </row>
    <row r="34" spans="1:74" s="2" customFormat="1" ht="24.9" customHeight="1">
      <c r="A34" s="147" t="s">
        <v>85</v>
      </c>
      <c r="B34" s="364" t="s">
        <v>121</v>
      </c>
      <c r="C34" s="355"/>
      <c r="D34" s="364"/>
      <c r="E34" s="363">
        <v>46210</v>
      </c>
      <c r="F34" s="358">
        <v>1</v>
      </c>
      <c r="G34" s="358">
        <v>28</v>
      </c>
      <c r="H34" s="316" t="s">
        <v>88</v>
      </c>
      <c r="I34" s="316" t="s">
        <v>88</v>
      </c>
      <c r="J34" s="316" t="s">
        <v>88</v>
      </c>
      <c r="K34" s="316" t="s">
        <v>88</v>
      </c>
      <c r="L34" s="316" t="s">
        <v>88</v>
      </c>
      <c r="M34" s="316" t="s">
        <v>88</v>
      </c>
      <c r="N34" s="316" t="s">
        <v>88</v>
      </c>
      <c r="O34" s="316" t="s">
        <v>88</v>
      </c>
      <c r="P34" s="316" t="s">
        <v>88</v>
      </c>
      <c r="Q34" s="316" t="s">
        <v>88</v>
      </c>
      <c r="R34" s="316" t="s">
        <v>88</v>
      </c>
      <c r="S34" s="316" t="s">
        <v>88</v>
      </c>
      <c r="T34" s="316" t="s">
        <v>88</v>
      </c>
      <c r="U34" s="316" t="s">
        <v>88</v>
      </c>
      <c r="V34" s="316" t="s">
        <v>88</v>
      </c>
      <c r="W34" s="316" t="s">
        <v>88</v>
      </c>
      <c r="X34" s="316" t="s">
        <v>88</v>
      </c>
      <c r="Y34" s="316" t="s">
        <v>88</v>
      </c>
      <c r="Z34" s="316" t="s">
        <v>88</v>
      </c>
      <c r="AA34" s="316" t="s">
        <v>88</v>
      </c>
      <c r="AB34" s="316" t="s">
        <v>88</v>
      </c>
      <c r="AC34" s="316" t="s">
        <v>88</v>
      </c>
      <c r="AD34" s="316" t="s">
        <v>88</v>
      </c>
      <c r="AE34" s="316" t="s">
        <v>88</v>
      </c>
      <c r="AF34" s="316"/>
      <c r="AG34" s="316" t="s">
        <v>88</v>
      </c>
      <c r="AH34" s="316" t="s">
        <v>88</v>
      </c>
      <c r="AI34" s="316" t="s">
        <v>88</v>
      </c>
      <c r="AJ34" s="316" t="s">
        <v>88</v>
      </c>
      <c r="AK34" s="316" t="s">
        <v>88</v>
      </c>
      <c r="AL34" s="316" t="s">
        <v>88</v>
      </c>
      <c r="AM34" s="316" t="s">
        <v>88</v>
      </c>
      <c r="AN34" s="316" t="s">
        <v>88</v>
      </c>
      <c r="AO34" s="316" t="s">
        <v>88</v>
      </c>
      <c r="AP34" s="316" t="s">
        <v>88</v>
      </c>
      <c r="AQ34" s="316" t="s">
        <v>88</v>
      </c>
      <c r="AR34" s="316" t="s">
        <v>88</v>
      </c>
      <c r="AS34" s="316" t="s">
        <v>88</v>
      </c>
      <c r="AT34" s="316" t="s">
        <v>88</v>
      </c>
      <c r="AU34" s="316" t="s">
        <v>88</v>
      </c>
      <c r="AV34" s="316" t="s">
        <v>88</v>
      </c>
      <c r="AW34" s="316" t="s">
        <v>88</v>
      </c>
      <c r="AX34" s="316" t="s">
        <v>88</v>
      </c>
      <c r="AY34" s="316" t="s">
        <v>88</v>
      </c>
      <c r="AZ34" s="371">
        <v>56.6</v>
      </c>
      <c r="BA34" s="371">
        <v>35.049999999999997</v>
      </c>
      <c r="BB34" s="371">
        <v>48.66</v>
      </c>
      <c r="BC34" s="371">
        <v>28.25</v>
      </c>
      <c r="BD34" s="316" t="s">
        <v>88</v>
      </c>
      <c r="BE34" s="316" t="s">
        <v>88</v>
      </c>
      <c r="BF34" s="371">
        <v>65.22</v>
      </c>
      <c r="BG34" s="371">
        <v>39.31</v>
      </c>
      <c r="BH34" s="371">
        <v>58.08</v>
      </c>
      <c r="BI34" s="371">
        <v>34.130000000000003</v>
      </c>
      <c r="BJ34" s="316"/>
      <c r="BK34" s="316"/>
      <c r="BL34" s="354" t="s">
        <v>89</v>
      </c>
      <c r="BM34" s="433" t="s">
        <v>122</v>
      </c>
      <c r="BN34" s="354" t="s">
        <v>91</v>
      </c>
      <c r="BO34" s="354">
        <v>225876</v>
      </c>
      <c r="BP34" s="354" t="s">
        <v>92</v>
      </c>
      <c r="BQ34" s="354" t="s">
        <v>93</v>
      </c>
      <c r="BR34" s="354" t="s">
        <v>94</v>
      </c>
      <c r="BS34" s="354">
        <v>63250612</v>
      </c>
      <c r="BT34" s="354" t="s">
        <v>95</v>
      </c>
      <c r="BU34" s="354" t="s">
        <v>112</v>
      </c>
      <c r="BV34" s="415" t="s">
        <v>123</v>
      </c>
    </row>
    <row r="35" spans="1:74" s="2" customFormat="1" ht="24.9" customHeight="1">
      <c r="A35" s="147" t="s">
        <v>85</v>
      </c>
      <c r="B35" s="364" t="s">
        <v>124</v>
      </c>
      <c r="C35" s="355"/>
      <c r="D35" s="364"/>
      <c r="E35" s="363">
        <v>46210</v>
      </c>
      <c r="F35" s="358">
        <v>2</v>
      </c>
      <c r="G35" s="358">
        <v>28</v>
      </c>
      <c r="H35" s="511" t="s">
        <v>101</v>
      </c>
      <c r="I35" s="371">
        <v>316</v>
      </c>
      <c r="J35" s="371">
        <v>380</v>
      </c>
      <c r="K35" s="371">
        <v>345</v>
      </c>
      <c r="L35" s="371">
        <v>234</v>
      </c>
      <c r="M35" s="371">
        <v>356</v>
      </c>
      <c r="N35" s="371">
        <v>307</v>
      </c>
      <c r="O35" s="316" t="s">
        <v>88</v>
      </c>
      <c r="P35" s="316" t="s">
        <v>88</v>
      </c>
      <c r="Q35" s="459">
        <v>-0.87</v>
      </c>
      <c r="R35" s="316" t="s">
        <v>88</v>
      </c>
      <c r="S35" s="316" t="s">
        <v>88</v>
      </c>
      <c r="T35" s="316" t="s">
        <v>88</v>
      </c>
      <c r="U35" s="316" t="s">
        <v>88</v>
      </c>
      <c r="V35" s="316" t="s">
        <v>88</v>
      </c>
      <c r="W35" s="316" t="s">
        <v>88</v>
      </c>
      <c r="X35" s="316" t="s">
        <v>88</v>
      </c>
      <c r="Y35" s="316" t="s">
        <v>88</v>
      </c>
      <c r="Z35" s="316" t="s">
        <v>88</v>
      </c>
      <c r="AA35" s="316" t="s">
        <v>88</v>
      </c>
      <c r="AB35" s="316" t="s">
        <v>88</v>
      </c>
      <c r="AC35" s="316" t="s">
        <v>88</v>
      </c>
      <c r="AD35" s="316" t="s">
        <v>88</v>
      </c>
      <c r="AE35" s="316" t="s">
        <v>88</v>
      </c>
      <c r="AF35" s="316"/>
      <c r="AG35" s="459">
        <v>1.35</v>
      </c>
      <c r="AH35" s="316" t="s">
        <v>88</v>
      </c>
      <c r="AI35" s="316" t="s">
        <v>88</v>
      </c>
      <c r="AJ35" s="316" t="s">
        <v>88</v>
      </c>
      <c r="AK35" s="316" t="s">
        <v>88</v>
      </c>
      <c r="AL35" s="316" t="s">
        <v>88</v>
      </c>
      <c r="AM35" s="316" t="s">
        <v>88</v>
      </c>
      <c r="AN35" s="316" t="s">
        <v>88</v>
      </c>
      <c r="AO35" s="316" t="s">
        <v>88</v>
      </c>
      <c r="AP35" s="316" t="s">
        <v>88</v>
      </c>
      <c r="AQ35" s="316" t="s">
        <v>88</v>
      </c>
      <c r="AR35" s="316" t="s">
        <v>88</v>
      </c>
      <c r="AS35" s="316" t="s">
        <v>88</v>
      </c>
      <c r="AT35" s="316" t="s">
        <v>88</v>
      </c>
      <c r="AU35" s="316" t="s">
        <v>88</v>
      </c>
      <c r="AV35" s="316" t="s">
        <v>88</v>
      </c>
      <c r="AW35" s="316" t="s">
        <v>88</v>
      </c>
      <c r="AX35" s="316" t="s">
        <v>88</v>
      </c>
      <c r="AY35" s="316" t="s">
        <v>88</v>
      </c>
      <c r="AZ35" s="316" t="s">
        <v>88</v>
      </c>
      <c r="BA35" s="316" t="s">
        <v>88</v>
      </c>
      <c r="BB35" s="316" t="s">
        <v>88</v>
      </c>
      <c r="BC35" s="316" t="s">
        <v>88</v>
      </c>
      <c r="BD35" s="316" t="s">
        <v>88</v>
      </c>
      <c r="BE35" s="316" t="s">
        <v>88</v>
      </c>
      <c r="BF35" s="316" t="s">
        <v>88</v>
      </c>
      <c r="BG35" s="316" t="s">
        <v>88</v>
      </c>
      <c r="BH35" s="316" t="s">
        <v>88</v>
      </c>
      <c r="BI35" s="316" t="s">
        <v>88</v>
      </c>
      <c r="BJ35" s="316" t="s">
        <v>88</v>
      </c>
      <c r="BK35" s="316" t="s">
        <v>88</v>
      </c>
      <c r="BL35" s="354" t="s">
        <v>89</v>
      </c>
      <c r="BM35" s="364" t="s">
        <v>122</v>
      </c>
      <c r="BN35" s="354" t="s">
        <v>91</v>
      </c>
      <c r="BO35" s="354">
        <v>225876</v>
      </c>
      <c r="BP35" s="354" t="s">
        <v>92</v>
      </c>
      <c r="BQ35" s="354" t="s">
        <v>93</v>
      </c>
      <c r="BR35" s="354" t="s">
        <v>94</v>
      </c>
      <c r="BS35" s="354">
        <v>63250612</v>
      </c>
      <c r="BT35" s="354" t="s">
        <v>95</v>
      </c>
      <c r="BU35" s="354" t="s">
        <v>112</v>
      </c>
      <c r="BV35" s="477"/>
    </row>
    <row r="36" spans="1:74" s="2" customFormat="1" ht="24.9" customHeight="1">
      <c r="A36" s="147" t="s">
        <v>85</v>
      </c>
      <c r="B36" s="364" t="s">
        <v>125</v>
      </c>
      <c r="C36" s="369"/>
      <c r="D36" s="356"/>
      <c r="E36" s="363">
        <v>46210</v>
      </c>
      <c r="F36" s="358">
        <v>2</v>
      </c>
      <c r="G36" s="358">
        <v>28</v>
      </c>
      <c r="H36" s="316" t="s">
        <v>88</v>
      </c>
      <c r="I36" s="316" t="s">
        <v>88</v>
      </c>
      <c r="J36" s="316" t="s">
        <v>88</v>
      </c>
      <c r="K36" s="316" t="s">
        <v>88</v>
      </c>
      <c r="L36" s="316" t="s">
        <v>88</v>
      </c>
      <c r="M36" s="316" t="s">
        <v>88</v>
      </c>
      <c r="N36" s="316" t="s">
        <v>88</v>
      </c>
      <c r="O36" s="316" t="s">
        <v>88</v>
      </c>
      <c r="P36" s="316" t="s">
        <v>88</v>
      </c>
      <c r="Q36" s="316" t="s">
        <v>88</v>
      </c>
      <c r="R36" s="316" t="s">
        <v>88</v>
      </c>
      <c r="S36" s="316" t="s">
        <v>88</v>
      </c>
      <c r="T36" s="316" t="s">
        <v>88</v>
      </c>
      <c r="U36" s="316" t="s">
        <v>88</v>
      </c>
      <c r="V36" s="316" t="s">
        <v>88</v>
      </c>
      <c r="W36" s="316" t="s">
        <v>88</v>
      </c>
      <c r="X36" s="316" t="s">
        <v>88</v>
      </c>
      <c r="Y36" s="316" t="s">
        <v>88</v>
      </c>
      <c r="Z36" s="316" t="s">
        <v>88</v>
      </c>
      <c r="AA36" s="316" t="s">
        <v>88</v>
      </c>
      <c r="AB36" s="316" t="s">
        <v>88</v>
      </c>
      <c r="AC36" s="316" t="s">
        <v>88</v>
      </c>
      <c r="AD36" s="316" t="s">
        <v>88</v>
      </c>
      <c r="AE36" s="316" t="s">
        <v>88</v>
      </c>
      <c r="AF36" s="316"/>
      <c r="AG36" s="316" t="s">
        <v>88</v>
      </c>
      <c r="AH36" s="316" t="s">
        <v>88</v>
      </c>
      <c r="AI36" s="316" t="s">
        <v>88</v>
      </c>
      <c r="AJ36" s="316" t="s">
        <v>88</v>
      </c>
      <c r="AK36" s="316" t="s">
        <v>88</v>
      </c>
      <c r="AL36" s="316" t="s">
        <v>88</v>
      </c>
      <c r="AM36" s="316" t="s">
        <v>88</v>
      </c>
      <c r="AN36" s="316" t="s">
        <v>88</v>
      </c>
      <c r="AO36" s="316" t="s">
        <v>88</v>
      </c>
      <c r="AP36" s="316" t="s">
        <v>88</v>
      </c>
      <c r="AQ36" s="316" t="s">
        <v>88</v>
      </c>
      <c r="AR36" s="316" t="s">
        <v>88</v>
      </c>
      <c r="AS36" s="316" t="s">
        <v>88</v>
      </c>
      <c r="AT36" s="316" t="s">
        <v>88</v>
      </c>
      <c r="AU36" s="316" t="s">
        <v>88</v>
      </c>
      <c r="AV36" s="316" t="s">
        <v>88</v>
      </c>
      <c r="AW36" s="316" t="s">
        <v>88</v>
      </c>
      <c r="AX36" s="316" t="s">
        <v>88</v>
      </c>
      <c r="AY36" s="316" t="s">
        <v>88</v>
      </c>
      <c r="AZ36" s="459">
        <v>80.44</v>
      </c>
      <c r="BA36" s="459">
        <v>41.76</v>
      </c>
      <c r="BB36" s="459">
        <v>35.71</v>
      </c>
      <c r="BC36" s="459">
        <v>32.57</v>
      </c>
      <c r="BD36" s="459">
        <v>80.44</v>
      </c>
      <c r="BE36" s="316" t="s">
        <v>88</v>
      </c>
      <c r="BF36" s="459">
        <v>67.73</v>
      </c>
      <c r="BG36" s="459">
        <v>42.17</v>
      </c>
      <c r="BH36" s="459">
        <v>60.04</v>
      </c>
      <c r="BI36" s="459">
        <v>24.72</v>
      </c>
      <c r="BJ36" s="316" t="s">
        <v>88</v>
      </c>
      <c r="BK36" s="316" t="s">
        <v>88</v>
      </c>
      <c r="BL36" s="354" t="s">
        <v>89</v>
      </c>
      <c r="BM36" s="364" t="s">
        <v>122</v>
      </c>
      <c r="BN36" s="354" t="s">
        <v>91</v>
      </c>
      <c r="BO36" s="354">
        <v>225876</v>
      </c>
      <c r="BP36" s="354" t="s">
        <v>92</v>
      </c>
      <c r="BQ36" s="354" t="s">
        <v>93</v>
      </c>
      <c r="BR36" s="354" t="s">
        <v>94</v>
      </c>
      <c r="BS36" s="354">
        <v>63250612</v>
      </c>
      <c r="BT36" s="354" t="s">
        <v>95</v>
      </c>
      <c r="BU36" s="354" t="s">
        <v>112</v>
      </c>
      <c r="BV36" s="477"/>
    </row>
    <row r="37" spans="1:74" s="2" customFormat="1" ht="24.9" customHeight="1">
      <c r="A37" s="147" t="s">
        <v>85</v>
      </c>
      <c r="B37" s="356" t="s">
        <v>126</v>
      </c>
      <c r="C37" s="369"/>
      <c r="D37" s="356"/>
      <c r="E37" s="363">
        <v>46210</v>
      </c>
      <c r="F37" s="358">
        <v>3</v>
      </c>
      <c r="G37" s="358">
        <v>28</v>
      </c>
      <c r="H37" s="316" t="s">
        <v>88</v>
      </c>
      <c r="I37" s="316" t="s">
        <v>88</v>
      </c>
      <c r="J37" s="316" t="s">
        <v>88</v>
      </c>
      <c r="K37" s="316" t="s">
        <v>88</v>
      </c>
      <c r="L37" s="316" t="s">
        <v>88</v>
      </c>
      <c r="M37" s="316" t="s">
        <v>88</v>
      </c>
      <c r="N37" s="316" t="s">
        <v>88</v>
      </c>
      <c r="O37" s="316" t="s">
        <v>88</v>
      </c>
      <c r="P37" s="316" t="s">
        <v>88</v>
      </c>
      <c r="Q37" s="316" t="s">
        <v>88</v>
      </c>
      <c r="R37" s="316" t="s">
        <v>88</v>
      </c>
      <c r="S37" s="316" t="s">
        <v>88</v>
      </c>
      <c r="T37" s="316" t="s">
        <v>88</v>
      </c>
      <c r="U37" s="316" t="s">
        <v>88</v>
      </c>
      <c r="V37" s="316" t="s">
        <v>88</v>
      </c>
      <c r="W37" s="316" t="s">
        <v>88</v>
      </c>
      <c r="X37" s="316" t="s">
        <v>88</v>
      </c>
      <c r="Y37" s="316" t="s">
        <v>88</v>
      </c>
      <c r="Z37" s="316" t="s">
        <v>88</v>
      </c>
      <c r="AA37" s="316" t="s">
        <v>88</v>
      </c>
      <c r="AB37" s="316" t="s">
        <v>88</v>
      </c>
      <c r="AC37" s="316" t="s">
        <v>88</v>
      </c>
      <c r="AD37" s="316" t="s">
        <v>88</v>
      </c>
      <c r="AE37" s="316" t="s">
        <v>88</v>
      </c>
      <c r="AF37" s="316"/>
      <c r="AG37" s="316" t="s">
        <v>88</v>
      </c>
      <c r="AH37" s="316" t="s">
        <v>88</v>
      </c>
      <c r="AI37" s="316" t="s">
        <v>88</v>
      </c>
      <c r="AJ37" s="316" t="s">
        <v>88</v>
      </c>
      <c r="AK37" s="316" t="s">
        <v>88</v>
      </c>
      <c r="AL37" s="316" t="s">
        <v>88</v>
      </c>
      <c r="AM37" s="316" t="s">
        <v>88</v>
      </c>
      <c r="AN37" s="316" t="s">
        <v>88</v>
      </c>
      <c r="AO37" s="316" t="s">
        <v>88</v>
      </c>
      <c r="AP37" s="316" t="s">
        <v>88</v>
      </c>
      <c r="AQ37" s="316" t="s">
        <v>88</v>
      </c>
      <c r="AR37" s="316" t="s">
        <v>88</v>
      </c>
      <c r="AS37" s="316" t="s">
        <v>88</v>
      </c>
      <c r="AT37" s="316" t="s">
        <v>88</v>
      </c>
      <c r="AU37" s="316" t="s">
        <v>88</v>
      </c>
      <c r="AV37" s="316" t="s">
        <v>88</v>
      </c>
      <c r="AW37" s="316" t="s">
        <v>88</v>
      </c>
      <c r="AX37" s="316" t="s">
        <v>88</v>
      </c>
      <c r="AY37" s="316" t="s">
        <v>88</v>
      </c>
      <c r="AZ37" s="371">
        <v>82.4</v>
      </c>
      <c r="BA37" s="371">
        <v>42.23</v>
      </c>
      <c r="BB37" s="371">
        <v>32.57</v>
      </c>
      <c r="BC37" s="371">
        <v>25.51</v>
      </c>
      <c r="BD37" s="316" t="s">
        <v>88</v>
      </c>
      <c r="BE37" s="316" t="s">
        <v>88</v>
      </c>
      <c r="BF37" s="371">
        <v>82.42</v>
      </c>
      <c r="BG37" s="371">
        <v>45.08</v>
      </c>
      <c r="BH37" s="371">
        <v>75.34</v>
      </c>
      <c r="BI37" s="371">
        <v>23.54</v>
      </c>
      <c r="BJ37" s="316" t="s">
        <v>88</v>
      </c>
      <c r="BK37" s="316" t="s">
        <v>88</v>
      </c>
      <c r="BL37" s="354" t="s">
        <v>89</v>
      </c>
      <c r="BM37" s="364" t="s">
        <v>122</v>
      </c>
      <c r="BN37" s="354" t="s">
        <v>91</v>
      </c>
      <c r="BO37" s="354">
        <v>225876</v>
      </c>
      <c r="BP37" s="354" t="s">
        <v>92</v>
      </c>
      <c r="BQ37" s="354" t="s">
        <v>93</v>
      </c>
      <c r="BR37" s="354" t="s">
        <v>94</v>
      </c>
      <c r="BS37" s="354">
        <v>63250612</v>
      </c>
      <c r="BT37" s="354" t="s">
        <v>95</v>
      </c>
      <c r="BU37" s="354" t="s">
        <v>112</v>
      </c>
      <c r="BV37" s="477"/>
    </row>
    <row r="38" spans="1:74" s="2" customFormat="1" ht="24.9" customHeight="1">
      <c r="A38" s="147" t="s">
        <v>85</v>
      </c>
      <c r="B38" s="356" t="s">
        <v>127</v>
      </c>
      <c r="C38" s="369"/>
      <c r="D38" s="356"/>
      <c r="E38" s="363">
        <v>46210</v>
      </c>
      <c r="F38" s="358">
        <v>3</v>
      </c>
      <c r="G38" s="358">
        <v>28</v>
      </c>
      <c r="H38" s="511" t="s">
        <v>101</v>
      </c>
      <c r="I38" s="371">
        <v>294</v>
      </c>
      <c r="J38" s="371">
        <v>390</v>
      </c>
      <c r="K38" s="371">
        <v>339</v>
      </c>
      <c r="L38" s="371">
        <v>215</v>
      </c>
      <c r="M38" s="371">
        <v>335</v>
      </c>
      <c r="N38" s="371">
        <v>291</v>
      </c>
      <c r="O38" s="316" t="s">
        <v>88</v>
      </c>
      <c r="P38" s="316" t="s">
        <v>88</v>
      </c>
      <c r="Q38" s="371">
        <v>-1.49</v>
      </c>
      <c r="R38" s="316" t="s">
        <v>88</v>
      </c>
      <c r="S38" s="316" t="s">
        <v>88</v>
      </c>
      <c r="T38" s="316" t="s">
        <v>88</v>
      </c>
      <c r="U38" s="316" t="s">
        <v>88</v>
      </c>
      <c r="V38" s="316" t="s">
        <v>88</v>
      </c>
      <c r="W38" s="316" t="s">
        <v>88</v>
      </c>
      <c r="X38" s="316" t="s">
        <v>88</v>
      </c>
      <c r="Y38" s="316" t="s">
        <v>88</v>
      </c>
      <c r="Z38" s="316" t="s">
        <v>88</v>
      </c>
      <c r="AA38" s="316" t="s">
        <v>88</v>
      </c>
      <c r="AB38" s="316" t="s">
        <v>88</v>
      </c>
      <c r="AC38" s="316" t="s">
        <v>88</v>
      </c>
      <c r="AD38" s="316" t="s">
        <v>88</v>
      </c>
      <c r="AE38" s="316" t="s">
        <v>88</v>
      </c>
      <c r="AF38" s="316"/>
      <c r="AG38" s="371">
        <v>9.2200000000000006</v>
      </c>
      <c r="AH38" s="316" t="s">
        <v>88</v>
      </c>
      <c r="AI38" s="316" t="s">
        <v>88</v>
      </c>
      <c r="AJ38" s="316" t="s">
        <v>88</v>
      </c>
      <c r="AK38" s="316" t="s">
        <v>88</v>
      </c>
      <c r="AL38" s="316" t="s">
        <v>88</v>
      </c>
      <c r="AM38" s="316" t="s">
        <v>88</v>
      </c>
      <c r="AN38" s="316" t="s">
        <v>88</v>
      </c>
      <c r="AO38" s="316" t="s">
        <v>88</v>
      </c>
      <c r="AP38" s="316" t="s">
        <v>88</v>
      </c>
      <c r="AQ38" s="316" t="s">
        <v>88</v>
      </c>
      <c r="AR38" s="316" t="s">
        <v>88</v>
      </c>
      <c r="AS38" s="316" t="s">
        <v>88</v>
      </c>
      <c r="AT38" s="316" t="s">
        <v>88</v>
      </c>
      <c r="AU38" s="316" t="s">
        <v>88</v>
      </c>
      <c r="AV38" s="316" t="s">
        <v>88</v>
      </c>
      <c r="AW38" s="316" t="s">
        <v>88</v>
      </c>
      <c r="AX38" s="316" t="s">
        <v>88</v>
      </c>
      <c r="AY38" s="316" t="s">
        <v>88</v>
      </c>
      <c r="AZ38" s="316" t="s">
        <v>88</v>
      </c>
      <c r="BA38" s="316" t="s">
        <v>88</v>
      </c>
      <c r="BB38" s="316" t="s">
        <v>88</v>
      </c>
      <c r="BC38" s="316" t="s">
        <v>88</v>
      </c>
      <c r="BD38" s="316" t="s">
        <v>88</v>
      </c>
      <c r="BE38" s="316" t="s">
        <v>88</v>
      </c>
      <c r="BF38" s="316" t="s">
        <v>88</v>
      </c>
      <c r="BG38" s="316" t="s">
        <v>88</v>
      </c>
      <c r="BH38" s="316" t="s">
        <v>88</v>
      </c>
      <c r="BI38" s="316" t="s">
        <v>88</v>
      </c>
      <c r="BJ38" s="316" t="s">
        <v>88</v>
      </c>
      <c r="BK38" s="316" t="s">
        <v>88</v>
      </c>
      <c r="BL38" s="354" t="s">
        <v>89</v>
      </c>
      <c r="BM38" s="364" t="s">
        <v>122</v>
      </c>
      <c r="BN38" s="354" t="s">
        <v>91</v>
      </c>
      <c r="BO38" s="354">
        <v>225876</v>
      </c>
      <c r="BP38" s="354" t="s">
        <v>92</v>
      </c>
      <c r="BQ38" s="354" t="s">
        <v>93</v>
      </c>
      <c r="BR38" s="354" t="s">
        <v>94</v>
      </c>
      <c r="BS38" s="354">
        <v>63250612</v>
      </c>
      <c r="BT38" s="354" t="s">
        <v>95</v>
      </c>
      <c r="BU38" s="354" t="s">
        <v>112</v>
      </c>
      <c r="BV38" s="477"/>
    </row>
    <row r="39" spans="1:74" s="2" customFormat="1" ht="24.9" customHeight="1">
      <c r="A39" s="147" t="s">
        <v>85</v>
      </c>
      <c r="B39" s="356" t="s">
        <v>128</v>
      </c>
      <c r="C39" s="369"/>
      <c r="D39" s="356"/>
      <c r="E39" s="363">
        <v>46210</v>
      </c>
      <c r="F39" s="358">
        <v>3</v>
      </c>
      <c r="G39" s="358">
        <v>28</v>
      </c>
      <c r="H39" s="316" t="s">
        <v>88</v>
      </c>
      <c r="I39" s="316" t="s">
        <v>88</v>
      </c>
      <c r="J39" s="316" t="s">
        <v>88</v>
      </c>
      <c r="K39" s="316" t="s">
        <v>88</v>
      </c>
      <c r="L39" s="316" t="s">
        <v>88</v>
      </c>
      <c r="M39" s="316" t="s">
        <v>88</v>
      </c>
      <c r="N39" s="316" t="s">
        <v>88</v>
      </c>
      <c r="O39" s="316" t="s">
        <v>88</v>
      </c>
      <c r="P39" s="316" t="s">
        <v>88</v>
      </c>
      <c r="Q39" s="316" t="s">
        <v>88</v>
      </c>
      <c r="R39" s="316" t="s">
        <v>88</v>
      </c>
      <c r="S39" s="371" t="s">
        <v>101</v>
      </c>
      <c r="T39" s="371" t="s">
        <v>101</v>
      </c>
      <c r="U39" s="316" t="s">
        <v>88</v>
      </c>
      <c r="V39" s="316" t="s">
        <v>88</v>
      </c>
      <c r="W39" s="316" t="s">
        <v>88</v>
      </c>
      <c r="X39" s="316" t="s">
        <v>88</v>
      </c>
      <c r="Y39" s="316" t="s">
        <v>88</v>
      </c>
      <c r="Z39" s="316" t="s">
        <v>88</v>
      </c>
      <c r="AA39" s="316" t="s">
        <v>88</v>
      </c>
      <c r="AB39" s="316" t="s">
        <v>88</v>
      </c>
      <c r="AC39" s="371">
        <v>1.97</v>
      </c>
      <c r="AD39" s="371">
        <v>1.78</v>
      </c>
      <c r="AE39" s="371">
        <v>2.06</v>
      </c>
      <c r="AF39" s="371">
        <f>AVERAGE(AC39:AE39)</f>
        <v>1.9366666666666668</v>
      </c>
      <c r="AG39" s="316" t="s">
        <v>88</v>
      </c>
      <c r="AH39" s="372" t="s">
        <v>99</v>
      </c>
      <c r="AI39" s="372" t="s">
        <v>99</v>
      </c>
      <c r="AJ39" s="372" t="s">
        <v>99</v>
      </c>
      <c r="AK39" s="372" t="s">
        <v>99</v>
      </c>
      <c r="AL39" s="372" t="s">
        <v>99</v>
      </c>
      <c r="AM39" s="372" t="s">
        <v>99</v>
      </c>
      <c r="AN39" s="316" t="s">
        <v>88</v>
      </c>
      <c r="AO39" s="316" t="s">
        <v>88</v>
      </c>
      <c r="AP39" s="316" t="s">
        <v>88</v>
      </c>
      <c r="AQ39" s="316" t="s">
        <v>88</v>
      </c>
      <c r="AR39" s="316" t="s">
        <v>88</v>
      </c>
      <c r="AS39" s="316" t="s">
        <v>88</v>
      </c>
      <c r="AT39" s="316" t="s">
        <v>88</v>
      </c>
      <c r="AU39" s="316" t="s">
        <v>88</v>
      </c>
      <c r="AV39" s="316" t="s">
        <v>88</v>
      </c>
      <c r="AW39" s="316" t="s">
        <v>88</v>
      </c>
      <c r="AX39" s="316" t="s">
        <v>88</v>
      </c>
      <c r="AY39" s="316" t="s">
        <v>88</v>
      </c>
      <c r="AZ39" s="316" t="s">
        <v>88</v>
      </c>
      <c r="BA39" s="316" t="s">
        <v>88</v>
      </c>
      <c r="BB39" s="316" t="s">
        <v>88</v>
      </c>
      <c r="BC39" s="316" t="s">
        <v>88</v>
      </c>
      <c r="BD39" s="316" t="s">
        <v>88</v>
      </c>
      <c r="BE39" s="316" t="s">
        <v>88</v>
      </c>
      <c r="BF39" s="316" t="s">
        <v>88</v>
      </c>
      <c r="BG39" s="316" t="s">
        <v>88</v>
      </c>
      <c r="BH39" s="316" t="s">
        <v>88</v>
      </c>
      <c r="BI39" s="316" t="s">
        <v>88</v>
      </c>
      <c r="BJ39" s="316" t="s">
        <v>88</v>
      </c>
      <c r="BK39" s="316" t="s">
        <v>88</v>
      </c>
      <c r="BL39" s="354" t="s">
        <v>89</v>
      </c>
      <c r="BM39" s="364" t="s">
        <v>122</v>
      </c>
      <c r="BN39" s="354" t="s">
        <v>91</v>
      </c>
      <c r="BO39" s="354">
        <v>225876</v>
      </c>
      <c r="BP39" s="354" t="s">
        <v>92</v>
      </c>
      <c r="BQ39" s="354" t="s">
        <v>93</v>
      </c>
      <c r="BR39" s="354" t="s">
        <v>94</v>
      </c>
      <c r="BS39" s="354">
        <v>63250612</v>
      </c>
      <c r="BT39" s="354" t="s">
        <v>95</v>
      </c>
      <c r="BU39" s="354" t="s">
        <v>112</v>
      </c>
      <c r="BV39" s="415"/>
    </row>
    <row r="40" spans="1:74" s="2" customFormat="1" ht="24.9" customHeight="1">
      <c r="A40" s="147" t="s">
        <v>85</v>
      </c>
      <c r="B40" s="356" t="s">
        <v>129</v>
      </c>
      <c r="C40" s="369"/>
      <c r="D40" s="356"/>
      <c r="E40" s="363">
        <v>46211</v>
      </c>
      <c r="F40" s="358">
        <v>1</v>
      </c>
      <c r="G40" s="358">
        <v>28</v>
      </c>
      <c r="H40" s="316" t="s">
        <v>88</v>
      </c>
      <c r="I40" s="316" t="s">
        <v>88</v>
      </c>
      <c r="J40" s="316" t="s">
        <v>88</v>
      </c>
      <c r="K40" s="316" t="s">
        <v>88</v>
      </c>
      <c r="L40" s="316" t="s">
        <v>88</v>
      </c>
      <c r="M40" s="316" t="s">
        <v>88</v>
      </c>
      <c r="N40" s="316" t="s">
        <v>88</v>
      </c>
      <c r="O40" s="316" t="s">
        <v>88</v>
      </c>
      <c r="P40" s="316" t="s">
        <v>88</v>
      </c>
      <c r="Q40" s="316" t="s">
        <v>88</v>
      </c>
      <c r="R40" s="316" t="s">
        <v>88</v>
      </c>
      <c r="S40" s="316" t="s">
        <v>88</v>
      </c>
      <c r="T40" s="316" t="s">
        <v>88</v>
      </c>
      <c r="U40" s="316" t="s">
        <v>88</v>
      </c>
      <c r="V40" s="316" t="s">
        <v>88</v>
      </c>
      <c r="W40" s="316" t="s">
        <v>88</v>
      </c>
      <c r="X40" s="316" t="s">
        <v>88</v>
      </c>
      <c r="Y40" s="316" t="s">
        <v>88</v>
      </c>
      <c r="Z40" s="316" t="s">
        <v>88</v>
      </c>
      <c r="AA40" s="316" t="s">
        <v>88</v>
      </c>
      <c r="AB40" s="316" t="s">
        <v>88</v>
      </c>
      <c r="AC40" s="316" t="s">
        <v>88</v>
      </c>
      <c r="AD40" s="316" t="s">
        <v>88</v>
      </c>
      <c r="AE40" s="316" t="s">
        <v>88</v>
      </c>
      <c r="AF40" s="316" t="s">
        <v>88</v>
      </c>
      <c r="AG40" s="316" t="s">
        <v>88</v>
      </c>
      <c r="AH40" s="316" t="s">
        <v>88</v>
      </c>
      <c r="AI40" s="316" t="s">
        <v>88</v>
      </c>
      <c r="AJ40" s="316" t="s">
        <v>88</v>
      </c>
      <c r="AK40" s="316" t="s">
        <v>88</v>
      </c>
      <c r="AL40" s="316" t="s">
        <v>88</v>
      </c>
      <c r="AM40" s="316" t="s">
        <v>88</v>
      </c>
      <c r="AN40" s="316" t="s">
        <v>88</v>
      </c>
      <c r="AO40" s="316" t="s">
        <v>88</v>
      </c>
      <c r="AP40" s="316" t="s">
        <v>88</v>
      </c>
      <c r="AQ40" s="316" t="s">
        <v>88</v>
      </c>
      <c r="AR40" s="316" t="s">
        <v>88</v>
      </c>
      <c r="AS40" s="316" t="s">
        <v>88</v>
      </c>
      <c r="AT40" s="316" t="s">
        <v>88</v>
      </c>
      <c r="AU40" s="316" t="s">
        <v>88</v>
      </c>
      <c r="AV40" s="316" t="s">
        <v>88</v>
      </c>
      <c r="AW40" s="316" t="s">
        <v>88</v>
      </c>
      <c r="AX40" s="316" t="s">
        <v>88</v>
      </c>
      <c r="AY40" s="316" t="s">
        <v>88</v>
      </c>
      <c r="AZ40" s="371">
        <v>66.099999999999994</v>
      </c>
      <c r="BA40" s="371">
        <v>43.61</v>
      </c>
      <c r="BB40" s="371">
        <v>60.43</v>
      </c>
      <c r="BC40" s="371">
        <v>38.950000000000003</v>
      </c>
      <c r="BD40" s="316" t="s">
        <v>88</v>
      </c>
      <c r="BE40" s="316" t="s">
        <v>88</v>
      </c>
      <c r="BF40" s="371">
        <v>57.91</v>
      </c>
      <c r="BG40" s="371">
        <v>43.96</v>
      </c>
      <c r="BH40" s="371">
        <v>55.72</v>
      </c>
      <c r="BI40" s="371">
        <v>39.24</v>
      </c>
      <c r="BJ40" s="316" t="s">
        <v>88</v>
      </c>
      <c r="BK40" s="316" t="s">
        <v>88</v>
      </c>
      <c r="BL40" s="354" t="s">
        <v>89</v>
      </c>
      <c r="BM40" s="364" t="s">
        <v>122</v>
      </c>
      <c r="BN40" s="354" t="s">
        <v>91</v>
      </c>
      <c r="BO40" s="354">
        <v>225876</v>
      </c>
      <c r="BP40" s="354" t="s">
        <v>92</v>
      </c>
      <c r="BQ40" s="354" t="s">
        <v>93</v>
      </c>
      <c r="BR40" s="354" t="s">
        <v>94</v>
      </c>
      <c r="BS40" s="354">
        <v>63250612</v>
      </c>
      <c r="BT40" s="354" t="s">
        <v>95</v>
      </c>
      <c r="BU40" s="354" t="s">
        <v>112</v>
      </c>
      <c r="BV40" s="477"/>
    </row>
    <row r="41" spans="1:74" s="2" customFormat="1" ht="24.9" customHeight="1">
      <c r="A41" s="147" t="s">
        <v>85</v>
      </c>
      <c r="B41" s="356" t="s">
        <v>130</v>
      </c>
      <c r="C41" s="369"/>
      <c r="D41" s="356"/>
      <c r="E41" s="363">
        <v>46211</v>
      </c>
      <c r="F41" s="358">
        <v>1</v>
      </c>
      <c r="G41" s="358">
        <v>28</v>
      </c>
      <c r="H41" s="511" t="s">
        <v>101</v>
      </c>
      <c r="I41" s="371">
        <v>305</v>
      </c>
      <c r="J41" s="371">
        <v>365</v>
      </c>
      <c r="K41" s="371">
        <v>331</v>
      </c>
      <c r="L41" s="371">
        <v>249</v>
      </c>
      <c r="M41" s="371">
        <v>399</v>
      </c>
      <c r="N41" s="371">
        <v>324</v>
      </c>
      <c r="O41" s="316" t="s">
        <v>88</v>
      </c>
      <c r="P41" s="316" t="s">
        <v>88</v>
      </c>
      <c r="Q41" s="371">
        <v>-1.08</v>
      </c>
      <c r="R41" s="316" t="s">
        <v>88</v>
      </c>
      <c r="S41" s="316" t="s">
        <v>88</v>
      </c>
      <c r="T41" s="316" t="s">
        <v>88</v>
      </c>
      <c r="U41" s="316" t="s">
        <v>88</v>
      </c>
      <c r="V41" s="316" t="s">
        <v>88</v>
      </c>
      <c r="W41" s="316" t="s">
        <v>88</v>
      </c>
      <c r="X41" s="316" t="s">
        <v>88</v>
      </c>
      <c r="Y41" s="316" t="s">
        <v>88</v>
      </c>
      <c r="Z41" s="316" t="s">
        <v>88</v>
      </c>
      <c r="AA41" s="316" t="s">
        <v>88</v>
      </c>
      <c r="AB41" s="316" t="s">
        <v>88</v>
      </c>
      <c r="AC41" s="316" t="s">
        <v>88</v>
      </c>
      <c r="AD41" s="316" t="s">
        <v>88</v>
      </c>
      <c r="AE41" s="316" t="s">
        <v>88</v>
      </c>
      <c r="AF41" s="316" t="s">
        <v>88</v>
      </c>
      <c r="AG41" s="371">
        <v>3.37</v>
      </c>
      <c r="AH41" s="316" t="s">
        <v>88</v>
      </c>
      <c r="AI41" s="316" t="s">
        <v>88</v>
      </c>
      <c r="AJ41" s="316" t="s">
        <v>88</v>
      </c>
      <c r="AK41" s="316" t="s">
        <v>88</v>
      </c>
      <c r="AL41" s="316" t="s">
        <v>88</v>
      </c>
      <c r="AM41" s="316" t="s">
        <v>88</v>
      </c>
      <c r="AN41" s="316" t="s">
        <v>88</v>
      </c>
      <c r="AO41" s="316" t="s">
        <v>88</v>
      </c>
      <c r="AP41" s="316" t="s">
        <v>88</v>
      </c>
      <c r="AQ41" s="316" t="s">
        <v>88</v>
      </c>
      <c r="AR41" s="316" t="s">
        <v>88</v>
      </c>
      <c r="AS41" s="316" t="s">
        <v>88</v>
      </c>
      <c r="AT41" s="316" t="s">
        <v>88</v>
      </c>
      <c r="AU41" s="316" t="s">
        <v>88</v>
      </c>
      <c r="AV41" s="316" t="s">
        <v>88</v>
      </c>
      <c r="AW41" s="316" t="s">
        <v>88</v>
      </c>
      <c r="AX41" s="316" t="s">
        <v>88</v>
      </c>
      <c r="AY41" s="316" t="s">
        <v>88</v>
      </c>
      <c r="AZ41" s="316" t="s">
        <v>88</v>
      </c>
      <c r="BA41" s="316" t="s">
        <v>88</v>
      </c>
      <c r="BB41" s="316" t="s">
        <v>88</v>
      </c>
      <c r="BC41" s="316" t="s">
        <v>88</v>
      </c>
      <c r="BD41" s="316" t="s">
        <v>88</v>
      </c>
      <c r="BE41" s="316" t="s">
        <v>88</v>
      </c>
      <c r="BF41" s="316" t="s">
        <v>88</v>
      </c>
      <c r="BG41" s="316" t="s">
        <v>88</v>
      </c>
      <c r="BH41" s="316" t="s">
        <v>88</v>
      </c>
      <c r="BI41" s="316" t="s">
        <v>88</v>
      </c>
      <c r="BJ41" s="316" t="s">
        <v>88</v>
      </c>
      <c r="BK41" s="316" t="s">
        <v>88</v>
      </c>
      <c r="BL41" s="354" t="s">
        <v>89</v>
      </c>
      <c r="BM41" s="364" t="s">
        <v>122</v>
      </c>
      <c r="BN41" s="354" t="s">
        <v>91</v>
      </c>
      <c r="BO41" s="354">
        <v>225876</v>
      </c>
      <c r="BP41" s="354" t="s">
        <v>92</v>
      </c>
      <c r="BQ41" s="354" t="s">
        <v>93</v>
      </c>
      <c r="BR41" s="354" t="s">
        <v>94</v>
      </c>
      <c r="BS41" s="354">
        <v>63250612</v>
      </c>
      <c r="BT41" s="354" t="s">
        <v>95</v>
      </c>
      <c r="BU41" s="354" t="s">
        <v>112</v>
      </c>
      <c r="BV41" s="477"/>
    </row>
    <row r="42" spans="1:74" s="2" customFormat="1" ht="24.9" customHeight="1">
      <c r="A42" s="147" t="s">
        <v>85</v>
      </c>
      <c r="B42" s="356" t="s">
        <v>131</v>
      </c>
      <c r="C42" s="369"/>
      <c r="D42" s="356"/>
      <c r="E42" s="363">
        <v>46211</v>
      </c>
      <c r="F42" s="358">
        <v>2</v>
      </c>
      <c r="G42" s="358">
        <v>28</v>
      </c>
      <c r="H42" s="511" t="s">
        <v>101</v>
      </c>
      <c r="I42" s="371">
        <v>297</v>
      </c>
      <c r="J42" s="371">
        <v>380</v>
      </c>
      <c r="K42" s="371">
        <v>335</v>
      </c>
      <c r="L42" s="371">
        <v>211</v>
      </c>
      <c r="M42" s="371">
        <v>332</v>
      </c>
      <c r="N42" s="371">
        <v>268</v>
      </c>
      <c r="O42" s="316" t="s">
        <v>88</v>
      </c>
      <c r="P42" s="316" t="s">
        <v>88</v>
      </c>
      <c r="Q42" s="371">
        <v>-0.24</v>
      </c>
      <c r="R42" s="316" t="s">
        <v>88</v>
      </c>
      <c r="S42" s="316" t="s">
        <v>88</v>
      </c>
      <c r="T42" s="316" t="s">
        <v>88</v>
      </c>
      <c r="U42" s="316" t="s">
        <v>88</v>
      </c>
      <c r="V42" s="316" t="s">
        <v>88</v>
      </c>
      <c r="W42" s="316" t="s">
        <v>88</v>
      </c>
      <c r="X42" s="316" t="s">
        <v>88</v>
      </c>
      <c r="Y42" s="316" t="s">
        <v>88</v>
      </c>
      <c r="Z42" s="316" t="s">
        <v>88</v>
      </c>
      <c r="AA42" s="316" t="s">
        <v>88</v>
      </c>
      <c r="AB42" s="316" t="s">
        <v>88</v>
      </c>
      <c r="AC42" s="316" t="s">
        <v>88</v>
      </c>
      <c r="AD42" s="316" t="s">
        <v>88</v>
      </c>
      <c r="AE42" s="316" t="s">
        <v>88</v>
      </c>
      <c r="AF42" s="316" t="s">
        <v>88</v>
      </c>
      <c r="AG42" s="371">
        <v>-2.5499999999999998</v>
      </c>
      <c r="AH42" s="316" t="s">
        <v>88</v>
      </c>
      <c r="AI42" s="316" t="s">
        <v>88</v>
      </c>
      <c r="AJ42" s="316" t="s">
        <v>88</v>
      </c>
      <c r="AK42" s="316" t="s">
        <v>88</v>
      </c>
      <c r="AL42" s="316" t="s">
        <v>88</v>
      </c>
      <c r="AM42" s="316" t="s">
        <v>88</v>
      </c>
      <c r="AN42" s="316" t="s">
        <v>88</v>
      </c>
      <c r="AO42" s="316" t="s">
        <v>88</v>
      </c>
      <c r="AP42" s="316" t="s">
        <v>88</v>
      </c>
      <c r="AQ42" s="316" t="s">
        <v>88</v>
      </c>
      <c r="AR42" s="316" t="s">
        <v>88</v>
      </c>
      <c r="AS42" s="316" t="s">
        <v>88</v>
      </c>
      <c r="AT42" s="316" t="s">
        <v>88</v>
      </c>
      <c r="AU42" s="316" t="s">
        <v>88</v>
      </c>
      <c r="AV42" s="316" t="s">
        <v>88</v>
      </c>
      <c r="AW42" s="316" t="s">
        <v>88</v>
      </c>
      <c r="AX42" s="316" t="s">
        <v>88</v>
      </c>
      <c r="AY42" s="316" t="s">
        <v>88</v>
      </c>
      <c r="AZ42" s="316" t="s">
        <v>88</v>
      </c>
      <c r="BA42" s="316" t="s">
        <v>88</v>
      </c>
      <c r="BB42" s="316" t="s">
        <v>88</v>
      </c>
      <c r="BC42" s="316" t="s">
        <v>88</v>
      </c>
      <c r="BD42" s="316" t="s">
        <v>88</v>
      </c>
      <c r="BE42" s="316" t="s">
        <v>88</v>
      </c>
      <c r="BF42" s="316" t="s">
        <v>88</v>
      </c>
      <c r="BG42" s="316" t="s">
        <v>88</v>
      </c>
      <c r="BH42" s="316" t="s">
        <v>88</v>
      </c>
      <c r="BI42" s="316" t="s">
        <v>88</v>
      </c>
      <c r="BJ42" s="316" t="s">
        <v>88</v>
      </c>
      <c r="BK42" s="316" t="s">
        <v>88</v>
      </c>
      <c r="BL42" s="354" t="s">
        <v>89</v>
      </c>
      <c r="BM42" s="364" t="s">
        <v>122</v>
      </c>
      <c r="BN42" s="354" t="s">
        <v>91</v>
      </c>
      <c r="BO42" s="354">
        <v>225876</v>
      </c>
      <c r="BP42" s="354" t="s">
        <v>92</v>
      </c>
      <c r="BQ42" s="354" t="s">
        <v>93</v>
      </c>
      <c r="BR42" s="354" t="s">
        <v>94</v>
      </c>
      <c r="BS42" s="354">
        <v>63250612</v>
      </c>
      <c r="BT42" s="354" t="s">
        <v>95</v>
      </c>
      <c r="BU42" s="354" t="s">
        <v>112</v>
      </c>
      <c r="BV42" s="477"/>
    </row>
    <row r="43" spans="1:74" s="2" customFormat="1" ht="24.9" customHeight="1">
      <c r="A43" s="147" t="s">
        <v>85</v>
      </c>
      <c r="B43" s="356" t="s">
        <v>132</v>
      </c>
      <c r="C43" s="369"/>
      <c r="D43" s="356"/>
      <c r="E43" s="363">
        <v>46211</v>
      </c>
      <c r="F43" s="358">
        <v>2</v>
      </c>
      <c r="G43" s="358">
        <v>28</v>
      </c>
      <c r="H43" s="316" t="s">
        <v>88</v>
      </c>
      <c r="I43" s="316" t="s">
        <v>88</v>
      </c>
      <c r="J43" s="316" t="s">
        <v>88</v>
      </c>
      <c r="K43" s="316" t="s">
        <v>88</v>
      </c>
      <c r="L43" s="316" t="s">
        <v>88</v>
      </c>
      <c r="M43" s="316" t="s">
        <v>88</v>
      </c>
      <c r="N43" s="316" t="s">
        <v>88</v>
      </c>
      <c r="O43" s="316" t="s">
        <v>88</v>
      </c>
      <c r="P43" s="316" t="s">
        <v>88</v>
      </c>
      <c r="Q43" s="316" t="s">
        <v>88</v>
      </c>
      <c r="R43" s="316" t="s">
        <v>88</v>
      </c>
      <c r="S43" s="316" t="s">
        <v>88</v>
      </c>
      <c r="T43" s="316" t="s">
        <v>88</v>
      </c>
      <c r="U43" s="316" t="s">
        <v>88</v>
      </c>
      <c r="V43" s="316" t="s">
        <v>88</v>
      </c>
      <c r="W43" s="316" t="s">
        <v>88</v>
      </c>
      <c r="X43" s="316" t="s">
        <v>88</v>
      </c>
      <c r="Y43" s="316" t="s">
        <v>88</v>
      </c>
      <c r="Z43" s="316" t="s">
        <v>88</v>
      </c>
      <c r="AA43" s="316" t="s">
        <v>88</v>
      </c>
      <c r="AB43" s="316" t="s">
        <v>88</v>
      </c>
      <c r="AC43" s="316" t="s">
        <v>88</v>
      </c>
      <c r="AD43" s="316" t="s">
        <v>88</v>
      </c>
      <c r="AE43" s="316" t="s">
        <v>88</v>
      </c>
      <c r="AF43" s="316" t="s">
        <v>88</v>
      </c>
      <c r="AG43" s="316" t="s">
        <v>88</v>
      </c>
      <c r="AH43" s="316" t="s">
        <v>88</v>
      </c>
      <c r="AI43" s="316" t="s">
        <v>88</v>
      </c>
      <c r="AJ43" s="316" t="s">
        <v>88</v>
      </c>
      <c r="AK43" s="316" t="s">
        <v>88</v>
      </c>
      <c r="AL43" s="316" t="s">
        <v>88</v>
      </c>
      <c r="AM43" s="316" t="s">
        <v>88</v>
      </c>
      <c r="AN43" s="316" t="s">
        <v>88</v>
      </c>
      <c r="AO43" s="316" t="s">
        <v>88</v>
      </c>
      <c r="AP43" s="316" t="s">
        <v>88</v>
      </c>
      <c r="AQ43" s="316" t="s">
        <v>88</v>
      </c>
      <c r="AR43" s="316" t="s">
        <v>88</v>
      </c>
      <c r="AS43" s="316" t="s">
        <v>88</v>
      </c>
      <c r="AT43" s="316" t="s">
        <v>88</v>
      </c>
      <c r="AU43" s="316" t="s">
        <v>88</v>
      </c>
      <c r="AV43" s="316" t="s">
        <v>88</v>
      </c>
      <c r="AW43" s="316" t="s">
        <v>88</v>
      </c>
      <c r="AX43" s="316" t="s">
        <v>88</v>
      </c>
      <c r="AY43" s="316" t="s">
        <v>88</v>
      </c>
      <c r="AZ43" s="459">
        <v>61.94</v>
      </c>
      <c r="BA43" s="459">
        <v>40.619999999999997</v>
      </c>
      <c r="BB43" s="459">
        <v>57.68</v>
      </c>
      <c r="BC43" s="459">
        <v>23.54</v>
      </c>
      <c r="BD43" s="316" t="s">
        <v>88</v>
      </c>
      <c r="BE43" s="316" t="s">
        <v>88</v>
      </c>
      <c r="BF43" s="459">
        <v>72.709999999999994</v>
      </c>
      <c r="BG43" s="459">
        <v>40.630000000000003</v>
      </c>
      <c r="BH43" s="459">
        <v>23.15</v>
      </c>
      <c r="BI43" s="459">
        <v>36.1</v>
      </c>
      <c r="BJ43" s="316" t="s">
        <v>88</v>
      </c>
      <c r="BK43" s="316" t="s">
        <v>88</v>
      </c>
      <c r="BL43" s="354" t="s">
        <v>89</v>
      </c>
      <c r="BM43" s="364" t="s">
        <v>122</v>
      </c>
      <c r="BN43" s="354" t="s">
        <v>91</v>
      </c>
      <c r="BO43" s="354">
        <v>225876</v>
      </c>
      <c r="BP43" s="354" t="s">
        <v>92</v>
      </c>
      <c r="BQ43" s="354" t="s">
        <v>93</v>
      </c>
      <c r="BR43" s="354" t="s">
        <v>94</v>
      </c>
      <c r="BS43" s="354">
        <v>63250612</v>
      </c>
      <c r="BT43" s="354" t="s">
        <v>95</v>
      </c>
      <c r="BU43" s="354" t="s">
        <v>112</v>
      </c>
      <c r="BV43" s="477"/>
    </row>
    <row r="44" spans="1:74" s="2" customFormat="1" ht="24.9" customHeight="1">
      <c r="A44" s="147" t="s">
        <v>85</v>
      </c>
      <c r="B44" s="356" t="s">
        <v>133</v>
      </c>
      <c r="C44" s="369"/>
      <c r="D44" s="356"/>
      <c r="E44" s="363">
        <v>46211</v>
      </c>
      <c r="F44" s="358">
        <v>3</v>
      </c>
      <c r="G44" s="358">
        <v>28</v>
      </c>
      <c r="H44" s="511" t="s">
        <v>101</v>
      </c>
      <c r="I44" s="316">
        <v>316</v>
      </c>
      <c r="J44" s="316">
        <v>379</v>
      </c>
      <c r="K44" s="316">
        <v>353</v>
      </c>
      <c r="L44" s="316">
        <v>238</v>
      </c>
      <c r="M44" s="316">
        <v>341</v>
      </c>
      <c r="N44" s="316">
        <v>293</v>
      </c>
      <c r="O44" s="316" t="s">
        <v>88</v>
      </c>
      <c r="P44" s="316" t="s">
        <v>88</v>
      </c>
      <c r="Q44" s="371">
        <v>-1.24</v>
      </c>
      <c r="R44" s="316" t="s">
        <v>88</v>
      </c>
      <c r="S44" s="316" t="s">
        <v>88</v>
      </c>
      <c r="T44" s="316" t="s">
        <v>88</v>
      </c>
      <c r="U44" s="316" t="s">
        <v>88</v>
      </c>
      <c r="V44" s="316" t="s">
        <v>88</v>
      </c>
      <c r="W44" s="316" t="s">
        <v>88</v>
      </c>
      <c r="X44" s="316" t="s">
        <v>88</v>
      </c>
      <c r="Y44" s="316" t="s">
        <v>88</v>
      </c>
      <c r="Z44" s="316" t="s">
        <v>88</v>
      </c>
      <c r="AA44" s="316" t="s">
        <v>88</v>
      </c>
      <c r="AB44" s="316" t="s">
        <v>88</v>
      </c>
      <c r="AC44" s="316" t="s">
        <v>88</v>
      </c>
      <c r="AD44" s="316" t="s">
        <v>88</v>
      </c>
      <c r="AE44" s="316" t="s">
        <v>88</v>
      </c>
      <c r="AF44" s="316" t="s">
        <v>88</v>
      </c>
      <c r="AG44" s="371">
        <v>3.97</v>
      </c>
      <c r="AH44" s="316" t="s">
        <v>88</v>
      </c>
      <c r="AI44" s="316" t="s">
        <v>88</v>
      </c>
      <c r="AJ44" s="316" t="s">
        <v>88</v>
      </c>
      <c r="AK44" s="316" t="s">
        <v>88</v>
      </c>
      <c r="AL44" s="316" t="s">
        <v>88</v>
      </c>
      <c r="AM44" s="316" t="s">
        <v>88</v>
      </c>
      <c r="AN44" s="316" t="s">
        <v>88</v>
      </c>
      <c r="AO44" s="316" t="s">
        <v>88</v>
      </c>
      <c r="AP44" s="316" t="s">
        <v>88</v>
      </c>
      <c r="AQ44" s="316" t="s">
        <v>88</v>
      </c>
      <c r="AR44" s="316" t="s">
        <v>88</v>
      </c>
      <c r="AS44" s="316" t="s">
        <v>88</v>
      </c>
      <c r="AT44" s="316" t="s">
        <v>88</v>
      </c>
      <c r="AU44" s="316" t="s">
        <v>88</v>
      </c>
      <c r="AV44" s="316" t="s">
        <v>88</v>
      </c>
      <c r="AW44" s="316" t="s">
        <v>88</v>
      </c>
      <c r="AX44" s="316" t="s">
        <v>88</v>
      </c>
      <c r="AY44" s="316" t="s">
        <v>88</v>
      </c>
      <c r="AZ44" s="316" t="s">
        <v>88</v>
      </c>
      <c r="BA44" s="316" t="s">
        <v>88</v>
      </c>
      <c r="BB44" s="316" t="s">
        <v>88</v>
      </c>
      <c r="BC44" s="316" t="s">
        <v>88</v>
      </c>
      <c r="BD44" s="316" t="s">
        <v>88</v>
      </c>
      <c r="BE44" s="316" t="s">
        <v>88</v>
      </c>
      <c r="BF44" s="316" t="s">
        <v>88</v>
      </c>
      <c r="BG44" s="316" t="s">
        <v>88</v>
      </c>
      <c r="BH44" s="316" t="s">
        <v>88</v>
      </c>
      <c r="BI44" s="316" t="s">
        <v>88</v>
      </c>
      <c r="BJ44" s="316" t="s">
        <v>88</v>
      </c>
      <c r="BK44" s="316" t="s">
        <v>88</v>
      </c>
      <c r="BL44" s="354" t="s">
        <v>89</v>
      </c>
      <c r="BM44" s="364" t="s">
        <v>122</v>
      </c>
      <c r="BN44" s="354" t="s">
        <v>91</v>
      </c>
      <c r="BO44" s="354">
        <v>225876</v>
      </c>
      <c r="BP44" s="354" t="s">
        <v>92</v>
      </c>
      <c r="BQ44" s="354" t="s">
        <v>93</v>
      </c>
      <c r="BR44" s="354" t="s">
        <v>94</v>
      </c>
      <c r="BS44" s="354">
        <v>63250612</v>
      </c>
      <c r="BT44" s="354" t="s">
        <v>95</v>
      </c>
      <c r="BU44" s="354" t="s">
        <v>112</v>
      </c>
      <c r="BV44" s="477"/>
    </row>
    <row r="45" spans="1:74" s="2" customFormat="1" ht="24.9" customHeight="1">
      <c r="A45" s="147" t="s">
        <v>85</v>
      </c>
      <c r="B45" s="356" t="s">
        <v>134</v>
      </c>
      <c r="C45" s="369"/>
      <c r="D45" s="356"/>
      <c r="E45" s="363">
        <v>46211</v>
      </c>
      <c r="F45" s="358">
        <v>3</v>
      </c>
      <c r="G45" s="358">
        <v>28</v>
      </c>
      <c r="H45" s="316" t="s">
        <v>88</v>
      </c>
      <c r="I45" s="316" t="s">
        <v>88</v>
      </c>
      <c r="J45" s="316" t="s">
        <v>88</v>
      </c>
      <c r="K45" s="316" t="s">
        <v>88</v>
      </c>
      <c r="L45" s="316" t="s">
        <v>88</v>
      </c>
      <c r="M45" s="316" t="s">
        <v>88</v>
      </c>
      <c r="N45" s="316" t="s">
        <v>88</v>
      </c>
      <c r="O45" s="316" t="s">
        <v>88</v>
      </c>
      <c r="P45" s="316" t="s">
        <v>88</v>
      </c>
      <c r="Q45" s="316" t="s">
        <v>88</v>
      </c>
      <c r="R45" s="316" t="s">
        <v>88</v>
      </c>
      <c r="S45" s="316" t="s">
        <v>88</v>
      </c>
      <c r="T45" s="316" t="s">
        <v>88</v>
      </c>
      <c r="U45" s="316" t="s">
        <v>88</v>
      </c>
      <c r="V45" s="316" t="s">
        <v>88</v>
      </c>
      <c r="W45" s="316" t="s">
        <v>88</v>
      </c>
      <c r="X45" s="316" t="s">
        <v>88</v>
      </c>
      <c r="Y45" s="316" t="s">
        <v>88</v>
      </c>
      <c r="Z45" s="316" t="s">
        <v>88</v>
      </c>
      <c r="AA45" s="316" t="s">
        <v>88</v>
      </c>
      <c r="AB45" s="316" t="s">
        <v>88</v>
      </c>
      <c r="AC45" s="316" t="s">
        <v>88</v>
      </c>
      <c r="AD45" s="316" t="s">
        <v>88</v>
      </c>
      <c r="AE45" s="316" t="s">
        <v>88</v>
      </c>
      <c r="AF45" s="316" t="s">
        <v>88</v>
      </c>
      <c r="AG45" s="316" t="s">
        <v>88</v>
      </c>
      <c r="AH45" s="316" t="s">
        <v>88</v>
      </c>
      <c r="AI45" s="316" t="s">
        <v>88</v>
      </c>
      <c r="AJ45" s="316" t="s">
        <v>88</v>
      </c>
      <c r="AK45" s="316" t="s">
        <v>88</v>
      </c>
      <c r="AL45" s="316" t="s">
        <v>88</v>
      </c>
      <c r="AM45" s="316" t="s">
        <v>88</v>
      </c>
      <c r="AN45" s="316" t="s">
        <v>88</v>
      </c>
      <c r="AO45" s="316" t="s">
        <v>88</v>
      </c>
      <c r="AP45" s="316" t="s">
        <v>88</v>
      </c>
      <c r="AQ45" s="316" t="s">
        <v>88</v>
      </c>
      <c r="AR45" s="316" t="s">
        <v>88</v>
      </c>
      <c r="AS45" s="316" t="s">
        <v>88</v>
      </c>
      <c r="AT45" s="316" t="s">
        <v>88</v>
      </c>
      <c r="AU45" s="316" t="s">
        <v>88</v>
      </c>
      <c r="AV45" s="316" t="s">
        <v>88</v>
      </c>
      <c r="AW45" s="316" t="s">
        <v>88</v>
      </c>
      <c r="AX45" s="316" t="s">
        <v>88</v>
      </c>
      <c r="AY45" s="316" t="s">
        <v>88</v>
      </c>
      <c r="AZ45" s="371">
        <v>71.78</v>
      </c>
      <c r="BA45" s="371">
        <v>36.19</v>
      </c>
      <c r="BB45" s="371">
        <v>61.61</v>
      </c>
      <c r="BC45" s="371">
        <v>31</v>
      </c>
      <c r="BD45" s="316" t="s">
        <v>88</v>
      </c>
      <c r="BE45" s="316" t="s">
        <v>88</v>
      </c>
      <c r="BF45" s="371">
        <v>58.12</v>
      </c>
      <c r="BG45" s="371">
        <v>34.799999999999997</v>
      </c>
      <c r="BH45" s="371">
        <v>47.87</v>
      </c>
      <c r="BI45" s="371">
        <v>29.43</v>
      </c>
      <c r="BJ45" s="316" t="s">
        <v>88</v>
      </c>
      <c r="BK45" s="316" t="s">
        <v>88</v>
      </c>
      <c r="BL45" s="354" t="s">
        <v>89</v>
      </c>
      <c r="BM45" s="364" t="s">
        <v>122</v>
      </c>
      <c r="BN45" s="354" t="s">
        <v>91</v>
      </c>
      <c r="BO45" s="354">
        <v>225876</v>
      </c>
      <c r="BP45" s="354" t="s">
        <v>92</v>
      </c>
      <c r="BQ45" s="354" t="s">
        <v>93</v>
      </c>
      <c r="BR45" s="354" t="s">
        <v>94</v>
      </c>
      <c r="BS45" s="354">
        <v>63250612</v>
      </c>
      <c r="BT45" s="354" t="s">
        <v>95</v>
      </c>
      <c r="BU45" s="354" t="s">
        <v>112</v>
      </c>
      <c r="BV45" s="477"/>
    </row>
    <row r="46" spans="1:74" s="2" customFormat="1" ht="24.9" customHeight="1">
      <c r="A46" s="147" t="s">
        <v>85</v>
      </c>
      <c r="B46" s="356" t="s">
        <v>135</v>
      </c>
      <c r="C46" s="369"/>
      <c r="D46" s="356"/>
      <c r="E46" s="363">
        <v>46211</v>
      </c>
      <c r="F46" s="358">
        <v>3</v>
      </c>
      <c r="G46" s="358">
        <v>28</v>
      </c>
      <c r="H46" s="316" t="s">
        <v>88</v>
      </c>
      <c r="I46" s="316" t="s">
        <v>88</v>
      </c>
      <c r="J46" s="316" t="s">
        <v>88</v>
      </c>
      <c r="K46" s="316" t="s">
        <v>88</v>
      </c>
      <c r="L46" s="316" t="s">
        <v>88</v>
      </c>
      <c r="M46" s="316" t="s">
        <v>88</v>
      </c>
      <c r="N46" s="316" t="s">
        <v>88</v>
      </c>
      <c r="O46" s="316" t="s">
        <v>88</v>
      </c>
      <c r="P46" s="316" t="s">
        <v>88</v>
      </c>
      <c r="Q46" s="316" t="s">
        <v>88</v>
      </c>
      <c r="R46" s="316" t="s">
        <v>88</v>
      </c>
      <c r="S46" s="316" t="s">
        <v>88</v>
      </c>
      <c r="T46" s="316" t="s">
        <v>88</v>
      </c>
      <c r="U46" s="316" t="s">
        <v>88</v>
      </c>
      <c r="V46" s="316" t="s">
        <v>88</v>
      </c>
      <c r="W46" s="316" t="s">
        <v>88</v>
      </c>
      <c r="X46" s="316" t="s">
        <v>88</v>
      </c>
      <c r="Y46" s="316" t="s">
        <v>88</v>
      </c>
      <c r="Z46" s="316" t="s">
        <v>88</v>
      </c>
      <c r="AA46" s="316" t="s">
        <v>88</v>
      </c>
      <c r="AB46" s="316" t="s">
        <v>88</v>
      </c>
      <c r="AC46" s="371">
        <v>1.8</v>
      </c>
      <c r="AD46" s="371">
        <v>2.0499999999999998</v>
      </c>
      <c r="AE46" s="371">
        <v>2.0499999999999998</v>
      </c>
      <c r="AF46" s="371">
        <f>AVERAGE(AC46:AE46)</f>
        <v>1.9666666666666666</v>
      </c>
      <c r="AG46" s="316" t="s">
        <v>88</v>
      </c>
      <c r="AH46" s="372" t="s">
        <v>99</v>
      </c>
      <c r="AI46" s="372" t="s">
        <v>99</v>
      </c>
      <c r="AJ46" s="372" t="s">
        <v>99</v>
      </c>
      <c r="AK46" s="372" t="s">
        <v>99</v>
      </c>
      <c r="AL46" s="372" t="s">
        <v>99</v>
      </c>
      <c r="AM46" s="372" t="s">
        <v>99</v>
      </c>
      <c r="AN46" s="316" t="s">
        <v>88</v>
      </c>
      <c r="AO46" s="316" t="s">
        <v>88</v>
      </c>
      <c r="AP46" s="316" t="s">
        <v>88</v>
      </c>
      <c r="AQ46" s="316" t="s">
        <v>88</v>
      </c>
      <c r="AR46" s="316" t="s">
        <v>88</v>
      </c>
      <c r="AS46" s="316" t="s">
        <v>88</v>
      </c>
      <c r="AT46" s="316" t="s">
        <v>88</v>
      </c>
      <c r="AU46" s="316" t="s">
        <v>88</v>
      </c>
      <c r="AV46" s="316" t="s">
        <v>88</v>
      </c>
      <c r="AW46" s="316" t="s">
        <v>88</v>
      </c>
      <c r="AX46" s="316" t="s">
        <v>88</v>
      </c>
      <c r="AY46" s="316" t="s">
        <v>88</v>
      </c>
      <c r="AZ46" s="316" t="s">
        <v>88</v>
      </c>
      <c r="BA46" s="316" t="s">
        <v>88</v>
      </c>
      <c r="BB46" s="316" t="s">
        <v>88</v>
      </c>
      <c r="BC46" s="316" t="s">
        <v>88</v>
      </c>
      <c r="BD46" s="316" t="s">
        <v>88</v>
      </c>
      <c r="BE46" s="316" t="s">
        <v>88</v>
      </c>
      <c r="BF46" s="316" t="s">
        <v>88</v>
      </c>
      <c r="BG46" s="316" t="s">
        <v>88</v>
      </c>
      <c r="BH46" s="316" t="s">
        <v>88</v>
      </c>
      <c r="BI46" s="316" t="s">
        <v>88</v>
      </c>
      <c r="BJ46" s="316" t="s">
        <v>88</v>
      </c>
      <c r="BK46" s="316" t="s">
        <v>88</v>
      </c>
      <c r="BL46" s="354" t="s">
        <v>89</v>
      </c>
      <c r="BM46" s="364" t="s">
        <v>122</v>
      </c>
      <c r="BN46" s="354" t="s">
        <v>91</v>
      </c>
      <c r="BO46" s="354">
        <v>225876</v>
      </c>
      <c r="BP46" s="354" t="s">
        <v>92</v>
      </c>
      <c r="BQ46" s="354" t="s">
        <v>93</v>
      </c>
      <c r="BR46" s="354" t="s">
        <v>94</v>
      </c>
      <c r="BS46" s="354">
        <v>63250612</v>
      </c>
      <c r="BT46" s="354" t="s">
        <v>95</v>
      </c>
      <c r="BU46" s="354" t="s">
        <v>112</v>
      </c>
      <c r="BV46" s="477"/>
    </row>
    <row r="47" spans="1:74" s="2" customFormat="1" ht="24.9" customHeight="1">
      <c r="A47" s="147" t="s">
        <v>85</v>
      </c>
      <c r="B47" s="356" t="s">
        <v>136</v>
      </c>
      <c r="C47" s="369"/>
      <c r="D47" s="356"/>
      <c r="E47" s="363">
        <v>46212</v>
      </c>
      <c r="F47" s="358">
        <v>1</v>
      </c>
      <c r="G47" s="358">
        <v>28</v>
      </c>
      <c r="H47" s="511" t="s">
        <v>101</v>
      </c>
      <c r="I47" s="371">
        <v>338</v>
      </c>
      <c r="J47" s="371">
        <v>386</v>
      </c>
      <c r="K47" s="371">
        <v>365.58</v>
      </c>
      <c r="L47" s="371">
        <v>237</v>
      </c>
      <c r="M47" s="371">
        <v>321.42</v>
      </c>
      <c r="N47" s="371">
        <v>276.42</v>
      </c>
      <c r="O47" s="316" t="s">
        <v>88</v>
      </c>
      <c r="P47" s="316" t="s">
        <v>88</v>
      </c>
      <c r="Q47" s="371">
        <v>-1.38</v>
      </c>
      <c r="R47" s="316" t="s">
        <v>88</v>
      </c>
      <c r="S47" s="316" t="s">
        <v>88</v>
      </c>
      <c r="T47" s="316" t="s">
        <v>88</v>
      </c>
      <c r="U47" s="316" t="s">
        <v>88</v>
      </c>
      <c r="V47" s="316" t="s">
        <v>88</v>
      </c>
      <c r="W47" s="316" t="s">
        <v>88</v>
      </c>
      <c r="X47" s="316" t="s">
        <v>88</v>
      </c>
      <c r="Y47" s="316" t="s">
        <v>88</v>
      </c>
      <c r="Z47" s="316" t="s">
        <v>88</v>
      </c>
      <c r="AA47" s="316" t="s">
        <v>88</v>
      </c>
      <c r="AB47" s="316" t="s">
        <v>88</v>
      </c>
      <c r="AC47" s="316" t="s">
        <v>88</v>
      </c>
      <c r="AD47" s="316" t="s">
        <v>88</v>
      </c>
      <c r="AE47" s="316" t="s">
        <v>88</v>
      </c>
      <c r="AF47" s="316" t="s">
        <v>88</v>
      </c>
      <c r="AG47" s="371" t="s">
        <v>137</v>
      </c>
      <c r="AH47" s="316" t="s">
        <v>88</v>
      </c>
      <c r="AI47" s="316" t="s">
        <v>88</v>
      </c>
      <c r="AJ47" s="316" t="s">
        <v>88</v>
      </c>
      <c r="AK47" s="316" t="s">
        <v>88</v>
      </c>
      <c r="AL47" s="316" t="s">
        <v>88</v>
      </c>
      <c r="AM47" s="316" t="s">
        <v>88</v>
      </c>
      <c r="AN47" s="316" t="s">
        <v>88</v>
      </c>
      <c r="AO47" s="316" t="s">
        <v>88</v>
      </c>
      <c r="AP47" s="316" t="s">
        <v>88</v>
      </c>
      <c r="AQ47" s="316" t="s">
        <v>88</v>
      </c>
      <c r="AR47" s="316" t="s">
        <v>88</v>
      </c>
      <c r="AS47" s="316" t="s">
        <v>88</v>
      </c>
      <c r="AT47" s="316" t="s">
        <v>88</v>
      </c>
      <c r="AU47" s="316" t="s">
        <v>88</v>
      </c>
      <c r="AV47" s="316" t="s">
        <v>88</v>
      </c>
      <c r="AW47" s="316" t="s">
        <v>88</v>
      </c>
      <c r="AX47" s="316" t="s">
        <v>88</v>
      </c>
      <c r="AY47" s="316" t="s">
        <v>88</v>
      </c>
      <c r="AZ47" s="316" t="s">
        <v>88</v>
      </c>
      <c r="BA47" s="316" t="s">
        <v>88</v>
      </c>
      <c r="BB47" s="316" t="s">
        <v>88</v>
      </c>
      <c r="BC47" s="316" t="s">
        <v>88</v>
      </c>
      <c r="BD47" s="316" t="s">
        <v>88</v>
      </c>
      <c r="BE47" s="316" t="s">
        <v>88</v>
      </c>
      <c r="BF47" s="316" t="s">
        <v>88</v>
      </c>
      <c r="BG47" s="316" t="s">
        <v>88</v>
      </c>
      <c r="BH47" s="316" t="s">
        <v>88</v>
      </c>
      <c r="BI47" s="316" t="s">
        <v>88</v>
      </c>
      <c r="BJ47" s="316" t="s">
        <v>88</v>
      </c>
      <c r="BK47" s="316" t="s">
        <v>88</v>
      </c>
      <c r="BL47" s="354" t="s">
        <v>89</v>
      </c>
      <c r="BM47" s="364" t="s">
        <v>122</v>
      </c>
      <c r="BN47" s="354" t="s">
        <v>91</v>
      </c>
      <c r="BO47" s="354">
        <v>225876</v>
      </c>
      <c r="BP47" s="354" t="s">
        <v>92</v>
      </c>
      <c r="BQ47" s="354" t="s">
        <v>93</v>
      </c>
      <c r="BR47" s="354" t="s">
        <v>94</v>
      </c>
      <c r="BS47" s="354">
        <v>63250612</v>
      </c>
      <c r="BT47" s="354" t="s">
        <v>95</v>
      </c>
      <c r="BU47" s="354" t="s">
        <v>112</v>
      </c>
      <c r="BV47" s="477"/>
    </row>
    <row r="48" spans="1:74" s="2" customFormat="1" ht="24.9" customHeight="1">
      <c r="A48" s="147" t="s">
        <v>85</v>
      </c>
      <c r="B48" s="356" t="s">
        <v>138</v>
      </c>
      <c r="C48" s="369"/>
      <c r="D48" s="356"/>
      <c r="E48" s="363">
        <v>46212</v>
      </c>
      <c r="F48" s="358">
        <v>1</v>
      </c>
      <c r="G48" s="358">
        <v>28</v>
      </c>
      <c r="H48" s="316" t="s">
        <v>88</v>
      </c>
      <c r="I48" s="316" t="s">
        <v>88</v>
      </c>
      <c r="J48" s="316" t="s">
        <v>88</v>
      </c>
      <c r="K48" s="316" t="s">
        <v>88</v>
      </c>
      <c r="L48" s="316" t="s">
        <v>88</v>
      </c>
      <c r="M48" s="316" t="s">
        <v>88</v>
      </c>
      <c r="N48" s="316" t="s">
        <v>88</v>
      </c>
      <c r="O48" s="316" t="s">
        <v>88</v>
      </c>
      <c r="P48" s="316" t="s">
        <v>88</v>
      </c>
      <c r="Q48" s="316" t="s">
        <v>88</v>
      </c>
      <c r="R48" s="316" t="s">
        <v>88</v>
      </c>
      <c r="S48" s="316" t="s">
        <v>88</v>
      </c>
      <c r="T48" s="316" t="s">
        <v>88</v>
      </c>
      <c r="U48" s="316" t="s">
        <v>88</v>
      </c>
      <c r="V48" s="316" t="s">
        <v>88</v>
      </c>
      <c r="W48" s="316" t="s">
        <v>88</v>
      </c>
      <c r="X48" s="316" t="s">
        <v>88</v>
      </c>
      <c r="Y48" s="316" t="s">
        <v>88</v>
      </c>
      <c r="Z48" s="316" t="s">
        <v>88</v>
      </c>
      <c r="AA48" s="316" t="s">
        <v>88</v>
      </c>
      <c r="AB48" s="316" t="s">
        <v>88</v>
      </c>
      <c r="AC48" s="316" t="s">
        <v>88</v>
      </c>
      <c r="AD48" s="316" t="s">
        <v>88</v>
      </c>
      <c r="AE48" s="316" t="s">
        <v>88</v>
      </c>
      <c r="AF48" s="316" t="s">
        <v>88</v>
      </c>
      <c r="AG48" s="316" t="s">
        <v>88</v>
      </c>
      <c r="AH48" s="316" t="s">
        <v>88</v>
      </c>
      <c r="AI48" s="316" t="s">
        <v>88</v>
      </c>
      <c r="AJ48" s="316" t="s">
        <v>88</v>
      </c>
      <c r="AK48" s="316" t="s">
        <v>88</v>
      </c>
      <c r="AL48" s="316" t="s">
        <v>88</v>
      </c>
      <c r="AM48" s="316" t="s">
        <v>88</v>
      </c>
      <c r="AN48" s="316" t="s">
        <v>88</v>
      </c>
      <c r="AO48" s="316" t="s">
        <v>88</v>
      </c>
      <c r="AP48" s="316" t="s">
        <v>88</v>
      </c>
      <c r="AQ48" s="316" t="s">
        <v>88</v>
      </c>
      <c r="AR48" s="316" t="s">
        <v>88</v>
      </c>
      <c r="AS48" s="316" t="s">
        <v>88</v>
      </c>
      <c r="AT48" s="316" t="s">
        <v>88</v>
      </c>
      <c r="AU48" s="316" t="s">
        <v>88</v>
      </c>
      <c r="AV48" s="316" t="s">
        <v>88</v>
      </c>
      <c r="AW48" s="316" t="s">
        <v>88</v>
      </c>
      <c r="AX48" s="316" t="s">
        <v>88</v>
      </c>
      <c r="AY48" s="316" t="s">
        <v>88</v>
      </c>
      <c r="AZ48" s="371">
        <v>60.69</v>
      </c>
      <c r="BA48" s="371">
        <v>38.57</v>
      </c>
      <c r="BB48" s="371">
        <v>46.3</v>
      </c>
      <c r="BC48" s="371">
        <v>20.399999999999999</v>
      </c>
      <c r="BD48" s="316" t="s">
        <v>88</v>
      </c>
      <c r="BE48" s="316" t="s">
        <v>88</v>
      </c>
      <c r="BF48" s="371">
        <v>54.46</v>
      </c>
      <c r="BG48" s="371">
        <v>34.06</v>
      </c>
      <c r="BH48" s="371">
        <v>47.87</v>
      </c>
      <c r="BI48" s="371">
        <v>25.11</v>
      </c>
      <c r="BJ48" s="316" t="s">
        <v>88</v>
      </c>
      <c r="BK48" s="316" t="s">
        <v>88</v>
      </c>
      <c r="BL48" s="354" t="s">
        <v>89</v>
      </c>
      <c r="BM48" s="364" t="s">
        <v>122</v>
      </c>
      <c r="BN48" s="354" t="s">
        <v>91</v>
      </c>
      <c r="BO48" s="354">
        <v>225876</v>
      </c>
      <c r="BP48" s="354" t="s">
        <v>92</v>
      </c>
      <c r="BQ48" s="354" t="s">
        <v>93</v>
      </c>
      <c r="BR48" s="354" t="s">
        <v>94</v>
      </c>
      <c r="BS48" s="354">
        <v>63250612</v>
      </c>
      <c r="BT48" s="354" t="s">
        <v>95</v>
      </c>
      <c r="BU48" s="354" t="s">
        <v>112</v>
      </c>
      <c r="BV48" s="477"/>
    </row>
    <row r="49" spans="1:74" s="2" customFormat="1" ht="24.9" customHeight="1">
      <c r="A49" s="147" t="s">
        <v>85</v>
      </c>
      <c r="B49" s="356" t="s">
        <v>139</v>
      </c>
      <c r="C49" s="369"/>
      <c r="D49" s="356"/>
      <c r="E49" s="363">
        <v>46212</v>
      </c>
      <c r="F49" s="358">
        <v>2</v>
      </c>
      <c r="G49" s="358">
        <v>28</v>
      </c>
      <c r="H49" s="511" t="s">
        <v>101</v>
      </c>
      <c r="I49" s="371">
        <v>268</v>
      </c>
      <c r="J49" s="371">
        <v>358</v>
      </c>
      <c r="K49" s="371">
        <v>305</v>
      </c>
      <c r="L49" s="371">
        <v>220</v>
      </c>
      <c r="M49" s="371">
        <v>355</v>
      </c>
      <c r="N49" s="371">
        <v>270</v>
      </c>
      <c r="O49" s="316" t="s">
        <v>88</v>
      </c>
      <c r="P49" s="316" t="s">
        <v>88</v>
      </c>
      <c r="Q49" s="371">
        <v>-0.93</v>
      </c>
      <c r="R49" s="316" t="s">
        <v>88</v>
      </c>
      <c r="S49" s="316" t="s">
        <v>88</v>
      </c>
      <c r="T49" s="316" t="s">
        <v>88</v>
      </c>
      <c r="U49" s="316" t="s">
        <v>88</v>
      </c>
      <c r="V49" s="316" t="s">
        <v>88</v>
      </c>
      <c r="W49" s="316" t="s">
        <v>88</v>
      </c>
      <c r="X49" s="316" t="s">
        <v>88</v>
      </c>
      <c r="Y49" s="316" t="s">
        <v>88</v>
      </c>
      <c r="Z49" s="316" t="s">
        <v>88</v>
      </c>
      <c r="AA49" s="316" t="s">
        <v>88</v>
      </c>
      <c r="AB49" s="316" t="s">
        <v>88</v>
      </c>
      <c r="AC49" s="316" t="s">
        <v>88</v>
      </c>
      <c r="AD49" s="316" t="s">
        <v>88</v>
      </c>
      <c r="AE49" s="316" t="s">
        <v>88</v>
      </c>
      <c r="AF49" s="316" t="s">
        <v>88</v>
      </c>
      <c r="AG49" s="513">
        <v>-0.34</v>
      </c>
      <c r="AH49" s="316" t="s">
        <v>88</v>
      </c>
      <c r="AI49" s="316" t="s">
        <v>88</v>
      </c>
      <c r="AJ49" s="316" t="s">
        <v>88</v>
      </c>
      <c r="AK49" s="316" t="s">
        <v>88</v>
      </c>
      <c r="AL49" s="316" t="s">
        <v>88</v>
      </c>
      <c r="AM49" s="316" t="s">
        <v>88</v>
      </c>
      <c r="AN49" s="316" t="s">
        <v>88</v>
      </c>
      <c r="AO49" s="316" t="s">
        <v>88</v>
      </c>
      <c r="AP49" s="316" t="s">
        <v>88</v>
      </c>
      <c r="AQ49" s="316" t="s">
        <v>88</v>
      </c>
      <c r="AR49" s="316" t="s">
        <v>88</v>
      </c>
      <c r="AS49" s="316" t="s">
        <v>88</v>
      </c>
      <c r="AT49" s="316" t="s">
        <v>88</v>
      </c>
      <c r="AU49" s="316" t="s">
        <v>88</v>
      </c>
      <c r="AV49" s="316" t="s">
        <v>88</v>
      </c>
      <c r="AW49" s="316" t="s">
        <v>88</v>
      </c>
      <c r="AX49" s="316" t="s">
        <v>88</v>
      </c>
      <c r="AY49" s="316" t="s">
        <v>88</v>
      </c>
      <c r="AZ49" s="316" t="s">
        <v>88</v>
      </c>
      <c r="BA49" s="316" t="s">
        <v>88</v>
      </c>
      <c r="BB49" s="316" t="s">
        <v>88</v>
      </c>
      <c r="BC49" s="316" t="s">
        <v>88</v>
      </c>
      <c r="BD49" s="316" t="s">
        <v>88</v>
      </c>
      <c r="BE49" s="316" t="s">
        <v>88</v>
      </c>
      <c r="BF49" s="316" t="s">
        <v>88</v>
      </c>
      <c r="BG49" s="316" t="s">
        <v>88</v>
      </c>
      <c r="BH49" s="316" t="s">
        <v>88</v>
      </c>
      <c r="BI49" s="316" t="s">
        <v>88</v>
      </c>
      <c r="BJ49" s="316" t="s">
        <v>88</v>
      </c>
      <c r="BK49" s="316" t="s">
        <v>88</v>
      </c>
      <c r="BL49" s="354" t="s">
        <v>89</v>
      </c>
      <c r="BM49" s="364" t="s">
        <v>122</v>
      </c>
      <c r="BN49" s="354" t="s">
        <v>91</v>
      </c>
      <c r="BO49" s="354">
        <v>225876</v>
      </c>
      <c r="BP49" s="354" t="s">
        <v>92</v>
      </c>
      <c r="BQ49" s="354" t="s">
        <v>93</v>
      </c>
      <c r="BR49" s="354" t="s">
        <v>94</v>
      </c>
      <c r="BS49" s="354">
        <v>63250612</v>
      </c>
      <c r="BT49" s="354" t="s">
        <v>95</v>
      </c>
      <c r="BU49" s="354" t="s">
        <v>112</v>
      </c>
      <c r="BV49" s="477"/>
    </row>
    <row r="50" spans="1:74" s="2" customFormat="1" ht="24.9" customHeight="1">
      <c r="A50" s="147" t="s">
        <v>85</v>
      </c>
      <c r="B50" s="356" t="s">
        <v>140</v>
      </c>
      <c r="C50" s="369"/>
      <c r="D50" s="356"/>
      <c r="E50" s="363">
        <v>46212</v>
      </c>
      <c r="F50" s="358">
        <v>2</v>
      </c>
      <c r="G50" s="358">
        <v>28</v>
      </c>
      <c r="H50" s="316" t="s">
        <v>88</v>
      </c>
      <c r="I50" s="316" t="s">
        <v>88</v>
      </c>
      <c r="J50" s="316" t="s">
        <v>88</v>
      </c>
      <c r="K50" s="316" t="s">
        <v>88</v>
      </c>
      <c r="L50" s="316" t="s">
        <v>88</v>
      </c>
      <c r="M50" s="316" t="s">
        <v>88</v>
      </c>
      <c r="N50" s="316" t="s">
        <v>88</v>
      </c>
      <c r="O50" s="316" t="s">
        <v>88</v>
      </c>
      <c r="P50" s="316" t="s">
        <v>88</v>
      </c>
      <c r="Q50" s="316" t="s">
        <v>88</v>
      </c>
      <c r="R50" s="316" t="s">
        <v>88</v>
      </c>
      <c r="S50" s="316" t="s">
        <v>88</v>
      </c>
      <c r="T50" s="316" t="s">
        <v>88</v>
      </c>
      <c r="U50" s="316" t="s">
        <v>88</v>
      </c>
      <c r="V50" s="316" t="s">
        <v>88</v>
      </c>
      <c r="W50" s="316" t="s">
        <v>88</v>
      </c>
      <c r="X50" s="316" t="s">
        <v>88</v>
      </c>
      <c r="Y50" s="316" t="s">
        <v>88</v>
      </c>
      <c r="Z50" s="316" t="s">
        <v>88</v>
      </c>
      <c r="AA50" s="316" t="s">
        <v>88</v>
      </c>
      <c r="AB50" s="316" t="s">
        <v>88</v>
      </c>
      <c r="AC50" s="316" t="s">
        <v>88</v>
      </c>
      <c r="AD50" s="316" t="s">
        <v>88</v>
      </c>
      <c r="AE50" s="316" t="s">
        <v>88</v>
      </c>
      <c r="AF50" s="316" t="s">
        <v>88</v>
      </c>
      <c r="AG50" s="316" t="s">
        <v>88</v>
      </c>
      <c r="AH50" s="316" t="s">
        <v>88</v>
      </c>
      <c r="AI50" s="316" t="s">
        <v>88</v>
      </c>
      <c r="AJ50" s="316" t="s">
        <v>88</v>
      </c>
      <c r="AK50" s="316" t="s">
        <v>88</v>
      </c>
      <c r="AL50" s="316" t="s">
        <v>88</v>
      </c>
      <c r="AM50" s="316" t="s">
        <v>88</v>
      </c>
      <c r="AN50" s="316" t="s">
        <v>88</v>
      </c>
      <c r="AO50" s="316" t="s">
        <v>88</v>
      </c>
      <c r="AP50" s="316" t="s">
        <v>88</v>
      </c>
      <c r="AQ50" s="316" t="s">
        <v>88</v>
      </c>
      <c r="AR50" s="316" t="s">
        <v>88</v>
      </c>
      <c r="AS50" s="316" t="s">
        <v>88</v>
      </c>
      <c r="AT50" s="316" t="s">
        <v>88</v>
      </c>
      <c r="AU50" s="316" t="s">
        <v>88</v>
      </c>
      <c r="AV50" s="316" t="s">
        <v>88</v>
      </c>
      <c r="AW50" s="316" t="s">
        <v>88</v>
      </c>
      <c r="AX50" s="316" t="s">
        <v>88</v>
      </c>
      <c r="AY50" s="316" t="s">
        <v>88</v>
      </c>
      <c r="AZ50" s="459">
        <v>57.25</v>
      </c>
      <c r="BA50" s="459">
        <v>33.64</v>
      </c>
      <c r="BB50" s="459">
        <v>51.01</v>
      </c>
      <c r="BC50" s="459">
        <v>7</v>
      </c>
      <c r="BD50" s="316" t="s">
        <v>88</v>
      </c>
      <c r="BE50" s="316" t="s">
        <v>88</v>
      </c>
      <c r="BF50" s="459" t="s">
        <v>88</v>
      </c>
      <c r="BG50" s="459">
        <v>38.35</v>
      </c>
      <c r="BH50" s="459" t="s">
        <v>88</v>
      </c>
      <c r="BI50" s="459">
        <v>30.21</v>
      </c>
      <c r="BJ50" s="459">
        <v>88.68</v>
      </c>
      <c r="BK50" s="316" t="s">
        <v>88</v>
      </c>
      <c r="BL50" s="354" t="s">
        <v>89</v>
      </c>
      <c r="BM50" s="364" t="s">
        <v>122</v>
      </c>
      <c r="BN50" s="354" t="s">
        <v>91</v>
      </c>
      <c r="BO50" s="354">
        <v>225876</v>
      </c>
      <c r="BP50" s="354" t="s">
        <v>92</v>
      </c>
      <c r="BQ50" s="354" t="s">
        <v>93</v>
      </c>
      <c r="BR50" s="354" t="s">
        <v>94</v>
      </c>
      <c r="BS50" s="354">
        <v>63250612</v>
      </c>
      <c r="BT50" s="354" t="s">
        <v>95</v>
      </c>
      <c r="BU50" s="354" t="s">
        <v>112</v>
      </c>
      <c r="BV50" s="477"/>
    </row>
    <row r="51" spans="1:74" s="2" customFormat="1" ht="24.9" customHeight="1">
      <c r="A51" s="147" t="s">
        <v>85</v>
      </c>
      <c r="B51" s="356" t="s">
        <v>110</v>
      </c>
      <c r="C51" s="369"/>
      <c r="D51" s="356"/>
      <c r="E51" s="363">
        <v>46212</v>
      </c>
      <c r="F51" s="358">
        <v>3</v>
      </c>
      <c r="G51" s="358">
        <v>28</v>
      </c>
      <c r="H51" s="316" t="s">
        <v>88</v>
      </c>
      <c r="I51" s="316" t="s">
        <v>88</v>
      </c>
      <c r="J51" s="316" t="s">
        <v>88</v>
      </c>
      <c r="K51" s="316" t="s">
        <v>88</v>
      </c>
      <c r="L51" s="316" t="s">
        <v>88</v>
      </c>
      <c r="M51" s="316" t="s">
        <v>88</v>
      </c>
      <c r="N51" s="316" t="s">
        <v>88</v>
      </c>
      <c r="O51" s="316" t="s">
        <v>88</v>
      </c>
      <c r="P51" s="316" t="s">
        <v>88</v>
      </c>
      <c r="Q51" s="371">
        <v>-2.2000000000000002</v>
      </c>
      <c r="R51" s="316" t="s">
        <v>88</v>
      </c>
      <c r="S51" s="316" t="s">
        <v>88</v>
      </c>
      <c r="T51" s="316" t="s">
        <v>88</v>
      </c>
      <c r="U51" s="316" t="s">
        <v>88</v>
      </c>
      <c r="V51" s="316" t="s">
        <v>88</v>
      </c>
      <c r="W51" s="316" t="s">
        <v>88</v>
      </c>
      <c r="X51" s="316" t="s">
        <v>88</v>
      </c>
      <c r="Y51" s="316" t="s">
        <v>88</v>
      </c>
      <c r="Z51" s="316" t="s">
        <v>88</v>
      </c>
      <c r="AA51" s="316" t="s">
        <v>88</v>
      </c>
      <c r="AB51" s="316" t="s">
        <v>88</v>
      </c>
      <c r="AC51" s="371">
        <v>2.27</v>
      </c>
      <c r="AD51" s="371">
        <v>1.89</v>
      </c>
      <c r="AE51" s="371">
        <v>2.09</v>
      </c>
      <c r="AF51" s="371">
        <f>AVERAGE(AC51:AE51)</f>
        <v>2.0833333333333335</v>
      </c>
      <c r="AG51" s="371">
        <v>1.38</v>
      </c>
      <c r="AH51" s="372" t="s">
        <v>99</v>
      </c>
      <c r="AI51" s="372" t="s">
        <v>99</v>
      </c>
      <c r="AJ51" s="372" t="s">
        <v>99</v>
      </c>
      <c r="AK51" s="372" t="s">
        <v>99</v>
      </c>
      <c r="AL51" s="372" t="s">
        <v>99</v>
      </c>
      <c r="AM51" s="372" t="s">
        <v>99</v>
      </c>
      <c r="AN51" s="316" t="s">
        <v>88</v>
      </c>
      <c r="AO51" s="316" t="s">
        <v>88</v>
      </c>
      <c r="AP51" s="316" t="s">
        <v>88</v>
      </c>
      <c r="AQ51" s="316" t="s">
        <v>88</v>
      </c>
      <c r="AR51" s="316" t="s">
        <v>88</v>
      </c>
      <c r="AS51" s="316" t="s">
        <v>88</v>
      </c>
      <c r="AT51" s="316" t="s">
        <v>88</v>
      </c>
      <c r="AU51" s="316" t="s">
        <v>88</v>
      </c>
      <c r="AV51" s="316" t="s">
        <v>88</v>
      </c>
      <c r="AW51" s="316" t="s">
        <v>88</v>
      </c>
      <c r="AX51" s="316" t="s">
        <v>88</v>
      </c>
      <c r="AY51" s="316" t="s">
        <v>88</v>
      </c>
      <c r="AZ51" s="316" t="s">
        <v>88</v>
      </c>
      <c r="BA51" s="316" t="s">
        <v>88</v>
      </c>
      <c r="BB51" s="316" t="s">
        <v>88</v>
      </c>
      <c r="BC51" s="316" t="s">
        <v>88</v>
      </c>
      <c r="BD51" s="316" t="s">
        <v>88</v>
      </c>
      <c r="BE51" s="316" t="s">
        <v>88</v>
      </c>
      <c r="BF51" s="316" t="s">
        <v>88</v>
      </c>
      <c r="BG51" s="316" t="s">
        <v>88</v>
      </c>
      <c r="BH51" s="316" t="s">
        <v>88</v>
      </c>
      <c r="BI51" s="316" t="s">
        <v>88</v>
      </c>
      <c r="BJ51" s="316" t="s">
        <v>88</v>
      </c>
      <c r="BK51" s="316" t="s">
        <v>88</v>
      </c>
      <c r="BL51" s="354" t="s">
        <v>89</v>
      </c>
      <c r="BM51" s="364" t="s">
        <v>122</v>
      </c>
      <c r="BN51" s="354" t="s">
        <v>91</v>
      </c>
      <c r="BO51" s="354">
        <v>225876</v>
      </c>
      <c r="BP51" s="354" t="s">
        <v>92</v>
      </c>
      <c r="BQ51" s="354" t="s">
        <v>93</v>
      </c>
      <c r="BR51" s="354" t="s">
        <v>94</v>
      </c>
      <c r="BS51" s="354">
        <v>63250612</v>
      </c>
      <c r="BT51" s="354" t="s">
        <v>95</v>
      </c>
      <c r="BU51" s="354" t="s">
        <v>112</v>
      </c>
      <c r="BV51" s="477"/>
    </row>
    <row r="52" spans="1:74" s="2" customFormat="1" ht="24.9" customHeight="1">
      <c r="A52" s="147" t="s">
        <v>85</v>
      </c>
      <c r="B52" s="356" t="s">
        <v>141</v>
      </c>
      <c r="C52" s="369"/>
      <c r="D52" s="356"/>
      <c r="E52" s="363">
        <v>46212</v>
      </c>
      <c r="F52" s="358">
        <v>3</v>
      </c>
      <c r="G52" s="358">
        <v>28</v>
      </c>
      <c r="H52" s="512" t="s">
        <v>101</v>
      </c>
      <c r="I52" s="371">
        <v>295</v>
      </c>
      <c r="J52" s="371">
        <v>372</v>
      </c>
      <c r="K52" s="371">
        <v>334</v>
      </c>
      <c r="L52" s="371">
        <v>260</v>
      </c>
      <c r="M52" s="371">
        <v>382</v>
      </c>
      <c r="N52" s="371">
        <v>302</v>
      </c>
      <c r="O52" s="316" t="s">
        <v>88</v>
      </c>
      <c r="P52" s="316" t="s">
        <v>88</v>
      </c>
      <c r="Q52" s="316" t="s">
        <v>88</v>
      </c>
      <c r="R52" s="316" t="s">
        <v>88</v>
      </c>
      <c r="S52" s="316" t="s">
        <v>88</v>
      </c>
      <c r="T52" s="316" t="s">
        <v>88</v>
      </c>
      <c r="U52" s="316" t="s">
        <v>88</v>
      </c>
      <c r="V52" s="316" t="s">
        <v>88</v>
      </c>
      <c r="W52" s="316" t="s">
        <v>88</v>
      </c>
      <c r="X52" s="316" t="s">
        <v>88</v>
      </c>
      <c r="Y52" s="316" t="s">
        <v>88</v>
      </c>
      <c r="Z52" s="316" t="s">
        <v>88</v>
      </c>
      <c r="AA52" s="316" t="s">
        <v>88</v>
      </c>
      <c r="AB52" s="316" t="s">
        <v>88</v>
      </c>
      <c r="AC52" s="316" t="s">
        <v>88</v>
      </c>
      <c r="AD52" s="316" t="s">
        <v>88</v>
      </c>
      <c r="AE52" s="316" t="s">
        <v>88</v>
      </c>
      <c r="AF52" s="316" t="s">
        <v>88</v>
      </c>
      <c r="AG52" s="316" t="s">
        <v>88</v>
      </c>
      <c r="AH52" s="316" t="s">
        <v>88</v>
      </c>
      <c r="AI52" s="316" t="s">
        <v>88</v>
      </c>
      <c r="AJ52" s="316" t="s">
        <v>88</v>
      </c>
      <c r="AK52" s="316" t="s">
        <v>88</v>
      </c>
      <c r="AL52" s="316" t="s">
        <v>88</v>
      </c>
      <c r="AM52" s="316" t="s">
        <v>88</v>
      </c>
      <c r="AN52" s="316" t="s">
        <v>88</v>
      </c>
      <c r="AO52" s="316" t="s">
        <v>88</v>
      </c>
      <c r="AP52" s="316" t="s">
        <v>88</v>
      </c>
      <c r="AQ52" s="316" t="s">
        <v>88</v>
      </c>
      <c r="AR52" s="316" t="s">
        <v>88</v>
      </c>
      <c r="AS52" s="316" t="s">
        <v>88</v>
      </c>
      <c r="AT52" s="316" t="s">
        <v>88</v>
      </c>
      <c r="AU52" s="316" t="s">
        <v>88</v>
      </c>
      <c r="AV52" s="316" t="s">
        <v>88</v>
      </c>
      <c r="AW52" s="316" t="s">
        <v>88</v>
      </c>
      <c r="AX52" s="316" t="s">
        <v>88</v>
      </c>
      <c r="AY52" s="316" t="s">
        <v>88</v>
      </c>
      <c r="AZ52" s="316" t="s">
        <v>88</v>
      </c>
      <c r="BA52" s="316" t="s">
        <v>88</v>
      </c>
      <c r="BB52" s="316" t="s">
        <v>88</v>
      </c>
      <c r="BC52" s="316" t="s">
        <v>88</v>
      </c>
      <c r="BD52" s="316" t="s">
        <v>88</v>
      </c>
      <c r="BE52" s="316" t="s">
        <v>88</v>
      </c>
      <c r="BF52" s="316" t="s">
        <v>88</v>
      </c>
      <c r="BG52" s="316" t="s">
        <v>88</v>
      </c>
      <c r="BH52" s="316" t="s">
        <v>88</v>
      </c>
      <c r="BI52" s="316" t="s">
        <v>88</v>
      </c>
      <c r="BJ52" s="316" t="s">
        <v>88</v>
      </c>
      <c r="BK52" s="316" t="s">
        <v>88</v>
      </c>
      <c r="BL52" s="354" t="s">
        <v>89</v>
      </c>
      <c r="BM52" s="364" t="s">
        <v>122</v>
      </c>
      <c r="BN52" s="354" t="s">
        <v>91</v>
      </c>
      <c r="BO52" s="354">
        <v>225876</v>
      </c>
      <c r="BP52" s="354" t="s">
        <v>92</v>
      </c>
      <c r="BQ52" s="354" t="s">
        <v>93</v>
      </c>
      <c r="BR52" s="354" t="s">
        <v>94</v>
      </c>
      <c r="BS52" s="354">
        <v>63250612</v>
      </c>
      <c r="BT52" s="354" t="s">
        <v>95</v>
      </c>
      <c r="BU52" s="354" t="s">
        <v>112</v>
      </c>
      <c r="BV52" s="477"/>
    </row>
    <row r="53" spans="1:74" s="2" customFormat="1" ht="24.9" customHeight="1">
      <c r="A53" s="147" t="s">
        <v>85</v>
      </c>
      <c r="B53" s="356" t="s">
        <v>142</v>
      </c>
      <c r="C53" s="369"/>
      <c r="D53" s="356"/>
      <c r="E53" s="363">
        <v>46212</v>
      </c>
      <c r="F53" s="358">
        <v>3</v>
      </c>
      <c r="G53" s="358">
        <v>28</v>
      </c>
      <c r="H53" s="316" t="s">
        <v>88</v>
      </c>
      <c r="I53" s="316" t="s">
        <v>88</v>
      </c>
      <c r="J53" s="316" t="s">
        <v>88</v>
      </c>
      <c r="K53" s="316" t="s">
        <v>88</v>
      </c>
      <c r="L53" s="316" t="s">
        <v>88</v>
      </c>
      <c r="M53" s="316" t="s">
        <v>88</v>
      </c>
      <c r="N53" s="316" t="s">
        <v>88</v>
      </c>
      <c r="O53" s="316" t="s">
        <v>88</v>
      </c>
      <c r="P53" s="316" t="s">
        <v>88</v>
      </c>
      <c r="Q53" s="316" t="s">
        <v>88</v>
      </c>
      <c r="R53" s="316" t="s">
        <v>88</v>
      </c>
      <c r="S53" s="316" t="s">
        <v>88</v>
      </c>
      <c r="T53" s="316" t="s">
        <v>88</v>
      </c>
      <c r="U53" s="316" t="s">
        <v>88</v>
      </c>
      <c r="V53" s="316" t="s">
        <v>88</v>
      </c>
      <c r="W53" s="316" t="s">
        <v>88</v>
      </c>
      <c r="X53" s="316" t="s">
        <v>88</v>
      </c>
      <c r="Y53" s="316" t="s">
        <v>88</v>
      </c>
      <c r="Z53" s="316" t="s">
        <v>88</v>
      </c>
      <c r="AA53" s="316" t="s">
        <v>88</v>
      </c>
      <c r="AB53" s="316" t="s">
        <v>88</v>
      </c>
      <c r="AC53" s="316" t="s">
        <v>88</v>
      </c>
      <c r="AD53" s="316" t="s">
        <v>88</v>
      </c>
      <c r="AE53" s="316" t="s">
        <v>88</v>
      </c>
      <c r="AF53" s="316" t="s">
        <v>88</v>
      </c>
      <c r="AG53" s="316" t="s">
        <v>88</v>
      </c>
      <c r="AH53" s="316" t="s">
        <v>88</v>
      </c>
      <c r="AI53" s="316" t="s">
        <v>88</v>
      </c>
      <c r="AJ53" s="316" t="s">
        <v>88</v>
      </c>
      <c r="AK53" s="316" t="s">
        <v>88</v>
      </c>
      <c r="AL53" s="316" t="s">
        <v>88</v>
      </c>
      <c r="AM53" s="316" t="s">
        <v>88</v>
      </c>
      <c r="AN53" s="316" t="s">
        <v>88</v>
      </c>
      <c r="AO53" s="316" t="s">
        <v>88</v>
      </c>
      <c r="AP53" s="316" t="s">
        <v>88</v>
      </c>
      <c r="AQ53" s="316" t="s">
        <v>88</v>
      </c>
      <c r="AR53" s="316" t="s">
        <v>88</v>
      </c>
      <c r="AS53" s="316" t="s">
        <v>88</v>
      </c>
      <c r="AT53" s="316" t="s">
        <v>88</v>
      </c>
      <c r="AU53" s="316" t="s">
        <v>88</v>
      </c>
      <c r="AV53" s="316" t="s">
        <v>88</v>
      </c>
      <c r="AW53" s="316" t="s">
        <v>88</v>
      </c>
      <c r="AX53" s="316" t="s">
        <v>88</v>
      </c>
      <c r="AY53" s="316" t="s">
        <v>88</v>
      </c>
      <c r="AZ53" s="371">
        <v>89.86</v>
      </c>
      <c r="BA53" s="371">
        <v>37.79</v>
      </c>
      <c r="BB53" s="371">
        <v>37.28</v>
      </c>
      <c r="BC53" s="371">
        <v>27.47</v>
      </c>
      <c r="BD53" s="316" t="s">
        <v>88</v>
      </c>
      <c r="BE53" s="316" t="s">
        <v>88</v>
      </c>
      <c r="BF53" s="371">
        <v>82.4</v>
      </c>
      <c r="BG53" s="371">
        <v>37.99</v>
      </c>
      <c r="BH53" s="371">
        <v>56.9</v>
      </c>
      <c r="BI53" s="371">
        <v>32.57</v>
      </c>
      <c r="BJ53" s="316" t="s">
        <v>88</v>
      </c>
      <c r="BK53" s="316" t="s">
        <v>88</v>
      </c>
      <c r="BL53" s="354" t="s">
        <v>89</v>
      </c>
      <c r="BM53" s="364" t="s">
        <v>122</v>
      </c>
      <c r="BN53" s="354" t="s">
        <v>91</v>
      </c>
      <c r="BO53" s="354">
        <v>225876</v>
      </c>
      <c r="BP53" s="354" t="s">
        <v>92</v>
      </c>
      <c r="BQ53" s="354" t="s">
        <v>93</v>
      </c>
      <c r="BR53" s="354" t="s">
        <v>94</v>
      </c>
      <c r="BS53" s="354">
        <v>63250612</v>
      </c>
      <c r="BT53" s="354" t="s">
        <v>95</v>
      </c>
      <c r="BU53" s="354" t="s">
        <v>112</v>
      </c>
      <c r="BV53" s="477"/>
    </row>
    <row r="54" spans="1:74" s="2" customFormat="1" ht="24.9" customHeight="1">
      <c r="A54" s="147" t="s">
        <v>85</v>
      </c>
      <c r="B54" s="356" t="s">
        <v>143</v>
      </c>
      <c r="C54" s="369"/>
      <c r="D54" s="356"/>
      <c r="E54" s="363">
        <v>46216</v>
      </c>
      <c r="F54" s="358">
        <v>1</v>
      </c>
      <c r="G54" s="358">
        <v>29</v>
      </c>
      <c r="H54" s="512" t="s">
        <v>101</v>
      </c>
      <c r="I54" s="371">
        <v>256</v>
      </c>
      <c r="J54" s="371">
        <v>238</v>
      </c>
      <c r="K54" s="371">
        <v>293.42</v>
      </c>
      <c r="L54" s="371">
        <v>235.58</v>
      </c>
      <c r="M54" s="371">
        <v>330.58</v>
      </c>
      <c r="N54" s="371">
        <v>269.67</v>
      </c>
      <c r="O54" s="316" t="s">
        <v>88</v>
      </c>
      <c r="P54" s="316" t="s">
        <v>88</v>
      </c>
      <c r="Q54" s="371">
        <v>-1.63</v>
      </c>
      <c r="R54" s="316" t="s">
        <v>88</v>
      </c>
      <c r="S54" s="316" t="s">
        <v>88</v>
      </c>
      <c r="T54" s="316" t="s">
        <v>88</v>
      </c>
      <c r="U54" s="316" t="s">
        <v>88</v>
      </c>
      <c r="V54" s="316" t="s">
        <v>88</v>
      </c>
      <c r="W54" s="316" t="s">
        <v>88</v>
      </c>
      <c r="X54" s="316" t="s">
        <v>88</v>
      </c>
      <c r="Y54" s="316" t="s">
        <v>88</v>
      </c>
      <c r="Z54" s="316" t="s">
        <v>88</v>
      </c>
      <c r="AA54" s="316" t="s">
        <v>88</v>
      </c>
      <c r="AB54" s="316" t="s">
        <v>88</v>
      </c>
      <c r="AC54" s="316" t="s">
        <v>88</v>
      </c>
      <c r="AD54" s="316" t="s">
        <v>88</v>
      </c>
      <c r="AE54" s="316" t="s">
        <v>88</v>
      </c>
      <c r="AF54" s="316" t="s">
        <v>88</v>
      </c>
      <c r="AG54" s="371">
        <v>4.24</v>
      </c>
      <c r="AH54" s="316" t="s">
        <v>88</v>
      </c>
      <c r="AI54" s="316" t="s">
        <v>88</v>
      </c>
      <c r="AJ54" s="316" t="s">
        <v>88</v>
      </c>
      <c r="AK54" s="316" t="s">
        <v>88</v>
      </c>
      <c r="AL54" s="316" t="s">
        <v>88</v>
      </c>
      <c r="AM54" s="316" t="s">
        <v>88</v>
      </c>
      <c r="AN54" s="316" t="s">
        <v>88</v>
      </c>
      <c r="AO54" s="316" t="s">
        <v>88</v>
      </c>
      <c r="AP54" s="316" t="s">
        <v>88</v>
      </c>
      <c r="AQ54" s="316" t="s">
        <v>88</v>
      </c>
      <c r="AR54" s="316" t="s">
        <v>88</v>
      </c>
      <c r="AS54" s="316" t="s">
        <v>88</v>
      </c>
      <c r="AT54" s="316" t="s">
        <v>88</v>
      </c>
      <c r="AU54" s="316" t="s">
        <v>88</v>
      </c>
      <c r="AV54" s="316" t="s">
        <v>88</v>
      </c>
      <c r="AW54" s="316" t="s">
        <v>88</v>
      </c>
      <c r="AX54" s="316" t="s">
        <v>88</v>
      </c>
      <c r="AY54" s="316" t="s">
        <v>88</v>
      </c>
      <c r="AZ54" s="316" t="s">
        <v>88</v>
      </c>
      <c r="BA54" s="316" t="s">
        <v>88</v>
      </c>
      <c r="BB54" s="316" t="s">
        <v>88</v>
      </c>
      <c r="BC54" s="316" t="s">
        <v>88</v>
      </c>
      <c r="BD54" s="316" t="s">
        <v>88</v>
      </c>
      <c r="BE54" s="316" t="s">
        <v>88</v>
      </c>
      <c r="BF54" s="316" t="s">
        <v>88</v>
      </c>
      <c r="BG54" s="316" t="s">
        <v>88</v>
      </c>
      <c r="BH54" s="316" t="s">
        <v>88</v>
      </c>
      <c r="BI54" s="316" t="s">
        <v>88</v>
      </c>
      <c r="BJ54" s="316" t="s">
        <v>88</v>
      </c>
      <c r="BK54" s="316" t="s">
        <v>88</v>
      </c>
      <c r="BL54" s="354" t="s">
        <v>89</v>
      </c>
      <c r="BM54" s="364" t="s">
        <v>122</v>
      </c>
      <c r="BN54" s="354" t="s">
        <v>91</v>
      </c>
      <c r="BO54" s="354">
        <v>225876</v>
      </c>
      <c r="BP54" s="354" t="s">
        <v>92</v>
      </c>
      <c r="BQ54" s="354" t="s">
        <v>93</v>
      </c>
      <c r="BR54" s="354" t="s">
        <v>94</v>
      </c>
      <c r="BS54" s="354">
        <v>63250612</v>
      </c>
      <c r="BT54" s="354" t="s">
        <v>95</v>
      </c>
      <c r="BU54" s="354" t="s">
        <v>112</v>
      </c>
      <c r="BV54" s="477"/>
    </row>
    <row r="55" spans="1:74" s="2" customFormat="1" ht="24.9" customHeight="1">
      <c r="A55" s="147" t="s">
        <v>85</v>
      </c>
      <c r="B55" s="356" t="s">
        <v>144</v>
      </c>
      <c r="C55" s="369"/>
      <c r="D55" s="356"/>
      <c r="E55" s="363">
        <v>46216</v>
      </c>
      <c r="F55" s="358">
        <v>1</v>
      </c>
      <c r="G55" s="358">
        <v>29</v>
      </c>
      <c r="H55" s="316" t="s">
        <v>88</v>
      </c>
      <c r="I55" s="316" t="s">
        <v>88</v>
      </c>
      <c r="J55" s="316" t="s">
        <v>88</v>
      </c>
      <c r="K55" s="316" t="s">
        <v>88</v>
      </c>
      <c r="L55" s="316" t="s">
        <v>88</v>
      </c>
      <c r="M55" s="316" t="s">
        <v>88</v>
      </c>
      <c r="N55" s="316" t="s">
        <v>88</v>
      </c>
      <c r="O55" s="316" t="s">
        <v>88</v>
      </c>
      <c r="P55" s="316" t="s">
        <v>88</v>
      </c>
      <c r="Q55" s="316" t="s">
        <v>88</v>
      </c>
      <c r="R55" s="316" t="s">
        <v>88</v>
      </c>
      <c r="S55" s="316" t="s">
        <v>88</v>
      </c>
      <c r="T55" s="316" t="s">
        <v>88</v>
      </c>
      <c r="U55" s="316" t="s">
        <v>88</v>
      </c>
      <c r="V55" s="316" t="s">
        <v>88</v>
      </c>
      <c r="W55" s="316" t="s">
        <v>88</v>
      </c>
      <c r="X55" s="316" t="s">
        <v>88</v>
      </c>
      <c r="Y55" s="316" t="s">
        <v>88</v>
      </c>
      <c r="Z55" s="316" t="s">
        <v>88</v>
      </c>
      <c r="AA55" s="316" t="s">
        <v>88</v>
      </c>
      <c r="AB55" s="316" t="s">
        <v>88</v>
      </c>
      <c r="AC55" s="316" t="s">
        <v>88</v>
      </c>
      <c r="AD55" s="316" t="s">
        <v>88</v>
      </c>
      <c r="AE55" s="316" t="s">
        <v>88</v>
      </c>
      <c r="AF55" s="316" t="s">
        <v>88</v>
      </c>
      <c r="AG55" s="316" t="s">
        <v>88</v>
      </c>
      <c r="AH55" s="316" t="s">
        <v>88</v>
      </c>
      <c r="AI55" s="316" t="s">
        <v>88</v>
      </c>
      <c r="AJ55" s="316" t="s">
        <v>88</v>
      </c>
      <c r="AK55" s="316" t="s">
        <v>88</v>
      </c>
      <c r="AL55" s="316" t="s">
        <v>88</v>
      </c>
      <c r="AM55" s="316" t="s">
        <v>88</v>
      </c>
      <c r="AN55" s="316" t="s">
        <v>88</v>
      </c>
      <c r="AO55" s="316" t="s">
        <v>88</v>
      </c>
      <c r="AP55" s="316" t="s">
        <v>88</v>
      </c>
      <c r="AQ55" s="316" t="s">
        <v>88</v>
      </c>
      <c r="AR55" s="316" t="s">
        <v>88</v>
      </c>
      <c r="AS55" s="316" t="s">
        <v>88</v>
      </c>
      <c r="AT55" s="316" t="s">
        <v>88</v>
      </c>
      <c r="AU55" s="316" t="s">
        <v>88</v>
      </c>
      <c r="AV55" s="316" t="s">
        <v>88</v>
      </c>
      <c r="AW55" s="316" t="s">
        <v>88</v>
      </c>
      <c r="AX55" s="316" t="s">
        <v>88</v>
      </c>
      <c r="AY55" s="316" t="s">
        <v>88</v>
      </c>
      <c r="AZ55" s="371">
        <v>44.33</v>
      </c>
      <c r="BA55" s="371">
        <v>36.49</v>
      </c>
      <c r="BB55" s="371">
        <v>37.67</v>
      </c>
      <c r="BC55" s="371">
        <v>31</v>
      </c>
      <c r="BD55" s="316" t="s">
        <v>88</v>
      </c>
      <c r="BE55" s="316" t="s">
        <v>88</v>
      </c>
      <c r="BF55" s="371">
        <v>58.59</v>
      </c>
      <c r="BG55" s="371">
        <v>40.35</v>
      </c>
      <c r="BH55" s="371">
        <v>46.3</v>
      </c>
      <c r="BI55" s="371">
        <v>32.96</v>
      </c>
      <c r="BJ55" s="316" t="s">
        <v>88</v>
      </c>
      <c r="BK55" s="316" t="s">
        <v>88</v>
      </c>
      <c r="BL55" s="354" t="s">
        <v>89</v>
      </c>
      <c r="BM55" s="364" t="s">
        <v>122</v>
      </c>
      <c r="BN55" s="354" t="s">
        <v>91</v>
      </c>
      <c r="BO55" s="354">
        <v>225876</v>
      </c>
      <c r="BP55" s="354" t="s">
        <v>92</v>
      </c>
      <c r="BQ55" s="354" t="s">
        <v>93</v>
      </c>
      <c r="BR55" s="354" t="s">
        <v>94</v>
      </c>
      <c r="BS55" s="354">
        <v>63250612</v>
      </c>
      <c r="BT55" s="354" t="s">
        <v>95</v>
      </c>
      <c r="BU55" s="354" t="s">
        <v>112</v>
      </c>
      <c r="BV55" s="477"/>
    </row>
    <row r="56" spans="1:74" s="2" customFormat="1" ht="24.9" customHeight="1">
      <c r="A56" s="147" t="s">
        <v>85</v>
      </c>
      <c r="B56" s="356" t="s">
        <v>145</v>
      </c>
      <c r="C56" s="369"/>
      <c r="D56" s="356"/>
      <c r="E56" s="363">
        <v>46216</v>
      </c>
      <c r="F56" s="358">
        <v>2</v>
      </c>
      <c r="G56" s="358">
        <v>29</v>
      </c>
      <c r="H56" s="512" t="s">
        <v>101</v>
      </c>
      <c r="I56" s="371">
        <v>277</v>
      </c>
      <c r="J56" s="371">
        <v>322</v>
      </c>
      <c r="K56" s="371">
        <v>303</v>
      </c>
      <c r="L56" s="371">
        <v>201</v>
      </c>
      <c r="M56" s="371">
        <v>303</v>
      </c>
      <c r="N56" s="371">
        <v>253</v>
      </c>
      <c r="O56" s="316" t="s">
        <v>88</v>
      </c>
      <c r="P56" s="316" t="s">
        <v>88</v>
      </c>
      <c r="Q56" s="371">
        <v>-1.5</v>
      </c>
      <c r="R56" s="316" t="s">
        <v>88</v>
      </c>
      <c r="S56" s="316" t="s">
        <v>88</v>
      </c>
      <c r="T56" s="316" t="s">
        <v>88</v>
      </c>
      <c r="U56" s="316" t="s">
        <v>88</v>
      </c>
      <c r="V56" s="316" t="s">
        <v>88</v>
      </c>
      <c r="W56" s="316" t="s">
        <v>88</v>
      </c>
      <c r="X56" s="316" t="s">
        <v>88</v>
      </c>
      <c r="Y56" s="316" t="s">
        <v>88</v>
      </c>
      <c r="Z56" s="316" t="s">
        <v>88</v>
      </c>
      <c r="AA56" s="316" t="s">
        <v>88</v>
      </c>
      <c r="AB56" s="316" t="s">
        <v>88</v>
      </c>
      <c r="AC56" s="316" t="s">
        <v>88</v>
      </c>
      <c r="AD56" s="316" t="s">
        <v>88</v>
      </c>
      <c r="AE56" s="316" t="s">
        <v>88</v>
      </c>
      <c r="AF56" s="316" t="s">
        <v>88</v>
      </c>
      <c r="AG56" s="371">
        <v>-2.02</v>
      </c>
      <c r="AH56" s="316" t="s">
        <v>88</v>
      </c>
      <c r="AI56" s="316" t="s">
        <v>88</v>
      </c>
      <c r="AJ56" s="316" t="s">
        <v>88</v>
      </c>
      <c r="AK56" s="316" t="s">
        <v>88</v>
      </c>
      <c r="AL56" s="316" t="s">
        <v>88</v>
      </c>
      <c r="AM56" s="316" t="s">
        <v>88</v>
      </c>
      <c r="AN56" s="316" t="s">
        <v>88</v>
      </c>
      <c r="AO56" s="316" t="s">
        <v>88</v>
      </c>
      <c r="AP56" s="316" t="s">
        <v>88</v>
      </c>
      <c r="AQ56" s="316" t="s">
        <v>88</v>
      </c>
      <c r="AR56" s="316" t="s">
        <v>88</v>
      </c>
      <c r="AS56" s="316" t="s">
        <v>88</v>
      </c>
      <c r="AT56" s="316" t="s">
        <v>88</v>
      </c>
      <c r="AU56" s="316" t="s">
        <v>88</v>
      </c>
      <c r="AV56" s="316" t="s">
        <v>88</v>
      </c>
      <c r="AW56" s="316" t="s">
        <v>88</v>
      </c>
      <c r="AX56" s="316" t="s">
        <v>88</v>
      </c>
      <c r="AY56" s="316" t="s">
        <v>88</v>
      </c>
      <c r="AZ56" s="316" t="s">
        <v>88</v>
      </c>
      <c r="BA56" s="316" t="s">
        <v>88</v>
      </c>
      <c r="BB56" s="316" t="s">
        <v>88</v>
      </c>
      <c r="BC56" s="316" t="s">
        <v>88</v>
      </c>
      <c r="BD56" s="316" t="s">
        <v>88</v>
      </c>
      <c r="BE56" s="316" t="s">
        <v>88</v>
      </c>
      <c r="BF56" s="316" t="s">
        <v>88</v>
      </c>
      <c r="BG56" s="316" t="s">
        <v>88</v>
      </c>
      <c r="BH56" s="316" t="s">
        <v>88</v>
      </c>
      <c r="BI56" s="316" t="s">
        <v>88</v>
      </c>
      <c r="BJ56" s="316" t="s">
        <v>88</v>
      </c>
      <c r="BK56" s="316" t="s">
        <v>88</v>
      </c>
      <c r="BL56" s="354" t="s">
        <v>89</v>
      </c>
      <c r="BM56" s="364" t="s">
        <v>122</v>
      </c>
      <c r="BN56" s="354" t="s">
        <v>91</v>
      </c>
      <c r="BO56" s="354">
        <v>225876</v>
      </c>
      <c r="BP56" s="354" t="s">
        <v>92</v>
      </c>
      <c r="BQ56" s="354" t="s">
        <v>93</v>
      </c>
      <c r="BR56" s="354" t="s">
        <v>94</v>
      </c>
      <c r="BS56" s="354">
        <v>63250612</v>
      </c>
      <c r="BT56" s="354" t="s">
        <v>95</v>
      </c>
      <c r="BU56" s="354" t="s">
        <v>112</v>
      </c>
      <c r="BV56" s="477"/>
    </row>
    <row r="57" spans="1:74" s="2" customFormat="1" ht="24.9" customHeight="1">
      <c r="A57" s="147" t="s">
        <v>85</v>
      </c>
      <c r="B57" s="356" t="s">
        <v>146</v>
      </c>
      <c r="C57" s="369"/>
      <c r="D57" s="356"/>
      <c r="E57" s="363">
        <v>46216</v>
      </c>
      <c r="F57" s="358">
        <v>2</v>
      </c>
      <c r="G57" s="358">
        <v>29</v>
      </c>
      <c r="H57" s="316" t="s">
        <v>88</v>
      </c>
      <c r="I57" s="316" t="s">
        <v>88</v>
      </c>
      <c r="J57" s="316" t="s">
        <v>88</v>
      </c>
      <c r="K57" s="316" t="s">
        <v>88</v>
      </c>
      <c r="L57" s="316" t="s">
        <v>88</v>
      </c>
      <c r="M57" s="316" t="s">
        <v>88</v>
      </c>
      <c r="N57" s="316" t="s">
        <v>88</v>
      </c>
      <c r="O57" s="316" t="s">
        <v>88</v>
      </c>
      <c r="P57" s="316" t="s">
        <v>88</v>
      </c>
      <c r="Q57" s="316" t="s">
        <v>88</v>
      </c>
      <c r="R57" s="316" t="s">
        <v>88</v>
      </c>
      <c r="S57" s="316" t="s">
        <v>88</v>
      </c>
      <c r="T57" s="316" t="s">
        <v>88</v>
      </c>
      <c r="U57" s="316" t="s">
        <v>88</v>
      </c>
      <c r="V57" s="316" t="s">
        <v>88</v>
      </c>
      <c r="W57" s="316" t="s">
        <v>88</v>
      </c>
      <c r="X57" s="316" t="s">
        <v>88</v>
      </c>
      <c r="Y57" s="316" t="s">
        <v>88</v>
      </c>
      <c r="Z57" s="316" t="s">
        <v>88</v>
      </c>
      <c r="AA57" s="316" t="s">
        <v>88</v>
      </c>
      <c r="AB57" s="316" t="s">
        <v>88</v>
      </c>
      <c r="AC57" s="316" t="s">
        <v>88</v>
      </c>
      <c r="AD57" s="316" t="s">
        <v>88</v>
      </c>
      <c r="AE57" s="316" t="s">
        <v>88</v>
      </c>
      <c r="AF57" s="316" t="s">
        <v>88</v>
      </c>
      <c r="AG57" s="316" t="s">
        <v>88</v>
      </c>
      <c r="AH57" s="316" t="s">
        <v>88</v>
      </c>
      <c r="AI57" s="316" t="s">
        <v>88</v>
      </c>
      <c r="AJ57" s="316" t="s">
        <v>88</v>
      </c>
      <c r="AK57" s="316" t="s">
        <v>88</v>
      </c>
      <c r="AL57" s="316" t="s">
        <v>88</v>
      </c>
      <c r="AM57" s="316" t="s">
        <v>88</v>
      </c>
      <c r="AN57" s="316" t="s">
        <v>88</v>
      </c>
      <c r="AO57" s="316" t="s">
        <v>88</v>
      </c>
      <c r="AP57" s="316" t="s">
        <v>88</v>
      </c>
      <c r="AQ57" s="316" t="s">
        <v>88</v>
      </c>
      <c r="AR57" s="316" t="s">
        <v>88</v>
      </c>
      <c r="AS57" s="316" t="s">
        <v>88</v>
      </c>
      <c r="AT57" s="316" t="s">
        <v>88</v>
      </c>
      <c r="AU57" s="316" t="s">
        <v>88</v>
      </c>
      <c r="AV57" s="316" t="s">
        <v>88</v>
      </c>
      <c r="AW57" s="316" t="s">
        <v>88</v>
      </c>
      <c r="AX57" s="316" t="s">
        <v>88</v>
      </c>
      <c r="AY57" s="316" t="s">
        <v>88</v>
      </c>
      <c r="AZ57" s="371">
        <v>76.37</v>
      </c>
      <c r="BA57" s="371">
        <v>46.42</v>
      </c>
      <c r="BB57" s="371">
        <v>71.81</v>
      </c>
      <c r="BC57" s="371" t="s">
        <v>147</v>
      </c>
      <c r="BD57" s="316" t="s">
        <v>88</v>
      </c>
      <c r="BE57" s="316" t="s">
        <v>88</v>
      </c>
      <c r="BF57" s="371">
        <v>105.16</v>
      </c>
      <c r="BG57" s="371">
        <v>34.46</v>
      </c>
      <c r="BH57" s="371">
        <v>40.81</v>
      </c>
      <c r="BI57" s="371">
        <v>25.11</v>
      </c>
      <c r="BJ57" s="316" t="s">
        <v>88</v>
      </c>
      <c r="BK57" s="316" t="s">
        <v>88</v>
      </c>
      <c r="BL57" s="354" t="s">
        <v>89</v>
      </c>
      <c r="BM57" s="364" t="s">
        <v>122</v>
      </c>
      <c r="BN57" s="354" t="s">
        <v>91</v>
      </c>
      <c r="BO57" s="354">
        <v>225876</v>
      </c>
      <c r="BP57" s="354" t="s">
        <v>92</v>
      </c>
      <c r="BQ57" s="354" t="s">
        <v>93</v>
      </c>
      <c r="BR57" s="354" t="s">
        <v>94</v>
      </c>
      <c r="BS57" s="354">
        <v>63250612</v>
      </c>
      <c r="BT57" s="354" t="s">
        <v>95</v>
      </c>
      <c r="BU57" s="354" t="s">
        <v>112</v>
      </c>
      <c r="BV57" s="477"/>
    </row>
    <row r="58" spans="1:74" s="2" customFormat="1" ht="24.9" customHeight="1">
      <c r="A58" s="147" t="s">
        <v>85</v>
      </c>
      <c r="B58" s="356" t="s">
        <v>148</v>
      </c>
      <c r="C58" s="369"/>
      <c r="D58" s="356"/>
      <c r="E58" s="363">
        <v>46216</v>
      </c>
      <c r="F58" s="358">
        <v>3</v>
      </c>
      <c r="G58" s="358">
        <v>29</v>
      </c>
      <c r="H58" s="512" t="s">
        <v>101</v>
      </c>
      <c r="I58" s="316" t="s">
        <v>88</v>
      </c>
      <c r="J58" s="316" t="s">
        <v>88</v>
      </c>
      <c r="K58" s="316" t="s">
        <v>88</v>
      </c>
      <c r="L58" s="316" t="s">
        <v>88</v>
      </c>
      <c r="M58" s="316" t="s">
        <v>88</v>
      </c>
      <c r="N58" s="316" t="s">
        <v>88</v>
      </c>
      <c r="O58" s="316" t="s">
        <v>88</v>
      </c>
      <c r="P58" s="316" t="s">
        <v>88</v>
      </c>
      <c r="Q58" s="371">
        <v>-0.61</v>
      </c>
      <c r="R58" s="316" t="s">
        <v>88</v>
      </c>
      <c r="S58" s="316" t="s">
        <v>88</v>
      </c>
      <c r="T58" s="316" t="s">
        <v>88</v>
      </c>
      <c r="U58" s="316" t="s">
        <v>88</v>
      </c>
      <c r="V58" s="316" t="s">
        <v>88</v>
      </c>
      <c r="W58" s="316" t="s">
        <v>88</v>
      </c>
      <c r="X58" s="316" t="s">
        <v>88</v>
      </c>
      <c r="Y58" s="316" t="s">
        <v>88</v>
      </c>
      <c r="Z58" s="316" t="s">
        <v>88</v>
      </c>
      <c r="AA58" s="316" t="s">
        <v>88</v>
      </c>
      <c r="AB58" s="316" t="s">
        <v>88</v>
      </c>
      <c r="AC58" s="316" t="s">
        <v>88</v>
      </c>
      <c r="AD58" s="316" t="s">
        <v>88</v>
      </c>
      <c r="AE58" s="316" t="s">
        <v>88</v>
      </c>
      <c r="AF58" s="316" t="s">
        <v>88</v>
      </c>
      <c r="AG58" s="371">
        <v>8.85</v>
      </c>
      <c r="AH58" s="316" t="s">
        <v>88</v>
      </c>
      <c r="AI58" s="316" t="s">
        <v>88</v>
      </c>
      <c r="AJ58" s="316" t="s">
        <v>88</v>
      </c>
      <c r="AK58" s="316" t="s">
        <v>88</v>
      </c>
      <c r="AL58" s="316" t="s">
        <v>88</v>
      </c>
      <c r="AM58" s="316" t="s">
        <v>88</v>
      </c>
      <c r="AN58" s="316" t="s">
        <v>88</v>
      </c>
      <c r="AO58" s="316" t="s">
        <v>88</v>
      </c>
      <c r="AP58" s="316" t="s">
        <v>88</v>
      </c>
      <c r="AQ58" s="316" t="s">
        <v>88</v>
      </c>
      <c r="AR58" s="316" t="s">
        <v>88</v>
      </c>
      <c r="AS58" s="316" t="s">
        <v>88</v>
      </c>
      <c r="AT58" s="316" t="s">
        <v>88</v>
      </c>
      <c r="AU58" s="316" t="s">
        <v>88</v>
      </c>
      <c r="AV58" s="316" t="s">
        <v>88</v>
      </c>
      <c r="AW58" s="316" t="s">
        <v>88</v>
      </c>
      <c r="AX58" s="316" t="s">
        <v>88</v>
      </c>
      <c r="AY58" s="316" t="s">
        <v>88</v>
      </c>
      <c r="AZ58" s="316" t="s">
        <v>88</v>
      </c>
      <c r="BA58" s="316" t="s">
        <v>88</v>
      </c>
      <c r="BB58" s="316" t="s">
        <v>88</v>
      </c>
      <c r="BC58" s="316" t="s">
        <v>88</v>
      </c>
      <c r="BD58" s="316" t="s">
        <v>88</v>
      </c>
      <c r="BE58" s="316" t="s">
        <v>88</v>
      </c>
      <c r="BF58" s="316" t="s">
        <v>88</v>
      </c>
      <c r="BG58" s="316" t="s">
        <v>88</v>
      </c>
      <c r="BH58" s="316" t="s">
        <v>88</v>
      </c>
      <c r="BI58" s="316" t="s">
        <v>88</v>
      </c>
      <c r="BJ58" s="316" t="s">
        <v>88</v>
      </c>
      <c r="BK58" s="316" t="s">
        <v>88</v>
      </c>
      <c r="BL58" s="354" t="s">
        <v>89</v>
      </c>
      <c r="BM58" s="364" t="s">
        <v>122</v>
      </c>
      <c r="BN58" s="354" t="s">
        <v>91</v>
      </c>
      <c r="BO58" s="354">
        <v>225876</v>
      </c>
      <c r="BP58" s="354" t="s">
        <v>92</v>
      </c>
      <c r="BQ58" s="354" t="s">
        <v>93</v>
      </c>
      <c r="BR58" s="354" t="s">
        <v>94</v>
      </c>
      <c r="BS58" s="354">
        <v>63250612</v>
      </c>
      <c r="BT58" s="354" t="s">
        <v>95</v>
      </c>
      <c r="BU58" s="354" t="s">
        <v>112</v>
      </c>
      <c r="BV58" s="477"/>
    </row>
    <row r="59" spans="1:74" s="2" customFormat="1" ht="24.9" customHeight="1">
      <c r="A59" s="147" t="s">
        <v>85</v>
      </c>
      <c r="B59" s="356" t="s">
        <v>149</v>
      </c>
      <c r="C59" s="369"/>
      <c r="D59" s="356"/>
      <c r="E59" s="363">
        <v>46216</v>
      </c>
      <c r="F59" s="358">
        <v>3</v>
      </c>
      <c r="G59" s="358">
        <v>29</v>
      </c>
      <c r="H59" s="316" t="s">
        <v>88</v>
      </c>
      <c r="I59" s="371">
        <v>293</v>
      </c>
      <c r="J59" s="371">
        <v>388</v>
      </c>
      <c r="K59" s="371">
        <v>349</v>
      </c>
      <c r="L59" s="371">
        <v>224</v>
      </c>
      <c r="M59" s="371">
        <v>392</v>
      </c>
      <c r="N59" s="371">
        <v>318</v>
      </c>
      <c r="O59" s="316" t="s">
        <v>88</v>
      </c>
      <c r="P59" s="316" t="s">
        <v>88</v>
      </c>
      <c r="Q59" s="316" t="s">
        <v>88</v>
      </c>
      <c r="R59" s="316" t="s">
        <v>88</v>
      </c>
      <c r="S59" s="316" t="s">
        <v>88</v>
      </c>
      <c r="T59" s="316" t="s">
        <v>88</v>
      </c>
      <c r="U59" s="316" t="s">
        <v>88</v>
      </c>
      <c r="V59" s="316" t="s">
        <v>88</v>
      </c>
      <c r="W59" s="316" t="s">
        <v>88</v>
      </c>
      <c r="X59" s="316" t="s">
        <v>88</v>
      </c>
      <c r="Y59" s="316" t="s">
        <v>88</v>
      </c>
      <c r="Z59" s="316" t="s">
        <v>88</v>
      </c>
      <c r="AA59" s="316" t="s">
        <v>88</v>
      </c>
      <c r="AB59" s="316" t="s">
        <v>88</v>
      </c>
      <c r="AC59" s="316" t="s">
        <v>88</v>
      </c>
      <c r="AD59" s="316" t="s">
        <v>88</v>
      </c>
      <c r="AE59" s="316" t="s">
        <v>88</v>
      </c>
      <c r="AF59" s="316" t="s">
        <v>88</v>
      </c>
      <c r="AG59" s="316" t="s">
        <v>88</v>
      </c>
      <c r="AH59" s="316" t="s">
        <v>88</v>
      </c>
      <c r="AI59" s="316" t="s">
        <v>88</v>
      </c>
      <c r="AJ59" s="316" t="s">
        <v>88</v>
      </c>
      <c r="AK59" s="316" t="s">
        <v>88</v>
      </c>
      <c r="AL59" s="316" t="s">
        <v>88</v>
      </c>
      <c r="AM59" s="316" t="s">
        <v>88</v>
      </c>
      <c r="AN59" s="316" t="s">
        <v>88</v>
      </c>
      <c r="AO59" s="316" t="s">
        <v>88</v>
      </c>
      <c r="AP59" s="316" t="s">
        <v>88</v>
      </c>
      <c r="AQ59" s="316" t="s">
        <v>88</v>
      </c>
      <c r="AR59" s="316" t="s">
        <v>88</v>
      </c>
      <c r="AS59" s="316" t="s">
        <v>88</v>
      </c>
      <c r="AT59" s="316" t="s">
        <v>88</v>
      </c>
      <c r="AU59" s="316" t="s">
        <v>88</v>
      </c>
      <c r="AV59" s="316" t="s">
        <v>88</v>
      </c>
      <c r="AW59" s="316" t="s">
        <v>88</v>
      </c>
      <c r="AX59" s="316" t="s">
        <v>88</v>
      </c>
      <c r="AY59" s="316" t="s">
        <v>88</v>
      </c>
      <c r="AZ59" s="316" t="s">
        <v>88</v>
      </c>
      <c r="BA59" s="316" t="s">
        <v>88</v>
      </c>
      <c r="BB59" s="316" t="s">
        <v>88</v>
      </c>
      <c r="BC59" s="316" t="s">
        <v>88</v>
      </c>
      <c r="BD59" s="316" t="s">
        <v>88</v>
      </c>
      <c r="BE59" s="316" t="s">
        <v>88</v>
      </c>
      <c r="BF59" s="316" t="s">
        <v>88</v>
      </c>
      <c r="BG59" s="316" t="s">
        <v>88</v>
      </c>
      <c r="BH59" s="316" t="s">
        <v>88</v>
      </c>
      <c r="BI59" s="316" t="s">
        <v>88</v>
      </c>
      <c r="BJ59" s="316" t="s">
        <v>88</v>
      </c>
      <c r="BK59" s="316" t="s">
        <v>88</v>
      </c>
      <c r="BL59" s="354" t="s">
        <v>89</v>
      </c>
      <c r="BM59" s="364" t="s">
        <v>122</v>
      </c>
      <c r="BN59" s="354" t="s">
        <v>91</v>
      </c>
      <c r="BO59" s="354">
        <v>225876</v>
      </c>
      <c r="BP59" s="354" t="s">
        <v>92</v>
      </c>
      <c r="BQ59" s="354" t="s">
        <v>93</v>
      </c>
      <c r="BR59" s="354" t="s">
        <v>94</v>
      </c>
      <c r="BS59" s="354">
        <v>63250612</v>
      </c>
      <c r="BT59" s="354" t="s">
        <v>95</v>
      </c>
      <c r="BU59" s="354" t="s">
        <v>112</v>
      </c>
      <c r="BV59" s="477"/>
    </row>
    <row r="60" spans="1:74" s="2" customFormat="1" ht="24.9" customHeight="1">
      <c r="A60" s="147" t="s">
        <v>85</v>
      </c>
      <c r="B60" s="356" t="s">
        <v>150</v>
      </c>
      <c r="C60" s="369"/>
      <c r="D60" s="356"/>
      <c r="E60" s="363">
        <v>46216</v>
      </c>
      <c r="F60" s="358">
        <v>3</v>
      </c>
      <c r="G60" s="358">
        <v>29</v>
      </c>
      <c r="H60" s="316" t="s">
        <v>88</v>
      </c>
      <c r="I60" s="316" t="s">
        <v>88</v>
      </c>
      <c r="J60" s="316" t="s">
        <v>88</v>
      </c>
      <c r="K60" s="316" t="s">
        <v>88</v>
      </c>
      <c r="L60" s="316" t="s">
        <v>88</v>
      </c>
      <c r="M60" s="316" t="s">
        <v>88</v>
      </c>
      <c r="N60" s="316" t="s">
        <v>88</v>
      </c>
      <c r="O60" s="316" t="s">
        <v>88</v>
      </c>
      <c r="P60" s="316" t="s">
        <v>88</v>
      </c>
      <c r="Q60" s="316" t="s">
        <v>88</v>
      </c>
      <c r="R60" s="316" t="s">
        <v>88</v>
      </c>
      <c r="S60" s="316" t="s">
        <v>88</v>
      </c>
      <c r="T60" s="316" t="s">
        <v>88</v>
      </c>
      <c r="U60" s="316" t="s">
        <v>88</v>
      </c>
      <c r="V60" s="316" t="s">
        <v>88</v>
      </c>
      <c r="W60" s="316" t="s">
        <v>88</v>
      </c>
      <c r="X60" s="316" t="s">
        <v>88</v>
      </c>
      <c r="Y60" s="316" t="s">
        <v>88</v>
      </c>
      <c r="Z60" s="316" t="s">
        <v>88</v>
      </c>
      <c r="AA60" s="316" t="s">
        <v>88</v>
      </c>
      <c r="AB60" s="316" t="s">
        <v>88</v>
      </c>
      <c r="AC60" s="371">
        <v>2.5299999999999998</v>
      </c>
      <c r="AD60" s="371">
        <v>2.48</v>
      </c>
      <c r="AE60" s="371">
        <v>2.4300000000000002</v>
      </c>
      <c r="AF60" s="371">
        <f>AVERAGE(AC60:AE60)</f>
        <v>2.48</v>
      </c>
      <c r="AG60" s="316" t="s">
        <v>88</v>
      </c>
      <c r="AH60" s="372" t="s">
        <v>99</v>
      </c>
      <c r="AI60" s="372" t="s">
        <v>99</v>
      </c>
      <c r="AJ60" s="372" t="s">
        <v>99</v>
      </c>
      <c r="AK60" s="372" t="s">
        <v>99</v>
      </c>
      <c r="AL60" s="372" t="s">
        <v>99</v>
      </c>
      <c r="AM60" s="372" t="s">
        <v>99</v>
      </c>
      <c r="AN60" s="316" t="s">
        <v>88</v>
      </c>
      <c r="AO60" s="316" t="s">
        <v>88</v>
      </c>
      <c r="AP60" s="316" t="s">
        <v>88</v>
      </c>
      <c r="AQ60" s="316" t="s">
        <v>88</v>
      </c>
      <c r="AR60" s="316" t="s">
        <v>88</v>
      </c>
      <c r="AS60" s="316" t="s">
        <v>88</v>
      </c>
      <c r="AT60" s="316" t="s">
        <v>88</v>
      </c>
      <c r="AU60" s="316" t="s">
        <v>88</v>
      </c>
      <c r="AV60" s="316" t="s">
        <v>88</v>
      </c>
      <c r="AW60" s="316" t="s">
        <v>88</v>
      </c>
      <c r="AX60" s="316" t="s">
        <v>88</v>
      </c>
      <c r="AY60" s="316" t="s">
        <v>88</v>
      </c>
      <c r="AZ60" s="316" t="s">
        <v>88</v>
      </c>
      <c r="BA60" s="316" t="s">
        <v>88</v>
      </c>
      <c r="BB60" s="316" t="s">
        <v>88</v>
      </c>
      <c r="BC60" s="316" t="s">
        <v>88</v>
      </c>
      <c r="BD60" s="316" t="s">
        <v>88</v>
      </c>
      <c r="BE60" s="316" t="s">
        <v>88</v>
      </c>
      <c r="BF60" s="316" t="s">
        <v>88</v>
      </c>
      <c r="BG60" s="316" t="s">
        <v>88</v>
      </c>
      <c r="BH60" s="316" t="s">
        <v>88</v>
      </c>
      <c r="BI60" s="316" t="s">
        <v>88</v>
      </c>
      <c r="BJ60" s="316" t="s">
        <v>88</v>
      </c>
      <c r="BK60" s="316" t="s">
        <v>88</v>
      </c>
      <c r="BL60" s="354" t="s">
        <v>89</v>
      </c>
      <c r="BM60" s="364" t="s">
        <v>122</v>
      </c>
      <c r="BN60" s="354" t="s">
        <v>91</v>
      </c>
      <c r="BO60" s="354">
        <v>225876</v>
      </c>
      <c r="BP60" s="354" t="s">
        <v>92</v>
      </c>
      <c r="BQ60" s="354" t="s">
        <v>93</v>
      </c>
      <c r="BR60" s="354" t="s">
        <v>94</v>
      </c>
      <c r="BS60" s="354">
        <v>63250612</v>
      </c>
      <c r="BT60" s="354" t="s">
        <v>95</v>
      </c>
      <c r="BU60" s="354" t="s">
        <v>112</v>
      </c>
      <c r="BV60" s="477"/>
    </row>
    <row r="61" spans="1:74" s="2" customFormat="1" ht="24.9" customHeight="1">
      <c r="A61" s="147" t="s">
        <v>85</v>
      </c>
      <c r="B61" s="356" t="s">
        <v>151</v>
      </c>
      <c r="C61" s="369"/>
      <c r="D61" s="356"/>
      <c r="E61" s="363">
        <v>46216</v>
      </c>
      <c r="F61" s="358">
        <v>3</v>
      </c>
      <c r="G61" s="358">
        <v>29</v>
      </c>
      <c r="H61" s="316" t="s">
        <v>88</v>
      </c>
      <c r="I61" s="316" t="s">
        <v>88</v>
      </c>
      <c r="J61" s="316" t="s">
        <v>88</v>
      </c>
      <c r="K61" s="316" t="s">
        <v>88</v>
      </c>
      <c r="L61" s="316" t="s">
        <v>88</v>
      </c>
      <c r="M61" s="316" t="s">
        <v>88</v>
      </c>
      <c r="N61" s="316" t="s">
        <v>88</v>
      </c>
      <c r="O61" s="316" t="s">
        <v>88</v>
      </c>
      <c r="P61" s="316" t="s">
        <v>88</v>
      </c>
      <c r="Q61" s="316" t="s">
        <v>88</v>
      </c>
      <c r="R61" s="316" t="s">
        <v>88</v>
      </c>
      <c r="S61" s="316" t="s">
        <v>88</v>
      </c>
      <c r="T61" s="316" t="s">
        <v>88</v>
      </c>
      <c r="U61" s="316" t="s">
        <v>88</v>
      </c>
      <c r="V61" s="316" t="s">
        <v>88</v>
      </c>
      <c r="W61" s="316" t="s">
        <v>88</v>
      </c>
      <c r="X61" s="316" t="s">
        <v>88</v>
      </c>
      <c r="Y61" s="316" t="s">
        <v>88</v>
      </c>
      <c r="Z61" s="316" t="s">
        <v>88</v>
      </c>
      <c r="AA61" s="316" t="s">
        <v>88</v>
      </c>
      <c r="AB61" s="316" t="s">
        <v>88</v>
      </c>
      <c r="AC61" s="316" t="s">
        <v>88</v>
      </c>
      <c r="AD61" s="316" t="s">
        <v>88</v>
      </c>
      <c r="AE61" s="316" t="s">
        <v>88</v>
      </c>
      <c r="AF61" s="316" t="s">
        <v>88</v>
      </c>
      <c r="AG61" s="316" t="s">
        <v>88</v>
      </c>
      <c r="AH61" s="316" t="s">
        <v>88</v>
      </c>
      <c r="AI61" s="316" t="s">
        <v>88</v>
      </c>
      <c r="AJ61" s="316" t="s">
        <v>88</v>
      </c>
      <c r="AK61" s="316" t="s">
        <v>88</v>
      </c>
      <c r="AL61" s="316" t="s">
        <v>88</v>
      </c>
      <c r="AM61" s="316" t="s">
        <v>88</v>
      </c>
      <c r="AN61" s="316" t="s">
        <v>88</v>
      </c>
      <c r="AO61" s="316" t="s">
        <v>88</v>
      </c>
      <c r="AP61" s="316" t="s">
        <v>88</v>
      </c>
      <c r="AQ61" s="316" t="s">
        <v>88</v>
      </c>
      <c r="AR61" s="316" t="s">
        <v>88</v>
      </c>
      <c r="AS61" s="316" t="s">
        <v>88</v>
      </c>
      <c r="AT61" s="316" t="s">
        <v>88</v>
      </c>
      <c r="AU61" s="316" t="s">
        <v>88</v>
      </c>
      <c r="AV61" s="316" t="s">
        <v>88</v>
      </c>
      <c r="AW61" s="316" t="s">
        <v>88</v>
      </c>
      <c r="AX61" s="316" t="s">
        <v>88</v>
      </c>
      <c r="AY61" s="316" t="s">
        <v>88</v>
      </c>
      <c r="AZ61" s="371">
        <v>118.51</v>
      </c>
      <c r="BA61" s="371">
        <v>96.72</v>
      </c>
      <c r="BB61" s="371">
        <v>46.5</v>
      </c>
      <c r="BC61" s="371">
        <v>37.950000000000003</v>
      </c>
      <c r="BD61" s="316" t="s">
        <v>88</v>
      </c>
      <c r="BE61" s="316" t="s">
        <v>88</v>
      </c>
      <c r="BF61" s="371">
        <v>96.53</v>
      </c>
      <c r="BG61" s="371">
        <v>37.229999999999997</v>
      </c>
      <c r="BH61" s="371">
        <v>34.14</v>
      </c>
      <c r="BI61" s="371">
        <v>12.56</v>
      </c>
      <c r="BJ61" s="316" t="s">
        <v>88</v>
      </c>
      <c r="BK61" s="316" t="s">
        <v>88</v>
      </c>
      <c r="BL61" s="354" t="s">
        <v>89</v>
      </c>
      <c r="BM61" s="364" t="s">
        <v>122</v>
      </c>
      <c r="BN61" s="354" t="s">
        <v>91</v>
      </c>
      <c r="BO61" s="354">
        <v>225876</v>
      </c>
      <c r="BP61" s="354" t="s">
        <v>92</v>
      </c>
      <c r="BQ61" s="354" t="s">
        <v>93</v>
      </c>
      <c r="BR61" s="354" t="s">
        <v>94</v>
      </c>
      <c r="BS61" s="354">
        <v>63250612</v>
      </c>
      <c r="BT61" s="354" t="s">
        <v>95</v>
      </c>
      <c r="BU61" s="354" t="s">
        <v>112</v>
      </c>
      <c r="BV61" s="477"/>
    </row>
    <row r="62" spans="1:74" s="2" customFormat="1" ht="24.9" customHeight="1">
      <c r="A62" s="147" t="s">
        <v>85</v>
      </c>
      <c r="B62" s="356" t="s">
        <v>152</v>
      </c>
      <c r="C62" s="514" t="s">
        <v>88</v>
      </c>
      <c r="D62" s="356"/>
      <c r="E62" s="363">
        <v>46217</v>
      </c>
      <c r="F62" s="358">
        <v>1</v>
      </c>
      <c r="G62" s="358">
        <v>29</v>
      </c>
      <c r="H62" s="316" t="s">
        <v>88</v>
      </c>
      <c r="I62" s="371" t="s">
        <v>88</v>
      </c>
      <c r="J62" s="371" t="s">
        <v>88</v>
      </c>
      <c r="K62" s="371" t="s">
        <v>88</v>
      </c>
      <c r="L62" s="538">
        <v>158</v>
      </c>
      <c r="M62" s="371">
        <v>258</v>
      </c>
      <c r="N62" s="371" t="s">
        <v>88</v>
      </c>
      <c r="O62" s="316" t="s">
        <v>88</v>
      </c>
      <c r="P62" s="316" t="s">
        <v>88</v>
      </c>
      <c r="Q62" s="316" t="s">
        <v>88</v>
      </c>
      <c r="R62" s="316" t="s">
        <v>88</v>
      </c>
      <c r="S62" s="316" t="s">
        <v>88</v>
      </c>
      <c r="T62" s="316" t="s">
        <v>88</v>
      </c>
      <c r="U62" s="316" t="s">
        <v>88</v>
      </c>
      <c r="V62" s="316" t="s">
        <v>88</v>
      </c>
      <c r="W62" s="316" t="s">
        <v>88</v>
      </c>
      <c r="X62" s="316" t="s">
        <v>88</v>
      </c>
      <c r="Y62" s="316" t="s">
        <v>88</v>
      </c>
      <c r="Z62" s="316" t="s">
        <v>88</v>
      </c>
      <c r="AA62" s="316" t="s">
        <v>88</v>
      </c>
      <c r="AB62" s="316" t="s">
        <v>88</v>
      </c>
      <c r="AC62" s="316" t="s">
        <v>88</v>
      </c>
      <c r="AD62" s="316" t="s">
        <v>88</v>
      </c>
      <c r="AE62" s="316" t="s">
        <v>88</v>
      </c>
      <c r="AF62" s="316" t="s">
        <v>88</v>
      </c>
      <c r="AG62" s="316" t="s">
        <v>88</v>
      </c>
      <c r="AH62" s="316" t="s">
        <v>88</v>
      </c>
      <c r="AI62" s="316" t="s">
        <v>88</v>
      </c>
      <c r="AJ62" s="316" t="s">
        <v>88</v>
      </c>
      <c r="AK62" s="316" t="s">
        <v>88</v>
      </c>
      <c r="AL62" s="316" t="s">
        <v>88</v>
      </c>
      <c r="AM62" s="316" t="s">
        <v>88</v>
      </c>
      <c r="AN62" s="316" t="s">
        <v>88</v>
      </c>
      <c r="AO62" s="316" t="s">
        <v>88</v>
      </c>
      <c r="AP62" s="316" t="s">
        <v>88</v>
      </c>
      <c r="AQ62" s="316" t="s">
        <v>88</v>
      </c>
      <c r="AR62" s="316" t="s">
        <v>88</v>
      </c>
      <c r="AS62" s="316" t="s">
        <v>88</v>
      </c>
      <c r="AT62" s="316" t="s">
        <v>88</v>
      </c>
      <c r="AU62" s="316" t="s">
        <v>88</v>
      </c>
      <c r="AV62" s="316" t="s">
        <v>88</v>
      </c>
      <c r="AW62" s="316" t="s">
        <v>88</v>
      </c>
      <c r="AX62" s="316" t="s">
        <v>88</v>
      </c>
      <c r="AY62" s="316" t="s">
        <v>88</v>
      </c>
      <c r="AZ62" s="316" t="s">
        <v>88</v>
      </c>
      <c r="BA62" s="316" t="s">
        <v>88</v>
      </c>
      <c r="BB62" s="316" t="s">
        <v>88</v>
      </c>
      <c r="BC62" s="316" t="s">
        <v>88</v>
      </c>
      <c r="BD62" s="316" t="s">
        <v>88</v>
      </c>
      <c r="BE62" s="316" t="s">
        <v>88</v>
      </c>
      <c r="BF62" s="316" t="s">
        <v>88</v>
      </c>
      <c r="BG62" s="316" t="s">
        <v>88</v>
      </c>
      <c r="BH62" s="316" t="s">
        <v>88</v>
      </c>
      <c r="BI62" s="316" t="s">
        <v>88</v>
      </c>
      <c r="BJ62" s="316" t="s">
        <v>88</v>
      </c>
      <c r="BK62" s="316" t="s">
        <v>88</v>
      </c>
      <c r="BL62" s="354" t="s">
        <v>89</v>
      </c>
      <c r="BM62" s="364" t="s">
        <v>122</v>
      </c>
      <c r="BN62" s="354" t="s">
        <v>91</v>
      </c>
      <c r="BO62" s="354">
        <v>225876</v>
      </c>
      <c r="BP62" s="354" t="s">
        <v>92</v>
      </c>
      <c r="BQ62" s="354" t="s">
        <v>93</v>
      </c>
      <c r="BR62" s="354" t="s">
        <v>94</v>
      </c>
      <c r="BS62" s="354">
        <v>63250612</v>
      </c>
      <c r="BT62" s="354" t="s">
        <v>95</v>
      </c>
      <c r="BU62" s="354" t="s">
        <v>112</v>
      </c>
      <c r="BV62" s="477"/>
    </row>
    <row r="63" spans="1:74" s="2" customFormat="1" ht="24.9" customHeight="1">
      <c r="A63" s="147" t="s">
        <v>85</v>
      </c>
      <c r="B63" s="356" t="s">
        <v>153</v>
      </c>
      <c r="C63" s="369"/>
      <c r="D63" s="356"/>
      <c r="E63" s="363">
        <v>46217</v>
      </c>
      <c r="F63" s="358">
        <v>1</v>
      </c>
      <c r="G63" s="358">
        <v>29</v>
      </c>
      <c r="H63" s="512" t="s">
        <v>101</v>
      </c>
      <c r="I63" s="510">
        <v>331</v>
      </c>
      <c r="J63" s="371">
        <v>403</v>
      </c>
      <c r="K63" s="371">
        <v>373.08</v>
      </c>
      <c r="L63" s="371">
        <v>250</v>
      </c>
      <c r="M63" s="371">
        <v>342.9</v>
      </c>
      <c r="N63" s="371">
        <v>297.83</v>
      </c>
      <c r="O63" s="316" t="s">
        <v>88</v>
      </c>
      <c r="P63" s="316" t="s">
        <v>88</v>
      </c>
      <c r="Q63" s="371">
        <v>-1.21</v>
      </c>
      <c r="R63" s="316" t="s">
        <v>88</v>
      </c>
      <c r="S63" s="316" t="s">
        <v>88</v>
      </c>
      <c r="T63" s="316" t="s">
        <v>88</v>
      </c>
      <c r="U63" s="316" t="s">
        <v>88</v>
      </c>
      <c r="V63" s="316" t="s">
        <v>88</v>
      </c>
      <c r="W63" s="316" t="s">
        <v>88</v>
      </c>
      <c r="X63" s="316" t="s">
        <v>88</v>
      </c>
      <c r="Y63" s="316" t="s">
        <v>88</v>
      </c>
      <c r="Z63" s="316" t="s">
        <v>88</v>
      </c>
      <c r="AA63" s="316" t="s">
        <v>88</v>
      </c>
      <c r="AB63" s="316" t="s">
        <v>88</v>
      </c>
      <c r="AC63" s="316" t="s">
        <v>88</v>
      </c>
      <c r="AD63" s="316" t="s">
        <v>88</v>
      </c>
      <c r="AE63" s="316" t="s">
        <v>88</v>
      </c>
      <c r="AF63" s="316" t="s">
        <v>88</v>
      </c>
      <c r="AG63" s="371">
        <v>1.99</v>
      </c>
      <c r="AH63" s="316" t="s">
        <v>88</v>
      </c>
      <c r="AI63" s="316" t="s">
        <v>88</v>
      </c>
      <c r="AJ63" s="316" t="s">
        <v>88</v>
      </c>
      <c r="AK63" s="316" t="s">
        <v>88</v>
      </c>
      <c r="AL63" s="316" t="s">
        <v>88</v>
      </c>
      <c r="AM63" s="316" t="s">
        <v>88</v>
      </c>
      <c r="AN63" s="316" t="s">
        <v>88</v>
      </c>
      <c r="AO63" s="316" t="s">
        <v>88</v>
      </c>
      <c r="AP63" s="316" t="s">
        <v>88</v>
      </c>
      <c r="AQ63" s="316" t="s">
        <v>88</v>
      </c>
      <c r="AR63" s="316" t="s">
        <v>88</v>
      </c>
      <c r="AS63" s="316" t="s">
        <v>88</v>
      </c>
      <c r="AT63" s="316" t="s">
        <v>88</v>
      </c>
      <c r="AU63" s="316" t="s">
        <v>88</v>
      </c>
      <c r="AV63" s="316" t="s">
        <v>88</v>
      </c>
      <c r="AW63" s="316" t="s">
        <v>88</v>
      </c>
      <c r="AX63" s="316" t="s">
        <v>88</v>
      </c>
      <c r="AY63" s="316" t="s">
        <v>88</v>
      </c>
      <c r="AZ63" s="316" t="s">
        <v>88</v>
      </c>
      <c r="BA63" s="316" t="s">
        <v>88</v>
      </c>
      <c r="BB63" s="316" t="s">
        <v>88</v>
      </c>
      <c r="BC63" s="316" t="s">
        <v>88</v>
      </c>
      <c r="BD63" s="316" t="s">
        <v>88</v>
      </c>
      <c r="BE63" s="316" t="s">
        <v>88</v>
      </c>
      <c r="BF63" s="316" t="s">
        <v>88</v>
      </c>
      <c r="BG63" s="316" t="s">
        <v>88</v>
      </c>
      <c r="BH63" s="316" t="s">
        <v>88</v>
      </c>
      <c r="BI63" s="316" t="s">
        <v>88</v>
      </c>
      <c r="BJ63" s="316" t="s">
        <v>88</v>
      </c>
      <c r="BK63" s="316" t="s">
        <v>88</v>
      </c>
      <c r="BL63" s="354" t="s">
        <v>89</v>
      </c>
      <c r="BM63" s="364" t="s">
        <v>122</v>
      </c>
      <c r="BN63" s="354" t="s">
        <v>91</v>
      </c>
      <c r="BO63" s="354">
        <v>225876</v>
      </c>
      <c r="BP63" s="354" t="s">
        <v>92</v>
      </c>
      <c r="BQ63" s="354" t="s">
        <v>93</v>
      </c>
      <c r="BR63" s="354" t="s">
        <v>94</v>
      </c>
      <c r="BS63" s="354">
        <v>63250612</v>
      </c>
      <c r="BT63" s="354" t="s">
        <v>95</v>
      </c>
      <c r="BU63" s="354" t="s">
        <v>112</v>
      </c>
      <c r="BV63" s="477"/>
    </row>
    <row r="64" spans="1:74" s="2" customFormat="1" ht="24.9" customHeight="1">
      <c r="A64" s="147" t="s">
        <v>85</v>
      </c>
      <c r="B64" s="356" t="s">
        <v>154</v>
      </c>
      <c r="C64" s="369"/>
      <c r="D64" s="356"/>
      <c r="E64" s="363">
        <v>46217</v>
      </c>
      <c r="F64" s="358">
        <v>1</v>
      </c>
      <c r="G64" s="358">
        <v>29</v>
      </c>
      <c r="H64" s="316" t="s">
        <v>88</v>
      </c>
      <c r="I64" s="316" t="s">
        <v>88</v>
      </c>
      <c r="J64" s="316" t="s">
        <v>88</v>
      </c>
      <c r="K64" s="316" t="s">
        <v>88</v>
      </c>
      <c r="L64" s="316" t="s">
        <v>88</v>
      </c>
      <c r="M64" s="316" t="s">
        <v>88</v>
      </c>
      <c r="N64" s="316" t="s">
        <v>88</v>
      </c>
      <c r="O64" s="316" t="s">
        <v>88</v>
      </c>
      <c r="P64" s="316" t="s">
        <v>88</v>
      </c>
      <c r="Q64" s="316" t="s">
        <v>88</v>
      </c>
      <c r="R64" s="316" t="s">
        <v>88</v>
      </c>
      <c r="S64" s="316" t="s">
        <v>88</v>
      </c>
      <c r="T64" s="316" t="s">
        <v>88</v>
      </c>
      <c r="U64" s="316" t="s">
        <v>88</v>
      </c>
      <c r="V64" s="316" t="s">
        <v>88</v>
      </c>
      <c r="W64" s="316" t="s">
        <v>88</v>
      </c>
      <c r="X64" s="316" t="s">
        <v>88</v>
      </c>
      <c r="Y64" s="316" t="s">
        <v>88</v>
      </c>
      <c r="Z64" s="316" t="s">
        <v>88</v>
      </c>
      <c r="AA64" s="316" t="s">
        <v>88</v>
      </c>
      <c r="AB64" s="316" t="s">
        <v>88</v>
      </c>
      <c r="AC64" s="316" t="s">
        <v>88</v>
      </c>
      <c r="AD64" s="316" t="s">
        <v>88</v>
      </c>
      <c r="AE64" s="316" t="s">
        <v>88</v>
      </c>
      <c r="AF64" s="316" t="s">
        <v>88</v>
      </c>
      <c r="AG64" s="316" t="s">
        <v>88</v>
      </c>
      <c r="AH64" s="316" t="s">
        <v>88</v>
      </c>
      <c r="AI64" s="316" t="s">
        <v>88</v>
      </c>
      <c r="AJ64" s="316" t="s">
        <v>88</v>
      </c>
      <c r="AK64" s="316" t="s">
        <v>88</v>
      </c>
      <c r="AL64" s="316" t="s">
        <v>88</v>
      </c>
      <c r="AM64" s="316" t="s">
        <v>88</v>
      </c>
      <c r="AN64" s="316" t="s">
        <v>88</v>
      </c>
      <c r="AO64" s="316" t="s">
        <v>88</v>
      </c>
      <c r="AP64" s="316" t="s">
        <v>88</v>
      </c>
      <c r="AQ64" s="316" t="s">
        <v>88</v>
      </c>
      <c r="AR64" s="316" t="s">
        <v>88</v>
      </c>
      <c r="AS64" s="316" t="s">
        <v>88</v>
      </c>
      <c r="AT64" s="316" t="s">
        <v>88</v>
      </c>
      <c r="AU64" s="316" t="s">
        <v>88</v>
      </c>
      <c r="AV64" s="316" t="s">
        <v>88</v>
      </c>
      <c r="AW64" s="316" t="s">
        <v>88</v>
      </c>
      <c r="AX64" s="316" t="s">
        <v>88</v>
      </c>
      <c r="AY64" s="316" t="s">
        <v>88</v>
      </c>
      <c r="AZ64" s="371">
        <v>98.39</v>
      </c>
      <c r="BA64" s="371">
        <v>40.32</v>
      </c>
      <c r="BB64" s="371">
        <v>61.61</v>
      </c>
      <c r="BC64" s="371">
        <v>30.21</v>
      </c>
      <c r="BD64" s="316" t="s">
        <v>88</v>
      </c>
      <c r="BE64" s="316" t="s">
        <v>88</v>
      </c>
      <c r="BF64" s="371">
        <v>62.58</v>
      </c>
      <c r="BG64" s="371">
        <v>37.69</v>
      </c>
      <c r="BH64" s="371">
        <v>52.58</v>
      </c>
      <c r="BI64" s="371">
        <v>31</v>
      </c>
      <c r="BJ64" s="316" t="s">
        <v>88</v>
      </c>
      <c r="BK64" s="316" t="s">
        <v>88</v>
      </c>
      <c r="BL64" s="354" t="s">
        <v>89</v>
      </c>
      <c r="BM64" s="364" t="s">
        <v>122</v>
      </c>
      <c r="BN64" s="354" t="s">
        <v>91</v>
      </c>
      <c r="BO64" s="354">
        <v>225876</v>
      </c>
      <c r="BP64" s="354" t="s">
        <v>92</v>
      </c>
      <c r="BQ64" s="354" t="s">
        <v>93</v>
      </c>
      <c r="BR64" s="354" t="s">
        <v>94</v>
      </c>
      <c r="BS64" s="354">
        <v>63250612</v>
      </c>
      <c r="BT64" s="354" t="s">
        <v>95</v>
      </c>
      <c r="BU64" s="354" t="s">
        <v>112</v>
      </c>
      <c r="BV64" s="477"/>
    </row>
    <row r="65" spans="1:74" s="2" customFormat="1" ht="24.9" customHeight="1">
      <c r="A65" s="147" t="s">
        <v>85</v>
      </c>
      <c r="B65" s="356" t="s">
        <v>155</v>
      </c>
      <c r="C65" s="369"/>
      <c r="D65" s="356"/>
      <c r="E65" s="363">
        <v>46217</v>
      </c>
      <c r="F65" s="358">
        <v>2</v>
      </c>
      <c r="G65" s="358">
        <v>29</v>
      </c>
      <c r="H65" s="512" t="s">
        <v>101</v>
      </c>
      <c r="I65" s="510">
        <v>305</v>
      </c>
      <c r="J65" s="371">
        <v>409</v>
      </c>
      <c r="K65" s="371">
        <v>356</v>
      </c>
      <c r="L65" s="371">
        <v>201</v>
      </c>
      <c r="M65" s="371">
        <v>286</v>
      </c>
      <c r="N65" s="371">
        <v>233</v>
      </c>
      <c r="O65" s="316" t="s">
        <v>88</v>
      </c>
      <c r="P65" s="316" t="s">
        <v>88</v>
      </c>
      <c r="Q65" s="371">
        <v>-0.98</v>
      </c>
      <c r="R65" s="316" t="s">
        <v>88</v>
      </c>
      <c r="S65" s="316" t="s">
        <v>88</v>
      </c>
      <c r="T65" s="316" t="s">
        <v>88</v>
      </c>
      <c r="U65" s="316" t="s">
        <v>88</v>
      </c>
      <c r="V65" s="316" t="s">
        <v>88</v>
      </c>
      <c r="W65" s="316" t="s">
        <v>88</v>
      </c>
      <c r="X65" s="316" t="s">
        <v>88</v>
      </c>
      <c r="Y65" s="316" t="s">
        <v>88</v>
      </c>
      <c r="Z65" s="316" t="s">
        <v>88</v>
      </c>
      <c r="AA65" s="316" t="s">
        <v>88</v>
      </c>
      <c r="AB65" s="316" t="s">
        <v>88</v>
      </c>
      <c r="AC65" s="316" t="s">
        <v>88</v>
      </c>
      <c r="AD65" s="316" t="s">
        <v>88</v>
      </c>
      <c r="AE65" s="316" t="s">
        <v>88</v>
      </c>
      <c r="AF65" s="316" t="s">
        <v>88</v>
      </c>
      <c r="AG65" s="371">
        <v>-0.71</v>
      </c>
      <c r="AH65" s="316" t="s">
        <v>88</v>
      </c>
      <c r="AI65" s="316" t="s">
        <v>88</v>
      </c>
      <c r="AJ65" s="316" t="s">
        <v>88</v>
      </c>
      <c r="AK65" s="316" t="s">
        <v>88</v>
      </c>
      <c r="AL65" s="316" t="s">
        <v>88</v>
      </c>
      <c r="AM65" s="316" t="s">
        <v>88</v>
      </c>
      <c r="AN65" s="316" t="s">
        <v>88</v>
      </c>
      <c r="AO65" s="316" t="s">
        <v>88</v>
      </c>
      <c r="AP65" s="316" t="s">
        <v>88</v>
      </c>
      <c r="AQ65" s="316" t="s">
        <v>88</v>
      </c>
      <c r="AR65" s="316" t="s">
        <v>88</v>
      </c>
      <c r="AS65" s="316" t="s">
        <v>88</v>
      </c>
      <c r="AT65" s="316" t="s">
        <v>88</v>
      </c>
      <c r="AU65" s="316" t="s">
        <v>88</v>
      </c>
      <c r="AV65" s="316" t="s">
        <v>88</v>
      </c>
      <c r="AW65" s="316" t="s">
        <v>88</v>
      </c>
      <c r="AX65" s="316" t="s">
        <v>88</v>
      </c>
      <c r="AY65" s="316" t="s">
        <v>88</v>
      </c>
      <c r="AZ65" s="316" t="s">
        <v>88</v>
      </c>
      <c r="BA65" s="316" t="s">
        <v>88</v>
      </c>
      <c r="BB65" s="316" t="s">
        <v>88</v>
      </c>
      <c r="BC65" s="316" t="s">
        <v>88</v>
      </c>
      <c r="BD65" s="316" t="s">
        <v>88</v>
      </c>
      <c r="BE65" s="316" t="s">
        <v>88</v>
      </c>
      <c r="BF65" s="316" t="s">
        <v>88</v>
      </c>
      <c r="BG65" s="316" t="s">
        <v>88</v>
      </c>
      <c r="BH65" s="316" t="s">
        <v>88</v>
      </c>
      <c r="BI65" s="316" t="s">
        <v>88</v>
      </c>
      <c r="BJ65" s="316" t="s">
        <v>88</v>
      </c>
      <c r="BK65" s="316" t="s">
        <v>88</v>
      </c>
      <c r="BL65" s="354" t="s">
        <v>89</v>
      </c>
      <c r="BM65" s="364" t="s">
        <v>122</v>
      </c>
      <c r="BN65" s="354" t="s">
        <v>91</v>
      </c>
      <c r="BO65" s="354">
        <v>225876</v>
      </c>
      <c r="BP65" s="354" t="s">
        <v>92</v>
      </c>
      <c r="BQ65" s="354" t="s">
        <v>93</v>
      </c>
      <c r="BR65" s="354" t="s">
        <v>94</v>
      </c>
      <c r="BS65" s="354">
        <v>63250612</v>
      </c>
      <c r="BT65" s="354" t="s">
        <v>95</v>
      </c>
      <c r="BU65" s="354" t="s">
        <v>112</v>
      </c>
      <c r="BV65" s="477"/>
    </row>
    <row r="66" spans="1:74" s="2" customFormat="1" ht="24.9" customHeight="1">
      <c r="A66" s="147" t="s">
        <v>85</v>
      </c>
      <c r="B66" s="356" t="s">
        <v>156</v>
      </c>
      <c r="C66" s="369"/>
      <c r="D66" s="356"/>
      <c r="E66" s="363">
        <v>46217</v>
      </c>
      <c r="F66" s="358">
        <v>2</v>
      </c>
      <c r="G66" s="358">
        <v>29</v>
      </c>
      <c r="H66" s="316" t="s">
        <v>88</v>
      </c>
      <c r="I66" s="316" t="s">
        <v>88</v>
      </c>
      <c r="J66" s="316" t="s">
        <v>88</v>
      </c>
      <c r="K66" s="316" t="s">
        <v>88</v>
      </c>
      <c r="L66" s="316" t="s">
        <v>88</v>
      </c>
      <c r="M66" s="316" t="s">
        <v>88</v>
      </c>
      <c r="N66" s="316" t="s">
        <v>88</v>
      </c>
      <c r="O66" s="316" t="s">
        <v>88</v>
      </c>
      <c r="P66" s="316" t="s">
        <v>88</v>
      </c>
      <c r="Q66" s="316" t="s">
        <v>88</v>
      </c>
      <c r="R66" s="316" t="s">
        <v>88</v>
      </c>
      <c r="S66" s="316" t="s">
        <v>88</v>
      </c>
      <c r="T66" s="316" t="s">
        <v>88</v>
      </c>
      <c r="U66" s="316" t="s">
        <v>88</v>
      </c>
      <c r="V66" s="316" t="s">
        <v>88</v>
      </c>
      <c r="W66" s="316" t="s">
        <v>88</v>
      </c>
      <c r="X66" s="316" t="s">
        <v>88</v>
      </c>
      <c r="Y66" s="316" t="s">
        <v>88</v>
      </c>
      <c r="Z66" s="316" t="s">
        <v>88</v>
      </c>
      <c r="AA66" s="316" t="s">
        <v>88</v>
      </c>
      <c r="AB66" s="316" t="s">
        <v>88</v>
      </c>
      <c r="AC66" s="316" t="s">
        <v>88</v>
      </c>
      <c r="AD66" s="316" t="s">
        <v>88</v>
      </c>
      <c r="AE66" s="316" t="s">
        <v>88</v>
      </c>
      <c r="AF66" s="316" t="s">
        <v>88</v>
      </c>
      <c r="AG66" s="316" t="s">
        <v>88</v>
      </c>
      <c r="AH66" s="316" t="s">
        <v>88</v>
      </c>
      <c r="AI66" s="316" t="s">
        <v>88</v>
      </c>
      <c r="AJ66" s="316" t="s">
        <v>88</v>
      </c>
      <c r="AK66" s="316" t="s">
        <v>88</v>
      </c>
      <c r="AL66" s="316" t="s">
        <v>88</v>
      </c>
      <c r="AM66" s="316" t="s">
        <v>88</v>
      </c>
      <c r="AN66" s="316" t="s">
        <v>88</v>
      </c>
      <c r="AO66" s="316" t="s">
        <v>88</v>
      </c>
      <c r="AP66" s="316" t="s">
        <v>88</v>
      </c>
      <c r="AQ66" s="316" t="s">
        <v>88</v>
      </c>
      <c r="AR66" s="316" t="s">
        <v>88</v>
      </c>
      <c r="AS66" s="316" t="s">
        <v>88</v>
      </c>
      <c r="AT66" s="316" t="s">
        <v>88</v>
      </c>
      <c r="AU66" s="316" t="s">
        <v>88</v>
      </c>
      <c r="AV66" s="316" t="s">
        <v>88</v>
      </c>
      <c r="AW66" s="316" t="s">
        <v>88</v>
      </c>
      <c r="AX66" s="316" t="s">
        <v>88</v>
      </c>
      <c r="AY66" s="316" t="s">
        <v>88</v>
      </c>
      <c r="AZ66" s="459">
        <v>90.25</v>
      </c>
      <c r="BA66" s="459">
        <v>36.01</v>
      </c>
      <c r="BB66" s="459">
        <v>37.67</v>
      </c>
      <c r="BC66" s="459">
        <v>30.61</v>
      </c>
      <c r="BD66" s="459">
        <v>90.25</v>
      </c>
      <c r="BE66" s="316" t="s">
        <v>88</v>
      </c>
      <c r="BF66" s="459">
        <v>82.01</v>
      </c>
      <c r="BG66" s="459">
        <v>45.7</v>
      </c>
      <c r="BH66" s="459">
        <v>39.24</v>
      </c>
      <c r="BI66" s="459">
        <v>38.85</v>
      </c>
      <c r="BJ66" s="316" t="s">
        <v>88</v>
      </c>
      <c r="BK66" s="316" t="s">
        <v>88</v>
      </c>
      <c r="BL66" s="354" t="s">
        <v>89</v>
      </c>
      <c r="BM66" s="364" t="s">
        <v>122</v>
      </c>
      <c r="BN66" s="354" t="s">
        <v>91</v>
      </c>
      <c r="BO66" s="354">
        <v>225876</v>
      </c>
      <c r="BP66" s="354" t="s">
        <v>92</v>
      </c>
      <c r="BQ66" s="354" t="s">
        <v>93</v>
      </c>
      <c r="BR66" s="354" t="s">
        <v>94</v>
      </c>
      <c r="BS66" s="354">
        <v>63250612</v>
      </c>
      <c r="BT66" s="354" t="s">
        <v>95</v>
      </c>
      <c r="BU66" s="354" t="s">
        <v>112</v>
      </c>
      <c r="BV66" s="477"/>
    </row>
    <row r="67" spans="1:74" s="2" customFormat="1" ht="24.9" customHeight="1">
      <c r="A67" s="147" t="s">
        <v>85</v>
      </c>
      <c r="B67" s="356" t="s">
        <v>157</v>
      </c>
      <c r="C67" s="369"/>
      <c r="D67" s="356"/>
      <c r="E67" s="363">
        <v>46217</v>
      </c>
      <c r="F67" s="358">
        <v>3</v>
      </c>
      <c r="G67" s="358">
        <v>29</v>
      </c>
      <c r="H67" s="316" t="s">
        <v>88</v>
      </c>
      <c r="I67" s="371">
        <v>257</v>
      </c>
      <c r="J67" s="371">
        <v>394</v>
      </c>
      <c r="K67" s="371">
        <v>286.5</v>
      </c>
      <c r="L67" s="371">
        <v>203.5</v>
      </c>
      <c r="M67" s="371">
        <v>307.5</v>
      </c>
      <c r="N67" s="371">
        <v>235</v>
      </c>
      <c r="O67" s="316" t="s">
        <v>88</v>
      </c>
      <c r="P67" s="316" t="s">
        <v>88</v>
      </c>
      <c r="Q67" s="316" t="s">
        <v>88</v>
      </c>
      <c r="R67" s="316" t="s">
        <v>88</v>
      </c>
      <c r="S67" s="316" t="s">
        <v>88</v>
      </c>
      <c r="T67" s="316" t="s">
        <v>88</v>
      </c>
      <c r="U67" s="316" t="s">
        <v>88</v>
      </c>
      <c r="V67" s="316" t="s">
        <v>88</v>
      </c>
      <c r="W67" s="316" t="s">
        <v>88</v>
      </c>
      <c r="X67" s="316" t="s">
        <v>88</v>
      </c>
      <c r="Y67" s="316" t="s">
        <v>88</v>
      </c>
      <c r="Z67" s="316" t="s">
        <v>88</v>
      </c>
      <c r="AA67" s="316" t="s">
        <v>88</v>
      </c>
      <c r="AB67" s="316" t="s">
        <v>88</v>
      </c>
      <c r="AC67" s="316" t="s">
        <v>88</v>
      </c>
      <c r="AD67" s="316" t="s">
        <v>88</v>
      </c>
      <c r="AE67" s="316" t="s">
        <v>88</v>
      </c>
      <c r="AF67" s="316" t="s">
        <v>88</v>
      </c>
      <c r="AG67" s="316" t="s">
        <v>88</v>
      </c>
      <c r="AH67" s="316" t="s">
        <v>88</v>
      </c>
      <c r="AI67" s="316" t="s">
        <v>88</v>
      </c>
      <c r="AJ67" s="316" t="s">
        <v>88</v>
      </c>
      <c r="AK67" s="316" t="s">
        <v>88</v>
      </c>
      <c r="AL67" s="316" t="s">
        <v>88</v>
      </c>
      <c r="AM67" s="316" t="s">
        <v>88</v>
      </c>
      <c r="AN67" s="316" t="s">
        <v>88</v>
      </c>
      <c r="AO67" s="316" t="s">
        <v>88</v>
      </c>
      <c r="AP67" s="316" t="s">
        <v>88</v>
      </c>
      <c r="AQ67" s="316" t="s">
        <v>88</v>
      </c>
      <c r="AR67" s="316" t="s">
        <v>88</v>
      </c>
      <c r="AS67" s="316" t="s">
        <v>88</v>
      </c>
      <c r="AT67" s="316" t="s">
        <v>88</v>
      </c>
      <c r="AU67" s="316" t="s">
        <v>88</v>
      </c>
      <c r="AV67" s="316" t="s">
        <v>88</v>
      </c>
      <c r="AW67" s="316" t="s">
        <v>88</v>
      </c>
      <c r="AX67" s="316" t="s">
        <v>88</v>
      </c>
      <c r="AY67" s="316" t="s">
        <v>88</v>
      </c>
      <c r="AZ67" s="316" t="s">
        <v>88</v>
      </c>
      <c r="BA67" s="316" t="s">
        <v>88</v>
      </c>
      <c r="BB67" s="316" t="s">
        <v>88</v>
      </c>
      <c r="BC67" s="316" t="s">
        <v>88</v>
      </c>
      <c r="BD67" s="316" t="s">
        <v>88</v>
      </c>
      <c r="BE67" s="316" t="s">
        <v>88</v>
      </c>
      <c r="BF67" s="316" t="s">
        <v>88</v>
      </c>
      <c r="BG67" s="316" t="s">
        <v>88</v>
      </c>
      <c r="BH67" s="316" t="s">
        <v>88</v>
      </c>
      <c r="BI67" s="316" t="s">
        <v>88</v>
      </c>
      <c r="BJ67" s="316" t="s">
        <v>88</v>
      </c>
      <c r="BK67" s="316" t="s">
        <v>88</v>
      </c>
      <c r="BL67" s="354" t="s">
        <v>89</v>
      </c>
      <c r="BM67" s="364" t="s">
        <v>122</v>
      </c>
      <c r="BN67" s="354" t="s">
        <v>91</v>
      </c>
      <c r="BO67" s="354">
        <v>225876</v>
      </c>
      <c r="BP67" s="354" t="s">
        <v>92</v>
      </c>
      <c r="BQ67" s="354" t="s">
        <v>93</v>
      </c>
      <c r="BR67" s="354" t="s">
        <v>94</v>
      </c>
      <c r="BS67" s="354">
        <v>63250612</v>
      </c>
      <c r="BT67" s="354" t="s">
        <v>95</v>
      </c>
      <c r="BU67" s="354" t="s">
        <v>112</v>
      </c>
      <c r="BV67" s="477"/>
    </row>
    <row r="68" spans="1:74" s="2" customFormat="1" ht="24.9" customHeight="1">
      <c r="A68" s="147" t="s">
        <v>85</v>
      </c>
      <c r="B68" s="356" t="s">
        <v>158</v>
      </c>
      <c r="C68" s="369"/>
      <c r="D68" s="356"/>
      <c r="E68" s="363">
        <v>46217</v>
      </c>
      <c r="F68" s="358">
        <v>3</v>
      </c>
      <c r="G68" s="358">
        <v>29</v>
      </c>
      <c r="H68" s="316" t="s">
        <v>88</v>
      </c>
      <c r="I68" s="316" t="s">
        <v>88</v>
      </c>
      <c r="J68" s="316" t="s">
        <v>88</v>
      </c>
      <c r="K68" s="316" t="s">
        <v>88</v>
      </c>
      <c r="L68" s="316" t="s">
        <v>88</v>
      </c>
      <c r="M68" s="316" t="s">
        <v>88</v>
      </c>
      <c r="N68" s="316" t="s">
        <v>88</v>
      </c>
      <c r="O68" s="316" t="s">
        <v>88</v>
      </c>
      <c r="P68" s="316" t="s">
        <v>88</v>
      </c>
      <c r="Q68" s="316" t="s">
        <v>88</v>
      </c>
      <c r="R68" s="316" t="s">
        <v>88</v>
      </c>
      <c r="S68" s="316" t="s">
        <v>88</v>
      </c>
      <c r="T68" s="316" t="s">
        <v>88</v>
      </c>
      <c r="U68" s="316" t="s">
        <v>88</v>
      </c>
      <c r="V68" s="316" t="s">
        <v>88</v>
      </c>
      <c r="W68" s="316" t="s">
        <v>88</v>
      </c>
      <c r="X68" s="316" t="s">
        <v>88</v>
      </c>
      <c r="Y68" s="316" t="s">
        <v>88</v>
      </c>
      <c r="Z68" s="316" t="s">
        <v>88</v>
      </c>
      <c r="AA68" s="316" t="s">
        <v>88</v>
      </c>
      <c r="AB68" s="316" t="s">
        <v>88</v>
      </c>
      <c r="AC68" s="316" t="s">
        <v>88</v>
      </c>
      <c r="AD68" s="316" t="s">
        <v>88</v>
      </c>
      <c r="AE68" s="316" t="s">
        <v>88</v>
      </c>
      <c r="AF68" s="316" t="s">
        <v>88</v>
      </c>
      <c r="AG68" s="316" t="s">
        <v>88</v>
      </c>
      <c r="AH68" s="316" t="s">
        <v>88</v>
      </c>
      <c r="AI68" s="316" t="s">
        <v>88</v>
      </c>
      <c r="AJ68" s="316" t="s">
        <v>88</v>
      </c>
      <c r="AK68" s="316" t="s">
        <v>88</v>
      </c>
      <c r="AL68" s="316" t="s">
        <v>88</v>
      </c>
      <c r="AM68" s="316" t="s">
        <v>88</v>
      </c>
      <c r="AN68" s="316" t="s">
        <v>88</v>
      </c>
      <c r="AO68" s="316" t="s">
        <v>88</v>
      </c>
      <c r="AP68" s="316" t="s">
        <v>88</v>
      </c>
      <c r="AQ68" s="316" t="s">
        <v>88</v>
      </c>
      <c r="AR68" s="316" t="s">
        <v>88</v>
      </c>
      <c r="AS68" s="316" t="s">
        <v>88</v>
      </c>
      <c r="AT68" s="316" t="s">
        <v>88</v>
      </c>
      <c r="AU68" s="316" t="s">
        <v>88</v>
      </c>
      <c r="AV68" s="316" t="s">
        <v>88</v>
      </c>
      <c r="AW68" s="316" t="s">
        <v>88</v>
      </c>
      <c r="AX68" s="316" t="s">
        <v>88</v>
      </c>
      <c r="AY68" s="316" t="s">
        <v>88</v>
      </c>
      <c r="AZ68" s="371">
        <v>61.66</v>
      </c>
      <c r="BA68" s="371">
        <v>36.06</v>
      </c>
      <c r="BB68" s="371">
        <v>51.8</v>
      </c>
      <c r="BC68" s="371">
        <v>29.43</v>
      </c>
      <c r="BD68" s="316" t="s">
        <v>88</v>
      </c>
      <c r="BE68" s="316" t="s">
        <v>88</v>
      </c>
      <c r="BF68" s="371">
        <v>89.86</v>
      </c>
      <c r="BG68" s="371">
        <v>39.82</v>
      </c>
      <c r="BH68" s="371">
        <v>30.61</v>
      </c>
      <c r="BI68" s="371">
        <v>35.71</v>
      </c>
      <c r="BJ68" s="316" t="s">
        <v>88</v>
      </c>
      <c r="BK68" s="316" t="s">
        <v>88</v>
      </c>
      <c r="BL68" s="354" t="s">
        <v>89</v>
      </c>
      <c r="BM68" s="364" t="s">
        <v>122</v>
      </c>
      <c r="BN68" s="354" t="s">
        <v>91</v>
      </c>
      <c r="BO68" s="354">
        <v>225876</v>
      </c>
      <c r="BP68" s="354" t="s">
        <v>92</v>
      </c>
      <c r="BQ68" s="354" t="s">
        <v>93</v>
      </c>
      <c r="BR68" s="354" t="s">
        <v>94</v>
      </c>
      <c r="BS68" s="354">
        <v>63250612</v>
      </c>
      <c r="BT68" s="354" t="s">
        <v>95</v>
      </c>
      <c r="BU68" s="354" t="s">
        <v>112</v>
      </c>
      <c r="BV68" s="477"/>
    </row>
    <row r="69" spans="1:74" s="2" customFormat="1" ht="24.9" customHeight="1">
      <c r="A69" s="147" t="s">
        <v>85</v>
      </c>
      <c r="B69" s="356" t="s">
        <v>159</v>
      </c>
      <c r="C69" s="369"/>
      <c r="D69" s="356"/>
      <c r="E69" s="363">
        <v>46217</v>
      </c>
      <c r="F69" s="358">
        <v>3</v>
      </c>
      <c r="G69" s="358">
        <v>29</v>
      </c>
      <c r="H69" s="316" t="s">
        <v>88</v>
      </c>
      <c r="I69" s="316" t="s">
        <v>88</v>
      </c>
      <c r="J69" s="316" t="s">
        <v>88</v>
      </c>
      <c r="K69" s="316" t="s">
        <v>88</v>
      </c>
      <c r="L69" s="316" t="s">
        <v>88</v>
      </c>
      <c r="M69" s="316" t="s">
        <v>88</v>
      </c>
      <c r="N69" s="316" t="s">
        <v>88</v>
      </c>
      <c r="O69" s="316" t="s">
        <v>88</v>
      </c>
      <c r="P69" s="316" t="s">
        <v>88</v>
      </c>
      <c r="Q69" s="316" t="s">
        <v>88</v>
      </c>
      <c r="R69" s="316" t="s">
        <v>88</v>
      </c>
      <c r="S69" s="316" t="s">
        <v>88</v>
      </c>
      <c r="T69" s="316" t="s">
        <v>88</v>
      </c>
      <c r="U69" s="316" t="s">
        <v>88</v>
      </c>
      <c r="V69" s="316" t="s">
        <v>88</v>
      </c>
      <c r="W69" s="316" t="s">
        <v>88</v>
      </c>
      <c r="X69" s="316" t="s">
        <v>88</v>
      </c>
      <c r="Y69" s="316" t="s">
        <v>88</v>
      </c>
      <c r="Z69" s="316" t="s">
        <v>88</v>
      </c>
      <c r="AA69" s="316" t="s">
        <v>88</v>
      </c>
      <c r="AB69" s="316" t="s">
        <v>88</v>
      </c>
      <c r="AC69" s="371">
        <v>2.15</v>
      </c>
      <c r="AD69" s="371">
        <v>2.2799999999999998</v>
      </c>
      <c r="AE69" s="371">
        <v>2.37</v>
      </c>
      <c r="AF69" s="371">
        <f>AVERAGE(AC69:AE69)</f>
        <v>2.2666666666666666</v>
      </c>
      <c r="AG69" s="316" t="s">
        <v>88</v>
      </c>
      <c r="AH69" s="371" t="s">
        <v>99</v>
      </c>
      <c r="AI69" s="371" t="s">
        <v>99</v>
      </c>
      <c r="AJ69" s="371" t="s">
        <v>99</v>
      </c>
      <c r="AK69" s="371" t="s">
        <v>99</v>
      </c>
      <c r="AL69" s="371" t="s">
        <v>99</v>
      </c>
      <c r="AM69" s="371" t="s">
        <v>99</v>
      </c>
      <c r="AN69" s="316" t="s">
        <v>88</v>
      </c>
      <c r="AO69" s="316" t="s">
        <v>88</v>
      </c>
      <c r="AP69" s="316" t="s">
        <v>88</v>
      </c>
      <c r="AQ69" s="316" t="s">
        <v>88</v>
      </c>
      <c r="AR69" s="316" t="s">
        <v>88</v>
      </c>
      <c r="AS69" s="316" t="s">
        <v>88</v>
      </c>
      <c r="AT69" s="316" t="s">
        <v>88</v>
      </c>
      <c r="AU69" s="316" t="s">
        <v>88</v>
      </c>
      <c r="AV69" s="316" t="s">
        <v>88</v>
      </c>
      <c r="AW69" s="316" t="s">
        <v>88</v>
      </c>
      <c r="AX69" s="316" t="s">
        <v>88</v>
      </c>
      <c r="AY69" s="316" t="s">
        <v>88</v>
      </c>
      <c r="AZ69" s="316" t="s">
        <v>88</v>
      </c>
      <c r="BA69" s="316" t="s">
        <v>88</v>
      </c>
      <c r="BB69" s="316" t="s">
        <v>88</v>
      </c>
      <c r="BC69" s="316" t="s">
        <v>88</v>
      </c>
      <c r="BD69" s="316" t="s">
        <v>88</v>
      </c>
      <c r="BE69" s="316" t="s">
        <v>88</v>
      </c>
      <c r="BF69" s="316" t="s">
        <v>88</v>
      </c>
      <c r="BG69" s="316" t="s">
        <v>88</v>
      </c>
      <c r="BH69" s="316" t="s">
        <v>88</v>
      </c>
      <c r="BI69" s="316" t="s">
        <v>88</v>
      </c>
      <c r="BJ69" s="316" t="s">
        <v>88</v>
      </c>
      <c r="BK69" s="316" t="s">
        <v>88</v>
      </c>
      <c r="BL69" s="354" t="s">
        <v>89</v>
      </c>
      <c r="BM69" s="364" t="s">
        <v>122</v>
      </c>
      <c r="BN69" s="354" t="s">
        <v>91</v>
      </c>
      <c r="BO69" s="354">
        <v>225876</v>
      </c>
      <c r="BP69" s="354" t="s">
        <v>92</v>
      </c>
      <c r="BQ69" s="354" t="s">
        <v>93</v>
      </c>
      <c r="BR69" s="354" t="s">
        <v>94</v>
      </c>
      <c r="BS69" s="354">
        <v>63250612</v>
      </c>
      <c r="BT69" s="354" t="s">
        <v>95</v>
      </c>
      <c r="BU69" s="354" t="s">
        <v>112</v>
      </c>
      <c r="BV69" s="477"/>
    </row>
    <row r="70" spans="1:74" s="2" customFormat="1" ht="24.9" customHeight="1">
      <c r="A70" s="147" t="s">
        <v>85</v>
      </c>
      <c r="B70" s="356" t="s">
        <v>160</v>
      </c>
      <c r="C70" s="369"/>
      <c r="D70" s="356"/>
      <c r="E70" s="363">
        <v>46217</v>
      </c>
      <c r="F70" s="358">
        <v>3</v>
      </c>
      <c r="G70" s="358">
        <v>29</v>
      </c>
      <c r="H70" s="512" t="s">
        <v>101</v>
      </c>
      <c r="I70" s="316" t="s">
        <v>88</v>
      </c>
      <c r="J70" s="316" t="s">
        <v>88</v>
      </c>
      <c r="K70" s="316" t="s">
        <v>88</v>
      </c>
      <c r="L70" s="316" t="s">
        <v>88</v>
      </c>
      <c r="M70" s="316" t="s">
        <v>88</v>
      </c>
      <c r="N70" s="316" t="s">
        <v>88</v>
      </c>
      <c r="O70" s="316" t="s">
        <v>88</v>
      </c>
      <c r="P70" s="316" t="s">
        <v>88</v>
      </c>
      <c r="Q70" s="371">
        <v>-1.1399999999999999</v>
      </c>
      <c r="R70" s="316" t="s">
        <v>88</v>
      </c>
      <c r="S70" s="316" t="s">
        <v>88</v>
      </c>
      <c r="T70" s="316" t="s">
        <v>88</v>
      </c>
      <c r="U70" s="316" t="s">
        <v>88</v>
      </c>
      <c r="V70" s="316" t="s">
        <v>88</v>
      </c>
      <c r="W70" s="316" t="s">
        <v>88</v>
      </c>
      <c r="X70" s="316" t="s">
        <v>88</v>
      </c>
      <c r="Y70" s="316" t="s">
        <v>88</v>
      </c>
      <c r="Z70" s="316" t="s">
        <v>88</v>
      </c>
      <c r="AA70" s="316" t="s">
        <v>88</v>
      </c>
      <c r="AB70" s="316" t="s">
        <v>88</v>
      </c>
      <c r="AC70" s="316" t="s">
        <v>88</v>
      </c>
      <c r="AD70" s="316" t="s">
        <v>88</v>
      </c>
      <c r="AE70" s="316" t="s">
        <v>88</v>
      </c>
      <c r="AF70" s="316" t="s">
        <v>88</v>
      </c>
      <c r="AG70" s="371">
        <v>1.42</v>
      </c>
      <c r="AH70" s="316" t="s">
        <v>88</v>
      </c>
      <c r="AI70" s="316" t="s">
        <v>88</v>
      </c>
      <c r="AJ70" s="316" t="s">
        <v>88</v>
      </c>
      <c r="AK70" s="316" t="s">
        <v>88</v>
      </c>
      <c r="AL70" s="316" t="s">
        <v>88</v>
      </c>
      <c r="AM70" s="316" t="s">
        <v>88</v>
      </c>
      <c r="AN70" s="316" t="s">
        <v>88</v>
      </c>
      <c r="AO70" s="316" t="s">
        <v>88</v>
      </c>
      <c r="AP70" s="316" t="s">
        <v>88</v>
      </c>
      <c r="AQ70" s="316" t="s">
        <v>88</v>
      </c>
      <c r="AR70" s="316" t="s">
        <v>88</v>
      </c>
      <c r="AS70" s="316" t="s">
        <v>88</v>
      </c>
      <c r="AT70" s="316" t="s">
        <v>88</v>
      </c>
      <c r="AU70" s="316" t="s">
        <v>88</v>
      </c>
      <c r="AV70" s="316" t="s">
        <v>88</v>
      </c>
      <c r="AW70" s="316" t="s">
        <v>88</v>
      </c>
      <c r="AX70" s="316" t="s">
        <v>88</v>
      </c>
      <c r="AY70" s="316" t="s">
        <v>88</v>
      </c>
      <c r="AZ70" s="316" t="s">
        <v>88</v>
      </c>
      <c r="BA70" s="316" t="s">
        <v>88</v>
      </c>
      <c r="BB70" s="316" t="s">
        <v>88</v>
      </c>
      <c r="BC70" s="316" t="s">
        <v>88</v>
      </c>
      <c r="BD70" s="316" t="s">
        <v>88</v>
      </c>
      <c r="BE70" s="316" t="s">
        <v>88</v>
      </c>
      <c r="BF70" s="316" t="s">
        <v>88</v>
      </c>
      <c r="BG70" s="316" t="s">
        <v>88</v>
      </c>
      <c r="BH70" s="316" t="s">
        <v>88</v>
      </c>
      <c r="BI70" s="316" t="s">
        <v>88</v>
      </c>
      <c r="BJ70" s="316" t="s">
        <v>88</v>
      </c>
      <c r="BK70" s="316" t="s">
        <v>88</v>
      </c>
      <c r="BL70" s="354" t="s">
        <v>89</v>
      </c>
      <c r="BM70" s="364" t="s">
        <v>122</v>
      </c>
      <c r="BN70" s="354" t="s">
        <v>91</v>
      </c>
      <c r="BO70" s="354">
        <v>225876</v>
      </c>
      <c r="BP70" s="354" t="s">
        <v>92</v>
      </c>
      <c r="BQ70" s="354" t="s">
        <v>93</v>
      </c>
      <c r="BR70" s="354" t="s">
        <v>94</v>
      </c>
      <c r="BS70" s="354">
        <v>63250612</v>
      </c>
      <c r="BT70" s="354" t="s">
        <v>95</v>
      </c>
      <c r="BU70" s="354" t="s">
        <v>112</v>
      </c>
      <c r="BV70" s="477"/>
    </row>
    <row r="71" spans="1:74" s="2" customFormat="1" ht="24.9" customHeight="1">
      <c r="A71" s="147" t="s">
        <v>85</v>
      </c>
      <c r="B71" s="356" t="s">
        <v>161</v>
      </c>
      <c r="C71" s="369"/>
      <c r="D71" s="356"/>
      <c r="E71" s="363">
        <v>46218</v>
      </c>
      <c r="F71" s="358">
        <v>1</v>
      </c>
      <c r="G71" s="358">
        <v>29</v>
      </c>
      <c r="H71" s="512" t="s">
        <v>101</v>
      </c>
      <c r="I71" s="371">
        <v>304</v>
      </c>
      <c r="J71" s="371">
        <v>365</v>
      </c>
      <c r="K71" s="371">
        <v>338</v>
      </c>
      <c r="L71" s="371">
        <v>203</v>
      </c>
      <c r="M71" s="371">
        <v>306</v>
      </c>
      <c r="N71" s="371">
        <v>263.08</v>
      </c>
      <c r="O71" s="316" t="s">
        <v>88</v>
      </c>
      <c r="P71" s="316" t="s">
        <v>88</v>
      </c>
      <c r="Q71" s="371">
        <v>-1.39</v>
      </c>
      <c r="R71" s="316" t="s">
        <v>88</v>
      </c>
      <c r="S71" s="316" t="s">
        <v>88</v>
      </c>
      <c r="T71" s="316" t="s">
        <v>88</v>
      </c>
      <c r="U71" s="316" t="s">
        <v>88</v>
      </c>
      <c r="V71" s="316" t="s">
        <v>88</v>
      </c>
      <c r="W71" s="316" t="s">
        <v>88</v>
      </c>
      <c r="X71" s="316" t="s">
        <v>88</v>
      </c>
      <c r="Y71" s="316" t="s">
        <v>88</v>
      </c>
      <c r="Z71" s="316" t="s">
        <v>88</v>
      </c>
      <c r="AA71" s="316" t="s">
        <v>88</v>
      </c>
      <c r="AB71" s="316" t="s">
        <v>88</v>
      </c>
      <c r="AC71" s="316" t="s">
        <v>88</v>
      </c>
      <c r="AD71" s="316" t="s">
        <v>88</v>
      </c>
      <c r="AE71" s="316" t="s">
        <v>88</v>
      </c>
      <c r="AF71" s="316" t="s">
        <v>88</v>
      </c>
      <c r="AG71" s="371">
        <v>1.42</v>
      </c>
      <c r="AH71" s="316" t="s">
        <v>88</v>
      </c>
      <c r="AI71" s="316" t="s">
        <v>88</v>
      </c>
      <c r="AJ71" s="316" t="s">
        <v>88</v>
      </c>
      <c r="AK71" s="316" t="s">
        <v>88</v>
      </c>
      <c r="AL71" s="316" t="s">
        <v>88</v>
      </c>
      <c r="AM71" s="316" t="s">
        <v>88</v>
      </c>
      <c r="AN71" s="316" t="s">
        <v>88</v>
      </c>
      <c r="AO71" s="316" t="s">
        <v>88</v>
      </c>
      <c r="AP71" s="316" t="s">
        <v>88</v>
      </c>
      <c r="AQ71" s="316" t="s">
        <v>88</v>
      </c>
      <c r="AR71" s="316" t="s">
        <v>88</v>
      </c>
      <c r="AS71" s="316" t="s">
        <v>88</v>
      </c>
      <c r="AT71" s="316" t="s">
        <v>88</v>
      </c>
      <c r="AU71" s="316" t="s">
        <v>88</v>
      </c>
      <c r="AV71" s="316" t="s">
        <v>88</v>
      </c>
      <c r="AW71" s="316" t="s">
        <v>88</v>
      </c>
      <c r="AX71" s="316" t="s">
        <v>88</v>
      </c>
      <c r="AY71" s="316" t="s">
        <v>88</v>
      </c>
      <c r="AZ71" s="316" t="s">
        <v>88</v>
      </c>
      <c r="BA71" s="316" t="s">
        <v>88</v>
      </c>
      <c r="BB71" s="316" t="s">
        <v>88</v>
      </c>
      <c r="BC71" s="316" t="s">
        <v>88</v>
      </c>
      <c r="BD71" s="316" t="s">
        <v>88</v>
      </c>
      <c r="BE71" s="316" t="s">
        <v>88</v>
      </c>
      <c r="BF71" s="316" t="s">
        <v>88</v>
      </c>
      <c r="BG71" s="316" t="s">
        <v>88</v>
      </c>
      <c r="BH71" s="316" t="s">
        <v>88</v>
      </c>
      <c r="BI71" s="316" t="s">
        <v>88</v>
      </c>
      <c r="BJ71" s="316" t="s">
        <v>88</v>
      </c>
      <c r="BK71" s="316" t="s">
        <v>88</v>
      </c>
      <c r="BL71" s="354" t="s">
        <v>89</v>
      </c>
      <c r="BM71" s="364" t="s">
        <v>122</v>
      </c>
      <c r="BN71" s="354" t="s">
        <v>91</v>
      </c>
      <c r="BO71" s="354">
        <v>225876</v>
      </c>
      <c r="BP71" s="354" t="s">
        <v>92</v>
      </c>
      <c r="BQ71" s="354" t="s">
        <v>93</v>
      </c>
      <c r="BR71" s="354" t="s">
        <v>94</v>
      </c>
      <c r="BS71" s="354">
        <v>63250612</v>
      </c>
      <c r="BT71" s="354" t="s">
        <v>95</v>
      </c>
      <c r="BU71" s="354" t="s">
        <v>112</v>
      </c>
      <c r="BV71" s="477"/>
    </row>
    <row r="72" spans="1:74" s="2" customFormat="1" ht="24.9" customHeight="1">
      <c r="A72" s="147" t="s">
        <v>85</v>
      </c>
      <c r="B72" s="356" t="s">
        <v>162</v>
      </c>
      <c r="C72" s="369"/>
      <c r="D72" s="356"/>
      <c r="E72" s="363">
        <v>46218</v>
      </c>
      <c r="F72" s="358">
        <v>1</v>
      </c>
      <c r="G72" s="358">
        <v>29</v>
      </c>
      <c r="H72" s="316" t="s">
        <v>88</v>
      </c>
      <c r="I72" s="316" t="s">
        <v>88</v>
      </c>
      <c r="J72" s="316" t="s">
        <v>88</v>
      </c>
      <c r="K72" s="316" t="s">
        <v>88</v>
      </c>
      <c r="L72" s="316" t="s">
        <v>88</v>
      </c>
      <c r="M72" s="316" t="s">
        <v>88</v>
      </c>
      <c r="N72" s="316" t="s">
        <v>88</v>
      </c>
      <c r="O72" s="316" t="s">
        <v>88</v>
      </c>
      <c r="P72" s="316" t="s">
        <v>88</v>
      </c>
      <c r="Q72" s="316" t="s">
        <v>88</v>
      </c>
      <c r="R72" s="316" t="s">
        <v>88</v>
      </c>
      <c r="S72" s="316" t="s">
        <v>88</v>
      </c>
      <c r="T72" s="316" t="s">
        <v>88</v>
      </c>
      <c r="U72" s="316" t="s">
        <v>88</v>
      </c>
      <c r="V72" s="316" t="s">
        <v>88</v>
      </c>
      <c r="W72" s="316" t="s">
        <v>88</v>
      </c>
      <c r="X72" s="316" t="s">
        <v>88</v>
      </c>
      <c r="Y72" s="316" t="s">
        <v>88</v>
      </c>
      <c r="Z72" s="316" t="s">
        <v>88</v>
      </c>
      <c r="AA72" s="316" t="s">
        <v>88</v>
      </c>
      <c r="AB72" s="316" t="s">
        <v>88</v>
      </c>
      <c r="AC72" s="316" t="s">
        <v>88</v>
      </c>
      <c r="AD72" s="316" t="s">
        <v>88</v>
      </c>
      <c r="AE72" s="316" t="s">
        <v>88</v>
      </c>
      <c r="AF72" s="316" t="s">
        <v>88</v>
      </c>
      <c r="AG72" s="316" t="s">
        <v>88</v>
      </c>
      <c r="AH72" s="316" t="s">
        <v>88</v>
      </c>
      <c r="AI72" s="316" t="s">
        <v>88</v>
      </c>
      <c r="AJ72" s="316" t="s">
        <v>88</v>
      </c>
      <c r="AK72" s="316" t="s">
        <v>88</v>
      </c>
      <c r="AL72" s="316" t="s">
        <v>88</v>
      </c>
      <c r="AM72" s="316" t="s">
        <v>88</v>
      </c>
      <c r="AN72" s="316" t="s">
        <v>88</v>
      </c>
      <c r="AO72" s="316" t="s">
        <v>88</v>
      </c>
      <c r="AP72" s="316" t="s">
        <v>88</v>
      </c>
      <c r="AQ72" s="316" t="s">
        <v>88</v>
      </c>
      <c r="AR72" s="316" t="s">
        <v>88</v>
      </c>
      <c r="AS72" s="316" t="s">
        <v>88</v>
      </c>
      <c r="AT72" s="316" t="s">
        <v>88</v>
      </c>
      <c r="AU72" s="316" t="s">
        <v>88</v>
      </c>
      <c r="AV72" s="316" t="s">
        <v>88</v>
      </c>
      <c r="AW72" s="316" t="s">
        <v>88</v>
      </c>
      <c r="AX72" s="316" t="s">
        <v>88</v>
      </c>
      <c r="AY72" s="316" t="s">
        <v>88</v>
      </c>
      <c r="AZ72" s="371">
        <v>46.46</v>
      </c>
      <c r="BA72" s="371">
        <v>31.4</v>
      </c>
      <c r="BB72" s="371">
        <v>39.630000000000003</v>
      </c>
      <c r="BC72" s="371">
        <v>27.86</v>
      </c>
      <c r="BD72" s="316" t="s">
        <v>88</v>
      </c>
      <c r="BE72" s="316" t="s">
        <v>88</v>
      </c>
      <c r="BF72" s="371">
        <v>58.84</v>
      </c>
      <c r="BG72" s="371">
        <v>35.68</v>
      </c>
      <c r="BH72" s="371">
        <v>49.05</v>
      </c>
      <c r="BI72" s="371">
        <v>30.21</v>
      </c>
      <c r="BJ72" s="316" t="s">
        <v>88</v>
      </c>
      <c r="BK72" s="316" t="s">
        <v>88</v>
      </c>
      <c r="BL72" s="354" t="s">
        <v>89</v>
      </c>
      <c r="BM72" s="364" t="s">
        <v>122</v>
      </c>
      <c r="BN72" s="354" t="s">
        <v>91</v>
      </c>
      <c r="BO72" s="354">
        <v>225876</v>
      </c>
      <c r="BP72" s="354" t="s">
        <v>92</v>
      </c>
      <c r="BQ72" s="354" t="s">
        <v>93</v>
      </c>
      <c r="BR72" s="354" t="s">
        <v>94</v>
      </c>
      <c r="BS72" s="354">
        <v>63250612</v>
      </c>
      <c r="BT72" s="354" t="s">
        <v>95</v>
      </c>
      <c r="BU72" s="354" t="s">
        <v>112</v>
      </c>
      <c r="BV72" s="477"/>
    </row>
    <row r="73" spans="1:74" s="2" customFormat="1" ht="24.9" customHeight="1">
      <c r="A73" s="147" t="s">
        <v>85</v>
      </c>
      <c r="B73" s="356" t="s">
        <v>163</v>
      </c>
      <c r="C73" s="369"/>
      <c r="D73" s="356"/>
      <c r="E73" s="363">
        <v>46218</v>
      </c>
      <c r="F73" s="358">
        <v>2</v>
      </c>
      <c r="G73" s="358">
        <v>29</v>
      </c>
      <c r="H73" s="512" t="s">
        <v>101</v>
      </c>
      <c r="I73" s="371">
        <v>313</v>
      </c>
      <c r="J73" s="371">
        <v>401</v>
      </c>
      <c r="K73" s="371">
        <v>359</v>
      </c>
      <c r="L73" s="371">
        <v>218</v>
      </c>
      <c r="M73" s="371">
        <v>337</v>
      </c>
      <c r="N73" s="371">
        <v>265</v>
      </c>
      <c r="O73" s="316" t="s">
        <v>88</v>
      </c>
      <c r="P73" s="316" t="s">
        <v>88</v>
      </c>
      <c r="Q73" s="371">
        <v>-1.39</v>
      </c>
      <c r="R73" s="316" t="s">
        <v>88</v>
      </c>
      <c r="S73" s="316" t="s">
        <v>88</v>
      </c>
      <c r="T73" s="316" t="s">
        <v>88</v>
      </c>
      <c r="U73" s="316" t="s">
        <v>88</v>
      </c>
      <c r="V73" s="316" t="s">
        <v>88</v>
      </c>
      <c r="W73" s="316" t="s">
        <v>88</v>
      </c>
      <c r="X73" s="316" t="s">
        <v>88</v>
      </c>
      <c r="Y73" s="316" t="s">
        <v>88</v>
      </c>
      <c r="Z73" s="316" t="s">
        <v>88</v>
      </c>
      <c r="AA73" s="316" t="s">
        <v>88</v>
      </c>
      <c r="AB73" s="316" t="s">
        <v>88</v>
      </c>
      <c r="AC73" s="316" t="s">
        <v>88</v>
      </c>
      <c r="AD73" s="316" t="s">
        <v>88</v>
      </c>
      <c r="AE73" s="316" t="s">
        <v>88</v>
      </c>
      <c r="AF73" s="316" t="s">
        <v>88</v>
      </c>
      <c r="AG73" s="371">
        <v>6.82</v>
      </c>
      <c r="AH73" s="316" t="s">
        <v>88</v>
      </c>
      <c r="AI73" s="316" t="s">
        <v>88</v>
      </c>
      <c r="AJ73" s="316" t="s">
        <v>88</v>
      </c>
      <c r="AK73" s="316" t="s">
        <v>88</v>
      </c>
      <c r="AL73" s="316" t="s">
        <v>88</v>
      </c>
      <c r="AM73" s="316" t="s">
        <v>88</v>
      </c>
      <c r="AN73" s="316" t="s">
        <v>88</v>
      </c>
      <c r="AO73" s="316" t="s">
        <v>88</v>
      </c>
      <c r="AP73" s="316" t="s">
        <v>88</v>
      </c>
      <c r="AQ73" s="316" t="s">
        <v>88</v>
      </c>
      <c r="AR73" s="316" t="s">
        <v>88</v>
      </c>
      <c r="AS73" s="316" t="s">
        <v>88</v>
      </c>
      <c r="AT73" s="316" t="s">
        <v>88</v>
      </c>
      <c r="AU73" s="316" t="s">
        <v>88</v>
      </c>
      <c r="AV73" s="316" t="s">
        <v>88</v>
      </c>
      <c r="AW73" s="316" t="s">
        <v>88</v>
      </c>
      <c r="AX73" s="316" t="s">
        <v>88</v>
      </c>
      <c r="AY73" s="316" t="s">
        <v>88</v>
      </c>
      <c r="AZ73" s="316" t="s">
        <v>88</v>
      </c>
      <c r="BA73" s="316" t="s">
        <v>88</v>
      </c>
      <c r="BB73" s="316" t="s">
        <v>88</v>
      </c>
      <c r="BC73" s="316" t="s">
        <v>88</v>
      </c>
      <c r="BD73" s="316" t="s">
        <v>88</v>
      </c>
      <c r="BE73" s="316" t="s">
        <v>88</v>
      </c>
      <c r="BF73" s="316" t="s">
        <v>88</v>
      </c>
      <c r="BG73" s="316" t="s">
        <v>88</v>
      </c>
      <c r="BH73" s="316" t="s">
        <v>88</v>
      </c>
      <c r="BI73" s="316" t="s">
        <v>88</v>
      </c>
      <c r="BJ73" s="316" t="s">
        <v>88</v>
      </c>
      <c r="BK73" s="316" t="s">
        <v>88</v>
      </c>
      <c r="BL73" s="354" t="s">
        <v>89</v>
      </c>
      <c r="BM73" s="364" t="s">
        <v>122</v>
      </c>
      <c r="BN73" s="354" t="s">
        <v>91</v>
      </c>
      <c r="BO73" s="354">
        <v>225876</v>
      </c>
      <c r="BP73" s="354" t="s">
        <v>92</v>
      </c>
      <c r="BQ73" s="354" t="s">
        <v>93</v>
      </c>
      <c r="BR73" s="354" t="s">
        <v>94</v>
      </c>
      <c r="BS73" s="354">
        <v>63250612</v>
      </c>
      <c r="BT73" s="354" t="s">
        <v>95</v>
      </c>
      <c r="BU73" s="354" t="s">
        <v>112</v>
      </c>
      <c r="BV73" s="477"/>
    </row>
    <row r="74" spans="1:74" s="2" customFormat="1" ht="24.9" customHeight="1">
      <c r="A74" s="147" t="s">
        <v>85</v>
      </c>
      <c r="B74" s="356" t="s">
        <v>164</v>
      </c>
      <c r="C74" s="369"/>
      <c r="D74" s="356"/>
      <c r="E74" s="363">
        <v>46218</v>
      </c>
      <c r="F74" s="358">
        <v>2</v>
      </c>
      <c r="G74" s="358">
        <v>29</v>
      </c>
      <c r="H74" s="316" t="s">
        <v>88</v>
      </c>
      <c r="I74" s="316" t="s">
        <v>88</v>
      </c>
      <c r="J74" s="316" t="s">
        <v>88</v>
      </c>
      <c r="K74" s="316" t="s">
        <v>88</v>
      </c>
      <c r="L74" s="316" t="s">
        <v>88</v>
      </c>
      <c r="M74" s="316" t="s">
        <v>88</v>
      </c>
      <c r="N74" s="316" t="s">
        <v>88</v>
      </c>
      <c r="O74" s="316" t="s">
        <v>88</v>
      </c>
      <c r="P74" s="316" t="s">
        <v>88</v>
      </c>
      <c r="Q74" s="316" t="s">
        <v>88</v>
      </c>
      <c r="R74" s="316" t="s">
        <v>88</v>
      </c>
      <c r="S74" s="316" t="s">
        <v>88</v>
      </c>
      <c r="T74" s="316" t="s">
        <v>88</v>
      </c>
      <c r="U74" s="316" t="s">
        <v>88</v>
      </c>
      <c r="V74" s="316" t="s">
        <v>88</v>
      </c>
      <c r="W74" s="316" t="s">
        <v>88</v>
      </c>
      <c r="X74" s="316" t="s">
        <v>88</v>
      </c>
      <c r="Y74" s="316" t="s">
        <v>88</v>
      </c>
      <c r="Z74" s="316" t="s">
        <v>88</v>
      </c>
      <c r="AA74" s="316" t="s">
        <v>88</v>
      </c>
      <c r="AB74" s="316" t="s">
        <v>88</v>
      </c>
      <c r="AC74" s="316" t="s">
        <v>88</v>
      </c>
      <c r="AD74" s="316" t="s">
        <v>88</v>
      </c>
      <c r="AE74" s="316" t="s">
        <v>88</v>
      </c>
      <c r="AF74" s="316" t="s">
        <v>88</v>
      </c>
      <c r="AG74" s="316" t="s">
        <v>88</v>
      </c>
      <c r="AH74" s="316" t="s">
        <v>88</v>
      </c>
      <c r="AI74" s="316" t="s">
        <v>88</v>
      </c>
      <c r="AJ74" s="316" t="s">
        <v>88</v>
      </c>
      <c r="AK74" s="316" t="s">
        <v>88</v>
      </c>
      <c r="AL74" s="316" t="s">
        <v>88</v>
      </c>
      <c r="AM74" s="316" t="s">
        <v>88</v>
      </c>
      <c r="AN74" s="316" t="s">
        <v>88</v>
      </c>
      <c r="AO74" s="316" t="s">
        <v>88</v>
      </c>
      <c r="AP74" s="316" t="s">
        <v>88</v>
      </c>
      <c r="AQ74" s="316" t="s">
        <v>88</v>
      </c>
      <c r="AR74" s="316" t="s">
        <v>88</v>
      </c>
      <c r="AS74" s="316" t="s">
        <v>88</v>
      </c>
      <c r="AT74" s="316" t="s">
        <v>88</v>
      </c>
      <c r="AU74" s="316" t="s">
        <v>88</v>
      </c>
      <c r="AV74" s="316" t="s">
        <v>88</v>
      </c>
      <c r="AW74" s="316" t="s">
        <v>88</v>
      </c>
      <c r="AX74" s="316" t="s">
        <v>88</v>
      </c>
      <c r="AY74" s="316" t="s">
        <v>88</v>
      </c>
      <c r="AZ74" s="371" t="s">
        <v>88</v>
      </c>
      <c r="BA74" s="371">
        <v>46.33</v>
      </c>
      <c r="BB74" s="371" t="s">
        <v>88</v>
      </c>
      <c r="BC74" s="371">
        <v>40.020000000000003</v>
      </c>
      <c r="BD74" s="371">
        <v>88.68</v>
      </c>
      <c r="BE74" s="316" t="s">
        <v>88</v>
      </c>
      <c r="BF74" s="371" t="s">
        <v>88</v>
      </c>
      <c r="BG74" s="371">
        <v>46.33</v>
      </c>
      <c r="BH74" s="371" t="s">
        <v>88</v>
      </c>
      <c r="BI74" s="371">
        <v>40.020000000000003</v>
      </c>
      <c r="BJ74" s="459">
        <v>65.53</v>
      </c>
      <c r="BK74" s="316" t="s">
        <v>88</v>
      </c>
      <c r="BL74" s="354" t="s">
        <v>89</v>
      </c>
      <c r="BM74" s="364" t="s">
        <v>122</v>
      </c>
      <c r="BN74" s="354" t="s">
        <v>91</v>
      </c>
      <c r="BO74" s="354">
        <v>225876</v>
      </c>
      <c r="BP74" s="354" t="s">
        <v>92</v>
      </c>
      <c r="BQ74" s="354" t="s">
        <v>93</v>
      </c>
      <c r="BR74" s="354" t="s">
        <v>94</v>
      </c>
      <c r="BS74" s="354">
        <v>63250612</v>
      </c>
      <c r="BT74" s="354" t="s">
        <v>95</v>
      </c>
      <c r="BU74" s="354" t="s">
        <v>112</v>
      </c>
      <c r="BV74" s="477"/>
    </row>
    <row r="75" spans="1:74" s="2" customFormat="1" ht="24.9" customHeight="1">
      <c r="A75" s="147" t="s">
        <v>85</v>
      </c>
      <c r="B75" s="356" t="s">
        <v>165</v>
      </c>
      <c r="C75" s="369"/>
      <c r="D75" s="356"/>
      <c r="E75" s="363">
        <v>46218</v>
      </c>
      <c r="F75" s="358">
        <v>3</v>
      </c>
      <c r="G75" s="358">
        <v>29</v>
      </c>
      <c r="H75" s="512" t="s">
        <v>101</v>
      </c>
      <c r="I75" s="371">
        <v>304</v>
      </c>
      <c r="J75" s="371">
        <v>358</v>
      </c>
      <c r="K75" s="371">
        <v>336</v>
      </c>
      <c r="L75" s="371">
        <v>201</v>
      </c>
      <c r="M75" s="371">
        <v>350</v>
      </c>
      <c r="N75" s="371">
        <v>244.6</v>
      </c>
      <c r="O75" s="316" t="s">
        <v>88</v>
      </c>
      <c r="P75" s="316" t="s">
        <v>88</v>
      </c>
      <c r="Q75" s="371">
        <v>-1.37</v>
      </c>
      <c r="R75" s="316" t="s">
        <v>88</v>
      </c>
      <c r="S75" s="316" t="s">
        <v>88</v>
      </c>
      <c r="T75" s="316" t="s">
        <v>88</v>
      </c>
      <c r="U75" s="316" t="s">
        <v>88</v>
      </c>
      <c r="V75" s="316" t="s">
        <v>88</v>
      </c>
      <c r="W75" s="316" t="s">
        <v>88</v>
      </c>
      <c r="X75" s="316" t="s">
        <v>88</v>
      </c>
      <c r="Y75" s="316" t="s">
        <v>88</v>
      </c>
      <c r="Z75" s="316" t="s">
        <v>88</v>
      </c>
      <c r="AA75" s="316" t="s">
        <v>88</v>
      </c>
      <c r="AB75" s="316" t="s">
        <v>88</v>
      </c>
      <c r="AC75" s="316" t="s">
        <v>88</v>
      </c>
      <c r="AD75" s="316" t="s">
        <v>88</v>
      </c>
      <c r="AE75" s="316" t="s">
        <v>88</v>
      </c>
      <c r="AF75" s="316" t="s">
        <v>88</v>
      </c>
      <c r="AG75" s="371">
        <v>-1.54</v>
      </c>
      <c r="AH75" s="316" t="s">
        <v>88</v>
      </c>
      <c r="AI75" s="316" t="s">
        <v>88</v>
      </c>
      <c r="AJ75" s="316" t="s">
        <v>88</v>
      </c>
      <c r="AK75" s="316" t="s">
        <v>88</v>
      </c>
      <c r="AL75" s="316" t="s">
        <v>88</v>
      </c>
      <c r="AM75" s="316" t="s">
        <v>88</v>
      </c>
      <c r="AN75" s="316" t="s">
        <v>88</v>
      </c>
      <c r="AO75" s="316" t="s">
        <v>88</v>
      </c>
      <c r="AP75" s="316" t="s">
        <v>88</v>
      </c>
      <c r="AQ75" s="316" t="s">
        <v>88</v>
      </c>
      <c r="AR75" s="316" t="s">
        <v>88</v>
      </c>
      <c r="AS75" s="316" t="s">
        <v>88</v>
      </c>
      <c r="AT75" s="316" t="s">
        <v>88</v>
      </c>
      <c r="AU75" s="316" t="s">
        <v>88</v>
      </c>
      <c r="AV75" s="316" t="s">
        <v>88</v>
      </c>
      <c r="AW75" s="316" t="s">
        <v>88</v>
      </c>
      <c r="AX75" s="316" t="s">
        <v>88</v>
      </c>
      <c r="AY75" s="316" t="s">
        <v>88</v>
      </c>
      <c r="AZ75" s="316" t="s">
        <v>88</v>
      </c>
      <c r="BA75" s="316" t="s">
        <v>88</v>
      </c>
      <c r="BB75" s="316" t="s">
        <v>88</v>
      </c>
      <c r="BC75" s="316" t="s">
        <v>88</v>
      </c>
      <c r="BD75" s="316" t="s">
        <v>88</v>
      </c>
      <c r="BE75" s="316" t="s">
        <v>88</v>
      </c>
      <c r="BF75" s="316" t="s">
        <v>88</v>
      </c>
      <c r="BG75" s="316" t="s">
        <v>88</v>
      </c>
      <c r="BH75" s="316" t="s">
        <v>88</v>
      </c>
      <c r="BI75" s="316" t="s">
        <v>88</v>
      </c>
      <c r="BJ75" s="316" t="s">
        <v>88</v>
      </c>
      <c r="BK75" s="316" t="s">
        <v>88</v>
      </c>
      <c r="BL75" s="354" t="s">
        <v>89</v>
      </c>
      <c r="BM75" s="364" t="s">
        <v>122</v>
      </c>
      <c r="BN75" s="354" t="s">
        <v>91</v>
      </c>
      <c r="BO75" s="354">
        <v>225876</v>
      </c>
      <c r="BP75" s="354" t="s">
        <v>92</v>
      </c>
      <c r="BQ75" s="354" t="s">
        <v>93</v>
      </c>
      <c r="BR75" s="354" t="s">
        <v>94</v>
      </c>
      <c r="BS75" s="354">
        <v>63250612</v>
      </c>
      <c r="BT75" s="354" t="s">
        <v>95</v>
      </c>
      <c r="BU75" s="354" t="s">
        <v>112</v>
      </c>
      <c r="BV75" s="477"/>
    </row>
    <row r="76" spans="1:74" s="2" customFormat="1" ht="24.9" customHeight="1">
      <c r="A76" s="147" t="s">
        <v>85</v>
      </c>
      <c r="B76" s="356" t="s">
        <v>166</v>
      </c>
      <c r="C76" s="369"/>
      <c r="D76" s="356"/>
      <c r="E76" s="363">
        <v>46218</v>
      </c>
      <c r="F76" s="358">
        <v>3</v>
      </c>
      <c r="G76" s="358">
        <v>29</v>
      </c>
      <c r="H76" s="316" t="s">
        <v>88</v>
      </c>
      <c r="I76" s="316" t="s">
        <v>88</v>
      </c>
      <c r="J76" s="316" t="s">
        <v>88</v>
      </c>
      <c r="K76" s="316" t="s">
        <v>88</v>
      </c>
      <c r="L76" s="316" t="s">
        <v>88</v>
      </c>
      <c r="M76" s="316" t="s">
        <v>88</v>
      </c>
      <c r="N76" s="316" t="s">
        <v>88</v>
      </c>
      <c r="O76" s="316" t="s">
        <v>88</v>
      </c>
      <c r="P76" s="316" t="s">
        <v>88</v>
      </c>
      <c r="Q76" s="316" t="s">
        <v>88</v>
      </c>
      <c r="R76" s="316" t="s">
        <v>88</v>
      </c>
      <c r="S76" s="316" t="s">
        <v>88</v>
      </c>
      <c r="T76" s="316" t="s">
        <v>88</v>
      </c>
      <c r="U76" s="316" t="s">
        <v>88</v>
      </c>
      <c r="V76" s="316" t="s">
        <v>88</v>
      </c>
      <c r="W76" s="316" t="s">
        <v>88</v>
      </c>
      <c r="X76" s="316" t="s">
        <v>88</v>
      </c>
      <c r="Y76" s="316" t="s">
        <v>88</v>
      </c>
      <c r="Z76" s="316" t="s">
        <v>88</v>
      </c>
      <c r="AA76" s="316" t="s">
        <v>88</v>
      </c>
      <c r="AB76" s="316" t="s">
        <v>88</v>
      </c>
      <c r="AC76" s="316" t="s">
        <v>88</v>
      </c>
      <c r="AD76" s="316" t="s">
        <v>88</v>
      </c>
      <c r="AE76" s="316" t="s">
        <v>88</v>
      </c>
      <c r="AF76" s="316" t="s">
        <v>88</v>
      </c>
      <c r="AG76" s="316" t="s">
        <v>88</v>
      </c>
      <c r="AH76" s="316" t="s">
        <v>88</v>
      </c>
      <c r="AI76" s="316" t="s">
        <v>88</v>
      </c>
      <c r="AJ76" s="316" t="s">
        <v>88</v>
      </c>
      <c r="AK76" s="316" t="s">
        <v>88</v>
      </c>
      <c r="AL76" s="316" t="s">
        <v>88</v>
      </c>
      <c r="AM76" s="316" t="s">
        <v>88</v>
      </c>
      <c r="AN76" s="316" t="s">
        <v>88</v>
      </c>
      <c r="AO76" s="316" t="s">
        <v>88</v>
      </c>
      <c r="AP76" s="316" t="s">
        <v>88</v>
      </c>
      <c r="AQ76" s="316" t="s">
        <v>88</v>
      </c>
      <c r="AR76" s="316" t="s">
        <v>88</v>
      </c>
      <c r="AS76" s="316" t="s">
        <v>88</v>
      </c>
      <c r="AT76" s="316" t="s">
        <v>88</v>
      </c>
      <c r="AU76" s="316" t="s">
        <v>88</v>
      </c>
      <c r="AV76" s="316" t="s">
        <v>88</v>
      </c>
      <c r="AW76" s="316" t="s">
        <v>88</v>
      </c>
      <c r="AX76" s="316" t="s">
        <v>88</v>
      </c>
      <c r="AY76" s="316" t="s">
        <v>88</v>
      </c>
      <c r="AZ76" s="371" t="s">
        <v>88</v>
      </c>
      <c r="BA76" s="371">
        <v>37.71</v>
      </c>
      <c r="BB76" s="371" t="s">
        <v>88</v>
      </c>
      <c r="BC76" s="371">
        <v>29.82</v>
      </c>
      <c r="BD76" s="371">
        <v>91.04</v>
      </c>
      <c r="BE76" s="316" t="s">
        <v>88</v>
      </c>
      <c r="BF76" s="371">
        <v>62.18</v>
      </c>
      <c r="BG76" s="371">
        <v>44.95</v>
      </c>
      <c r="BH76" s="371">
        <v>51.8</v>
      </c>
      <c r="BI76" s="371">
        <v>37.67</v>
      </c>
      <c r="BJ76" s="316" t="s">
        <v>88</v>
      </c>
      <c r="BK76" s="316" t="s">
        <v>88</v>
      </c>
      <c r="BL76" s="354" t="s">
        <v>89</v>
      </c>
      <c r="BM76" s="364" t="s">
        <v>122</v>
      </c>
      <c r="BN76" s="354" t="s">
        <v>91</v>
      </c>
      <c r="BO76" s="354">
        <v>225876</v>
      </c>
      <c r="BP76" s="354" t="s">
        <v>92</v>
      </c>
      <c r="BQ76" s="354" t="s">
        <v>93</v>
      </c>
      <c r="BR76" s="354" t="s">
        <v>94</v>
      </c>
      <c r="BS76" s="354">
        <v>63250612</v>
      </c>
      <c r="BT76" s="354" t="s">
        <v>95</v>
      </c>
      <c r="BU76" s="354" t="s">
        <v>112</v>
      </c>
      <c r="BV76" s="477"/>
    </row>
    <row r="77" spans="1:74" s="2" customFormat="1" ht="24.9" customHeight="1">
      <c r="A77" s="147" t="s">
        <v>85</v>
      </c>
      <c r="B77" s="356" t="s">
        <v>167</v>
      </c>
      <c r="C77" s="369"/>
      <c r="D77" s="356"/>
      <c r="E77" s="363">
        <v>46218</v>
      </c>
      <c r="F77" s="358">
        <v>3</v>
      </c>
      <c r="G77" s="358">
        <v>29</v>
      </c>
      <c r="H77" s="316" t="s">
        <v>88</v>
      </c>
      <c r="I77" s="316" t="s">
        <v>88</v>
      </c>
      <c r="J77" s="316" t="s">
        <v>88</v>
      </c>
      <c r="K77" s="316" t="s">
        <v>88</v>
      </c>
      <c r="L77" s="316" t="s">
        <v>88</v>
      </c>
      <c r="M77" s="316" t="s">
        <v>88</v>
      </c>
      <c r="N77" s="316" t="s">
        <v>88</v>
      </c>
      <c r="O77" s="316" t="s">
        <v>88</v>
      </c>
      <c r="P77" s="316" t="s">
        <v>88</v>
      </c>
      <c r="Q77" s="316" t="s">
        <v>88</v>
      </c>
      <c r="R77" s="316" t="s">
        <v>88</v>
      </c>
      <c r="S77" s="316" t="s">
        <v>88</v>
      </c>
      <c r="T77" s="316" t="s">
        <v>88</v>
      </c>
      <c r="U77" s="316" t="s">
        <v>88</v>
      </c>
      <c r="V77" s="316" t="s">
        <v>88</v>
      </c>
      <c r="W77" s="316" t="s">
        <v>88</v>
      </c>
      <c r="X77" s="316" t="s">
        <v>88</v>
      </c>
      <c r="Y77" s="316" t="s">
        <v>88</v>
      </c>
      <c r="Z77" s="316" t="s">
        <v>88</v>
      </c>
      <c r="AA77" s="316" t="s">
        <v>88</v>
      </c>
      <c r="AB77" s="316" t="s">
        <v>88</v>
      </c>
      <c r="AC77" s="371">
        <v>2.2400000000000002</v>
      </c>
      <c r="AD77" s="371">
        <v>2.15</v>
      </c>
      <c r="AE77" s="371">
        <v>2.1</v>
      </c>
      <c r="AF77" s="371">
        <f>AVERAGE(AC77:AE77)</f>
        <v>2.1633333333333336</v>
      </c>
      <c r="AG77" s="316" t="s">
        <v>88</v>
      </c>
      <c r="AH77" s="371" t="s">
        <v>99</v>
      </c>
      <c r="AI77" s="371" t="s">
        <v>99</v>
      </c>
      <c r="AJ77" s="371" t="s">
        <v>99</v>
      </c>
      <c r="AK77" s="371" t="s">
        <v>99</v>
      </c>
      <c r="AL77" s="371" t="s">
        <v>99</v>
      </c>
      <c r="AM77" s="371" t="s">
        <v>99</v>
      </c>
      <c r="AN77" s="316" t="s">
        <v>88</v>
      </c>
      <c r="AO77" s="316" t="s">
        <v>88</v>
      </c>
      <c r="AP77" s="316" t="s">
        <v>88</v>
      </c>
      <c r="AQ77" s="316" t="s">
        <v>88</v>
      </c>
      <c r="AR77" s="316" t="s">
        <v>88</v>
      </c>
      <c r="AS77" s="316" t="s">
        <v>88</v>
      </c>
      <c r="AT77" s="316" t="s">
        <v>88</v>
      </c>
      <c r="AU77" s="316" t="s">
        <v>88</v>
      </c>
      <c r="AV77" s="316" t="s">
        <v>88</v>
      </c>
      <c r="AW77" s="316" t="s">
        <v>88</v>
      </c>
      <c r="AX77" s="316" t="s">
        <v>88</v>
      </c>
      <c r="AY77" s="316" t="s">
        <v>88</v>
      </c>
      <c r="AZ77" s="316" t="s">
        <v>88</v>
      </c>
      <c r="BA77" s="316" t="s">
        <v>88</v>
      </c>
      <c r="BB77" s="316" t="s">
        <v>88</v>
      </c>
      <c r="BC77" s="316" t="s">
        <v>88</v>
      </c>
      <c r="BD77" s="316" t="s">
        <v>88</v>
      </c>
      <c r="BE77" s="316" t="s">
        <v>88</v>
      </c>
      <c r="BF77" s="316" t="s">
        <v>88</v>
      </c>
      <c r="BG77" s="316" t="s">
        <v>88</v>
      </c>
      <c r="BH77" s="316" t="s">
        <v>88</v>
      </c>
      <c r="BI77" s="316" t="s">
        <v>88</v>
      </c>
      <c r="BJ77" s="316" t="s">
        <v>88</v>
      </c>
      <c r="BK77" s="316" t="s">
        <v>88</v>
      </c>
      <c r="BL77" s="354" t="s">
        <v>89</v>
      </c>
      <c r="BM77" s="364" t="s">
        <v>122</v>
      </c>
      <c r="BN77" s="354" t="s">
        <v>91</v>
      </c>
      <c r="BO77" s="354">
        <v>225876</v>
      </c>
      <c r="BP77" s="354" t="s">
        <v>92</v>
      </c>
      <c r="BQ77" s="354" t="s">
        <v>93</v>
      </c>
      <c r="BR77" s="354" t="s">
        <v>94</v>
      </c>
      <c r="BS77" s="354">
        <v>63250612</v>
      </c>
      <c r="BT77" s="354" t="s">
        <v>95</v>
      </c>
      <c r="BU77" s="354" t="s">
        <v>112</v>
      </c>
      <c r="BV77" s="477"/>
    </row>
    <row r="78" spans="1:74" s="2" customFormat="1" ht="24.9" customHeight="1">
      <c r="A78" s="147" t="s">
        <v>85</v>
      </c>
      <c r="B78" s="356" t="s">
        <v>168</v>
      </c>
      <c r="C78" s="369"/>
      <c r="D78" s="356"/>
      <c r="E78" s="363">
        <v>46219</v>
      </c>
      <c r="F78" s="358">
        <v>1</v>
      </c>
      <c r="G78" s="358">
        <v>29</v>
      </c>
      <c r="H78" s="512" t="s">
        <v>101</v>
      </c>
      <c r="I78" s="371">
        <v>323</v>
      </c>
      <c r="J78" s="371">
        <v>441</v>
      </c>
      <c r="K78" s="371">
        <v>385.08</v>
      </c>
      <c r="L78" s="371">
        <v>202.9</v>
      </c>
      <c r="M78" s="371">
        <v>278.89999999999998</v>
      </c>
      <c r="N78" s="371">
        <v>249.5</v>
      </c>
      <c r="O78" s="316" t="s">
        <v>88</v>
      </c>
      <c r="P78" s="316" t="s">
        <v>88</v>
      </c>
      <c r="Q78" s="371">
        <v>-0.84</v>
      </c>
      <c r="R78" s="316" t="s">
        <v>88</v>
      </c>
      <c r="S78" s="316" t="s">
        <v>88</v>
      </c>
      <c r="T78" s="316" t="s">
        <v>88</v>
      </c>
      <c r="U78" s="316" t="s">
        <v>88</v>
      </c>
      <c r="V78" s="316" t="s">
        <v>88</v>
      </c>
      <c r="W78" s="316" t="s">
        <v>88</v>
      </c>
      <c r="X78" s="316" t="s">
        <v>88</v>
      </c>
      <c r="Y78" s="316" t="s">
        <v>88</v>
      </c>
      <c r="Z78" s="316" t="s">
        <v>88</v>
      </c>
      <c r="AA78" s="316" t="s">
        <v>88</v>
      </c>
      <c r="AB78" s="316" t="s">
        <v>88</v>
      </c>
      <c r="AC78" s="316" t="s">
        <v>88</v>
      </c>
      <c r="AD78" s="316" t="s">
        <v>88</v>
      </c>
      <c r="AE78" s="316" t="s">
        <v>88</v>
      </c>
      <c r="AF78" s="316" t="s">
        <v>88</v>
      </c>
      <c r="AG78" s="371">
        <v>2.36</v>
      </c>
      <c r="AH78" s="316" t="s">
        <v>88</v>
      </c>
      <c r="AI78" s="316" t="s">
        <v>88</v>
      </c>
      <c r="AJ78" s="316" t="s">
        <v>88</v>
      </c>
      <c r="AK78" s="316" t="s">
        <v>88</v>
      </c>
      <c r="AL78" s="316" t="s">
        <v>88</v>
      </c>
      <c r="AM78" s="316" t="s">
        <v>88</v>
      </c>
      <c r="AN78" s="316" t="s">
        <v>88</v>
      </c>
      <c r="AO78" s="316" t="s">
        <v>88</v>
      </c>
      <c r="AP78" s="316" t="s">
        <v>88</v>
      </c>
      <c r="AQ78" s="316" t="s">
        <v>88</v>
      </c>
      <c r="AR78" s="316" t="s">
        <v>88</v>
      </c>
      <c r="AS78" s="316" t="s">
        <v>88</v>
      </c>
      <c r="AT78" s="316" t="s">
        <v>88</v>
      </c>
      <c r="AU78" s="316" t="s">
        <v>88</v>
      </c>
      <c r="AV78" s="316" t="s">
        <v>88</v>
      </c>
      <c r="AW78" s="316" t="s">
        <v>88</v>
      </c>
      <c r="AX78" s="316" t="s">
        <v>88</v>
      </c>
      <c r="AY78" s="316" t="s">
        <v>88</v>
      </c>
      <c r="AZ78" s="316" t="s">
        <v>88</v>
      </c>
      <c r="BA78" s="316" t="s">
        <v>88</v>
      </c>
      <c r="BB78" s="316" t="s">
        <v>88</v>
      </c>
      <c r="BC78" s="316" t="s">
        <v>88</v>
      </c>
      <c r="BD78" s="316" t="s">
        <v>88</v>
      </c>
      <c r="BE78" s="316" t="s">
        <v>88</v>
      </c>
      <c r="BF78" s="316" t="s">
        <v>88</v>
      </c>
      <c r="BG78" s="316" t="s">
        <v>88</v>
      </c>
      <c r="BH78" s="316" t="s">
        <v>88</v>
      </c>
      <c r="BI78" s="316" t="s">
        <v>88</v>
      </c>
      <c r="BJ78" s="316" t="s">
        <v>88</v>
      </c>
      <c r="BK78" s="316" t="s">
        <v>88</v>
      </c>
      <c r="BL78" s="354" t="s">
        <v>89</v>
      </c>
      <c r="BM78" s="364" t="s">
        <v>122</v>
      </c>
      <c r="BN78" s="354" t="s">
        <v>91</v>
      </c>
      <c r="BO78" s="354">
        <v>225876</v>
      </c>
      <c r="BP78" s="354" t="s">
        <v>92</v>
      </c>
      <c r="BQ78" s="354" t="s">
        <v>93</v>
      </c>
      <c r="BR78" s="354" t="s">
        <v>94</v>
      </c>
      <c r="BS78" s="354">
        <v>63250612</v>
      </c>
      <c r="BT78" s="354" t="s">
        <v>95</v>
      </c>
      <c r="BU78" s="354" t="s">
        <v>112</v>
      </c>
      <c r="BV78" s="477"/>
    </row>
    <row r="79" spans="1:74" s="2" customFormat="1" ht="24.9" customHeight="1">
      <c r="A79" s="147" t="s">
        <v>85</v>
      </c>
      <c r="B79" s="356" t="s">
        <v>169</v>
      </c>
      <c r="C79" s="369"/>
      <c r="D79" s="356"/>
      <c r="E79" s="363">
        <v>46219</v>
      </c>
      <c r="F79" s="358">
        <v>1</v>
      </c>
      <c r="G79" s="358">
        <v>29</v>
      </c>
      <c r="H79" s="316" t="s">
        <v>88</v>
      </c>
      <c r="I79" s="316" t="s">
        <v>88</v>
      </c>
      <c r="J79" s="316" t="s">
        <v>88</v>
      </c>
      <c r="K79" s="316" t="s">
        <v>88</v>
      </c>
      <c r="L79" s="316" t="s">
        <v>88</v>
      </c>
      <c r="M79" s="316" t="s">
        <v>88</v>
      </c>
      <c r="N79" s="316" t="s">
        <v>88</v>
      </c>
      <c r="O79" s="316" t="s">
        <v>88</v>
      </c>
      <c r="P79" s="316" t="s">
        <v>88</v>
      </c>
      <c r="Q79" s="316" t="s">
        <v>88</v>
      </c>
      <c r="R79" s="316" t="s">
        <v>88</v>
      </c>
      <c r="S79" s="316" t="s">
        <v>88</v>
      </c>
      <c r="T79" s="316" t="s">
        <v>88</v>
      </c>
      <c r="U79" s="316" t="s">
        <v>88</v>
      </c>
      <c r="V79" s="316" t="s">
        <v>88</v>
      </c>
      <c r="W79" s="316" t="s">
        <v>88</v>
      </c>
      <c r="X79" s="316" t="s">
        <v>88</v>
      </c>
      <c r="Y79" s="316" t="s">
        <v>88</v>
      </c>
      <c r="Z79" s="316" t="s">
        <v>88</v>
      </c>
      <c r="AA79" s="316" t="s">
        <v>88</v>
      </c>
      <c r="AB79" s="316" t="s">
        <v>88</v>
      </c>
      <c r="AC79" s="316" t="s">
        <v>88</v>
      </c>
      <c r="AD79" s="316" t="s">
        <v>88</v>
      </c>
      <c r="AE79" s="316" t="s">
        <v>88</v>
      </c>
      <c r="AF79" s="316" t="s">
        <v>88</v>
      </c>
      <c r="AG79" s="316" t="s">
        <v>88</v>
      </c>
      <c r="AH79" s="316" t="s">
        <v>88</v>
      </c>
      <c r="AI79" s="316" t="s">
        <v>88</v>
      </c>
      <c r="AJ79" s="316" t="s">
        <v>88</v>
      </c>
      <c r="AK79" s="316" t="s">
        <v>88</v>
      </c>
      <c r="AL79" s="316" t="s">
        <v>88</v>
      </c>
      <c r="AM79" s="316" t="s">
        <v>88</v>
      </c>
      <c r="AN79" s="316" t="s">
        <v>88</v>
      </c>
      <c r="AO79" s="316" t="s">
        <v>88</v>
      </c>
      <c r="AP79" s="316" t="s">
        <v>88</v>
      </c>
      <c r="AQ79" s="316" t="s">
        <v>88</v>
      </c>
      <c r="AR79" s="316" t="s">
        <v>88</v>
      </c>
      <c r="AS79" s="316" t="s">
        <v>88</v>
      </c>
      <c r="AT79" s="316" t="s">
        <v>88</v>
      </c>
      <c r="AU79" s="316" t="s">
        <v>88</v>
      </c>
      <c r="AV79" s="316" t="s">
        <v>88</v>
      </c>
      <c r="AW79" s="316" t="s">
        <v>88</v>
      </c>
      <c r="AX79" s="316" t="s">
        <v>88</v>
      </c>
      <c r="AY79" s="316" t="s">
        <v>88</v>
      </c>
      <c r="AZ79" s="371">
        <v>57.66</v>
      </c>
      <c r="BA79" s="371">
        <v>37.119999999999997</v>
      </c>
      <c r="BB79" s="371">
        <v>45.91</v>
      </c>
      <c r="BC79" s="371">
        <v>49.53</v>
      </c>
      <c r="BD79" s="316" t="s">
        <v>88</v>
      </c>
      <c r="BE79" s="316" t="s">
        <v>88</v>
      </c>
      <c r="BF79" s="371">
        <v>57.66</v>
      </c>
      <c r="BG79" s="371">
        <v>37.119999999999997</v>
      </c>
      <c r="BH79" s="371">
        <v>45.91</v>
      </c>
      <c r="BI79" s="371">
        <v>34.53</v>
      </c>
      <c r="BJ79" s="316" t="s">
        <v>88</v>
      </c>
      <c r="BK79" s="316" t="s">
        <v>88</v>
      </c>
      <c r="BL79" s="354" t="s">
        <v>89</v>
      </c>
      <c r="BM79" s="364" t="s">
        <v>122</v>
      </c>
      <c r="BN79" s="354" t="s">
        <v>91</v>
      </c>
      <c r="BO79" s="354">
        <v>225876</v>
      </c>
      <c r="BP79" s="354" t="s">
        <v>92</v>
      </c>
      <c r="BQ79" s="354" t="s">
        <v>93</v>
      </c>
      <c r="BR79" s="354" t="s">
        <v>94</v>
      </c>
      <c r="BS79" s="354">
        <v>63250612</v>
      </c>
      <c r="BT79" s="354" t="s">
        <v>95</v>
      </c>
      <c r="BU79" s="354" t="s">
        <v>112</v>
      </c>
      <c r="BV79" s="477"/>
    </row>
    <row r="80" spans="1:74" s="2" customFormat="1" ht="24.9" customHeight="1">
      <c r="A80" s="147" t="s">
        <v>85</v>
      </c>
      <c r="B80" s="356" t="s">
        <v>170</v>
      </c>
      <c r="C80" s="369"/>
      <c r="D80" s="356"/>
      <c r="E80" s="363">
        <v>46219</v>
      </c>
      <c r="F80" s="358">
        <v>2</v>
      </c>
      <c r="G80" s="358">
        <v>29</v>
      </c>
      <c r="H80" s="539" t="s">
        <v>171</v>
      </c>
      <c r="I80" s="371">
        <v>315</v>
      </c>
      <c r="J80" s="371">
        <v>426</v>
      </c>
      <c r="K80" s="371">
        <v>343</v>
      </c>
      <c r="L80" s="538">
        <v>148</v>
      </c>
      <c r="M80" s="459" t="s">
        <v>88</v>
      </c>
      <c r="N80" s="459" t="s">
        <v>88</v>
      </c>
      <c r="O80" s="316" t="s">
        <v>88</v>
      </c>
      <c r="P80" s="316" t="s">
        <v>88</v>
      </c>
      <c r="Q80" s="316" t="s">
        <v>88</v>
      </c>
      <c r="R80" s="316" t="s">
        <v>88</v>
      </c>
      <c r="S80" s="316" t="s">
        <v>88</v>
      </c>
      <c r="T80" s="316" t="s">
        <v>88</v>
      </c>
      <c r="U80" s="316" t="s">
        <v>88</v>
      </c>
      <c r="V80" s="316" t="s">
        <v>88</v>
      </c>
      <c r="W80" s="316" t="s">
        <v>88</v>
      </c>
      <c r="X80" s="316" t="s">
        <v>88</v>
      </c>
      <c r="Y80" s="316" t="s">
        <v>88</v>
      </c>
      <c r="Z80" s="316" t="s">
        <v>88</v>
      </c>
      <c r="AA80" s="316" t="s">
        <v>88</v>
      </c>
      <c r="AB80" s="316" t="s">
        <v>88</v>
      </c>
      <c r="AC80" s="316" t="s">
        <v>88</v>
      </c>
      <c r="AD80" s="316" t="s">
        <v>88</v>
      </c>
      <c r="AE80" s="316" t="s">
        <v>88</v>
      </c>
      <c r="AF80" s="316" t="s">
        <v>88</v>
      </c>
      <c r="AG80" s="316" t="s">
        <v>88</v>
      </c>
      <c r="AH80" s="316" t="s">
        <v>88</v>
      </c>
      <c r="AI80" s="316" t="s">
        <v>88</v>
      </c>
      <c r="AJ80" s="316" t="s">
        <v>88</v>
      </c>
      <c r="AK80" s="316" t="s">
        <v>88</v>
      </c>
      <c r="AL80" s="316" t="s">
        <v>88</v>
      </c>
      <c r="AM80" s="316" t="s">
        <v>88</v>
      </c>
      <c r="AN80" s="316" t="s">
        <v>88</v>
      </c>
      <c r="AO80" s="316" t="s">
        <v>88</v>
      </c>
      <c r="AP80" s="316" t="s">
        <v>88</v>
      </c>
      <c r="AQ80" s="316" t="s">
        <v>88</v>
      </c>
      <c r="AR80" s="316" t="s">
        <v>88</v>
      </c>
      <c r="AS80" s="316" t="s">
        <v>88</v>
      </c>
      <c r="AT80" s="316" t="s">
        <v>88</v>
      </c>
      <c r="AU80" s="316" t="s">
        <v>88</v>
      </c>
      <c r="AV80" s="316" t="s">
        <v>88</v>
      </c>
      <c r="AW80" s="316" t="s">
        <v>88</v>
      </c>
      <c r="AX80" s="316" t="s">
        <v>88</v>
      </c>
      <c r="AY80" s="316" t="s">
        <v>88</v>
      </c>
      <c r="AZ80" s="307"/>
      <c r="BA80" s="307"/>
      <c r="BB80" s="307"/>
      <c r="BC80" s="307"/>
      <c r="BD80" s="307"/>
      <c r="BE80" s="307"/>
      <c r="BF80" s="307"/>
      <c r="BG80" s="307"/>
      <c r="BH80" s="307"/>
      <c r="BI80" s="307"/>
      <c r="BJ80" s="307"/>
      <c r="BK80" s="307"/>
      <c r="BL80" s="354" t="s">
        <v>89</v>
      </c>
      <c r="BM80" s="364" t="s">
        <v>122</v>
      </c>
      <c r="BN80" s="354" t="s">
        <v>91</v>
      </c>
      <c r="BO80" s="354">
        <v>225876</v>
      </c>
      <c r="BP80" s="354" t="s">
        <v>92</v>
      </c>
      <c r="BQ80" s="354" t="s">
        <v>93</v>
      </c>
      <c r="BR80" s="354" t="s">
        <v>94</v>
      </c>
      <c r="BS80" s="354">
        <v>63250612</v>
      </c>
      <c r="BT80" s="354" t="s">
        <v>95</v>
      </c>
      <c r="BU80" s="354" t="s">
        <v>112</v>
      </c>
      <c r="BV80" s="477"/>
    </row>
    <row r="81" spans="1:74" s="2" customFormat="1" ht="24.9" customHeight="1">
      <c r="A81" s="147" t="s">
        <v>85</v>
      </c>
      <c r="B81" s="356" t="s">
        <v>172</v>
      </c>
      <c r="C81" s="369"/>
      <c r="D81" s="356"/>
      <c r="E81" s="363">
        <v>46219</v>
      </c>
      <c r="F81" s="358">
        <v>2</v>
      </c>
      <c r="G81" s="358">
        <v>29</v>
      </c>
      <c r="H81" s="371" t="s">
        <v>101</v>
      </c>
      <c r="I81" s="371">
        <v>282</v>
      </c>
      <c r="J81" s="371">
        <v>414</v>
      </c>
      <c r="K81" s="371">
        <v>335</v>
      </c>
      <c r="L81" s="371">
        <v>233</v>
      </c>
      <c r="M81" s="371">
        <v>369</v>
      </c>
      <c r="N81" s="371">
        <v>308</v>
      </c>
      <c r="O81" s="316" t="s">
        <v>88</v>
      </c>
      <c r="P81" s="316" t="s">
        <v>88</v>
      </c>
      <c r="Q81" s="371">
        <v>-0.12</v>
      </c>
      <c r="R81" s="316" t="s">
        <v>88</v>
      </c>
      <c r="S81" s="316" t="s">
        <v>88</v>
      </c>
      <c r="T81" s="316" t="s">
        <v>88</v>
      </c>
      <c r="U81" s="316" t="s">
        <v>88</v>
      </c>
      <c r="V81" s="316" t="s">
        <v>88</v>
      </c>
      <c r="W81" s="316" t="s">
        <v>88</v>
      </c>
      <c r="X81" s="316" t="s">
        <v>88</v>
      </c>
      <c r="Y81" s="316" t="s">
        <v>88</v>
      </c>
      <c r="Z81" s="316" t="s">
        <v>88</v>
      </c>
      <c r="AA81" s="316" t="s">
        <v>88</v>
      </c>
      <c r="AB81" s="316" t="s">
        <v>88</v>
      </c>
      <c r="AC81" s="316" t="s">
        <v>88</v>
      </c>
      <c r="AD81" s="316" t="s">
        <v>88</v>
      </c>
      <c r="AE81" s="316" t="s">
        <v>88</v>
      </c>
      <c r="AF81" s="316" t="s">
        <v>88</v>
      </c>
      <c r="AG81" s="371">
        <v>6.75</v>
      </c>
      <c r="AH81" s="316" t="s">
        <v>88</v>
      </c>
      <c r="AI81" s="316" t="s">
        <v>88</v>
      </c>
      <c r="AJ81" s="316" t="s">
        <v>88</v>
      </c>
      <c r="AK81" s="316" t="s">
        <v>88</v>
      </c>
      <c r="AL81" s="316" t="s">
        <v>88</v>
      </c>
      <c r="AM81" s="316" t="s">
        <v>88</v>
      </c>
      <c r="AN81" s="316" t="s">
        <v>88</v>
      </c>
      <c r="AO81" s="316" t="s">
        <v>88</v>
      </c>
      <c r="AP81" s="316" t="s">
        <v>88</v>
      </c>
      <c r="AQ81" s="316" t="s">
        <v>88</v>
      </c>
      <c r="AR81" s="316" t="s">
        <v>88</v>
      </c>
      <c r="AS81" s="316" t="s">
        <v>88</v>
      </c>
      <c r="AT81" s="316" t="s">
        <v>88</v>
      </c>
      <c r="AU81" s="316" t="s">
        <v>88</v>
      </c>
      <c r="AV81" s="316" t="s">
        <v>88</v>
      </c>
      <c r="AW81" s="316" t="s">
        <v>88</v>
      </c>
      <c r="AX81" s="316" t="s">
        <v>88</v>
      </c>
      <c r="AY81" s="316" t="s">
        <v>88</v>
      </c>
      <c r="AZ81" s="316" t="s">
        <v>88</v>
      </c>
      <c r="BA81" s="316" t="s">
        <v>88</v>
      </c>
      <c r="BB81" s="316" t="s">
        <v>88</v>
      </c>
      <c r="BC81" s="316" t="s">
        <v>88</v>
      </c>
      <c r="BD81" s="316" t="s">
        <v>88</v>
      </c>
      <c r="BE81" s="316" t="s">
        <v>88</v>
      </c>
      <c r="BF81" s="316" t="s">
        <v>88</v>
      </c>
      <c r="BG81" s="316" t="s">
        <v>88</v>
      </c>
      <c r="BH81" s="316" t="s">
        <v>88</v>
      </c>
      <c r="BI81" s="316" t="s">
        <v>88</v>
      </c>
      <c r="BJ81" s="316" t="s">
        <v>88</v>
      </c>
      <c r="BK81" s="316" t="s">
        <v>88</v>
      </c>
      <c r="BL81" s="354" t="s">
        <v>89</v>
      </c>
      <c r="BM81" s="364" t="s">
        <v>122</v>
      </c>
      <c r="BN81" s="354" t="s">
        <v>91</v>
      </c>
      <c r="BO81" s="354">
        <v>225876</v>
      </c>
      <c r="BP81" s="354" t="s">
        <v>92</v>
      </c>
      <c r="BQ81" s="354" t="s">
        <v>93</v>
      </c>
      <c r="BR81" s="354" t="s">
        <v>94</v>
      </c>
      <c r="BS81" s="354">
        <v>63250612</v>
      </c>
      <c r="BT81" s="354" t="s">
        <v>95</v>
      </c>
      <c r="BU81" s="354" t="s">
        <v>112</v>
      </c>
      <c r="BV81" s="477"/>
    </row>
    <row r="82" spans="1:74" s="2" customFormat="1" ht="24.9" customHeight="1">
      <c r="A82" s="147" t="s">
        <v>85</v>
      </c>
      <c r="B82" s="356" t="s">
        <v>173</v>
      </c>
      <c r="C82" s="369"/>
      <c r="D82" s="356"/>
      <c r="E82" s="363">
        <v>46219</v>
      </c>
      <c r="F82" s="358">
        <v>2</v>
      </c>
      <c r="G82" s="358">
        <v>29</v>
      </c>
      <c r="H82" s="316" t="s">
        <v>88</v>
      </c>
      <c r="I82" s="316" t="s">
        <v>88</v>
      </c>
      <c r="J82" s="316" t="s">
        <v>88</v>
      </c>
      <c r="K82" s="316" t="s">
        <v>88</v>
      </c>
      <c r="L82" s="316" t="s">
        <v>88</v>
      </c>
      <c r="M82" s="316" t="s">
        <v>88</v>
      </c>
      <c r="N82" s="316" t="s">
        <v>88</v>
      </c>
      <c r="O82" s="316" t="s">
        <v>88</v>
      </c>
      <c r="P82" s="316" t="s">
        <v>88</v>
      </c>
      <c r="Q82" s="316" t="s">
        <v>88</v>
      </c>
      <c r="R82" s="316" t="s">
        <v>88</v>
      </c>
      <c r="S82" s="316" t="s">
        <v>88</v>
      </c>
      <c r="T82" s="316" t="s">
        <v>88</v>
      </c>
      <c r="U82" s="316" t="s">
        <v>88</v>
      </c>
      <c r="V82" s="316" t="s">
        <v>88</v>
      </c>
      <c r="W82" s="316" t="s">
        <v>88</v>
      </c>
      <c r="X82" s="316" t="s">
        <v>88</v>
      </c>
      <c r="Y82" s="316" t="s">
        <v>88</v>
      </c>
      <c r="Z82" s="316" t="s">
        <v>88</v>
      </c>
      <c r="AA82" s="316" t="s">
        <v>88</v>
      </c>
      <c r="AB82" s="316" t="s">
        <v>88</v>
      </c>
      <c r="AC82" s="316" t="s">
        <v>88</v>
      </c>
      <c r="AD82" s="316" t="s">
        <v>88</v>
      </c>
      <c r="AE82" s="316" t="s">
        <v>88</v>
      </c>
      <c r="AF82" s="316" t="s">
        <v>88</v>
      </c>
      <c r="AG82" s="316" t="s">
        <v>88</v>
      </c>
      <c r="AH82" s="316" t="s">
        <v>88</v>
      </c>
      <c r="AI82" s="316" t="s">
        <v>88</v>
      </c>
      <c r="AJ82" s="316" t="s">
        <v>88</v>
      </c>
      <c r="AK82" s="316" t="s">
        <v>88</v>
      </c>
      <c r="AL82" s="316" t="s">
        <v>88</v>
      </c>
      <c r="AM82" s="316" t="s">
        <v>88</v>
      </c>
      <c r="AN82" s="316" t="s">
        <v>88</v>
      </c>
      <c r="AO82" s="316" t="s">
        <v>88</v>
      </c>
      <c r="AP82" s="316" t="s">
        <v>88</v>
      </c>
      <c r="AQ82" s="316" t="s">
        <v>88</v>
      </c>
      <c r="AR82" s="316" t="s">
        <v>88</v>
      </c>
      <c r="AS82" s="316" t="s">
        <v>88</v>
      </c>
      <c r="AT82" s="316" t="s">
        <v>88</v>
      </c>
      <c r="AU82" s="316" t="s">
        <v>88</v>
      </c>
      <c r="AV82" s="316" t="s">
        <v>88</v>
      </c>
      <c r="AW82" s="316" t="s">
        <v>88</v>
      </c>
      <c r="AX82" s="316" t="s">
        <v>88</v>
      </c>
      <c r="AY82" s="316" t="s">
        <v>88</v>
      </c>
      <c r="AZ82" s="371">
        <v>56.06</v>
      </c>
      <c r="BA82" s="371">
        <v>36.450000000000003</v>
      </c>
      <c r="BB82" s="371">
        <v>33.75</v>
      </c>
      <c r="BC82" s="371">
        <v>32.54</v>
      </c>
      <c r="BD82" s="316" t="s">
        <v>88</v>
      </c>
      <c r="BE82" s="316" t="s">
        <v>88</v>
      </c>
      <c r="BF82" s="371" t="s">
        <v>88</v>
      </c>
      <c r="BG82" s="371">
        <v>37.31</v>
      </c>
      <c r="BH82" s="371" t="s">
        <v>88</v>
      </c>
      <c r="BI82" s="371">
        <v>34.14</v>
      </c>
      <c r="BJ82" s="459">
        <v>91.04</v>
      </c>
      <c r="BK82" s="316" t="s">
        <v>88</v>
      </c>
      <c r="BL82" s="354" t="s">
        <v>89</v>
      </c>
      <c r="BM82" s="364" t="s">
        <v>122</v>
      </c>
      <c r="BN82" s="354" t="s">
        <v>91</v>
      </c>
      <c r="BO82" s="354">
        <v>225876</v>
      </c>
      <c r="BP82" s="354" t="s">
        <v>92</v>
      </c>
      <c r="BQ82" s="354" t="s">
        <v>93</v>
      </c>
      <c r="BR82" s="354" t="s">
        <v>94</v>
      </c>
      <c r="BS82" s="354">
        <v>63250612</v>
      </c>
      <c r="BT82" s="354" t="s">
        <v>95</v>
      </c>
      <c r="BU82" s="354" t="s">
        <v>112</v>
      </c>
      <c r="BV82" s="477"/>
    </row>
    <row r="83" spans="1:74" s="2" customFormat="1" ht="24.9" customHeight="1">
      <c r="A83" s="147" t="s">
        <v>85</v>
      </c>
      <c r="B83" s="356" t="s">
        <v>174</v>
      </c>
      <c r="C83" s="369"/>
      <c r="D83" s="356"/>
      <c r="E83" s="363">
        <v>46219</v>
      </c>
      <c r="F83" s="358">
        <v>3</v>
      </c>
      <c r="G83" s="358">
        <v>29</v>
      </c>
      <c r="H83" s="371" t="s">
        <v>101</v>
      </c>
      <c r="I83" s="371">
        <v>276</v>
      </c>
      <c r="J83" s="371">
        <v>390</v>
      </c>
      <c r="K83" s="371">
        <v>327</v>
      </c>
      <c r="L83" s="371">
        <v>213</v>
      </c>
      <c r="M83" s="371">
        <v>334</v>
      </c>
      <c r="N83" s="371">
        <v>274</v>
      </c>
      <c r="O83" s="316" t="s">
        <v>88</v>
      </c>
      <c r="P83" s="316" t="s">
        <v>88</v>
      </c>
      <c r="Q83" s="371">
        <v>-1.86</v>
      </c>
      <c r="R83" s="316" t="s">
        <v>88</v>
      </c>
      <c r="S83" s="316" t="s">
        <v>88</v>
      </c>
      <c r="T83" s="316" t="s">
        <v>88</v>
      </c>
      <c r="U83" s="316" t="s">
        <v>88</v>
      </c>
      <c r="V83" s="316" t="s">
        <v>88</v>
      </c>
      <c r="W83" s="316" t="s">
        <v>88</v>
      </c>
      <c r="X83" s="316" t="s">
        <v>88</v>
      </c>
      <c r="Y83" s="316" t="s">
        <v>88</v>
      </c>
      <c r="Z83" s="316" t="s">
        <v>88</v>
      </c>
      <c r="AA83" s="316" t="s">
        <v>88</v>
      </c>
      <c r="AB83" s="316" t="s">
        <v>88</v>
      </c>
      <c r="AC83" s="316" t="s">
        <v>88</v>
      </c>
      <c r="AD83" s="316" t="s">
        <v>88</v>
      </c>
      <c r="AE83" s="316" t="s">
        <v>88</v>
      </c>
      <c r="AF83" s="316" t="s">
        <v>88</v>
      </c>
      <c r="AG83" s="371">
        <v>-3.71</v>
      </c>
      <c r="AH83" s="316" t="s">
        <v>88</v>
      </c>
      <c r="AI83" s="316" t="s">
        <v>88</v>
      </c>
      <c r="AJ83" s="316" t="s">
        <v>88</v>
      </c>
      <c r="AK83" s="316" t="s">
        <v>88</v>
      </c>
      <c r="AL83" s="316" t="s">
        <v>88</v>
      </c>
      <c r="AM83" s="316" t="s">
        <v>88</v>
      </c>
      <c r="AN83" s="316" t="s">
        <v>88</v>
      </c>
      <c r="AO83" s="316" t="s">
        <v>88</v>
      </c>
      <c r="AP83" s="316" t="s">
        <v>88</v>
      </c>
      <c r="AQ83" s="316" t="s">
        <v>88</v>
      </c>
      <c r="AR83" s="316" t="s">
        <v>88</v>
      </c>
      <c r="AS83" s="316" t="s">
        <v>88</v>
      </c>
      <c r="AT83" s="316" t="s">
        <v>88</v>
      </c>
      <c r="AU83" s="316" t="s">
        <v>88</v>
      </c>
      <c r="AV83" s="316" t="s">
        <v>88</v>
      </c>
      <c r="AW83" s="316" t="s">
        <v>88</v>
      </c>
      <c r="AX83" s="316" t="s">
        <v>88</v>
      </c>
      <c r="AY83" s="316" t="s">
        <v>88</v>
      </c>
      <c r="AZ83" s="316" t="s">
        <v>88</v>
      </c>
      <c r="BA83" s="316" t="s">
        <v>88</v>
      </c>
      <c r="BB83" s="316" t="s">
        <v>88</v>
      </c>
      <c r="BC83" s="316" t="s">
        <v>88</v>
      </c>
      <c r="BD83" s="316" t="s">
        <v>88</v>
      </c>
      <c r="BE83" s="316" t="s">
        <v>88</v>
      </c>
      <c r="BF83" s="316" t="s">
        <v>88</v>
      </c>
      <c r="BG83" s="316" t="s">
        <v>88</v>
      </c>
      <c r="BH83" s="316" t="s">
        <v>88</v>
      </c>
      <c r="BI83" s="316" t="s">
        <v>88</v>
      </c>
      <c r="BJ83" s="316" t="s">
        <v>88</v>
      </c>
      <c r="BK83" s="316" t="s">
        <v>88</v>
      </c>
      <c r="BL83" s="354" t="s">
        <v>89</v>
      </c>
      <c r="BM83" s="364" t="s">
        <v>122</v>
      </c>
      <c r="BN83" s="354" t="s">
        <v>91</v>
      </c>
      <c r="BO83" s="354">
        <v>225876</v>
      </c>
      <c r="BP83" s="354" t="s">
        <v>92</v>
      </c>
      <c r="BQ83" s="354" t="s">
        <v>93</v>
      </c>
      <c r="BR83" s="354" t="s">
        <v>94</v>
      </c>
      <c r="BS83" s="354">
        <v>63250612</v>
      </c>
      <c r="BT83" s="354" t="s">
        <v>95</v>
      </c>
      <c r="BU83" s="354" t="s">
        <v>112</v>
      </c>
      <c r="BV83" s="477"/>
    </row>
    <row r="84" spans="1:74" s="2" customFormat="1" ht="24.9" customHeight="1">
      <c r="A84" s="147" t="s">
        <v>85</v>
      </c>
      <c r="B84" s="356" t="s">
        <v>175</v>
      </c>
      <c r="C84" s="369"/>
      <c r="D84" s="356"/>
      <c r="E84" s="363">
        <v>46219</v>
      </c>
      <c r="F84" s="358">
        <v>3</v>
      </c>
      <c r="G84" s="358">
        <v>29</v>
      </c>
      <c r="H84" s="316" t="s">
        <v>88</v>
      </c>
      <c r="I84" s="316" t="s">
        <v>88</v>
      </c>
      <c r="J84" s="316" t="s">
        <v>88</v>
      </c>
      <c r="K84" s="316" t="s">
        <v>88</v>
      </c>
      <c r="L84" s="316" t="s">
        <v>88</v>
      </c>
      <c r="M84" s="316" t="s">
        <v>88</v>
      </c>
      <c r="N84" s="316" t="s">
        <v>88</v>
      </c>
      <c r="O84" s="316" t="s">
        <v>88</v>
      </c>
      <c r="P84" s="316" t="s">
        <v>88</v>
      </c>
      <c r="Q84" s="316" t="s">
        <v>88</v>
      </c>
      <c r="R84" s="316" t="s">
        <v>88</v>
      </c>
      <c r="S84" s="316" t="s">
        <v>88</v>
      </c>
      <c r="T84" s="316" t="s">
        <v>88</v>
      </c>
      <c r="U84" s="316" t="s">
        <v>88</v>
      </c>
      <c r="V84" s="316" t="s">
        <v>88</v>
      </c>
      <c r="W84" s="316" t="s">
        <v>88</v>
      </c>
      <c r="X84" s="316" t="s">
        <v>88</v>
      </c>
      <c r="Y84" s="316" t="s">
        <v>88</v>
      </c>
      <c r="Z84" s="316" t="s">
        <v>88</v>
      </c>
      <c r="AA84" s="316" t="s">
        <v>88</v>
      </c>
      <c r="AB84" s="316" t="s">
        <v>88</v>
      </c>
      <c r="AC84" s="316" t="s">
        <v>88</v>
      </c>
      <c r="AD84" s="316" t="s">
        <v>88</v>
      </c>
      <c r="AE84" s="316" t="s">
        <v>88</v>
      </c>
      <c r="AF84" s="316" t="s">
        <v>88</v>
      </c>
      <c r="AG84" s="316" t="s">
        <v>88</v>
      </c>
      <c r="AH84" s="316" t="s">
        <v>88</v>
      </c>
      <c r="AI84" s="316" t="s">
        <v>88</v>
      </c>
      <c r="AJ84" s="316" t="s">
        <v>88</v>
      </c>
      <c r="AK84" s="316" t="s">
        <v>88</v>
      </c>
      <c r="AL84" s="316" t="s">
        <v>88</v>
      </c>
      <c r="AM84" s="316" t="s">
        <v>88</v>
      </c>
      <c r="AN84" s="316" t="s">
        <v>88</v>
      </c>
      <c r="AO84" s="316" t="s">
        <v>88</v>
      </c>
      <c r="AP84" s="316" t="s">
        <v>88</v>
      </c>
      <c r="AQ84" s="316" t="s">
        <v>88</v>
      </c>
      <c r="AR84" s="316" t="s">
        <v>88</v>
      </c>
      <c r="AS84" s="316" t="s">
        <v>88</v>
      </c>
      <c r="AT84" s="316" t="s">
        <v>88</v>
      </c>
      <c r="AU84" s="316" t="s">
        <v>88</v>
      </c>
      <c r="AV84" s="316" t="s">
        <v>88</v>
      </c>
      <c r="AW84" s="316" t="s">
        <v>88</v>
      </c>
      <c r="AX84" s="316" t="s">
        <v>88</v>
      </c>
      <c r="AY84" s="316" t="s">
        <v>88</v>
      </c>
      <c r="AZ84" s="371">
        <v>77.48</v>
      </c>
      <c r="BA84" s="371">
        <v>38.15</v>
      </c>
      <c r="BB84" s="371">
        <v>65.53</v>
      </c>
      <c r="BC84" s="371">
        <v>22.37</v>
      </c>
      <c r="BD84" s="316" t="s">
        <v>88</v>
      </c>
      <c r="BE84" s="316" t="s">
        <v>88</v>
      </c>
      <c r="BF84" s="371">
        <v>69.45</v>
      </c>
      <c r="BG84" s="371">
        <v>34.659999999999997</v>
      </c>
      <c r="BH84" s="371">
        <v>28.65</v>
      </c>
      <c r="BI84" s="371">
        <v>30.61</v>
      </c>
      <c r="BJ84" s="316" t="s">
        <v>88</v>
      </c>
      <c r="BK84" s="316" t="s">
        <v>88</v>
      </c>
      <c r="BL84" s="354" t="s">
        <v>89</v>
      </c>
      <c r="BM84" s="364" t="s">
        <v>122</v>
      </c>
      <c r="BN84" s="354" t="s">
        <v>91</v>
      </c>
      <c r="BO84" s="354">
        <v>225876</v>
      </c>
      <c r="BP84" s="354" t="s">
        <v>92</v>
      </c>
      <c r="BQ84" s="354" t="s">
        <v>93</v>
      </c>
      <c r="BR84" s="354" t="s">
        <v>94</v>
      </c>
      <c r="BS84" s="354">
        <v>63250612</v>
      </c>
      <c r="BT84" s="354" t="s">
        <v>95</v>
      </c>
      <c r="BU84" s="354" t="s">
        <v>112</v>
      </c>
      <c r="BV84" s="477"/>
    </row>
    <row r="85" spans="1:74" s="2" customFormat="1" ht="24.9" customHeight="1">
      <c r="A85" s="147" t="s">
        <v>85</v>
      </c>
      <c r="B85" s="356" t="s">
        <v>176</v>
      </c>
      <c r="C85" s="369"/>
      <c r="D85" s="356"/>
      <c r="E85" s="363">
        <v>46219</v>
      </c>
      <c r="F85" s="358">
        <v>3</v>
      </c>
      <c r="G85" s="358">
        <v>29</v>
      </c>
      <c r="H85" s="316" t="s">
        <v>88</v>
      </c>
      <c r="I85" s="316" t="s">
        <v>88</v>
      </c>
      <c r="J85" s="316" t="s">
        <v>88</v>
      </c>
      <c r="K85" s="316" t="s">
        <v>88</v>
      </c>
      <c r="L85" s="316" t="s">
        <v>88</v>
      </c>
      <c r="M85" s="316" t="s">
        <v>88</v>
      </c>
      <c r="N85" s="316" t="s">
        <v>88</v>
      </c>
      <c r="O85" s="316" t="s">
        <v>88</v>
      </c>
      <c r="P85" s="316" t="s">
        <v>88</v>
      </c>
      <c r="Q85" s="316" t="s">
        <v>88</v>
      </c>
      <c r="R85" s="316" t="s">
        <v>88</v>
      </c>
      <c r="S85" s="316" t="s">
        <v>88</v>
      </c>
      <c r="T85" s="316" t="s">
        <v>88</v>
      </c>
      <c r="U85" s="316" t="s">
        <v>88</v>
      </c>
      <c r="V85" s="316" t="s">
        <v>88</v>
      </c>
      <c r="W85" s="316" t="s">
        <v>88</v>
      </c>
      <c r="X85" s="316" t="s">
        <v>88</v>
      </c>
      <c r="Y85" s="316" t="s">
        <v>88</v>
      </c>
      <c r="Z85" s="316" t="s">
        <v>88</v>
      </c>
      <c r="AA85" s="316" t="s">
        <v>88</v>
      </c>
      <c r="AB85" s="316" t="s">
        <v>88</v>
      </c>
      <c r="AC85" s="371">
        <v>2.2799999999999998</v>
      </c>
      <c r="AD85" s="371">
        <v>2.2400000000000002</v>
      </c>
      <c r="AE85" s="371">
        <v>2.2000000000000002</v>
      </c>
      <c r="AF85" s="371">
        <f>AVERAGE(AC85:AE85)</f>
        <v>2.2399999999999998</v>
      </c>
      <c r="AG85" s="316" t="s">
        <v>88</v>
      </c>
      <c r="AH85" s="371" t="s">
        <v>99</v>
      </c>
      <c r="AI85" s="371" t="s">
        <v>99</v>
      </c>
      <c r="AJ85" s="371" t="s">
        <v>99</v>
      </c>
      <c r="AK85" s="371" t="s">
        <v>99</v>
      </c>
      <c r="AL85" s="371" t="s">
        <v>99</v>
      </c>
      <c r="AM85" s="371" t="s">
        <v>99</v>
      </c>
      <c r="AN85" s="316" t="s">
        <v>88</v>
      </c>
      <c r="AO85" s="316" t="s">
        <v>88</v>
      </c>
      <c r="AP85" s="316" t="s">
        <v>88</v>
      </c>
      <c r="AQ85" s="316" t="s">
        <v>88</v>
      </c>
      <c r="AR85" s="316" t="s">
        <v>88</v>
      </c>
      <c r="AS85" s="316" t="s">
        <v>88</v>
      </c>
      <c r="AT85" s="316" t="s">
        <v>88</v>
      </c>
      <c r="AU85" s="316" t="s">
        <v>88</v>
      </c>
      <c r="AV85" s="316" t="s">
        <v>88</v>
      </c>
      <c r="AW85" s="316" t="s">
        <v>88</v>
      </c>
      <c r="AX85" s="316" t="s">
        <v>88</v>
      </c>
      <c r="AY85" s="316" t="s">
        <v>88</v>
      </c>
      <c r="AZ85" s="316" t="s">
        <v>88</v>
      </c>
      <c r="BA85" s="316" t="s">
        <v>88</v>
      </c>
      <c r="BB85" s="316" t="s">
        <v>88</v>
      </c>
      <c r="BC85" s="316" t="s">
        <v>88</v>
      </c>
      <c r="BD85" s="316" t="s">
        <v>88</v>
      </c>
      <c r="BE85" s="316" t="s">
        <v>88</v>
      </c>
      <c r="BF85" s="316" t="s">
        <v>88</v>
      </c>
      <c r="BG85" s="316" t="s">
        <v>88</v>
      </c>
      <c r="BH85" s="316" t="s">
        <v>88</v>
      </c>
      <c r="BI85" s="316" t="s">
        <v>88</v>
      </c>
      <c r="BJ85" s="316" t="s">
        <v>88</v>
      </c>
      <c r="BK85" s="316" t="s">
        <v>88</v>
      </c>
      <c r="BL85" s="354" t="s">
        <v>89</v>
      </c>
      <c r="BM85" s="364" t="s">
        <v>122</v>
      </c>
      <c r="BN85" s="354" t="s">
        <v>91</v>
      </c>
      <c r="BO85" s="354">
        <v>225876</v>
      </c>
      <c r="BP85" s="354" t="s">
        <v>92</v>
      </c>
      <c r="BQ85" s="354" t="s">
        <v>93</v>
      </c>
      <c r="BR85" s="354" t="s">
        <v>94</v>
      </c>
      <c r="BS85" s="354">
        <v>63250612</v>
      </c>
      <c r="BT85" s="354" t="s">
        <v>95</v>
      </c>
      <c r="BU85" s="354" t="s">
        <v>112</v>
      </c>
      <c r="BV85" s="477"/>
    </row>
    <row r="86" spans="1:74" s="2" customFormat="1" ht="24.9" customHeight="1">
      <c r="A86" s="147" t="s">
        <v>85</v>
      </c>
      <c r="B86" s="356" t="s">
        <v>177</v>
      </c>
      <c r="C86" s="369"/>
      <c r="D86" s="356"/>
      <c r="E86" s="363">
        <v>46220</v>
      </c>
      <c r="F86" s="358">
        <v>1</v>
      </c>
      <c r="G86" s="358">
        <v>29</v>
      </c>
      <c r="H86" s="512" t="s">
        <v>101</v>
      </c>
      <c r="I86" s="371">
        <v>278</v>
      </c>
      <c r="J86" s="371">
        <v>368</v>
      </c>
      <c r="K86" s="371">
        <v>319.42</v>
      </c>
      <c r="L86" s="371">
        <v>261.58</v>
      </c>
      <c r="M86" s="371">
        <v>333.58</v>
      </c>
      <c r="N86" s="371">
        <v>297.08</v>
      </c>
      <c r="O86" s="316" t="s">
        <v>88</v>
      </c>
      <c r="P86" s="316" t="s">
        <v>88</v>
      </c>
      <c r="Q86" s="371">
        <v>-1.67</v>
      </c>
      <c r="R86" s="316" t="s">
        <v>88</v>
      </c>
      <c r="S86" s="316" t="s">
        <v>88</v>
      </c>
      <c r="T86" s="316" t="s">
        <v>88</v>
      </c>
      <c r="U86" s="316" t="s">
        <v>88</v>
      </c>
      <c r="V86" s="316" t="s">
        <v>88</v>
      </c>
      <c r="W86" s="316" t="s">
        <v>88</v>
      </c>
      <c r="X86" s="316" t="s">
        <v>88</v>
      </c>
      <c r="Y86" s="316" t="s">
        <v>88</v>
      </c>
      <c r="Z86" s="316" t="s">
        <v>88</v>
      </c>
      <c r="AA86" s="316" t="s">
        <v>88</v>
      </c>
      <c r="AB86" s="316" t="s">
        <v>88</v>
      </c>
      <c r="AC86" s="316" t="s">
        <v>88</v>
      </c>
      <c r="AD86" s="316" t="s">
        <v>88</v>
      </c>
      <c r="AE86" s="316" t="s">
        <v>88</v>
      </c>
      <c r="AF86" s="316" t="s">
        <v>88</v>
      </c>
      <c r="AG86" s="371">
        <v>0.79</v>
      </c>
      <c r="AH86" s="316" t="s">
        <v>88</v>
      </c>
      <c r="AI86" s="316" t="s">
        <v>88</v>
      </c>
      <c r="AJ86" s="316" t="s">
        <v>88</v>
      </c>
      <c r="AK86" s="316" t="s">
        <v>88</v>
      </c>
      <c r="AL86" s="316" t="s">
        <v>88</v>
      </c>
      <c r="AM86" s="316" t="s">
        <v>88</v>
      </c>
      <c r="AN86" s="316" t="s">
        <v>88</v>
      </c>
      <c r="AO86" s="316" t="s">
        <v>88</v>
      </c>
      <c r="AP86" s="316" t="s">
        <v>88</v>
      </c>
      <c r="AQ86" s="316" t="s">
        <v>88</v>
      </c>
      <c r="AR86" s="316" t="s">
        <v>88</v>
      </c>
      <c r="AS86" s="316" t="s">
        <v>88</v>
      </c>
      <c r="AT86" s="316" t="s">
        <v>88</v>
      </c>
      <c r="AU86" s="316" t="s">
        <v>88</v>
      </c>
      <c r="AV86" s="316" t="s">
        <v>88</v>
      </c>
      <c r="AW86" s="316" t="s">
        <v>88</v>
      </c>
      <c r="AX86" s="316" t="s">
        <v>88</v>
      </c>
      <c r="AY86" s="316" t="s">
        <v>88</v>
      </c>
      <c r="AZ86" s="316" t="s">
        <v>88</v>
      </c>
      <c r="BA86" s="316" t="s">
        <v>88</v>
      </c>
      <c r="BB86" s="316" t="s">
        <v>88</v>
      </c>
      <c r="BC86" s="316" t="s">
        <v>88</v>
      </c>
      <c r="BD86" s="316" t="s">
        <v>88</v>
      </c>
      <c r="BE86" s="316" t="s">
        <v>88</v>
      </c>
      <c r="BF86" s="316" t="s">
        <v>88</v>
      </c>
      <c r="BG86" s="316" t="s">
        <v>88</v>
      </c>
      <c r="BH86" s="316" t="s">
        <v>88</v>
      </c>
      <c r="BI86" s="316" t="s">
        <v>88</v>
      </c>
      <c r="BJ86" s="316" t="s">
        <v>88</v>
      </c>
      <c r="BK86" s="316" t="s">
        <v>88</v>
      </c>
      <c r="BL86" s="354" t="s">
        <v>89</v>
      </c>
      <c r="BM86" s="364" t="s">
        <v>122</v>
      </c>
      <c r="BN86" s="354" t="s">
        <v>91</v>
      </c>
      <c r="BO86" s="354">
        <v>225876</v>
      </c>
      <c r="BP86" s="354" t="s">
        <v>92</v>
      </c>
      <c r="BQ86" s="354" t="s">
        <v>93</v>
      </c>
      <c r="BR86" s="354" t="s">
        <v>94</v>
      </c>
      <c r="BS86" s="354">
        <v>63250612</v>
      </c>
      <c r="BT86" s="354" t="s">
        <v>95</v>
      </c>
      <c r="BU86" s="354" t="s">
        <v>112</v>
      </c>
      <c r="BV86" s="477"/>
    </row>
    <row r="87" spans="1:74" s="2" customFormat="1" ht="24.9" customHeight="1">
      <c r="A87" s="147" t="s">
        <v>85</v>
      </c>
      <c r="B87" s="356" t="s">
        <v>178</v>
      </c>
      <c r="C87" s="369"/>
      <c r="D87" s="356"/>
      <c r="E87" s="363">
        <v>46220</v>
      </c>
      <c r="F87" s="358">
        <v>1</v>
      </c>
      <c r="G87" s="358">
        <v>29</v>
      </c>
      <c r="H87" s="360" t="s">
        <v>88</v>
      </c>
      <c r="I87" s="360" t="s">
        <v>88</v>
      </c>
      <c r="J87" s="360" t="s">
        <v>88</v>
      </c>
      <c r="K87" s="360" t="s">
        <v>88</v>
      </c>
      <c r="L87" s="360" t="s">
        <v>88</v>
      </c>
      <c r="M87" s="360" t="s">
        <v>88</v>
      </c>
      <c r="N87" s="360" t="s">
        <v>88</v>
      </c>
      <c r="O87" s="360" t="s">
        <v>88</v>
      </c>
      <c r="P87" s="360" t="s">
        <v>88</v>
      </c>
      <c r="Q87" s="360" t="s">
        <v>88</v>
      </c>
      <c r="R87" s="360" t="s">
        <v>88</v>
      </c>
      <c r="S87" s="360" t="s">
        <v>88</v>
      </c>
      <c r="T87" s="360" t="s">
        <v>88</v>
      </c>
      <c r="U87" s="360" t="s">
        <v>88</v>
      </c>
      <c r="V87" s="360" t="s">
        <v>88</v>
      </c>
      <c r="W87" s="360" t="s">
        <v>88</v>
      </c>
      <c r="X87" s="360" t="s">
        <v>88</v>
      </c>
      <c r="Y87" s="360" t="s">
        <v>88</v>
      </c>
      <c r="Z87" s="360" t="s">
        <v>88</v>
      </c>
      <c r="AA87" s="360" t="s">
        <v>88</v>
      </c>
      <c r="AB87" s="360" t="s">
        <v>88</v>
      </c>
      <c r="AC87" s="360" t="s">
        <v>88</v>
      </c>
      <c r="AD87" s="360" t="s">
        <v>88</v>
      </c>
      <c r="AE87" s="360" t="s">
        <v>88</v>
      </c>
      <c r="AF87" s="360" t="s">
        <v>88</v>
      </c>
      <c r="AG87" s="360" t="s">
        <v>88</v>
      </c>
      <c r="AH87" s="360" t="s">
        <v>88</v>
      </c>
      <c r="AI87" s="360" t="s">
        <v>88</v>
      </c>
      <c r="AJ87" s="360" t="s">
        <v>88</v>
      </c>
      <c r="AK87" s="360" t="s">
        <v>88</v>
      </c>
      <c r="AL87" s="360" t="s">
        <v>88</v>
      </c>
      <c r="AM87" s="360" t="s">
        <v>88</v>
      </c>
      <c r="AN87" s="360" t="s">
        <v>88</v>
      </c>
      <c r="AO87" s="360" t="s">
        <v>88</v>
      </c>
      <c r="AP87" s="360" t="s">
        <v>88</v>
      </c>
      <c r="AQ87" s="360" t="s">
        <v>88</v>
      </c>
      <c r="AR87" s="360" t="s">
        <v>88</v>
      </c>
      <c r="AS87" s="360" t="s">
        <v>88</v>
      </c>
      <c r="AT87" s="360" t="s">
        <v>88</v>
      </c>
      <c r="AU87" s="360" t="s">
        <v>88</v>
      </c>
      <c r="AV87" s="360" t="s">
        <v>88</v>
      </c>
      <c r="AW87" s="360" t="s">
        <v>88</v>
      </c>
      <c r="AX87" s="360" t="s">
        <v>88</v>
      </c>
      <c r="AY87" s="360" t="s">
        <v>88</v>
      </c>
      <c r="AZ87" s="371">
        <v>60.83</v>
      </c>
      <c r="BA87" s="371">
        <v>36.840000000000003</v>
      </c>
      <c r="BB87" s="371">
        <v>55.72</v>
      </c>
      <c r="BC87" s="371">
        <v>31</v>
      </c>
      <c r="BD87" s="316" t="s">
        <v>88</v>
      </c>
      <c r="BE87" s="316" t="s">
        <v>88</v>
      </c>
      <c r="BF87" s="371">
        <v>60.35</v>
      </c>
      <c r="BG87" s="371">
        <v>41.07</v>
      </c>
      <c r="BH87" s="371">
        <v>50.62</v>
      </c>
      <c r="BI87" s="371">
        <v>34.92</v>
      </c>
      <c r="BJ87" s="316" t="s">
        <v>88</v>
      </c>
      <c r="BK87" s="316" t="s">
        <v>88</v>
      </c>
      <c r="BL87" s="354" t="s">
        <v>89</v>
      </c>
      <c r="BM87" s="364" t="s">
        <v>122</v>
      </c>
      <c r="BN87" s="354" t="s">
        <v>91</v>
      </c>
      <c r="BO87" s="354">
        <v>225876</v>
      </c>
      <c r="BP87" s="354" t="s">
        <v>92</v>
      </c>
      <c r="BQ87" s="354" t="s">
        <v>93</v>
      </c>
      <c r="BR87" s="354" t="s">
        <v>94</v>
      </c>
      <c r="BS87" s="354">
        <v>63250612</v>
      </c>
      <c r="BT87" s="354" t="s">
        <v>95</v>
      </c>
      <c r="BU87" s="354" t="s">
        <v>112</v>
      </c>
      <c r="BV87" s="477"/>
    </row>
    <row r="88" spans="1:74" s="2" customFormat="1" ht="24.9" customHeight="1">
      <c r="A88" s="147" t="s">
        <v>85</v>
      </c>
      <c r="B88" s="356" t="s">
        <v>179</v>
      </c>
      <c r="C88" s="369"/>
      <c r="D88" s="356"/>
      <c r="E88" s="363">
        <v>46220</v>
      </c>
      <c r="F88" s="358">
        <v>2</v>
      </c>
      <c r="G88" s="358">
        <v>29</v>
      </c>
      <c r="H88" s="512" t="s">
        <v>101</v>
      </c>
      <c r="I88" s="371">
        <v>332</v>
      </c>
      <c r="J88" s="371">
        <v>402</v>
      </c>
      <c r="K88" s="371">
        <v>366</v>
      </c>
      <c r="L88" s="371">
        <v>211</v>
      </c>
      <c r="M88" s="371">
        <v>305</v>
      </c>
      <c r="N88" s="371">
        <v>242</v>
      </c>
      <c r="O88" s="316" t="s">
        <v>88</v>
      </c>
      <c r="P88" s="316" t="s">
        <v>88</v>
      </c>
      <c r="Q88" s="371">
        <v>-0.6</v>
      </c>
      <c r="R88" s="316" t="s">
        <v>88</v>
      </c>
      <c r="S88" s="316" t="s">
        <v>88</v>
      </c>
      <c r="T88" s="316" t="s">
        <v>88</v>
      </c>
      <c r="U88" s="316" t="s">
        <v>88</v>
      </c>
      <c r="V88" s="316" t="s">
        <v>88</v>
      </c>
      <c r="W88" s="316" t="s">
        <v>88</v>
      </c>
      <c r="X88" s="316" t="s">
        <v>88</v>
      </c>
      <c r="Y88" s="316" t="s">
        <v>88</v>
      </c>
      <c r="Z88" s="316" t="s">
        <v>88</v>
      </c>
      <c r="AA88" s="316" t="s">
        <v>88</v>
      </c>
      <c r="AB88" s="316" t="s">
        <v>88</v>
      </c>
      <c r="AC88" s="316" t="s">
        <v>88</v>
      </c>
      <c r="AD88" s="316" t="s">
        <v>88</v>
      </c>
      <c r="AE88" s="316" t="s">
        <v>88</v>
      </c>
      <c r="AF88" s="316" t="s">
        <v>88</v>
      </c>
      <c r="AG88" s="371">
        <v>3.73</v>
      </c>
      <c r="AH88" s="316" t="s">
        <v>88</v>
      </c>
      <c r="AI88" s="316" t="s">
        <v>88</v>
      </c>
      <c r="AJ88" s="316" t="s">
        <v>88</v>
      </c>
      <c r="AK88" s="316" t="s">
        <v>88</v>
      </c>
      <c r="AL88" s="316" t="s">
        <v>88</v>
      </c>
      <c r="AM88" s="316" t="s">
        <v>88</v>
      </c>
      <c r="AN88" s="316" t="s">
        <v>88</v>
      </c>
      <c r="AO88" s="316" t="s">
        <v>88</v>
      </c>
      <c r="AP88" s="316" t="s">
        <v>88</v>
      </c>
      <c r="AQ88" s="316" t="s">
        <v>88</v>
      </c>
      <c r="AR88" s="316" t="s">
        <v>88</v>
      </c>
      <c r="AS88" s="316" t="s">
        <v>88</v>
      </c>
      <c r="AT88" s="316" t="s">
        <v>88</v>
      </c>
      <c r="AU88" s="316" t="s">
        <v>88</v>
      </c>
      <c r="AV88" s="316" t="s">
        <v>88</v>
      </c>
      <c r="AW88" s="316" t="s">
        <v>88</v>
      </c>
      <c r="AX88" s="316" t="s">
        <v>88</v>
      </c>
      <c r="AY88" s="316" t="s">
        <v>88</v>
      </c>
      <c r="AZ88" s="316" t="s">
        <v>88</v>
      </c>
      <c r="BA88" s="316" t="s">
        <v>88</v>
      </c>
      <c r="BB88" s="316" t="s">
        <v>88</v>
      </c>
      <c r="BC88" s="316" t="s">
        <v>88</v>
      </c>
      <c r="BD88" s="316" t="s">
        <v>88</v>
      </c>
      <c r="BE88" s="316" t="s">
        <v>88</v>
      </c>
      <c r="BF88" s="316" t="s">
        <v>88</v>
      </c>
      <c r="BG88" s="316" t="s">
        <v>88</v>
      </c>
      <c r="BH88" s="316" t="s">
        <v>88</v>
      </c>
      <c r="BI88" s="316" t="s">
        <v>88</v>
      </c>
      <c r="BJ88" s="316" t="s">
        <v>88</v>
      </c>
      <c r="BK88" s="316" t="s">
        <v>88</v>
      </c>
      <c r="BL88" s="354" t="s">
        <v>89</v>
      </c>
      <c r="BM88" s="364" t="s">
        <v>122</v>
      </c>
      <c r="BN88" s="354" t="s">
        <v>91</v>
      </c>
      <c r="BO88" s="354">
        <v>225876</v>
      </c>
      <c r="BP88" s="354" t="s">
        <v>92</v>
      </c>
      <c r="BQ88" s="354" t="s">
        <v>93</v>
      </c>
      <c r="BR88" s="354" t="s">
        <v>94</v>
      </c>
      <c r="BS88" s="354">
        <v>63250612</v>
      </c>
      <c r="BT88" s="354" t="s">
        <v>95</v>
      </c>
      <c r="BU88" s="354" t="s">
        <v>112</v>
      </c>
      <c r="BV88" s="562"/>
    </row>
    <row r="89" spans="1:74" s="2" customFormat="1" ht="24.9" customHeight="1">
      <c r="A89" s="147" t="s">
        <v>85</v>
      </c>
      <c r="B89" s="356" t="s">
        <v>180</v>
      </c>
      <c r="C89" s="369"/>
      <c r="D89" s="356"/>
      <c r="E89" s="363">
        <v>46220</v>
      </c>
      <c r="F89" s="358">
        <v>2</v>
      </c>
      <c r="G89" s="358">
        <v>29</v>
      </c>
      <c r="H89" s="360" t="s">
        <v>88</v>
      </c>
      <c r="I89" s="360" t="s">
        <v>88</v>
      </c>
      <c r="J89" s="360" t="s">
        <v>88</v>
      </c>
      <c r="K89" s="360" t="s">
        <v>88</v>
      </c>
      <c r="L89" s="360" t="s">
        <v>88</v>
      </c>
      <c r="M89" s="360" t="s">
        <v>88</v>
      </c>
      <c r="N89" s="360" t="s">
        <v>88</v>
      </c>
      <c r="O89" s="360" t="s">
        <v>88</v>
      </c>
      <c r="P89" s="360" t="s">
        <v>88</v>
      </c>
      <c r="Q89" s="360" t="s">
        <v>88</v>
      </c>
      <c r="R89" s="360" t="s">
        <v>88</v>
      </c>
      <c r="S89" s="360" t="s">
        <v>88</v>
      </c>
      <c r="T89" s="360" t="s">
        <v>88</v>
      </c>
      <c r="U89" s="360" t="s">
        <v>88</v>
      </c>
      <c r="V89" s="360" t="s">
        <v>88</v>
      </c>
      <c r="W89" s="360" t="s">
        <v>88</v>
      </c>
      <c r="X89" s="360" t="s">
        <v>88</v>
      </c>
      <c r="Y89" s="360" t="s">
        <v>88</v>
      </c>
      <c r="Z89" s="360" t="s">
        <v>88</v>
      </c>
      <c r="AA89" s="360" t="s">
        <v>88</v>
      </c>
      <c r="AB89" s="360" t="s">
        <v>88</v>
      </c>
      <c r="AC89" s="360" t="s">
        <v>88</v>
      </c>
      <c r="AD89" s="360" t="s">
        <v>88</v>
      </c>
      <c r="AE89" s="360" t="s">
        <v>88</v>
      </c>
      <c r="AF89" s="360" t="s">
        <v>88</v>
      </c>
      <c r="AG89" s="360" t="s">
        <v>88</v>
      </c>
      <c r="AH89" s="360" t="s">
        <v>88</v>
      </c>
      <c r="AI89" s="360" t="s">
        <v>88</v>
      </c>
      <c r="AJ89" s="360" t="s">
        <v>88</v>
      </c>
      <c r="AK89" s="360" t="s">
        <v>88</v>
      </c>
      <c r="AL89" s="360" t="s">
        <v>88</v>
      </c>
      <c r="AM89" s="360" t="s">
        <v>88</v>
      </c>
      <c r="AN89" s="360" t="s">
        <v>88</v>
      </c>
      <c r="AO89" s="360" t="s">
        <v>88</v>
      </c>
      <c r="AP89" s="360" t="s">
        <v>88</v>
      </c>
      <c r="AQ89" s="360" t="s">
        <v>88</v>
      </c>
      <c r="AR89" s="360" t="s">
        <v>88</v>
      </c>
      <c r="AS89" s="360" t="s">
        <v>88</v>
      </c>
      <c r="AT89" s="360" t="s">
        <v>88</v>
      </c>
      <c r="AU89" s="360" t="s">
        <v>88</v>
      </c>
      <c r="AV89" s="360" t="s">
        <v>88</v>
      </c>
      <c r="AW89" s="360" t="s">
        <v>88</v>
      </c>
      <c r="AX89" s="360" t="s">
        <v>88</v>
      </c>
      <c r="AY89" s="360" t="s">
        <v>88</v>
      </c>
      <c r="AZ89" s="371">
        <v>90.37</v>
      </c>
      <c r="BA89" s="371">
        <v>47.11</v>
      </c>
      <c r="BB89" s="371">
        <v>27.86</v>
      </c>
      <c r="BC89" s="371">
        <v>45.13</v>
      </c>
      <c r="BD89" s="316" t="s">
        <v>88</v>
      </c>
      <c r="BE89" s="316" t="s">
        <v>88</v>
      </c>
      <c r="BF89" s="371">
        <v>59.79</v>
      </c>
      <c r="BG89" s="371">
        <v>37.090000000000003</v>
      </c>
      <c r="BH89" s="371">
        <v>20.8</v>
      </c>
      <c r="BI89" s="371">
        <v>31.78</v>
      </c>
      <c r="BJ89" s="316" t="s">
        <v>88</v>
      </c>
      <c r="BK89" s="316" t="s">
        <v>88</v>
      </c>
      <c r="BL89" s="354" t="s">
        <v>89</v>
      </c>
      <c r="BM89" s="364" t="s">
        <v>122</v>
      </c>
      <c r="BN89" s="354" t="s">
        <v>91</v>
      </c>
      <c r="BO89" s="354">
        <v>225876</v>
      </c>
      <c r="BP89" s="354" t="s">
        <v>92</v>
      </c>
      <c r="BQ89" s="354" t="s">
        <v>93</v>
      </c>
      <c r="BR89" s="354" t="s">
        <v>94</v>
      </c>
      <c r="BS89" s="354">
        <v>63250612</v>
      </c>
      <c r="BT89" s="354" t="s">
        <v>95</v>
      </c>
      <c r="BU89" s="354" t="s">
        <v>112</v>
      </c>
      <c r="BV89" s="562"/>
    </row>
    <row r="90" spans="1:74" s="2" customFormat="1" ht="24.9" customHeight="1">
      <c r="A90" s="147" t="s">
        <v>85</v>
      </c>
      <c r="B90" s="356" t="s">
        <v>181</v>
      </c>
      <c r="C90" s="369"/>
      <c r="D90" s="356"/>
      <c r="E90" s="363">
        <v>46220</v>
      </c>
      <c r="F90" s="358">
        <v>3</v>
      </c>
      <c r="G90" s="358">
        <v>29</v>
      </c>
      <c r="H90" s="512" t="s">
        <v>101</v>
      </c>
      <c r="I90" s="371">
        <v>304</v>
      </c>
      <c r="J90" s="371">
        <v>386</v>
      </c>
      <c r="K90" s="371">
        <v>347</v>
      </c>
      <c r="L90" s="371">
        <v>229</v>
      </c>
      <c r="M90" s="371">
        <v>358</v>
      </c>
      <c r="N90" s="371">
        <v>299</v>
      </c>
      <c r="O90" s="360" t="s">
        <v>88</v>
      </c>
      <c r="P90" s="360" t="s">
        <v>88</v>
      </c>
      <c r="Q90" s="371">
        <v>-1.55</v>
      </c>
      <c r="R90" s="360" t="s">
        <v>88</v>
      </c>
      <c r="S90" s="360" t="s">
        <v>88</v>
      </c>
      <c r="T90" s="360" t="s">
        <v>88</v>
      </c>
      <c r="U90" s="360" t="s">
        <v>88</v>
      </c>
      <c r="V90" s="360" t="s">
        <v>88</v>
      </c>
      <c r="W90" s="360" t="s">
        <v>88</v>
      </c>
      <c r="X90" s="360" t="s">
        <v>88</v>
      </c>
      <c r="Y90" s="360" t="s">
        <v>88</v>
      </c>
      <c r="Z90" s="360" t="s">
        <v>88</v>
      </c>
      <c r="AA90" s="360" t="s">
        <v>88</v>
      </c>
      <c r="AB90" s="360" t="s">
        <v>88</v>
      </c>
      <c r="AC90" s="360" t="s">
        <v>88</v>
      </c>
      <c r="AD90" s="360" t="s">
        <v>88</v>
      </c>
      <c r="AE90" s="360" t="s">
        <v>88</v>
      </c>
      <c r="AF90" s="360" t="s">
        <v>88</v>
      </c>
      <c r="AG90" s="371">
        <v>8.17</v>
      </c>
      <c r="AH90" s="360" t="s">
        <v>88</v>
      </c>
      <c r="AI90" s="360" t="s">
        <v>88</v>
      </c>
      <c r="AJ90" s="360" t="s">
        <v>88</v>
      </c>
      <c r="AK90" s="360" t="s">
        <v>88</v>
      </c>
      <c r="AL90" s="360" t="s">
        <v>88</v>
      </c>
      <c r="AM90" s="360" t="s">
        <v>88</v>
      </c>
      <c r="AN90" s="360" t="s">
        <v>88</v>
      </c>
      <c r="AO90" s="360" t="s">
        <v>88</v>
      </c>
      <c r="AP90" s="360" t="s">
        <v>88</v>
      </c>
      <c r="AQ90" s="360" t="s">
        <v>88</v>
      </c>
      <c r="AR90" s="360" t="s">
        <v>88</v>
      </c>
      <c r="AS90" s="360" t="s">
        <v>88</v>
      </c>
      <c r="AT90" s="360" t="s">
        <v>88</v>
      </c>
      <c r="AU90" s="360" t="s">
        <v>88</v>
      </c>
      <c r="AV90" s="360" t="s">
        <v>88</v>
      </c>
      <c r="AW90" s="360" t="s">
        <v>88</v>
      </c>
      <c r="AX90" s="360" t="s">
        <v>88</v>
      </c>
      <c r="AY90" s="360" t="s">
        <v>88</v>
      </c>
      <c r="AZ90" s="360" t="s">
        <v>88</v>
      </c>
      <c r="BA90" s="360" t="s">
        <v>88</v>
      </c>
      <c r="BB90" s="360" t="s">
        <v>88</v>
      </c>
      <c r="BC90" s="360" t="s">
        <v>88</v>
      </c>
      <c r="BD90" s="360" t="s">
        <v>88</v>
      </c>
      <c r="BE90" s="360" t="s">
        <v>88</v>
      </c>
      <c r="BF90" s="360" t="s">
        <v>88</v>
      </c>
      <c r="BG90" s="360" t="s">
        <v>88</v>
      </c>
      <c r="BH90" s="360" t="s">
        <v>88</v>
      </c>
      <c r="BI90" s="360" t="s">
        <v>88</v>
      </c>
      <c r="BJ90" s="360" t="s">
        <v>88</v>
      </c>
      <c r="BK90" s="360" t="s">
        <v>88</v>
      </c>
      <c r="BL90" s="354" t="s">
        <v>89</v>
      </c>
      <c r="BM90" s="364" t="s">
        <v>122</v>
      </c>
      <c r="BN90" s="354" t="s">
        <v>91</v>
      </c>
      <c r="BO90" s="354">
        <v>225876</v>
      </c>
      <c r="BP90" s="354" t="s">
        <v>92</v>
      </c>
      <c r="BQ90" s="354" t="s">
        <v>93</v>
      </c>
      <c r="BR90" s="354" t="s">
        <v>94</v>
      </c>
      <c r="BS90" s="354">
        <v>63250612</v>
      </c>
      <c r="BT90" s="354" t="s">
        <v>95</v>
      </c>
      <c r="BU90" s="354" t="s">
        <v>112</v>
      </c>
      <c r="BV90" s="477"/>
    </row>
    <row r="91" spans="1:74" s="2" customFormat="1" ht="24.9" customHeight="1">
      <c r="A91" s="147" t="s">
        <v>85</v>
      </c>
      <c r="B91" s="356" t="s">
        <v>182</v>
      </c>
      <c r="C91" s="369"/>
      <c r="D91" s="356"/>
      <c r="E91" s="363">
        <v>46220</v>
      </c>
      <c r="F91" s="358">
        <v>3</v>
      </c>
      <c r="G91" s="358">
        <v>29</v>
      </c>
      <c r="H91" s="360" t="s">
        <v>88</v>
      </c>
      <c r="I91" s="360" t="s">
        <v>88</v>
      </c>
      <c r="J91" s="360" t="s">
        <v>88</v>
      </c>
      <c r="K91" s="360" t="s">
        <v>88</v>
      </c>
      <c r="L91" s="360" t="s">
        <v>88</v>
      </c>
      <c r="M91" s="360" t="s">
        <v>88</v>
      </c>
      <c r="N91" s="360" t="s">
        <v>88</v>
      </c>
      <c r="O91" s="360" t="s">
        <v>88</v>
      </c>
      <c r="P91" s="360" t="s">
        <v>88</v>
      </c>
      <c r="Q91" s="360" t="s">
        <v>88</v>
      </c>
      <c r="R91" s="360" t="s">
        <v>88</v>
      </c>
      <c r="S91" s="360" t="s">
        <v>88</v>
      </c>
      <c r="T91" s="360" t="s">
        <v>88</v>
      </c>
      <c r="U91" s="360" t="s">
        <v>88</v>
      </c>
      <c r="V91" s="360" t="s">
        <v>88</v>
      </c>
      <c r="W91" s="360" t="s">
        <v>88</v>
      </c>
      <c r="X91" s="360" t="s">
        <v>88</v>
      </c>
      <c r="Y91" s="360" t="s">
        <v>88</v>
      </c>
      <c r="Z91" s="360" t="s">
        <v>88</v>
      </c>
      <c r="AA91" s="360" t="s">
        <v>88</v>
      </c>
      <c r="AB91" s="360" t="s">
        <v>88</v>
      </c>
      <c r="AC91" s="360" t="s">
        <v>88</v>
      </c>
      <c r="AD91" s="360" t="s">
        <v>88</v>
      </c>
      <c r="AE91" s="360" t="s">
        <v>88</v>
      </c>
      <c r="AF91" s="360" t="s">
        <v>88</v>
      </c>
      <c r="AG91" s="360" t="s">
        <v>88</v>
      </c>
      <c r="AH91" s="360" t="s">
        <v>88</v>
      </c>
      <c r="AI91" s="360" t="s">
        <v>88</v>
      </c>
      <c r="AJ91" s="360" t="s">
        <v>88</v>
      </c>
      <c r="AK91" s="360" t="s">
        <v>88</v>
      </c>
      <c r="AL91" s="360" t="s">
        <v>88</v>
      </c>
      <c r="AM91" s="360" t="s">
        <v>88</v>
      </c>
      <c r="AN91" s="360" t="s">
        <v>88</v>
      </c>
      <c r="AO91" s="360" t="s">
        <v>88</v>
      </c>
      <c r="AP91" s="360" t="s">
        <v>88</v>
      </c>
      <c r="AQ91" s="360" t="s">
        <v>88</v>
      </c>
      <c r="AR91" s="360" t="s">
        <v>88</v>
      </c>
      <c r="AS91" s="360" t="s">
        <v>88</v>
      </c>
      <c r="AT91" s="360" t="s">
        <v>88</v>
      </c>
      <c r="AU91" s="360" t="s">
        <v>88</v>
      </c>
      <c r="AV91" s="360" t="s">
        <v>88</v>
      </c>
      <c r="AW91" s="360" t="s">
        <v>88</v>
      </c>
      <c r="AX91" s="360" t="s">
        <v>88</v>
      </c>
      <c r="AY91" s="360" t="s">
        <v>88</v>
      </c>
      <c r="AZ91" s="371">
        <v>52.69</v>
      </c>
      <c r="BA91" s="371">
        <v>38.200000000000003</v>
      </c>
      <c r="BB91" s="371">
        <v>49.83</v>
      </c>
      <c r="BC91" s="371">
        <v>34.92</v>
      </c>
      <c r="BD91" s="360" t="s">
        <v>88</v>
      </c>
      <c r="BE91" s="360" t="s">
        <v>88</v>
      </c>
      <c r="BF91" s="371">
        <v>88.08</v>
      </c>
      <c r="BG91" s="371">
        <v>36.92</v>
      </c>
      <c r="BH91" s="371">
        <v>81.23</v>
      </c>
      <c r="BI91" s="371">
        <v>32.57</v>
      </c>
      <c r="BJ91" s="360" t="s">
        <v>88</v>
      </c>
      <c r="BK91" s="360" t="s">
        <v>88</v>
      </c>
      <c r="BL91" s="354" t="s">
        <v>89</v>
      </c>
      <c r="BM91" s="364" t="s">
        <v>122</v>
      </c>
      <c r="BN91" s="354" t="s">
        <v>91</v>
      </c>
      <c r="BO91" s="354">
        <v>225876</v>
      </c>
      <c r="BP91" s="354" t="s">
        <v>92</v>
      </c>
      <c r="BQ91" s="354" t="s">
        <v>93</v>
      </c>
      <c r="BR91" s="354" t="s">
        <v>94</v>
      </c>
      <c r="BS91" s="354">
        <v>63250612</v>
      </c>
      <c r="BT91" s="354" t="s">
        <v>95</v>
      </c>
      <c r="BU91" s="354" t="s">
        <v>112</v>
      </c>
      <c r="BV91" s="477"/>
    </row>
    <row r="92" spans="1:74" s="2" customFormat="1" ht="24.9" customHeight="1">
      <c r="A92" s="147" t="s">
        <v>85</v>
      </c>
      <c r="B92" s="356" t="s">
        <v>183</v>
      </c>
      <c r="C92" s="369"/>
      <c r="D92" s="356"/>
      <c r="E92" s="363">
        <v>46220</v>
      </c>
      <c r="F92" s="358">
        <v>3</v>
      </c>
      <c r="G92" s="358">
        <v>29</v>
      </c>
      <c r="H92" s="360" t="s">
        <v>88</v>
      </c>
      <c r="I92" s="360" t="s">
        <v>88</v>
      </c>
      <c r="J92" s="360" t="s">
        <v>88</v>
      </c>
      <c r="K92" s="360" t="s">
        <v>88</v>
      </c>
      <c r="L92" s="360" t="s">
        <v>88</v>
      </c>
      <c r="M92" s="360" t="s">
        <v>88</v>
      </c>
      <c r="N92" s="360" t="s">
        <v>88</v>
      </c>
      <c r="O92" s="360" t="s">
        <v>88</v>
      </c>
      <c r="P92" s="360" t="s">
        <v>88</v>
      </c>
      <c r="Q92" s="360" t="s">
        <v>88</v>
      </c>
      <c r="R92" s="360" t="s">
        <v>88</v>
      </c>
      <c r="S92" s="360" t="s">
        <v>88</v>
      </c>
      <c r="T92" s="360" t="s">
        <v>88</v>
      </c>
      <c r="U92" s="360" t="s">
        <v>88</v>
      </c>
      <c r="V92" s="360" t="s">
        <v>88</v>
      </c>
      <c r="W92" s="360" t="s">
        <v>88</v>
      </c>
      <c r="X92" s="360" t="s">
        <v>88</v>
      </c>
      <c r="Y92" s="360" t="s">
        <v>88</v>
      </c>
      <c r="Z92" s="360" t="s">
        <v>88</v>
      </c>
      <c r="AA92" s="360" t="s">
        <v>88</v>
      </c>
      <c r="AB92" s="360" t="s">
        <v>88</v>
      </c>
      <c r="AC92" s="371">
        <v>2.31</v>
      </c>
      <c r="AD92" s="371">
        <v>2.35</v>
      </c>
      <c r="AE92" s="371">
        <v>2.2599999999999998</v>
      </c>
      <c r="AF92" s="371">
        <f>AVERAGE(AC92:AE92)</f>
        <v>2.3066666666666666</v>
      </c>
      <c r="AG92" s="360" t="s">
        <v>88</v>
      </c>
      <c r="AH92" s="371" t="s">
        <v>99</v>
      </c>
      <c r="AI92" s="371" t="s">
        <v>99</v>
      </c>
      <c r="AJ92" s="371" t="s">
        <v>99</v>
      </c>
      <c r="AK92" s="371" t="s">
        <v>99</v>
      </c>
      <c r="AL92" s="371" t="s">
        <v>99</v>
      </c>
      <c r="AM92" s="371" t="s">
        <v>99</v>
      </c>
      <c r="AN92" s="360" t="s">
        <v>88</v>
      </c>
      <c r="AO92" s="360" t="s">
        <v>88</v>
      </c>
      <c r="AP92" s="360" t="s">
        <v>88</v>
      </c>
      <c r="AQ92" s="360" t="s">
        <v>88</v>
      </c>
      <c r="AR92" s="360" t="s">
        <v>88</v>
      </c>
      <c r="AS92" s="360" t="s">
        <v>88</v>
      </c>
      <c r="AT92" s="360" t="s">
        <v>88</v>
      </c>
      <c r="AU92" s="360" t="s">
        <v>88</v>
      </c>
      <c r="AV92" s="360" t="s">
        <v>88</v>
      </c>
      <c r="AW92" s="360" t="s">
        <v>88</v>
      </c>
      <c r="AX92" s="360" t="s">
        <v>88</v>
      </c>
      <c r="AY92" s="360" t="s">
        <v>88</v>
      </c>
      <c r="AZ92" s="360" t="s">
        <v>88</v>
      </c>
      <c r="BA92" s="360" t="s">
        <v>88</v>
      </c>
      <c r="BB92" s="360" t="s">
        <v>88</v>
      </c>
      <c r="BC92" s="360" t="s">
        <v>88</v>
      </c>
      <c r="BD92" s="360" t="s">
        <v>88</v>
      </c>
      <c r="BE92" s="360" t="s">
        <v>88</v>
      </c>
      <c r="BF92" s="360" t="s">
        <v>88</v>
      </c>
      <c r="BG92" s="360" t="s">
        <v>88</v>
      </c>
      <c r="BH92" s="360" t="s">
        <v>88</v>
      </c>
      <c r="BI92" s="360" t="s">
        <v>88</v>
      </c>
      <c r="BJ92" s="360" t="s">
        <v>88</v>
      </c>
      <c r="BK92" s="360" t="s">
        <v>88</v>
      </c>
      <c r="BL92" s="354" t="s">
        <v>89</v>
      </c>
      <c r="BM92" s="364" t="s">
        <v>122</v>
      </c>
      <c r="BN92" s="354" t="s">
        <v>91</v>
      </c>
      <c r="BO92" s="354">
        <v>225876</v>
      </c>
      <c r="BP92" s="354" t="s">
        <v>92</v>
      </c>
      <c r="BQ92" s="354" t="s">
        <v>93</v>
      </c>
      <c r="BR92" s="354" t="s">
        <v>94</v>
      </c>
      <c r="BS92" s="354">
        <v>63250612</v>
      </c>
      <c r="BT92" s="354" t="s">
        <v>95</v>
      </c>
      <c r="BU92" s="354" t="s">
        <v>112</v>
      </c>
      <c r="BV92" s="415"/>
    </row>
    <row r="93" spans="1:74" s="2" customFormat="1" ht="24.9" customHeight="1">
      <c r="A93" s="147" t="s">
        <v>85</v>
      </c>
      <c r="B93" s="356" t="s">
        <v>184</v>
      </c>
      <c r="C93" s="369"/>
      <c r="D93" s="356"/>
      <c r="E93" s="363">
        <v>46221</v>
      </c>
      <c r="F93" s="358">
        <v>1</v>
      </c>
      <c r="G93" s="358">
        <v>29</v>
      </c>
      <c r="H93" s="512" t="s">
        <v>101</v>
      </c>
      <c r="I93" s="371">
        <v>298</v>
      </c>
      <c r="J93" s="371">
        <v>379</v>
      </c>
      <c r="K93" s="371">
        <v>346.67</v>
      </c>
      <c r="L93" s="371">
        <v>235.3</v>
      </c>
      <c r="M93" s="371">
        <v>340.33</v>
      </c>
      <c r="N93" s="371">
        <v>294.25</v>
      </c>
      <c r="O93" s="360" t="s">
        <v>88</v>
      </c>
      <c r="P93" s="360" t="s">
        <v>88</v>
      </c>
      <c r="Q93" s="371">
        <v>-0.75</v>
      </c>
      <c r="R93" s="360" t="s">
        <v>88</v>
      </c>
      <c r="S93" s="360" t="s">
        <v>88</v>
      </c>
      <c r="T93" s="360" t="s">
        <v>88</v>
      </c>
      <c r="U93" s="360" t="s">
        <v>88</v>
      </c>
      <c r="V93" s="360" t="s">
        <v>88</v>
      </c>
      <c r="W93" s="360" t="s">
        <v>88</v>
      </c>
      <c r="X93" s="360" t="s">
        <v>88</v>
      </c>
      <c r="Y93" s="360" t="s">
        <v>88</v>
      </c>
      <c r="Z93" s="360" t="s">
        <v>88</v>
      </c>
      <c r="AA93" s="360" t="s">
        <v>88</v>
      </c>
      <c r="AB93" s="360" t="s">
        <v>88</v>
      </c>
      <c r="AC93" s="360" t="s">
        <v>88</v>
      </c>
      <c r="AD93" s="360" t="s">
        <v>88</v>
      </c>
      <c r="AE93" s="360" t="s">
        <v>88</v>
      </c>
      <c r="AF93" s="360" t="s">
        <v>88</v>
      </c>
      <c r="AG93" s="371">
        <v>2.02</v>
      </c>
      <c r="AH93" s="360" t="s">
        <v>88</v>
      </c>
      <c r="AI93" s="360" t="s">
        <v>88</v>
      </c>
      <c r="AJ93" s="360" t="s">
        <v>88</v>
      </c>
      <c r="AK93" s="360" t="s">
        <v>88</v>
      </c>
      <c r="AL93" s="360" t="s">
        <v>88</v>
      </c>
      <c r="AM93" s="360" t="s">
        <v>88</v>
      </c>
      <c r="AN93" s="360" t="s">
        <v>88</v>
      </c>
      <c r="AO93" s="360" t="s">
        <v>88</v>
      </c>
      <c r="AP93" s="360" t="s">
        <v>88</v>
      </c>
      <c r="AQ93" s="360" t="s">
        <v>88</v>
      </c>
      <c r="AR93" s="360" t="s">
        <v>88</v>
      </c>
      <c r="AS93" s="360" t="s">
        <v>88</v>
      </c>
      <c r="AT93" s="360" t="s">
        <v>88</v>
      </c>
      <c r="AU93" s="360" t="s">
        <v>88</v>
      </c>
      <c r="AV93" s="360" t="s">
        <v>88</v>
      </c>
      <c r="AW93" s="360" t="s">
        <v>88</v>
      </c>
      <c r="AX93" s="360" t="s">
        <v>88</v>
      </c>
      <c r="AY93" s="360" t="s">
        <v>88</v>
      </c>
      <c r="AZ93" s="360" t="s">
        <v>88</v>
      </c>
      <c r="BA93" s="360" t="s">
        <v>88</v>
      </c>
      <c r="BB93" s="360" t="s">
        <v>88</v>
      </c>
      <c r="BC93" s="360" t="s">
        <v>88</v>
      </c>
      <c r="BD93" s="360" t="s">
        <v>88</v>
      </c>
      <c r="BE93" s="360" t="s">
        <v>88</v>
      </c>
      <c r="BF93" s="360" t="s">
        <v>88</v>
      </c>
      <c r="BG93" s="360" t="s">
        <v>88</v>
      </c>
      <c r="BH93" s="360" t="s">
        <v>88</v>
      </c>
      <c r="BI93" s="360" t="s">
        <v>88</v>
      </c>
      <c r="BJ93" s="360" t="s">
        <v>88</v>
      </c>
      <c r="BK93" s="360" t="s">
        <v>88</v>
      </c>
      <c r="BL93" s="354" t="s">
        <v>89</v>
      </c>
      <c r="BM93" s="364" t="s">
        <v>122</v>
      </c>
      <c r="BN93" s="354" t="s">
        <v>91</v>
      </c>
      <c r="BO93" s="354">
        <v>225876</v>
      </c>
      <c r="BP93" s="354" t="s">
        <v>92</v>
      </c>
      <c r="BQ93" s="354" t="s">
        <v>93</v>
      </c>
      <c r="BR93" s="354" t="s">
        <v>94</v>
      </c>
      <c r="BS93" s="354">
        <v>63250612</v>
      </c>
      <c r="BT93" s="354" t="s">
        <v>95</v>
      </c>
      <c r="BU93" s="354" t="s">
        <v>112</v>
      </c>
      <c r="BV93" s="477"/>
    </row>
    <row r="94" spans="1:74" s="2" customFormat="1" ht="24.9" customHeight="1">
      <c r="A94" s="147" t="s">
        <v>85</v>
      </c>
      <c r="B94" s="356" t="s">
        <v>185</v>
      </c>
      <c r="C94" s="369"/>
      <c r="D94" s="356"/>
      <c r="E94" s="363">
        <v>46221</v>
      </c>
      <c r="F94" s="358">
        <v>1</v>
      </c>
      <c r="G94" s="358">
        <v>29</v>
      </c>
      <c r="H94" s="360" t="s">
        <v>88</v>
      </c>
      <c r="I94" s="360" t="s">
        <v>88</v>
      </c>
      <c r="J94" s="360" t="s">
        <v>88</v>
      </c>
      <c r="K94" s="360" t="s">
        <v>88</v>
      </c>
      <c r="L94" s="360" t="s">
        <v>88</v>
      </c>
      <c r="M94" s="360" t="s">
        <v>88</v>
      </c>
      <c r="N94" s="360" t="s">
        <v>88</v>
      </c>
      <c r="O94" s="360" t="s">
        <v>88</v>
      </c>
      <c r="P94" s="360" t="s">
        <v>88</v>
      </c>
      <c r="Q94" s="360" t="s">
        <v>88</v>
      </c>
      <c r="R94" s="360" t="s">
        <v>88</v>
      </c>
      <c r="S94" s="360" t="s">
        <v>88</v>
      </c>
      <c r="T94" s="360" t="s">
        <v>88</v>
      </c>
      <c r="U94" s="360" t="s">
        <v>88</v>
      </c>
      <c r="V94" s="360" t="s">
        <v>88</v>
      </c>
      <c r="W94" s="360" t="s">
        <v>88</v>
      </c>
      <c r="X94" s="360" t="s">
        <v>88</v>
      </c>
      <c r="Y94" s="360" t="s">
        <v>88</v>
      </c>
      <c r="Z94" s="360" t="s">
        <v>88</v>
      </c>
      <c r="AA94" s="360" t="s">
        <v>88</v>
      </c>
      <c r="AB94" s="360" t="s">
        <v>88</v>
      </c>
      <c r="AC94" s="360" t="s">
        <v>88</v>
      </c>
      <c r="AD94" s="360" t="s">
        <v>88</v>
      </c>
      <c r="AE94" s="360" t="s">
        <v>88</v>
      </c>
      <c r="AF94" s="360" t="s">
        <v>88</v>
      </c>
      <c r="AG94" s="360" t="s">
        <v>88</v>
      </c>
      <c r="AH94" s="360" t="s">
        <v>88</v>
      </c>
      <c r="AI94" s="360" t="s">
        <v>88</v>
      </c>
      <c r="AJ94" s="360" t="s">
        <v>88</v>
      </c>
      <c r="AK94" s="360" t="s">
        <v>88</v>
      </c>
      <c r="AL94" s="360" t="s">
        <v>88</v>
      </c>
      <c r="AM94" s="360" t="s">
        <v>88</v>
      </c>
      <c r="AN94" s="360" t="s">
        <v>88</v>
      </c>
      <c r="AO94" s="360" t="s">
        <v>88</v>
      </c>
      <c r="AP94" s="360" t="s">
        <v>88</v>
      </c>
      <c r="AQ94" s="360" t="s">
        <v>88</v>
      </c>
      <c r="AR94" s="360" t="s">
        <v>88</v>
      </c>
      <c r="AS94" s="360" t="s">
        <v>88</v>
      </c>
      <c r="AT94" s="360" t="s">
        <v>88</v>
      </c>
      <c r="AU94" s="360" t="s">
        <v>88</v>
      </c>
      <c r="AV94" s="360" t="s">
        <v>88</v>
      </c>
      <c r="AW94" s="360" t="s">
        <v>88</v>
      </c>
      <c r="AX94" s="360" t="s">
        <v>88</v>
      </c>
      <c r="AY94" s="360" t="s">
        <v>88</v>
      </c>
      <c r="AZ94" s="371">
        <v>73.27</v>
      </c>
      <c r="BA94" s="371">
        <v>39</v>
      </c>
      <c r="BB94" s="371">
        <v>32.57</v>
      </c>
      <c r="BC94" s="371">
        <v>34.92</v>
      </c>
      <c r="BD94" s="360" t="s">
        <v>88</v>
      </c>
      <c r="BE94" s="360" t="s">
        <v>88</v>
      </c>
      <c r="BF94" s="371">
        <v>71.27</v>
      </c>
      <c r="BG94" s="371">
        <v>43.58</v>
      </c>
      <c r="BH94" s="371">
        <v>62.39</v>
      </c>
      <c r="BI94" s="371">
        <v>20.010000000000002</v>
      </c>
      <c r="BJ94" s="360" t="s">
        <v>88</v>
      </c>
      <c r="BK94" s="360" t="s">
        <v>88</v>
      </c>
      <c r="BL94" s="354" t="s">
        <v>89</v>
      </c>
      <c r="BM94" s="364" t="s">
        <v>122</v>
      </c>
      <c r="BN94" s="354" t="s">
        <v>91</v>
      </c>
      <c r="BO94" s="354">
        <v>225876</v>
      </c>
      <c r="BP94" s="354" t="s">
        <v>92</v>
      </c>
      <c r="BQ94" s="354" t="s">
        <v>93</v>
      </c>
      <c r="BR94" s="354" t="s">
        <v>94</v>
      </c>
      <c r="BS94" s="354">
        <v>63250612</v>
      </c>
      <c r="BT94" s="354" t="s">
        <v>95</v>
      </c>
      <c r="BU94" s="354" t="s">
        <v>112</v>
      </c>
      <c r="BV94" s="477"/>
    </row>
    <row r="95" spans="1:74" s="2" customFormat="1" ht="24.9" customHeight="1">
      <c r="A95" s="147" t="s">
        <v>85</v>
      </c>
      <c r="B95" s="356" t="s">
        <v>186</v>
      </c>
      <c r="C95" s="369"/>
      <c r="D95" s="356"/>
      <c r="E95" s="363">
        <v>46221</v>
      </c>
      <c r="F95" s="358">
        <v>2</v>
      </c>
      <c r="G95" s="358">
        <v>29</v>
      </c>
      <c r="H95" s="512" t="s">
        <v>101</v>
      </c>
      <c r="I95" s="371">
        <v>276</v>
      </c>
      <c r="J95" s="371">
        <v>354</v>
      </c>
      <c r="K95" s="371">
        <v>315</v>
      </c>
      <c r="L95" s="371">
        <v>217</v>
      </c>
      <c r="M95" s="371">
        <v>348</v>
      </c>
      <c r="N95" s="371">
        <v>257</v>
      </c>
      <c r="O95" s="360" t="s">
        <v>88</v>
      </c>
      <c r="P95" s="360" t="s">
        <v>88</v>
      </c>
      <c r="Q95" s="371">
        <v>-0.83</v>
      </c>
      <c r="R95" s="360" t="s">
        <v>88</v>
      </c>
      <c r="S95" s="360" t="s">
        <v>88</v>
      </c>
      <c r="T95" s="360" t="s">
        <v>88</v>
      </c>
      <c r="U95" s="360" t="s">
        <v>88</v>
      </c>
      <c r="V95" s="360" t="s">
        <v>88</v>
      </c>
      <c r="W95" s="360" t="s">
        <v>88</v>
      </c>
      <c r="X95" s="360" t="s">
        <v>88</v>
      </c>
      <c r="Y95" s="360" t="s">
        <v>88</v>
      </c>
      <c r="Z95" s="360" t="s">
        <v>88</v>
      </c>
      <c r="AA95" s="360" t="s">
        <v>88</v>
      </c>
      <c r="AB95" s="360" t="s">
        <v>88</v>
      </c>
      <c r="AC95" s="360" t="s">
        <v>88</v>
      </c>
      <c r="AD95" s="360" t="s">
        <v>88</v>
      </c>
      <c r="AE95" s="360" t="s">
        <v>88</v>
      </c>
      <c r="AF95" s="360" t="s">
        <v>88</v>
      </c>
      <c r="AG95" s="371">
        <v>-0.71</v>
      </c>
      <c r="AH95" s="360" t="s">
        <v>88</v>
      </c>
      <c r="AI95" s="360" t="s">
        <v>88</v>
      </c>
      <c r="AJ95" s="360" t="s">
        <v>88</v>
      </c>
      <c r="AK95" s="360" t="s">
        <v>88</v>
      </c>
      <c r="AL95" s="360" t="s">
        <v>88</v>
      </c>
      <c r="AM95" s="360" t="s">
        <v>88</v>
      </c>
      <c r="AN95" s="360" t="s">
        <v>88</v>
      </c>
      <c r="AO95" s="360" t="s">
        <v>88</v>
      </c>
      <c r="AP95" s="360" t="s">
        <v>88</v>
      </c>
      <c r="AQ95" s="360" t="s">
        <v>88</v>
      </c>
      <c r="AR95" s="360" t="s">
        <v>88</v>
      </c>
      <c r="AS95" s="360" t="s">
        <v>88</v>
      </c>
      <c r="AT95" s="360" t="s">
        <v>88</v>
      </c>
      <c r="AU95" s="360" t="s">
        <v>88</v>
      </c>
      <c r="AV95" s="360" t="s">
        <v>88</v>
      </c>
      <c r="AW95" s="360" t="s">
        <v>88</v>
      </c>
      <c r="AX95" s="360" t="s">
        <v>88</v>
      </c>
      <c r="AY95" s="360" t="s">
        <v>88</v>
      </c>
      <c r="AZ95" s="360" t="s">
        <v>88</v>
      </c>
      <c r="BA95" s="360" t="s">
        <v>88</v>
      </c>
      <c r="BB95" s="360" t="s">
        <v>88</v>
      </c>
      <c r="BC95" s="360" t="s">
        <v>88</v>
      </c>
      <c r="BD95" s="360" t="s">
        <v>88</v>
      </c>
      <c r="BE95" s="360" t="s">
        <v>88</v>
      </c>
      <c r="BF95" s="360" t="s">
        <v>88</v>
      </c>
      <c r="BG95" s="360" t="s">
        <v>88</v>
      </c>
      <c r="BH95" s="360" t="s">
        <v>88</v>
      </c>
      <c r="BI95" s="360" t="s">
        <v>88</v>
      </c>
      <c r="BJ95" s="360" t="s">
        <v>88</v>
      </c>
      <c r="BK95" s="360" t="s">
        <v>88</v>
      </c>
      <c r="BL95" s="354" t="s">
        <v>89</v>
      </c>
      <c r="BM95" s="364" t="s">
        <v>122</v>
      </c>
      <c r="BN95" s="354" t="s">
        <v>91</v>
      </c>
      <c r="BO95" s="354">
        <v>225876</v>
      </c>
      <c r="BP95" s="354" t="s">
        <v>92</v>
      </c>
      <c r="BQ95" s="354" t="s">
        <v>93</v>
      </c>
      <c r="BR95" s="354" t="s">
        <v>94</v>
      </c>
      <c r="BS95" s="354">
        <v>63250612</v>
      </c>
      <c r="BT95" s="354" t="s">
        <v>95</v>
      </c>
      <c r="BU95" s="354" t="s">
        <v>112</v>
      </c>
      <c r="BV95" s="477"/>
    </row>
    <row r="96" spans="1:74" s="2" customFormat="1" ht="24.9" customHeight="1">
      <c r="A96" s="147" t="s">
        <v>85</v>
      </c>
      <c r="B96" s="557" t="s">
        <v>187</v>
      </c>
      <c r="C96" s="369"/>
      <c r="D96" s="356"/>
      <c r="E96" s="363">
        <v>46221</v>
      </c>
      <c r="F96" s="358">
        <v>2</v>
      </c>
      <c r="G96" s="358">
        <v>29</v>
      </c>
      <c r="H96" s="539" t="s">
        <v>171</v>
      </c>
      <c r="I96" s="360" t="s">
        <v>88</v>
      </c>
      <c r="J96" s="360" t="s">
        <v>88</v>
      </c>
      <c r="K96" s="360" t="s">
        <v>88</v>
      </c>
      <c r="L96" s="360" t="s">
        <v>88</v>
      </c>
      <c r="M96" s="360" t="s">
        <v>88</v>
      </c>
      <c r="N96" s="360" t="s">
        <v>88</v>
      </c>
      <c r="O96" s="360" t="s">
        <v>88</v>
      </c>
      <c r="P96" s="360" t="s">
        <v>88</v>
      </c>
      <c r="Q96" s="360" t="s">
        <v>88</v>
      </c>
      <c r="R96" s="360" t="s">
        <v>88</v>
      </c>
      <c r="S96" s="360" t="s">
        <v>88</v>
      </c>
      <c r="T96" s="360" t="s">
        <v>88</v>
      </c>
      <c r="U96" s="360" t="s">
        <v>88</v>
      </c>
      <c r="V96" s="360" t="s">
        <v>88</v>
      </c>
      <c r="W96" s="360" t="s">
        <v>88</v>
      </c>
      <c r="X96" s="360" t="s">
        <v>88</v>
      </c>
      <c r="Y96" s="360" t="s">
        <v>88</v>
      </c>
      <c r="Z96" s="360" t="s">
        <v>88</v>
      </c>
      <c r="AA96" s="360" t="s">
        <v>88</v>
      </c>
      <c r="AB96" s="360" t="s">
        <v>88</v>
      </c>
      <c r="AC96" s="360" t="s">
        <v>88</v>
      </c>
      <c r="AD96" s="360" t="s">
        <v>88</v>
      </c>
      <c r="AE96" s="360" t="s">
        <v>88</v>
      </c>
      <c r="AF96" s="360" t="s">
        <v>88</v>
      </c>
      <c r="AG96" s="360" t="s">
        <v>88</v>
      </c>
      <c r="AH96" s="360" t="s">
        <v>88</v>
      </c>
      <c r="AI96" s="360" t="s">
        <v>88</v>
      </c>
      <c r="AJ96" s="360" t="s">
        <v>88</v>
      </c>
      <c r="AK96" s="360" t="s">
        <v>88</v>
      </c>
      <c r="AL96" s="360" t="s">
        <v>88</v>
      </c>
      <c r="AM96" s="360" t="s">
        <v>88</v>
      </c>
      <c r="AN96" s="360" t="s">
        <v>88</v>
      </c>
      <c r="AO96" s="360" t="s">
        <v>88</v>
      </c>
      <c r="AP96" s="360" t="s">
        <v>88</v>
      </c>
      <c r="AQ96" s="360" t="s">
        <v>88</v>
      </c>
      <c r="AR96" s="360" t="s">
        <v>88</v>
      </c>
      <c r="AS96" s="360" t="s">
        <v>88</v>
      </c>
      <c r="AT96" s="360" t="s">
        <v>88</v>
      </c>
      <c r="AU96" s="360" t="s">
        <v>88</v>
      </c>
      <c r="AV96" s="360" t="s">
        <v>88</v>
      </c>
      <c r="AW96" s="360" t="s">
        <v>88</v>
      </c>
      <c r="AX96" s="360" t="s">
        <v>88</v>
      </c>
      <c r="AY96" s="360" t="s">
        <v>88</v>
      </c>
      <c r="AZ96" s="371">
        <v>77.3</v>
      </c>
      <c r="BA96" s="371">
        <v>38.28</v>
      </c>
      <c r="BB96" s="371">
        <v>64.349999999999994</v>
      </c>
      <c r="BC96" s="371">
        <v>17.66</v>
      </c>
      <c r="BD96" s="360" t="s">
        <v>88</v>
      </c>
      <c r="BE96" s="360" t="s">
        <v>88</v>
      </c>
      <c r="BF96" s="371">
        <v>53.12</v>
      </c>
      <c r="BG96" s="371">
        <v>35.340000000000003</v>
      </c>
      <c r="BH96" s="538">
        <v>16.09</v>
      </c>
      <c r="BI96" s="371">
        <v>32.18</v>
      </c>
      <c r="BJ96" s="360" t="s">
        <v>88</v>
      </c>
      <c r="BK96" s="360" t="s">
        <v>88</v>
      </c>
      <c r="BL96" s="354" t="s">
        <v>89</v>
      </c>
      <c r="BM96" s="364" t="s">
        <v>122</v>
      </c>
      <c r="BN96" s="354" t="s">
        <v>91</v>
      </c>
      <c r="BO96" s="354">
        <v>225876</v>
      </c>
      <c r="BP96" s="354" t="s">
        <v>92</v>
      </c>
      <c r="BQ96" s="354" t="s">
        <v>93</v>
      </c>
      <c r="BR96" s="354" t="s">
        <v>94</v>
      </c>
      <c r="BS96" s="354">
        <v>63250612</v>
      </c>
      <c r="BT96" s="354" t="s">
        <v>95</v>
      </c>
      <c r="BU96" s="354" t="s">
        <v>112</v>
      </c>
      <c r="BV96" s="477"/>
    </row>
    <row r="97" spans="1:74" s="2" customFormat="1" ht="24.9" customHeight="1">
      <c r="A97" s="147" t="s">
        <v>85</v>
      </c>
      <c r="B97" s="356" t="s">
        <v>188</v>
      </c>
      <c r="C97" s="369"/>
      <c r="D97" s="356"/>
      <c r="E97" s="363">
        <v>46221</v>
      </c>
      <c r="F97" s="358">
        <v>2</v>
      </c>
      <c r="G97" s="358">
        <v>29</v>
      </c>
      <c r="H97" s="360" t="s">
        <v>88</v>
      </c>
      <c r="I97" s="360" t="s">
        <v>88</v>
      </c>
      <c r="J97" s="360" t="s">
        <v>88</v>
      </c>
      <c r="K97" s="360" t="s">
        <v>88</v>
      </c>
      <c r="L97" s="360" t="s">
        <v>88</v>
      </c>
      <c r="M97" s="360" t="s">
        <v>88</v>
      </c>
      <c r="N97" s="360" t="s">
        <v>88</v>
      </c>
      <c r="O97" s="360" t="s">
        <v>88</v>
      </c>
      <c r="P97" s="360" t="s">
        <v>88</v>
      </c>
      <c r="Q97" s="360" t="s">
        <v>88</v>
      </c>
      <c r="R97" s="360" t="s">
        <v>88</v>
      </c>
      <c r="S97" s="360" t="s">
        <v>88</v>
      </c>
      <c r="T97" s="360" t="s">
        <v>88</v>
      </c>
      <c r="U97" s="360" t="s">
        <v>88</v>
      </c>
      <c r="V97" s="360" t="s">
        <v>88</v>
      </c>
      <c r="W97" s="360" t="s">
        <v>88</v>
      </c>
      <c r="X97" s="360" t="s">
        <v>88</v>
      </c>
      <c r="Y97" s="360" t="s">
        <v>88</v>
      </c>
      <c r="Z97" s="360" t="s">
        <v>88</v>
      </c>
      <c r="AA97" s="360" t="s">
        <v>88</v>
      </c>
      <c r="AB97" s="360" t="s">
        <v>88</v>
      </c>
      <c r="AC97" s="360" t="s">
        <v>88</v>
      </c>
      <c r="AD97" s="360" t="s">
        <v>88</v>
      </c>
      <c r="AE97" s="360" t="s">
        <v>88</v>
      </c>
      <c r="AF97" s="360" t="s">
        <v>88</v>
      </c>
      <c r="AG97" s="360" t="s">
        <v>88</v>
      </c>
      <c r="AH97" s="360" t="s">
        <v>88</v>
      </c>
      <c r="AI97" s="360" t="s">
        <v>88</v>
      </c>
      <c r="AJ97" s="360" t="s">
        <v>88</v>
      </c>
      <c r="AK97" s="360" t="s">
        <v>88</v>
      </c>
      <c r="AL97" s="360" t="s">
        <v>88</v>
      </c>
      <c r="AM97" s="360" t="s">
        <v>88</v>
      </c>
      <c r="AN97" s="360" t="s">
        <v>88</v>
      </c>
      <c r="AO97" s="360" t="s">
        <v>88</v>
      </c>
      <c r="AP97" s="360" t="s">
        <v>88</v>
      </c>
      <c r="AQ97" s="360" t="s">
        <v>88</v>
      </c>
      <c r="AR97" s="360" t="s">
        <v>88</v>
      </c>
      <c r="AS97" s="360" t="s">
        <v>88</v>
      </c>
      <c r="AT97" s="360" t="s">
        <v>88</v>
      </c>
      <c r="AU97" s="360" t="s">
        <v>88</v>
      </c>
      <c r="AV97" s="360" t="s">
        <v>88</v>
      </c>
      <c r="AW97" s="360" t="s">
        <v>88</v>
      </c>
      <c r="AX97" s="360" t="s">
        <v>88</v>
      </c>
      <c r="AY97" s="360" t="s">
        <v>88</v>
      </c>
      <c r="AZ97" s="371"/>
      <c r="BA97" s="371"/>
      <c r="BB97" s="371"/>
      <c r="BC97" s="371"/>
      <c r="BD97" s="360" t="s">
        <v>88</v>
      </c>
      <c r="BE97" s="360" t="s">
        <v>88</v>
      </c>
      <c r="BF97" s="371"/>
      <c r="BG97" s="371"/>
      <c r="BH97" s="371"/>
      <c r="BI97" s="371"/>
      <c r="BJ97" s="360" t="s">
        <v>88</v>
      </c>
      <c r="BK97" s="360" t="s">
        <v>88</v>
      </c>
      <c r="BL97" s="354" t="s">
        <v>89</v>
      </c>
      <c r="BM97" s="559" t="s">
        <v>189</v>
      </c>
      <c r="BN97" s="354" t="s">
        <v>91</v>
      </c>
      <c r="BO97" s="354">
        <v>225876</v>
      </c>
      <c r="BP97" s="354" t="s">
        <v>92</v>
      </c>
      <c r="BQ97" s="354" t="s">
        <v>93</v>
      </c>
      <c r="BR97" s="354" t="s">
        <v>94</v>
      </c>
      <c r="BS97" s="354">
        <v>63250612</v>
      </c>
      <c r="BT97" s="354" t="s">
        <v>95</v>
      </c>
      <c r="BU97" s="354" t="s">
        <v>112</v>
      </c>
      <c r="BV97" s="477" t="s">
        <v>190</v>
      </c>
    </row>
    <row r="98" spans="1:74" s="2" customFormat="1" ht="24.9" customHeight="1">
      <c r="A98" s="147" t="s">
        <v>85</v>
      </c>
      <c r="B98" s="356" t="s">
        <v>191</v>
      </c>
      <c r="C98" s="369"/>
      <c r="D98" s="356"/>
      <c r="E98" s="363">
        <v>46221</v>
      </c>
      <c r="F98" s="358">
        <v>2</v>
      </c>
      <c r="G98" s="358">
        <v>29</v>
      </c>
      <c r="H98" s="360" t="s">
        <v>88</v>
      </c>
      <c r="I98" s="360" t="s">
        <v>88</v>
      </c>
      <c r="J98" s="360" t="s">
        <v>88</v>
      </c>
      <c r="K98" s="360" t="s">
        <v>88</v>
      </c>
      <c r="L98" s="360" t="s">
        <v>88</v>
      </c>
      <c r="M98" s="360" t="s">
        <v>88</v>
      </c>
      <c r="N98" s="360" t="s">
        <v>88</v>
      </c>
      <c r="O98" s="360" t="s">
        <v>88</v>
      </c>
      <c r="P98" s="360" t="s">
        <v>88</v>
      </c>
      <c r="Q98" s="360" t="s">
        <v>88</v>
      </c>
      <c r="R98" s="360" t="s">
        <v>88</v>
      </c>
      <c r="S98" s="360" t="s">
        <v>88</v>
      </c>
      <c r="T98" s="360" t="s">
        <v>88</v>
      </c>
      <c r="U98" s="360" t="s">
        <v>88</v>
      </c>
      <c r="V98" s="360" t="s">
        <v>88</v>
      </c>
      <c r="W98" s="360" t="s">
        <v>88</v>
      </c>
      <c r="X98" s="360" t="s">
        <v>88</v>
      </c>
      <c r="Y98" s="360" t="s">
        <v>88</v>
      </c>
      <c r="Z98" s="360" t="s">
        <v>88</v>
      </c>
      <c r="AA98" s="360" t="s">
        <v>88</v>
      </c>
      <c r="AB98" s="360" t="s">
        <v>88</v>
      </c>
      <c r="AC98" s="360" t="s">
        <v>88</v>
      </c>
      <c r="AD98" s="360" t="s">
        <v>88</v>
      </c>
      <c r="AE98" s="360" t="s">
        <v>88</v>
      </c>
      <c r="AF98" s="360" t="s">
        <v>88</v>
      </c>
      <c r="AG98" s="360" t="s">
        <v>88</v>
      </c>
      <c r="AH98" s="360" t="s">
        <v>88</v>
      </c>
      <c r="AI98" s="360" t="s">
        <v>88</v>
      </c>
      <c r="AJ98" s="360" t="s">
        <v>88</v>
      </c>
      <c r="AK98" s="360" t="s">
        <v>88</v>
      </c>
      <c r="AL98" s="360" t="s">
        <v>88</v>
      </c>
      <c r="AM98" s="360" t="s">
        <v>88</v>
      </c>
      <c r="AN98" s="360" t="s">
        <v>88</v>
      </c>
      <c r="AO98" s="360" t="s">
        <v>88</v>
      </c>
      <c r="AP98" s="360" t="s">
        <v>88</v>
      </c>
      <c r="AQ98" s="360" t="s">
        <v>88</v>
      </c>
      <c r="AR98" s="360" t="s">
        <v>88</v>
      </c>
      <c r="AS98" s="360" t="s">
        <v>88</v>
      </c>
      <c r="AT98" s="360" t="s">
        <v>88</v>
      </c>
      <c r="AU98" s="360" t="s">
        <v>88</v>
      </c>
      <c r="AV98" s="360" t="s">
        <v>88</v>
      </c>
      <c r="AW98" s="360" t="s">
        <v>88</v>
      </c>
      <c r="AX98" s="360" t="s">
        <v>88</v>
      </c>
      <c r="AY98" s="360" t="s">
        <v>88</v>
      </c>
      <c r="AZ98" s="371"/>
      <c r="BA98" s="371"/>
      <c r="BB98" s="371"/>
      <c r="BC98" s="371"/>
      <c r="BD98" s="360"/>
      <c r="BE98" s="360"/>
      <c r="BF98" s="371"/>
      <c r="BG98" s="371"/>
      <c r="BH98" s="371"/>
      <c r="BI98" s="371"/>
      <c r="BJ98" s="360"/>
      <c r="BK98" s="360"/>
      <c r="BL98" s="354" t="s">
        <v>89</v>
      </c>
      <c r="BM98" s="364" t="s">
        <v>189</v>
      </c>
      <c r="BN98" s="354" t="s">
        <v>91</v>
      </c>
      <c r="BO98" s="354">
        <v>225876</v>
      </c>
      <c r="BP98" s="354" t="s">
        <v>92</v>
      </c>
      <c r="BQ98" s="354" t="s">
        <v>93</v>
      </c>
      <c r="BR98" s="354" t="s">
        <v>94</v>
      </c>
      <c r="BS98" s="354">
        <v>63250612</v>
      </c>
      <c r="BT98" s="354" t="s">
        <v>95</v>
      </c>
      <c r="BU98" s="354" t="s">
        <v>112</v>
      </c>
      <c r="BV98" s="477"/>
    </row>
    <row r="99" spans="1:74" s="2" customFormat="1" ht="24.9" customHeight="1">
      <c r="A99" s="147" t="s">
        <v>85</v>
      </c>
      <c r="B99" s="356" t="s">
        <v>192</v>
      </c>
      <c r="C99" s="369"/>
      <c r="D99" s="356"/>
      <c r="E99" s="363">
        <v>46221</v>
      </c>
      <c r="F99" s="358">
        <v>2</v>
      </c>
      <c r="G99" s="358">
        <v>29</v>
      </c>
      <c r="H99" s="512" t="s">
        <v>101</v>
      </c>
      <c r="I99" s="371">
        <v>280</v>
      </c>
      <c r="J99" s="371">
        <v>353</v>
      </c>
      <c r="K99" s="371">
        <v>314</v>
      </c>
      <c r="L99" s="371">
        <v>227</v>
      </c>
      <c r="M99" s="371">
        <v>335</v>
      </c>
      <c r="N99" s="371">
        <v>289</v>
      </c>
      <c r="O99" s="360" t="s">
        <v>88</v>
      </c>
      <c r="P99" s="360" t="s">
        <v>88</v>
      </c>
      <c r="Q99" s="371">
        <v>-1.73</v>
      </c>
      <c r="R99" s="360" t="s">
        <v>88</v>
      </c>
      <c r="S99" s="360" t="s">
        <v>88</v>
      </c>
      <c r="T99" s="360" t="s">
        <v>88</v>
      </c>
      <c r="U99" s="360" t="s">
        <v>88</v>
      </c>
      <c r="V99" s="360" t="s">
        <v>88</v>
      </c>
      <c r="W99" s="360" t="s">
        <v>88</v>
      </c>
      <c r="X99" s="360" t="s">
        <v>88</v>
      </c>
      <c r="Y99" s="360" t="s">
        <v>88</v>
      </c>
      <c r="Z99" s="360" t="s">
        <v>88</v>
      </c>
      <c r="AA99" s="360" t="s">
        <v>88</v>
      </c>
      <c r="AB99" s="360" t="s">
        <v>88</v>
      </c>
      <c r="AC99" s="371">
        <v>2.4</v>
      </c>
      <c r="AD99" s="371">
        <v>2.38</v>
      </c>
      <c r="AE99" s="371">
        <v>2.4700000000000002</v>
      </c>
      <c r="AF99" s="371">
        <f>AVERAGE(AC99:AE99)</f>
        <v>2.4166666666666665</v>
      </c>
      <c r="AG99" s="371">
        <v>4.16</v>
      </c>
      <c r="AH99" s="512" t="s">
        <v>99</v>
      </c>
      <c r="AI99" s="512" t="s">
        <v>99</v>
      </c>
      <c r="AJ99" s="512" t="s">
        <v>99</v>
      </c>
      <c r="AK99" s="512" t="s">
        <v>99</v>
      </c>
      <c r="AL99" s="512" t="s">
        <v>99</v>
      </c>
      <c r="AM99" s="512" t="s">
        <v>99</v>
      </c>
      <c r="AN99" s="360" t="s">
        <v>88</v>
      </c>
      <c r="AO99" s="360" t="s">
        <v>88</v>
      </c>
      <c r="AP99" s="360" t="s">
        <v>88</v>
      </c>
      <c r="AQ99" s="360" t="s">
        <v>88</v>
      </c>
      <c r="AR99" s="360" t="s">
        <v>88</v>
      </c>
      <c r="AS99" s="360" t="s">
        <v>88</v>
      </c>
      <c r="AT99" s="360" t="s">
        <v>88</v>
      </c>
      <c r="AU99" s="360" t="s">
        <v>88</v>
      </c>
      <c r="AV99" s="360" t="s">
        <v>88</v>
      </c>
      <c r="AW99" s="360" t="s">
        <v>88</v>
      </c>
      <c r="AX99" s="360" t="s">
        <v>88</v>
      </c>
      <c r="AY99" s="360" t="s">
        <v>88</v>
      </c>
      <c r="AZ99" s="360" t="s">
        <v>88</v>
      </c>
      <c r="BA99" s="360" t="s">
        <v>88</v>
      </c>
      <c r="BB99" s="360" t="s">
        <v>88</v>
      </c>
      <c r="BC99" s="360" t="s">
        <v>88</v>
      </c>
      <c r="BD99" s="360" t="s">
        <v>88</v>
      </c>
      <c r="BE99" s="360" t="s">
        <v>88</v>
      </c>
      <c r="BF99" s="360" t="s">
        <v>88</v>
      </c>
      <c r="BG99" s="360" t="s">
        <v>88</v>
      </c>
      <c r="BH99" s="360" t="s">
        <v>88</v>
      </c>
      <c r="BI99" s="360" t="s">
        <v>88</v>
      </c>
      <c r="BJ99" s="360" t="s">
        <v>88</v>
      </c>
      <c r="BK99" s="360" t="s">
        <v>88</v>
      </c>
      <c r="BL99" s="354" t="s">
        <v>89</v>
      </c>
      <c r="BM99" s="364" t="s">
        <v>189</v>
      </c>
      <c r="BN99" s="354" t="s">
        <v>91</v>
      </c>
      <c r="BO99" s="354">
        <v>225876</v>
      </c>
      <c r="BP99" s="354" t="s">
        <v>92</v>
      </c>
      <c r="BQ99" s="354" t="s">
        <v>93</v>
      </c>
      <c r="BR99" s="354" t="s">
        <v>94</v>
      </c>
      <c r="BS99" s="354">
        <v>63250612</v>
      </c>
      <c r="BT99" s="354" t="s">
        <v>95</v>
      </c>
      <c r="BU99" s="354" t="s">
        <v>112</v>
      </c>
      <c r="BV99" s="477" t="s">
        <v>190</v>
      </c>
    </row>
    <row r="100" spans="1:74" s="2" customFormat="1" ht="24.9" customHeight="1">
      <c r="A100" s="147" t="s">
        <v>85</v>
      </c>
      <c r="B100" s="356" t="s">
        <v>193</v>
      </c>
      <c r="C100" s="369"/>
      <c r="D100" s="356"/>
      <c r="E100" s="363">
        <v>46222</v>
      </c>
      <c r="F100" s="358">
        <v>3</v>
      </c>
      <c r="G100" s="358">
        <v>29</v>
      </c>
      <c r="H100" s="512" t="s">
        <v>101</v>
      </c>
      <c r="I100" s="371">
        <v>285</v>
      </c>
      <c r="J100" s="371">
        <v>358</v>
      </c>
      <c r="K100" s="371">
        <v>318</v>
      </c>
      <c r="L100" s="371">
        <v>237</v>
      </c>
      <c r="M100" s="371">
        <v>398</v>
      </c>
      <c r="N100" s="371">
        <v>376</v>
      </c>
      <c r="O100" s="360" t="s">
        <v>88</v>
      </c>
      <c r="P100" s="360" t="s">
        <v>88</v>
      </c>
      <c r="Q100" s="371">
        <v>0.99</v>
      </c>
      <c r="R100" s="360" t="s">
        <v>88</v>
      </c>
      <c r="S100" s="360" t="s">
        <v>88</v>
      </c>
      <c r="T100" s="360" t="s">
        <v>88</v>
      </c>
      <c r="U100" s="360" t="s">
        <v>88</v>
      </c>
      <c r="V100" s="360" t="s">
        <v>88</v>
      </c>
      <c r="W100" s="360" t="s">
        <v>88</v>
      </c>
      <c r="X100" s="360" t="s">
        <v>88</v>
      </c>
      <c r="Y100" s="360" t="s">
        <v>88</v>
      </c>
      <c r="Z100" s="360" t="s">
        <v>88</v>
      </c>
      <c r="AA100" s="360" t="s">
        <v>88</v>
      </c>
      <c r="AB100" s="360" t="s">
        <v>88</v>
      </c>
      <c r="AC100" s="371">
        <v>2.3199999999999998</v>
      </c>
      <c r="AD100" s="371">
        <v>2.2000000000000002</v>
      </c>
      <c r="AE100" s="371">
        <v>2.25</v>
      </c>
      <c r="AF100" s="371">
        <f>AVERAGE(AC100:AE100)</f>
        <v>2.2566666666666664</v>
      </c>
      <c r="AG100" s="371">
        <v>3.44</v>
      </c>
      <c r="AH100" s="512" t="s">
        <v>99</v>
      </c>
      <c r="AI100" s="512" t="s">
        <v>99</v>
      </c>
      <c r="AJ100" s="512" t="s">
        <v>99</v>
      </c>
      <c r="AK100" s="512" t="s">
        <v>99</v>
      </c>
      <c r="AL100" s="512" t="s">
        <v>99</v>
      </c>
      <c r="AM100" s="512" t="s">
        <v>99</v>
      </c>
      <c r="AN100" s="360" t="s">
        <v>88</v>
      </c>
      <c r="AO100" s="360" t="s">
        <v>88</v>
      </c>
      <c r="AP100" s="360" t="s">
        <v>88</v>
      </c>
      <c r="AQ100" s="360" t="s">
        <v>88</v>
      </c>
      <c r="AR100" s="360" t="s">
        <v>88</v>
      </c>
      <c r="AS100" s="360" t="s">
        <v>88</v>
      </c>
      <c r="AT100" s="360" t="s">
        <v>88</v>
      </c>
      <c r="AU100" s="360" t="s">
        <v>88</v>
      </c>
      <c r="AV100" s="360" t="s">
        <v>88</v>
      </c>
      <c r="AW100" s="360" t="s">
        <v>88</v>
      </c>
      <c r="AX100" s="360" t="s">
        <v>88</v>
      </c>
      <c r="AY100" s="360" t="s">
        <v>88</v>
      </c>
      <c r="AZ100" s="360" t="s">
        <v>88</v>
      </c>
      <c r="BA100" s="360" t="s">
        <v>88</v>
      </c>
      <c r="BB100" s="360" t="s">
        <v>88</v>
      </c>
      <c r="BC100" s="360" t="s">
        <v>88</v>
      </c>
      <c r="BD100" s="360" t="s">
        <v>88</v>
      </c>
      <c r="BE100" s="360" t="s">
        <v>88</v>
      </c>
      <c r="BF100" s="360" t="s">
        <v>88</v>
      </c>
      <c r="BG100" s="360" t="s">
        <v>88</v>
      </c>
      <c r="BH100" s="360" t="s">
        <v>88</v>
      </c>
      <c r="BI100" s="360" t="s">
        <v>88</v>
      </c>
      <c r="BJ100" s="360" t="s">
        <v>88</v>
      </c>
      <c r="BK100" s="360" t="s">
        <v>88</v>
      </c>
      <c r="BL100" s="354" t="s">
        <v>89</v>
      </c>
      <c r="BM100" s="364" t="s">
        <v>189</v>
      </c>
      <c r="BN100" s="354" t="s">
        <v>91</v>
      </c>
      <c r="BO100" s="354">
        <v>225876</v>
      </c>
      <c r="BP100" s="354" t="s">
        <v>92</v>
      </c>
      <c r="BQ100" s="354" t="s">
        <v>93</v>
      </c>
      <c r="BR100" s="354" t="s">
        <v>94</v>
      </c>
      <c r="BS100" s="354">
        <v>63250612</v>
      </c>
      <c r="BT100" s="354" t="s">
        <v>95</v>
      </c>
      <c r="BU100" s="354" t="s">
        <v>112</v>
      </c>
      <c r="BV100" s="477"/>
    </row>
    <row r="101" spans="1:74" s="2" customFormat="1" ht="24.9" customHeight="1">
      <c r="A101" s="147" t="s">
        <v>85</v>
      </c>
      <c r="B101" s="356" t="s">
        <v>194</v>
      </c>
      <c r="C101" s="369"/>
      <c r="D101" s="356"/>
      <c r="E101" s="363">
        <v>46222</v>
      </c>
      <c r="F101" s="358">
        <v>3</v>
      </c>
      <c r="G101" s="358">
        <v>29</v>
      </c>
      <c r="H101" s="360" t="s">
        <v>88</v>
      </c>
      <c r="I101" s="360" t="s">
        <v>88</v>
      </c>
      <c r="J101" s="360" t="s">
        <v>88</v>
      </c>
      <c r="K101" s="360" t="s">
        <v>88</v>
      </c>
      <c r="L101" s="360" t="s">
        <v>88</v>
      </c>
      <c r="M101" s="360" t="s">
        <v>88</v>
      </c>
      <c r="N101" s="360" t="s">
        <v>88</v>
      </c>
      <c r="O101" s="360" t="s">
        <v>88</v>
      </c>
      <c r="P101" s="360" t="s">
        <v>88</v>
      </c>
      <c r="Q101" s="360" t="s">
        <v>88</v>
      </c>
      <c r="R101" s="360" t="s">
        <v>88</v>
      </c>
      <c r="S101" s="360" t="s">
        <v>88</v>
      </c>
      <c r="T101" s="360" t="s">
        <v>88</v>
      </c>
      <c r="U101" s="360" t="s">
        <v>88</v>
      </c>
      <c r="V101" s="360" t="s">
        <v>88</v>
      </c>
      <c r="W101" s="360" t="s">
        <v>88</v>
      </c>
      <c r="X101" s="360" t="s">
        <v>88</v>
      </c>
      <c r="Y101" s="360" t="s">
        <v>88</v>
      </c>
      <c r="Z101" s="360" t="s">
        <v>88</v>
      </c>
      <c r="AA101" s="360" t="s">
        <v>88</v>
      </c>
      <c r="AB101" s="360" t="s">
        <v>88</v>
      </c>
      <c r="AC101" s="360" t="s">
        <v>88</v>
      </c>
      <c r="AD101" s="360" t="s">
        <v>88</v>
      </c>
      <c r="AE101" s="360" t="s">
        <v>88</v>
      </c>
      <c r="AF101" s="360" t="s">
        <v>88</v>
      </c>
      <c r="AG101" s="360" t="s">
        <v>88</v>
      </c>
      <c r="AH101" s="360" t="s">
        <v>88</v>
      </c>
      <c r="AI101" s="360" t="s">
        <v>88</v>
      </c>
      <c r="AJ101" s="360" t="s">
        <v>88</v>
      </c>
      <c r="AK101" s="360" t="s">
        <v>88</v>
      </c>
      <c r="AL101" s="360" t="s">
        <v>88</v>
      </c>
      <c r="AM101" s="360" t="s">
        <v>88</v>
      </c>
      <c r="AN101" s="360" t="s">
        <v>88</v>
      </c>
      <c r="AO101" s="360" t="s">
        <v>88</v>
      </c>
      <c r="AP101" s="360" t="s">
        <v>88</v>
      </c>
      <c r="AQ101" s="360" t="s">
        <v>88</v>
      </c>
      <c r="AR101" s="360" t="s">
        <v>88</v>
      </c>
      <c r="AS101" s="360" t="s">
        <v>88</v>
      </c>
      <c r="AT101" s="360" t="s">
        <v>88</v>
      </c>
      <c r="AU101" s="360" t="s">
        <v>88</v>
      </c>
      <c r="AV101" s="360" t="s">
        <v>88</v>
      </c>
      <c r="AW101" s="360" t="s">
        <v>88</v>
      </c>
      <c r="AX101" s="360" t="s">
        <v>88</v>
      </c>
      <c r="AY101" s="360" t="s">
        <v>88</v>
      </c>
      <c r="AZ101" s="371">
        <v>51.56</v>
      </c>
      <c r="BA101" s="371">
        <v>43.15</v>
      </c>
      <c r="BB101" s="371">
        <v>45.91</v>
      </c>
      <c r="BC101" s="371">
        <v>38.85</v>
      </c>
      <c r="BD101" s="360" t="s">
        <v>88</v>
      </c>
      <c r="BE101" s="360" t="s">
        <v>88</v>
      </c>
      <c r="BF101" s="371">
        <v>88.29</v>
      </c>
      <c r="BG101" s="371">
        <v>36.92</v>
      </c>
      <c r="BH101" s="371">
        <v>49.44</v>
      </c>
      <c r="BI101" s="371">
        <v>32.57</v>
      </c>
      <c r="BJ101" s="360" t="s">
        <v>88</v>
      </c>
      <c r="BK101" s="360" t="s">
        <v>88</v>
      </c>
      <c r="BL101" s="354" t="s">
        <v>89</v>
      </c>
      <c r="BM101" s="364" t="s">
        <v>189</v>
      </c>
      <c r="BN101" s="354" t="s">
        <v>91</v>
      </c>
      <c r="BO101" s="354">
        <v>225876</v>
      </c>
      <c r="BP101" s="354" t="s">
        <v>92</v>
      </c>
      <c r="BQ101" s="354" t="s">
        <v>93</v>
      </c>
      <c r="BR101" s="354" t="s">
        <v>94</v>
      </c>
      <c r="BS101" s="354">
        <v>63250612</v>
      </c>
      <c r="BT101" s="354" t="s">
        <v>95</v>
      </c>
      <c r="BU101" s="354" t="s">
        <v>112</v>
      </c>
      <c r="BV101" s="477"/>
    </row>
    <row r="102" spans="1:74" s="2" customFormat="1" ht="24.9" customHeight="1">
      <c r="A102" s="147" t="s">
        <v>85</v>
      </c>
      <c r="B102" s="356" t="s">
        <v>195</v>
      </c>
      <c r="C102" s="369"/>
      <c r="D102" s="356"/>
      <c r="E102" s="363">
        <v>46223</v>
      </c>
      <c r="F102" s="358">
        <v>1</v>
      </c>
      <c r="G102" s="358">
        <v>30</v>
      </c>
      <c r="H102" s="512" t="s">
        <v>101</v>
      </c>
      <c r="I102" s="371">
        <v>272</v>
      </c>
      <c r="J102" s="371">
        <v>333</v>
      </c>
      <c r="K102" s="371">
        <v>299.17</v>
      </c>
      <c r="L102" s="371">
        <v>264.8</v>
      </c>
      <c r="M102" s="371">
        <v>365.8</v>
      </c>
      <c r="N102" s="371">
        <v>308.83</v>
      </c>
      <c r="O102" s="360" t="s">
        <v>88</v>
      </c>
      <c r="P102" s="360" t="s">
        <v>88</v>
      </c>
      <c r="Q102" s="371">
        <v>-1.85</v>
      </c>
      <c r="R102" s="360" t="s">
        <v>88</v>
      </c>
      <c r="S102" s="360" t="s">
        <v>88</v>
      </c>
      <c r="T102" s="360" t="s">
        <v>88</v>
      </c>
      <c r="U102" s="360" t="s">
        <v>88</v>
      </c>
      <c r="V102" s="360" t="s">
        <v>88</v>
      </c>
      <c r="W102" s="360" t="s">
        <v>88</v>
      </c>
      <c r="X102" s="360" t="s">
        <v>88</v>
      </c>
      <c r="Y102" s="360" t="s">
        <v>88</v>
      </c>
      <c r="Z102" s="360" t="s">
        <v>88</v>
      </c>
      <c r="AA102" s="360" t="s">
        <v>88</v>
      </c>
      <c r="AB102" s="360" t="s">
        <v>88</v>
      </c>
      <c r="AC102" s="360" t="s">
        <v>88</v>
      </c>
      <c r="AD102" s="360" t="s">
        <v>88</v>
      </c>
      <c r="AE102" s="360" t="s">
        <v>88</v>
      </c>
      <c r="AF102" s="360" t="s">
        <v>88</v>
      </c>
      <c r="AG102" s="371">
        <v>0.94</v>
      </c>
      <c r="AH102" s="360" t="s">
        <v>88</v>
      </c>
      <c r="AI102" s="360" t="s">
        <v>88</v>
      </c>
      <c r="AJ102" s="360" t="s">
        <v>88</v>
      </c>
      <c r="AK102" s="360" t="s">
        <v>88</v>
      </c>
      <c r="AL102" s="360" t="s">
        <v>88</v>
      </c>
      <c r="AM102" s="360" t="s">
        <v>88</v>
      </c>
      <c r="AN102" s="360" t="s">
        <v>88</v>
      </c>
      <c r="AO102" s="360" t="s">
        <v>88</v>
      </c>
      <c r="AP102" s="360" t="s">
        <v>88</v>
      </c>
      <c r="AQ102" s="360" t="s">
        <v>88</v>
      </c>
      <c r="AR102" s="360" t="s">
        <v>88</v>
      </c>
      <c r="AS102" s="360" t="s">
        <v>88</v>
      </c>
      <c r="AT102" s="360" t="s">
        <v>88</v>
      </c>
      <c r="AU102" s="360" t="s">
        <v>88</v>
      </c>
      <c r="AV102" s="360" t="s">
        <v>88</v>
      </c>
      <c r="AW102" s="360" t="s">
        <v>88</v>
      </c>
      <c r="AX102" s="360" t="s">
        <v>88</v>
      </c>
      <c r="AY102" s="360" t="s">
        <v>88</v>
      </c>
      <c r="AZ102" s="360" t="s">
        <v>88</v>
      </c>
      <c r="BA102" s="360" t="s">
        <v>88</v>
      </c>
      <c r="BB102" s="360" t="s">
        <v>88</v>
      </c>
      <c r="BC102" s="360" t="s">
        <v>88</v>
      </c>
      <c r="BD102" s="360" t="s">
        <v>88</v>
      </c>
      <c r="BE102" s="360" t="s">
        <v>88</v>
      </c>
      <c r="BF102" s="360" t="s">
        <v>88</v>
      </c>
      <c r="BG102" s="360" t="s">
        <v>88</v>
      </c>
      <c r="BH102" s="360" t="s">
        <v>88</v>
      </c>
      <c r="BI102" s="360" t="s">
        <v>88</v>
      </c>
      <c r="BJ102" s="360" t="s">
        <v>88</v>
      </c>
      <c r="BK102" s="360" t="s">
        <v>88</v>
      </c>
      <c r="BL102" s="354" t="s">
        <v>89</v>
      </c>
      <c r="BM102" s="364" t="s">
        <v>189</v>
      </c>
      <c r="BN102" s="354" t="s">
        <v>91</v>
      </c>
      <c r="BO102" s="354">
        <v>225876</v>
      </c>
      <c r="BP102" s="354" t="s">
        <v>92</v>
      </c>
      <c r="BQ102" s="354" t="s">
        <v>93</v>
      </c>
      <c r="BR102" s="354" t="s">
        <v>94</v>
      </c>
      <c r="BS102" s="354">
        <v>63250612</v>
      </c>
      <c r="BT102" s="354" t="s">
        <v>95</v>
      </c>
      <c r="BU102" s="354" t="s">
        <v>112</v>
      </c>
      <c r="BV102" s="477"/>
    </row>
    <row r="103" spans="1:74" s="2" customFormat="1" ht="24.9" customHeight="1">
      <c r="A103" s="147" t="s">
        <v>85</v>
      </c>
      <c r="B103" s="356" t="s">
        <v>196</v>
      </c>
      <c r="C103" s="369"/>
      <c r="D103" s="356"/>
      <c r="E103" s="363">
        <v>46223</v>
      </c>
      <c r="F103" s="358">
        <v>1</v>
      </c>
      <c r="G103" s="358">
        <v>30</v>
      </c>
      <c r="H103" s="360" t="s">
        <v>88</v>
      </c>
      <c r="I103" s="360" t="s">
        <v>88</v>
      </c>
      <c r="J103" s="360" t="s">
        <v>88</v>
      </c>
      <c r="K103" s="360" t="s">
        <v>88</v>
      </c>
      <c r="L103" s="360" t="s">
        <v>88</v>
      </c>
      <c r="M103" s="360" t="s">
        <v>88</v>
      </c>
      <c r="N103" s="360" t="s">
        <v>88</v>
      </c>
      <c r="O103" s="360" t="s">
        <v>88</v>
      </c>
      <c r="P103" s="360" t="s">
        <v>88</v>
      </c>
      <c r="Q103" s="360" t="s">
        <v>88</v>
      </c>
      <c r="R103" s="360" t="s">
        <v>88</v>
      </c>
      <c r="S103" s="360" t="s">
        <v>88</v>
      </c>
      <c r="T103" s="360" t="s">
        <v>88</v>
      </c>
      <c r="U103" s="360" t="s">
        <v>88</v>
      </c>
      <c r="V103" s="360" t="s">
        <v>88</v>
      </c>
      <c r="W103" s="360" t="s">
        <v>88</v>
      </c>
      <c r="X103" s="360" t="s">
        <v>88</v>
      </c>
      <c r="Y103" s="360" t="s">
        <v>88</v>
      </c>
      <c r="Z103" s="360" t="s">
        <v>88</v>
      </c>
      <c r="AA103" s="360" t="s">
        <v>88</v>
      </c>
      <c r="AB103" s="360" t="s">
        <v>88</v>
      </c>
      <c r="AC103" s="360" t="s">
        <v>88</v>
      </c>
      <c r="AD103" s="360" t="s">
        <v>88</v>
      </c>
      <c r="AE103" s="360" t="s">
        <v>88</v>
      </c>
      <c r="AF103" s="360" t="s">
        <v>88</v>
      </c>
      <c r="AG103" s="360" t="s">
        <v>88</v>
      </c>
      <c r="AH103" s="360" t="s">
        <v>88</v>
      </c>
      <c r="AI103" s="360" t="s">
        <v>88</v>
      </c>
      <c r="AJ103" s="360" t="s">
        <v>88</v>
      </c>
      <c r="AK103" s="360" t="s">
        <v>88</v>
      </c>
      <c r="AL103" s="360" t="s">
        <v>88</v>
      </c>
      <c r="AM103" s="360" t="s">
        <v>88</v>
      </c>
      <c r="AN103" s="360" t="s">
        <v>88</v>
      </c>
      <c r="AO103" s="360" t="s">
        <v>88</v>
      </c>
      <c r="AP103" s="360" t="s">
        <v>88</v>
      </c>
      <c r="AQ103" s="360" t="s">
        <v>88</v>
      </c>
      <c r="AR103" s="360" t="s">
        <v>88</v>
      </c>
      <c r="AS103" s="360" t="s">
        <v>88</v>
      </c>
      <c r="AT103" s="360" t="s">
        <v>88</v>
      </c>
      <c r="AU103" s="360" t="s">
        <v>88</v>
      </c>
      <c r="AV103" s="360" t="s">
        <v>88</v>
      </c>
      <c r="AW103" s="360" t="s">
        <v>88</v>
      </c>
      <c r="AX103" s="360" t="s">
        <v>88</v>
      </c>
      <c r="AY103" s="360" t="s">
        <v>88</v>
      </c>
      <c r="AZ103" s="371">
        <v>74.81</v>
      </c>
      <c r="BA103" s="371">
        <v>42.83</v>
      </c>
      <c r="BB103" s="371">
        <v>64.75</v>
      </c>
      <c r="BC103" s="371">
        <v>37.67</v>
      </c>
      <c r="BD103" s="360" t="s">
        <v>88</v>
      </c>
      <c r="BE103" s="360" t="s">
        <v>88</v>
      </c>
      <c r="BF103" s="371">
        <v>61.65</v>
      </c>
      <c r="BG103" s="371">
        <v>40.79</v>
      </c>
      <c r="BH103" s="371">
        <v>58.08</v>
      </c>
      <c r="BI103" s="371">
        <v>37.28</v>
      </c>
      <c r="BJ103" s="360" t="s">
        <v>88</v>
      </c>
      <c r="BK103" s="360" t="s">
        <v>88</v>
      </c>
      <c r="BL103" s="354" t="s">
        <v>89</v>
      </c>
      <c r="BM103" s="364" t="s">
        <v>189</v>
      </c>
      <c r="BN103" s="354" t="s">
        <v>91</v>
      </c>
      <c r="BO103" s="354">
        <v>225876</v>
      </c>
      <c r="BP103" s="354" t="s">
        <v>92</v>
      </c>
      <c r="BQ103" s="354" t="s">
        <v>93</v>
      </c>
      <c r="BR103" s="354" t="s">
        <v>94</v>
      </c>
      <c r="BS103" s="354">
        <v>63250612</v>
      </c>
      <c r="BT103" s="354" t="s">
        <v>95</v>
      </c>
      <c r="BU103" s="354" t="s">
        <v>112</v>
      </c>
      <c r="BV103" s="477"/>
    </row>
    <row r="104" spans="1:74" s="2" customFormat="1" ht="24.9" customHeight="1">
      <c r="A104" s="147" t="s">
        <v>85</v>
      </c>
      <c r="B104" s="356" t="s">
        <v>197</v>
      </c>
      <c r="C104" s="369"/>
      <c r="D104" s="356"/>
      <c r="E104" s="363">
        <v>46223</v>
      </c>
      <c r="F104" s="358">
        <v>1</v>
      </c>
      <c r="G104" s="358">
        <v>30</v>
      </c>
      <c r="H104" s="360" t="s">
        <v>88</v>
      </c>
      <c r="I104" s="371">
        <v>286</v>
      </c>
      <c r="J104" s="371">
        <v>364</v>
      </c>
      <c r="K104" s="371">
        <v>327.17</v>
      </c>
      <c r="L104" s="371">
        <v>261.8</v>
      </c>
      <c r="M104" s="371">
        <v>317.89999999999998</v>
      </c>
      <c r="N104" s="371">
        <v>381.8</v>
      </c>
      <c r="O104" s="360" t="s">
        <v>88</v>
      </c>
      <c r="P104" s="360" t="s">
        <v>88</v>
      </c>
      <c r="Q104" s="360" t="s">
        <v>88</v>
      </c>
      <c r="R104" s="360" t="s">
        <v>88</v>
      </c>
      <c r="S104" s="360" t="s">
        <v>88</v>
      </c>
      <c r="T104" s="360" t="s">
        <v>88</v>
      </c>
      <c r="U104" s="360" t="s">
        <v>88</v>
      </c>
      <c r="V104" s="360" t="s">
        <v>88</v>
      </c>
      <c r="W104" s="360" t="s">
        <v>88</v>
      </c>
      <c r="X104" s="360" t="s">
        <v>88</v>
      </c>
      <c r="Y104" s="360" t="s">
        <v>88</v>
      </c>
      <c r="Z104" s="360" t="s">
        <v>88</v>
      </c>
      <c r="AA104" s="360" t="s">
        <v>88</v>
      </c>
      <c r="AB104" s="360" t="s">
        <v>88</v>
      </c>
      <c r="AC104" s="360" t="s">
        <v>88</v>
      </c>
      <c r="AD104" s="360" t="s">
        <v>88</v>
      </c>
      <c r="AE104" s="360" t="s">
        <v>88</v>
      </c>
      <c r="AF104" s="360" t="s">
        <v>88</v>
      </c>
      <c r="AG104" s="360" t="s">
        <v>88</v>
      </c>
      <c r="AH104" s="360" t="s">
        <v>88</v>
      </c>
      <c r="AI104" s="360" t="s">
        <v>88</v>
      </c>
      <c r="AJ104" s="360" t="s">
        <v>88</v>
      </c>
      <c r="AK104" s="360" t="s">
        <v>88</v>
      </c>
      <c r="AL104" s="360" t="s">
        <v>88</v>
      </c>
      <c r="AM104" s="360" t="s">
        <v>88</v>
      </c>
      <c r="AN104" s="360" t="s">
        <v>88</v>
      </c>
      <c r="AO104" s="360" t="s">
        <v>88</v>
      </c>
      <c r="AP104" s="360" t="s">
        <v>88</v>
      </c>
      <c r="AQ104" s="360" t="s">
        <v>88</v>
      </c>
      <c r="AR104" s="360" t="s">
        <v>88</v>
      </c>
      <c r="AS104" s="360" t="s">
        <v>88</v>
      </c>
      <c r="AT104" s="360" t="s">
        <v>88</v>
      </c>
      <c r="AU104" s="360" t="s">
        <v>88</v>
      </c>
      <c r="AV104" s="360" t="s">
        <v>88</v>
      </c>
      <c r="AW104" s="360" t="s">
        <v>88</v>
      </c>
      <c r="AX104" s="360" t="s">
        <v>88</v>
      </c>
      <c r="AY104" s="360" t="s">
        <v>88</v>
      </c>
      <c r="AZ104" s="360" t="s">
        <v>88</v>
      </c>
      <c r="BA104" s="360" t="s">
        <v>88</v>
      </c>
      <c r="BB104" s="360" t="s">
        <v>88</v>
      </c>
      <c r="BC104" s="360" t="s">
        <v>88</v>
      </c>
      <c r="BD104" s="360" t="s">
        <v>88</v>
      </c>
      <c r="BE104" s="360" t="s">
        <v>88</v>
      </c>
      <c r="BF104" s="360" t="s">
        <v>88</v>
      </c>
      <c r="BG104" s="360" t="s">
        <v>88</v>
      </c>
      <c r="BH104" s="360" t="s">
        <v>88</v>
      </c>
      <c r="BI104" s="360" t="s">
        <v>88</v>
      </c>
      <c r="BJ104" s="360" t="s">
        <v>88</v>
      </c>
      <c r="BK104" s="360" t="s">
        <v>88</v>
      </c>
      <c r="BL104" s="354" t="s">
        <v>89</v>
      </c>
      <c r="BM104" s="364" t="s">
        <v>189</v>
      </c>
      <c r="BN104" s="354" t="s">
        <v>91</v>
      </c>
      <c r="BO104" s="354">
        <v>225876</v>
      </c>
      <c r="BP104" s="354" t="s">
        <v>92</v>
      </c>
      <c r="BQ104" s="354" t="s">
        <v>93</v>
      </c>
      <c r="BR104" s="354" t="s">
        <v>94</v>
      </c>
      <c r="BS104" s="354">
        <v>63250612</v>
      </c>
      <c r="BT104" s="354" t="s">
        <v>95</v>
      </c>
      <c r="BU104" s="354" t="s">
        <v>112</v>
      </c>
      <c r="BV104" s="477"/>
    </row>
    <row r="105" spans="1:74" s="2" customFormat="1" ht="24.9" customHeight="1">
      <c r="A105" s="147" t="s">
        <v>85</v>
      </c>
      <c r="B105" s="356" t="s">
        <v>198</v>
      </c>
      <c r="C105" s="369"/>
      <c r="D105" s="356"/>
      <c r="E105" s="363">
        <v>46223</v>
      </c>
      <c r="F105" s="358">
        <v>2</v>
      </c>
      <c r="G105" s="358">
        <v>30</v>
      </c>
      <c r="H105" s="512" t="s">
        <v>101</v>
      </c>
      <c r="I105" s="371">
        <v>259</v>
      </c>
      <c r="J105" s="371">
        <v>303</v>
      </c>
      <c r="K105" s="371">
        <v>284</v>
      </c>
      <c r="L105" s="371">
        <v>315</v>
      </c>
      <c r="M105" s="371">
        <v>388</v>
      </c>
      <c r="N105" s="371">
        <v>350</v>
      </c>
      <c r="O105" s="360" t="s">
        <v>88</v>
      </c>
      <c r="P105" s="360" t="s">
        <v>88</v>
      </c>
      <c r="Q105" s="371">
        <v>-0.9</v>
      </c>
      <c r="R105" s="360" t="s">
        <v>88</v>
      </c>
      <c r="S105" s="360" t="s">
        <v>88</v>
      </c>
      <c r="T105" s="360" t="s">
        <v>88</v>
      </c>
      <c r="U105" s="360" t="s">
        <v>88</v>
      </c>
      <c r="V105" s="360" t="s">
        <v>88</v>
      </c>
      <c r="W105" s="360" t="s">
        <v>88</v>
      </c>
      <c r="X105" s="360" t="s">
        <v>88</v>
      </c>
      <c r="Y105" s="360" t="s">
        <v>88</v>
      </c>
      <c r="Z105" s="360" t="s">
        <v>88</v>
      </c>
      <c r="AA105" s="360" t="s">
        <v>88</v>
      </c>
      <c r="AB105" s="360" t="s">
        <v>88</v>
      </c>
      <c r="AC105" s="360" t="s">
        <v>88</v>
      </c>
      <c r="AD105" s="360" t="s">
        <v>88</v>
      </c>
      <c r="AE105" s="360" t="s">
        <v>88</v>
      </c>
      <c r="AF105" s="360" t="s">
        <v>88</v>
      </c>
      <c r="AG105" s="371">
        <v>7.5</v>
      </c>
      <c r="AH105" s="360" t="s">
        <v>88</v>
      </c>
      <c r="AI105" s="360" t="s">
        <v>88</v>
      </c>
      <c r="AJ105" s="360" t="s">
        <v>88</v>
      </c>
      <c r="AK105" s="360" t="s">
        <v>88</v>
      </c>
      <c r="AL105" s="360" t="s">
        <v>88</v>
      </c>
      <c r="AM105" s="360" t="s">
        <v>88</v>
      </c>
      <c r="AN105" s="360" t="s">
        <v>88</v>
      </c>
      <c r="AO105" s="360" t="s">
        <v>88</v>
      </c>
      <c r="AP105" s="360" t="s">
        <v>88</v>
      </c>
      <c r="AQ105" s="360" t="s">
        <v>88</v>
      </c>
      <c r="AR105" s="360" t="s">
        <v>88</v>
      </c>
      <c r="AS105" s="360" t="s">
        <v>88</v>
      </c>
      <c r="AT105" s="360" t="s">
        <v>88</v>
      </c>
      <c r="AU105" s="360" t="s">
        <v>88</v>
      </c>
      <c r="AV105" s="360" t="s">
        <v>88</v>
      </c>
      <c r="AW105" s="360" t="s">
        <v>88</v>
      </c>
      <c r="AX105" s="360" t="s">
        <v>88</v>
      </c>
      <c r="AY105" s="360" t="s">
        <v>88</v>
      </c>
      <c r="AZ105" s="360" t="s">
        <v>88</v>
      </c>
      <c r="BA105" s="360" t="s">
        <v>88</v>
      </c>
      <c r="BB105" s="360" t="s">
        <v>88</v>
      </c>
      <c r="BC105" s="360" t="s">
        <v>88</v>
      </c>
      <c r="BD105" s="360" t="s">
        <v>88</v>
      </c>
      <c r="BE105" s="360" t="s">
        <v>88</v>
      </c>
      <c r="BF105" s="360" t="s">
        <v>88</v>
      </c>
      <c r="BG105" s="360" t="s">
        <v>88</v>
      </c>
      <c r="BH105" s="360" t="s">
        <v>88</v>
      </c>
      <c r="BI105" s="360" t="s">
        <v>88</v>
      </c>
      <c r="BJ105" s="360" t="s">
        <v>88</v>
      </c>
      <c r="BK105" s="360" t="s">
        <v>88</v>
      </c>
      <c r="BL105" s="354" t="s">
        <v>89</v>
      </c>
      <c r="BM105" s="559" t="s">
        <v>189</v>
      </c>
      <c r="BN105" s="354" t="s">
        <v>91</v>
      </c>
      <c r="BO105" s="354">
        <v>225876</v>
      </c>
      <c r="BP105" s="354" t="s">
        <v>92</v>
      </c>
      <c r="BQ105" s="354" t="s">
        <v>93</v>
      </c>
      <c r="BR105" s="354" t="s">
        <v>94</v>
      </c>
      <c r="BS105" s="354">
        <v>63250612</v>
      </c>
      <c r="BT105" s="354" t="s">
        <v>95</v>
      </c>
      <c r="BU105" s="354" t="s">
        <v>112</v>
      </c>
      <c r="BV105" s="477"/>
    </row>
    <row r="106" spans="1:74" s="2" customFormat="1" ht="24.9" customHeight="1">
      <c r="A106" s="147" t="s">
        <v>85</v>
      </c>
      <c r="B106" s="356" t="s">
        <v>199</v>
      </c>
      <c r="C106" s="369"/>
      <c r="D106" s="356"/>
      <c r="E106" s="363">
        <v>46223</v>
      </c>
      <c r="F106" s="358">
        <v>2</v>
      </c>
      <c r="G106" s="358">
        <v>30</v>
      </c>
      <c r="H106" s="512" t="s">
        <v>101</v>
      </c>
      <c r="I106" s="371">
        <v>302</v>
      </c>
      <c r="J106" s="371">
        <v>393</v>
      </c>
      <c r="K106" s="371">
        <v>344</v>
      </c>
      <c r="L106" s="371">
        <v>304</v>
      </c>
      <c r="M106" s="371">
        <v>399</v>
      </c>
      <c r="N106" s="371">
        <v>357</v>
      </c>
      <c r="O106" s="360" t="s">
        <v>88</v>
      </c>
      <c r="P106" s="360" t="s">
        <v>88</v>
      </c>
      <c r="Q106" s="360" t="s">
        <v>88</v>
      </c>
      <c r="R106" s="360" t="s">
        <v>88</v>
      </c>
      <c r="S106" s="360" t="s">
        <v>88</v>
      </c>
      <c r="T106" s="360" t="s">
        <v>88</v>
      </c>
      <c r="U106" s="360" t="s">
        <v>88</v>
      </c>
      <c r="V106" s="360" t="s">
        <v>88</v>
      </c>
      <c r="W106" s="360" t="s">
        <v>88</v>
      </c>
      <c r="X106" s="360" t="s">
        <v>88</v>
      </c>
      <c r="Y106" s="360" t="s">
        <v>88</v>
      </c>
      <c r="Z106" s="360" t="s">
        <v>88</v>
      </c>
      <c r="AA106" s="360" t="s">
        <v>88</v>
      </c>
      <c r="AB106" s="360" t="s">
        <v>88</v>
      </c>
      <c r="AC106" s="360" t="s">
        <v>88</v>
      </c>
      <c r="AD106" s="360" t="s">
        <v>88</v>
      </c>
      <c r="AE106" s="360" t="s">
        <v>88</v>
      </c>
      <c r="AF106" s="360" t="s">
        <v>88</v>
      </c>
      <c r="AG106" s="360" t="s">
        <v>88</v>
      </c>
      <c r="AH106" s="360" t="s">
        <v>88</v>
      </c>
      <c r="AI106" s="360" t="s">
        <v>88</v>
      </c>
      <c r="AJ106" s="360" t="s">
        <v>88</v>
      </c>
      <c r="AK106" s="360" t="s">
        <v>88</v>
      </c>
      <c r="AL106" s="360" t="s">
        <v>88</v>
      </c>
      <c r="AM106" s="360" t="s">
        <v>88</v>
      </c>
      <c r="AN106" s="360" t="s">
        <v>88</v>
      </c>
      <c r="AO106" s="360" t="s">
        <v>88</v>
      </c>
      <c r="AP106" s="360" t="s">
        <v>88</v>
      </c>
      <c r="AQ106" s="360" t="s">
        <v>88</v>
      </c>
      <c r="AR106" s="360" t="s">
        <v>88</v>
      </c>
      <c r="AS106" s="360" t="s">
        <v>88</v>
      </c>
      <c r="AT106" s="360" t="s">
        <v>88</v>
      </c>
      <c r="AU106" s="360" t="s">
        <v>88</v>
      </c>
      <c r="AV106" s="360" t="s">
        <v>88</v>
      </c>
      <c r="AW106" s="360" t="s">
        <v>88</v>
      </c>
      <c r="AX106" s="360" t="s">
        <v>88</v>
      </c>
      <c r="AY106" s="360" t="s">
        <v>88</v>
      </c>
      <c r="AZ106" s="360" t="s">
        <v>88</v>
      </c>
      <c r="BA106" s="360" t="s">
        <v>88</v>
      </c>
      <c r="BB106" s="360" t="s">
        <v>88</v>
      </c>
      <c r="BC106" s="360" t="s">
        <v>88</v>
      </c>
      <c r="BD106" s="360" t="s">
        <v>88</v>
      </c>
      <c r="BE106" s="360" t="s">
        <v>88</v>
      </c>
      <c r="BF106" s="360" t="s">
        <v>88</v>
      </c>
      <c r="BG106" s="360" t="s">
        <v>88</v>
      </c>
      <c r="BH106" s="360" t="s">
        <v>88</v>
      </c>
      <c r="BI106" s="360" t="s">
        <v>88</v>
      </c>
      <c r="BJ106" s="360" t="s">
        <v>88</v>
      </c>
      <c r="BK106" s="360" t="s">
        <v>88</v>
      </c>
      <c r="BL106" s="354" t="s">
        <v>89</v>
      </c>
      <c r="BM106" s="364" t="s">
        <v>189</v>
      </c>
      <c r="BN106" s="354" t="s">
        <v>91</v>
      </c>
      <c r="BO106" s="354">
        <v>225876</v>
      </c>
      <c r="BP106" s="354" t="s">
        <v>92</v>
      </c>
      <c r="BQ106" s="354" t="s">
        <v>93</v>
      </c>
      <c r="BR106" s="354" t="s">
        <v>94</v>
      </c>
      <c r="BS106" s="354">
        <v>63250612</v>
      </c>
      <c r="BT106" s="354" t="s">
        <v>95</v>
      </c>
      <c r="BU106" s="354" t="s">
        <v>112</v>
      </c>
      <c r="BV106" s="477"/>
    </row>
    <row r="107" spans="1:74" s="2" customFormat="1" ht="24.9" customHeight="1">
      <c r="A107" s="147" t="s">
        <v>85</v>
      </c>
      <c r="B107" s="356" t="s">
        <v>200</v>
      </c>
      <c r="C107" s="369"/>
      <c r="D107" s="356"/>
      <c r="E107" s="363">
        <v>46223</v>
      </c>
      <c r="F107" s="358">
        <v>2</v>
      </c>
      <c r="G107" s="358">
        <v>30</v>
      </c>
      <c r="H107" s="360" t="s">
        <v>88</v>
      </c>
      <c r="I107" s="360" t="s">
        <v>88</v>
      </c>
      <c r="J107" s="360" t="s">
        <v>88</v>
      </c>
      <c r="K107" s="360" t="s">
        <v>88</v>
      </c>
      <c r="L107" s="360" t="s">
        <v>88</v>
      </c>
      <c r="M107" s="360" t="s">
        <v>88</v>
      </c>
      <c r="N107" s="360" t="s">
        <v>88</v>
      </c>
      <c r="O107" s="360" t="s">
        <v>88</v>
      </c>
      <c r="P107" s="360" t="s">
        <v>88</v>
      </c>
      <c r="Q107" s="360" t="s">
        <v>88</v>
      </c>
      <c r="R107" s="360" t="s">
        <v>88</v>
      </c>
      <c r="S107" s="360" t="s">
        <v>88</v>
      </c>
      <c r="T107" s="360" t="s">
        <v>88</v>
      </c>
      <c r="U107" s="360" t="s">
        <v>88</v>
      </c>
      <c r="V107" s="360" t="s">
        <v>88</v>
      </c>
      <c r="W107" s="360" t="s">
        <v>88</v>
      </c>
      <c r="X107" s="360" t="s">
        <v>88</v>
      </c>
      <c r="Y107" s="360" t="s">
        <v>88</v>
      </c>
      <c r="Z107" s="360" t="s">
        <v>88</v>
      </c>
      <c r="AA107" s="360" t="s">
        <v>88</v>
      </c>
      <c r="AB107" s="360" t="s">
        <v>88</v>
      </c>
      <c r="AC107" s="360" t="s">
        <v>88</v>
      </c>
      <c r="AD107" s="360" t="s">
        <v>88</v>
      </c>
      <c r="AE107" s="360" t="s">
        <v>88</v>
      </c>
      <c r="AF107" s="360" t="s">
        <v>88</v>
      </c>
      <c r="AG107" s="360" t="s">
        <v>88</v>
      </c>
      <c r="AH107" s="360" t="s">
        <v>88</v>
      </c>
      <c r="AI107" s="360" t="s">
        <v>88</v>
      </c>
      <c r="AJ107" s="360" t="s">
        <v>88</v>
      </c>
      <c r="AK107" s="360" t="s">
        <v>88</v>
      </c>
      <c r="AL107" s="360" t="s">
        <v>88</v>
      </c>
      <c r="AM107" s="360" t="s">
        <v>88</v>
      </c>
      <c r="AN107" s="360" t="s">
        <v>88</v>
      </c>
      <c r="AO107" s="360" t="s">
        <v>88</v>
      </c>
      <c r="AP107" s="360" t="s">
        <v>88</v>
      </c>
      <c r="AQ107" s="360" t="s">
        <v>88</v>
      </c>
      <c r="AR107" s="360" t="s">
        <v>88</v>
      </c>
      <c r="AS107" s="360" t="s">
        <v>88</v>
      </c>
      <c r="AT107" s="360" t="s">
        <v>88</v>
      </c>
      <c r="AU107" s="360" t="s">
        <v>88</v>
      </c>
      <c r="AV107" s="360" t="s">
        <v>88</v>
      </c>
      <c r="AW107" s="360" t="s">
        <v>88</v>
      </c>
      <c r="AX107" s="360" t="s">
        <v>88</v>
      </c>
      <c r="AY107" s="360" t="s">
        <v>88</v>
      </c>
      <c r="AZ107" s="371">
        <v>95.75</v>
      </c>
      <c r="BA107" s="371">
        <v>41.41</v>
      </c>
      <c r="BB107" s="371">
        <v>41.2</v>
      </c>
      <c r="BC107" s="371">
        <v>36.89</v>
      </c>
      <c r="BD107" s="360" t="s">
        <v>88</v>
      </c>
      <c r="BE107" s="360" t="s">
        <v>88</v>
      </c>
      <c r="BF107" s="371">
        <v>67.64</v>
      </c>
      <c r="BG107" s="371">
        <v>46.19</v>
      </c>
      <c r="BH107" s="371">
        <v>60.43</v>
      </c>
      <c r="BI107" s="371">
        <v>36.89</v>
      </c>
      <c r="BJ107" s="360" t="s">
        <v>88</v>
      </c>
      <c r="BK107" s="360" t="s">
        <v>88</v>
      </c>
      <c r="BL107" s="354" t="s">
        <v>89</v>
      </c>
      <c r="BM107" s="364" t="s">
        <v>189</v>
      </c>
      <c r="BN107" s="354" t="s">
        <v>91</v>
      </c>
      <c r="BO107" s="354">
        <v>225876</v>
      </c>
      <c r="BP107" s="354" t="s">
        <v>92</v>
      </c>
      <c r="BQ107" s="354" t="s">
        <v>93</v>
      </c>
      <c r="BR107" s="354" t="s">
        <v>94</v>
      </c>
      <c r="BS107" s="354">
        <v>63250612</v>
      </c>
      <c r="BT107" s="354" t="s">
        <v>95</v>
      </c>
      <c r="BU107" s="354" t="s">
        <v>112</v>
      </c>
      <c r="BV107" s="477"/>
    </row>
    <row r="108" spans="1:74" s="2" customFormat="1" ht="24.9" customHeight="1">
      <c r="A108" s="147" t="s">
        <v>85</v>
      </c>
      <c r="B108" s="356" t="s">
        <v>201</v>
      </c>
      <c r="C108" s="369"/>
      <c r="D108" s="356"/>
      <c r="E108" s="363">
        <v>46223</v>
      </c>
      <c r="F108" s="358">
        <v>3</v>
      </c>
      <c r="G108" s="358">
        <v>30</v>
      </c>
      <c r="H108" s="512" t="s">
        <v>101</v>
      </c>
      <c r="I108" s="371">
        <v>357</v>
      </c>
      <c r="J108" s="371">
        <v>485</v>
      </c>
      <c r="K108" s="371">
        <v>398</v>
      </c>
      <c r="L108" s="371">
        <v>220</v>
      </c>
      <c r="M108" s="371">
        <v>393</v>
      </c>
      <c r="N108" s="371">
        <v>318</v>
      </c>
      <c r="O108" s="360" t="s">
        <v>88</v>
      </c>
      <c r="P108" s="360" t="s">
        <v>88</v>
      </c>
      <c r="Q108" s="371">
        <v>-1.27</v>
      </c>
      <c r="R108" s="360" t="s">
        <v>88</v>
      </c>
      <c r="S108" s="360" t="s">
        <v>88</v>
      </c>
      <c r="T108" s="360" t="s">
        <v>88</v>
      </c>
      <c r="U108" s="360" t="s">
        <v>88</v>
      </c>
      <c r="V108" s="360" t="s">
        <v>88</v>
      </c>
      <c r="W108" s="360" t="s">
        <v>88</v>
      </c>
      <c r="X108" s="360" t="s">
        <v>88</v>
      </c>
      <c r="Y108" s="360" t="s">
        <v>88</v>
      </c>
      <c r="Z108" s="360" t="s">
        <v>88</v>
      </c>
      <c r="AA108" s="360" t="s">
        <v>88</v>
      </c>
      <c r="AB108" s="360" t="s">
        <v>88</v>
      </c>
      <c r="AC108" s="360" t="s">
        <v>88</v>
      </c>
      <c r="AD108" s="360" t="s">
        <v>88</v>
      </c>
      <c r="AE108" s="360" t="s">
        <v>88</v>
      </c>
      <c r="AF108" s="360" t="s">
        <v>88</v>
      </c>
      <c r="AG108" s="371">
        <v>4.12</v>
      </c>
      <c r="AH108" s="360" t="s">
        <v>88</v>
      </c>
      <c r="AI108" s="360" t="s">
        <v>88</v>
      </c>
      <c r="AJ108" s="360" t="s">
        <v>88</v>
      </c>
      <c r="AK108" s="360" t="s">
        <v>88</v>
      </c>
      <c r="AL108" s="360" t="s">
        <v>88</v>
      </c>
      <c r="AM108" s="360" t="s">
        <v>88</v>
      </c>
      <c r="AN108" s="360" t="s">
        <v>88</v>
      </c>
      <c r="AO108" s="360" t="s">
        <v>88</v>
      </c>
      <c r="AP108" s="360" t="s">
        <v>88</v>
      </c>
      <c r="AQ108" s="360" t="s">
        <v>88</v>
      </c>
      <c r="AR108" s="360" t="s">
        <v>88</v>
      </c>
      <c r="AS108" s="360" t="s">
        <v>88</v>
      </c>
      <c r="AT108" s="360" t="s">
        <v>88</v>
      </c>
      <c r="AU108" s="360" t="s">
        <v>88</v>
      </c>
      <c r="AV108" s="360" t="s">
        <v>88</v>
      </c>
      <c r="AW108" s="360" t="s">
        <v>88</v>
      </c>
      <c r="AX108" s="360" t="s">
        <v>88</v>
      </c>
      <c r="AY108" s="360" t="s">
        <v>88</v>
      </c>
      <c r="AZ108" s="360" t="s">
        <v>88</v>
      </c>
      <c r="BA108" s="360" t="s">
        <v>88</v>
      </c>
      <c r="BB108" s="360" t="s">
        <v>88</v>
      </c>
      <c r="BC108" s="360" t="s">
        <v>88</v>
      </c>
      <c r="BD108" s="360" t="s">
        <v>88</v>
      </c>
      <c r="BE108" s="360" t="s">
        <v>88</v>
      </c>
      <c r="BF108" s="360" t="s">
        <v>88</v>
      </c>
      <c r="BG108" s="360" t="s">
        <v>88</v>
      </c>
      <c r="BH108" s="360" t="s">
        <v>88</v>
      </c>
      <c r="BI108" s="360" t="s">
        <v>88</v>
      </c>
      <c r="BJ108" s="360" t="s">
        <v>88</v>
      </c>
      <c r="BK108" s="360" t="s">
        <v>88</v>
      </c>
      <c r="BL108" s="354" t="s">
        <v>89</v>
      </c>
      <c r="BM108" s="364" t="s">
        <v>189</v>
      </c>
      <c r="BN108" s="354" t="s">
        <v>91</v>
      </c>
      <c r="BO108" s="354">
        <v>225876</v>
      </c>
      <c r="BP108" s="354" t="s">
        <v>92</v>
      </c>
      <c r="BQ108" s="574" t="s">
        <v>202</v>
      </c>
      <c r="BR108" s="354" t="s">
        <v>94</v>
      </c>
      <c r="BS108" s="354">
        <v>63250612</v>
      </c>
      <c r="BT108" s="354" t="s">
        <v>95</v>
      </c>
      <c r="BU108" s="354" t="s">
        <v>112</v>
      </c>
      <c r="BV108" s="477" t="s">
        <v>203</v>
      </c>
    </row>
    <row r="109" spans="1:74" s="2" customFormat="1" ht="24.9" customHeight="1">
      <c r="A109" s="147" t="s">
        <v>85</v>
      </c>
      <c r="B109" s="356" t="s">
        <v>204</v>
      </c>
      <c r="C109" s="369"/>
      <c r="D109" s="356"/>
      <c r="E109" s="363">
        <v>46223</v>
      </c>
      <c r="F109" s="358">
        <v>3</v>
      </c>
      <c r="G109" s="358">
        <v>30</v>
      </c>
      <c r="H109" s="360" t="s">
        <v>88</v>
      </c>
      <c r="I109" s="360" t="s">
        <v>88</v>
      </c>
      <c r="J109" s="360" t="s">
        <v>88</v>
      </c>
      <c r="K109" s="360" t="s">
        <v>88</v>
      </c>
      <c r="L109" s="360" t="s">
        <v>88</v>
      </c>
      <c r="M109" s="360" t="s">
        <v>88</v>
      </c>
      <c r="N109" s="360" t="s">
        <v>88</v>
      </c>
      <c r="O109" s="360" t="s">
        <v>88</v>
      </c>
      <c r="P109" s="360" t="s">
        <v>88</v>
      </c>
      <c r="Q109" s="360" t="s">
        <v>88</v>
      </c>
      <c r="R109" s="360" t="s">
        <v>88</v>
      </c>
      <c r="S109" s="360" t="s">
        <v>88</v>
      </c>
      <c r="T109" s="360" t="s">
        <v>88</v>
      </c>
      <c r="U109" s="360" t="s">
        <v>88</v>
      </c>
      <c r="V109" s="360" t="s">
        <v>88</v>
      </c>
      <c r="W109" s="360" t="s">
        <v>88</v>
      </c>
      <c r="X109" s="360" t="s">
        <v>88</v>
      </c>
      <c r="Y109" s="360" t="s">
        <v>88</v>
      </c>
      <c r="Z109" s="360" t="s">
        <v>88</v>
      </c>
      <c r="AA109" s="360" t="s">
        <v>88</v>
      </c>
      <c r="AB109" s="360" t="s">
        <v>88</v>
      </c>
      <c r="AC109" s="360" t="s">
        <v>88</v>
      </c>
      <c r="AD109" s="360" t="s">
        <v>88</v>
      </c>
      <c r="AE109" s="360" t="s">
        <v>88</v>
      </c>
      <c r="AF109" s="360" t="s">
        <v>88</v>
      </c>
      <c r="AG109" s="360" t="s">
        <v>88</v>
      </c>
      <c r="AH109" s="360" t="s">
        <v>88</v>
      </c>
      <c r="AI109" s="360" t="s">
        <v>88</v>
      </c>
      <c r="AJ109" s="360" t="s">
        <v>88</v>
      </c>
      <c r="AK109" s="360" t="s">
        <v>88</v>
      </c>
      <c r="AL109" s="360" t="s">
        <v>88</v>
      </c>
      <c r="AM109" s="360" t="s">
        <v>88</v>
      </c>
      <c r="AN109" s="360" t="s">
        <v>88</v>
      </c>
      <c r="AO109" s="360" t="s">
        <v>88</v>
      </c>
      <c r="AP109" s="360" t="s">
        <v>88</v>
      </c>
      <c r="AQ109" s="360" t="s">
        <v>88</v>
      </c>
      <c r="AR109" s="360" t="s">
        <v>88</v>
      </c>
      <c r="AS109" s="360" t="s">
        <v>88</v>
      </c>
      <c r="AT109" s="360" t="s">
        <v>88</v>
      </c>
      <c r="AU109" s="360" t="s">
        <v>88</v>
      </c>
      <c r="AV109" s="360" t="s">
        <v>88</v>
      </c>
      <c r="AW109" s="360" t="s">
        <v>88</v>
      </c>
      <c r="AX109" s="360" t="s">
        <v>88</v>
      </c>
      <c r="AY109" s="360" t="s">
        <v>88</v>
      </c>
      <c r="AZ109" s="371">
        <v>78.87</v>
      </c>
      <c r="BA109" s="371">
        <v>35.200000000000003</v>
      </c>
      <c r="BB109" s="371">
        <v>74.95</v>
      </c>
      <c r="BC109" s="371">
        <v>30.61</v>
      </c>
      <c r="BD109" s="360" t="s">
        <v>88</v>
      </c>
      <c r="BE109" s="360" t="s">
        <v>88</v>
      </c>
      <c r="BF109" s="371">
        <v>82.4</v>
      </c>
      <c r="BG109" s="371">
        <v>36.53</v>
      </c>
      <c r="BH109" s="371">
        <v>63.96</v>
      </c>
      <c r="BI109" s="371">
        <v>31</v>
      </c>
      <c r="BJ109" s="360" t="s">
        <v>88</v>
      </c>
      <c r="BK109" s="360" t="s">
        <v>88</v>
      </c>
      <c r="BL109" s="354" t="s">
        <v>89</v>
      </c>
      <c r="BM109" s="364" t="s">
        <v>189</v>
      </c>
      <c r="BN109" s="354" t="s">
        <v>91</v>
      </c>
      <c r="BO109" s="354">
        <v>225876</v>
      </c>
      <c r="BP109" s="354" t="s">
        <v>92</v>
      </c>
      <c r="BQ109" s="354" t="s">
        <v>202</v>
      </c>
      <c r="BR109" s="354" t="s">
        <v>94</v>
      </c>
      <c r="BS109" s="354">
        <v>63250612</v>
      </c>
      <c r="BT109" s="354" t="s">
        <v>95</v>
      </c>
      <c r="BU109" s="354" t="s">
        <v>112</v>
      </c>
      <c r="BV109" s="477"/>
    </row>
    <row r="110" spans="1:74" s="2" customFormat="1" ht="24.9" customHeight="1">
      <c r="A110" s="147" t="s">
        <v>85</v>
      </c>
      <c r="B110" s="356" t="s">
        <v>205</v>
      </c>
      <c r="C110" s="369"/>
      <c r="D110" s="356"/>
      <c r="E110" s="363">
        <v>46223</v>
      </c>
      <c r="F110" s="358">
        <v>3</v>
      </c>
      <c r="G110" s="358">
        <v>30</v>
      </c>
      <c r="H110" s="360" t="s">
        <v>88</v>
      </c>
      <c r="I110" s="360" t="s">
        <v>88</v>
      </c>
      <c r="J110" s="360" t="s">
        <v>88</v>
      </c>
      <c r="K110" s="360" t="s">
        <v>88</v>
      </c>
      <c r="L110" s="360" t="s">
        <v>88</v>
      </c>
      <c r="M110" s="360" t="s">
        <v>88</v>
      </c>
      <c r="N110" s="360" t="s">
        <v>88</v>
      </c>
      <c r="O110" s="360" t="s">
        <v>88</v>
      </c>
      <c r="P110" s="360" t="s">
        <v>88</v>
      </c>
      <c r="Q110" s="360" t="s">
        <v>88</v>
      </c>
      <c r="R110" s="360" t="s">
        <v>88</v>
      </c>
      <c r="S110" s="360" t="s">
        <v>88</v>
      </c>
      <c r="T110" s="360" t="s">
        <v>88</v>
      </c>
      <c r="U110" s="360" t="s">
        <v>88</v>
      </c>
      <c r="V110" s="360" t="s">
        <v>88</v>
      </c>
      <c r="W110" s="360" t="s">
        <v>88</v>
      </c>
      <c r="X110" s="360" t="s">
        <v>88</v>
      </c>
      <c r="Y110" s="360" t="s">
        <v>88</v>
      </c>
      <c r="Z110" s="360" t="s">
        <v>88</v>
      </c>
      <c r="AA110" s="360" t="s">
        <v>88</v>
      </c>
      <c r="AB110" s="360" t="s">
        <v>88</v>
      </c>
      <c r="AC110" s="371">
        <v>2.46</v>
      </c>
      <c r="AD110" s="371">
        <v>2.46</v>
      </c>
      <c r="AE110" s="371">
        <v>2.2000000000000002</v>
      </c>
      <c r="AF110" s="371">
        <f>AVERAGE(AC110:AE110)</f>
        <v>2.3733333333333335</v>
      </c>
      <c r="AG110" s="360" t="s">
        <v>88</v>
      </c>
      <c r="AH110" s="512" t="s">
        <v>99</v>
      </c>
      <c r="AI110" s="512" t="s">
        <v>99</v>
      </c>
      <c r="AJ110" s="512" t="s">
        <v>99</v>
      </c>
      <c r="AK110" s="512" t="s">
        <v>99</v>
      </c>
      <c r="AL110" s="512" t="s">
        <v>99</v>
      </c>
      <c r="AM110" s="512" t="s">
        <v>99</v>
      </c>
      <c r="AN110" s="360" t="s">
        <v>88</v>
      </c>
      <c r="AO110" s="360" t="s">
        <v>88</v>
      </c>
      <c r="AP110" s="360" t="s">
        <v>88</v>
      </c>
      <c r="AQ110" s="360" t="s">
        <v>88</v>
      </c>
      <c r="AR110" s="360" t="s">
        <v>88</v>
      </c>
      <c r="AS110" s="360" t="s">
        <v>88</v>
      </c>
      <c r="AT110" s="360" t="s">
        <v>88</v>
      </c>
      <c r="AU110" s="360" t="s">
        <v>88</v>
      </c>
      <c r="AV110" s="360" t="s">
        <v>88</v>
      </c>
      <c r="AW110" s="360" t="s">
        <v>88</v>
      </c>
      <c r="AX110" s="360" t="s">
        <v>88</v>
      </c>
      <c r="AY110" s="360" t="s">
        <v>88</v>
      </c>
      <c r="AZ110" s="360" t="s">
        <v>88</v>
      </c>
      <c r="BA110" s="360" t="s">
        <v>88</v>
      </c>
      <c r="BB110" s="360" t="s">
        <v>88</v>
      </c>
      <c r="BC110" s="360" t="s">
        <v>88</v>
      </c>
      <c r="BD110" s="360" t="s">
        <v>88</v>
      </c>
      <c r="BE110" s="360" t="s">
        <v>88</v>
      </c>
      <c r="BF110" s="360" t="s">
        <v>88</v>
      </c>
      <c r="BG110" s="360" t="s">
        <v>88</v>
      </c>
      <c r="BH110" s="360" t="s">
        <v>88</v>
      </c>
      <c r="BI110" s="360" t="s">
        <v>88</v>
      </c>
      <c r="BJ110" s="360" t="s">
        <v>88</v>
      </c>
      <c r="BK110" s="360" t="s">
        <v>88</v>
      </c>
      <c r="BL110" s="354" t="s">
        <v>89</v>
      </c>
      <c r="BM110" s="364" t="s">
        <v>189</v>
      </c>
      <c r="BN110" s="354" t="s">
        <v>91</v>
      </c>
      <c r="BO110" s="354">
        <v>225876</v>
      </c>
      <c r="BP110" s="354" t="s">
        <v>92</v>
      </c>
      <c r="BQ110" s="354" t="s">
        <v>202</v>
      </c>
      <c r="BR110" s="354" t="s">
        <v>94</v>
      </c>
      <c r="BS110" s="354">
        <v>63250612</v>
      </c>
      <c r="BT110" s="354" t="s">
        <v>95</v>
      </c>
      <c r="BU110" s="354" t="s">
        <v>112</v>
      </c>
      <c r="BV110" s="477"/>
    </row>
    <row r="111" spans="1:74" s="2" customFormat="1" ht="24.9" customHeight="1">
      <c r="A111" s="147" t="s">
        <v>85</v>
      </c>
      <c r="B111" s="557" t="s">
        <v>206</v>
      </c>
      <c r="C111" s="369"/>
      <c r="D111" s="356"/>
      <c r="E111" s="363">
        <v>46224</v>
      </c>
      <c r="F111" s="358">
        <v>1</v>
      </c>
      <c r="G111" s="358">
        <v>30</v>
      </c>
      <c r="H111" s="539" t="s">
        <v>171</v>
      </c>
      <c r="I111" s="371">
        <v>350</v>
      </c>
      <c r="J111" s="371">
        <v>428</v>
      </c>
      <c r="K111" s="371">
        <v>382.8</v>
      </c>
      <c r="L111" s="371">
        <v>397.2</v>
      </c>
      <c r="M111" s="575">
        <v>586.1</v>
      </c>
      <c r="N111" s="575">
        <v>464.2</v>
      </c>
      <c r="O111" s="360" t="s">
        <v>88</v>
      </c>
      <c r="P111" s="360" t="s">
        <v>88</v>
      </c>
      <c r="Q111" s="360" t="s">
        <v>88</v>
      </c>
      <c r="R111" s="360" t="s">
        <v>88</v>
      </c>
      <c r="S111" s="360" t="s">
        <v>88</v>
      </c>
      <c r="T111" s="360" t="s">
        <v>88</v>
      </c>
      <c r="U111" s="360" t="s">
        <v>88</v>
      </c>
      <c r="V111" s="360" t="s">
        <v>88</v>
      </c>
      <c r="W111" s="360" t="s">
        <v>88</v>
      </c>
      <c r="X111" s="360" t="s">
        <v>88</v>
      </c>
      <c r="Y111" s="360" t="s">
        <v>88</v>
      </c>
      <c r="Z111" s="360" t="s">
        <v>88</v>
      </c>
      <c r="AA111" s="360" t="s">
        <v>88</v>
      </c>
      <c r="AB111" s="360" t="s">
        <v>88</v>
      </c>
      <c r="AC111" s="360" t="s">
        <v>88</v>
      </c>
      <c r="AD111" s="360" t="s">
        <v>88</v>
      </c>
      <c r="AE111" s="360" t="s">
        <v>88</v>
      </c>
      <c r="AF111" s="360" t="s">
        <v>88</v>
      </c>
      <c r="AG111" s="360" t="s">
        <v>88</v>
      </c>
      <c r="AH111" s="360" t="s">
        <v>88</v>
      </c>
      <c r="AI111" s="360" t="s">
        <v>88</v>
      </c>
      <c r="AJ111" s="360" t="s">
        <v>88</v>
      </c>
      <c r="AK111" s="360" t="s">
        <v>88</v>
      </c>
      <c r="AL111" s="360" t="s">
        <v>88</v>
      </c>
      <c r="AM111" s="360" t="s">
        <v>88</v>
      </c>
      <c r="AN111" s="360" t="s">
        <v>88</v>
      </c>
      <c r="AO111" s="360" t="s">
        <v>88</v>
      </c>
      <c r="AP111" s="360" t="s">
        <v>88</v>
      </c>
      <c r="AQ111" s="360" t="s">
        <v>88</v>
      </c>
      <c r="AR111" s="360" t="s">
        <v>88</v>
      </c>
      <c r="AS111" s="360" t="s">
        <v>88</v>
      </c>
      <c r="AT111" s="360" t="s">
        <v>88</v>
      </c>
      <c r="AU111" s="360" t="s">
        <v>88</v>
      </c>
      <c r="AV111" s="360" t="s">
        <v>88</v>
      </c>
      <c r="AW111" s="360" t="s">
        <v>88</v>
      </c>
      <c r="AX111" s="360" t="s">
        <v>88</v>
      </c>
      <c r="AY111" s="360" t="s">
        <v>88</v>
      </c>
      <c r="AZ111" s="360" t="s">
        <v>88</v>
      </c>
      <c r="BA111" s="360" t="s">
        <v>88</v>
      </c>
      <c r="BB111" s="360" t="s">
        <v>88</v>
      </c>
      <c r="BC111" s="360" t="s">
        <v>88</v>
      </c>
      <c r="BD111" s="360" t="s">
        <v>88</v>
      </c>
      <c r="BE111" s="360" t="s">
        <v>88</v>
      </c>
      <c r="BF111" s="360" t="s">
        <v>88</v>
      </c>
      <c r="BG111" s="360" t="s">
        <v>88</v>
      </c>
      <c r="BH111" s="360" t="s">
        <v>88</v>
      </c>
      <c r="BI111" s="360" t="s">
        <v>88</v>
      </c>
      <c r="BJ111" s="360" t="s">
        <v>88</v>
      </c>
      <c r="BK111" s="360" t="s">
        <v>88</v>
      </c>
      <c r="BL111" s="354" t="s">
        <v>89</v>
      </c>
      <c r="BM111" s="364" t="s">
        <v>189</v>
      </c>
      <c r="BN111" s="354" t="s">
        <v>91</v>
      </c>
      <c r="BO111" s="354">
        <v>225876</v>
      </c>
      <c r="BP111" s="354" t="s">
        <v>92</v>
      </c>
      <c r="BQ111" s="354" t="s">
        <v>202</v>
      </c>
      <c r="BR111" s="354" t="s">
        <v>94</v>
      </c>
      <c r="BS111" s="354">
        <v>63250612</v>
      </c>
      <c r="BT111" s="354" t="s">
        <v>95</v>
      </c>
      <c r="BU111" s="354" t="s">
        <v>112</v>
      </c>
      <c r="BV111" s="477"/>
    </row>
    <row r="112" spans="1:74" s="2" customFormat="1" ht="24.9" customHeight="1">
      <c r="A112" s="147" t="s">
        <v>85</v>
      </c>
      <c r="B112" s="557" t="s">
        <v>207</v>
      </c>
      <c r="C112" s="369"/>
      <c r="D112" s="356"/>
      <c r="E112" s="363">
        <v>46224</v>
      </c>
      <c r="F112" s="358">
        <v>1</v>
      </c>
      <c r="G112" s="358">
        <v>30</v>
      </c>
      <c r="H112" s="539" t="s">
        <v>171</v>
      </c>
      <c r="I112" s="371">
        <v>365</v>
      </c>
      <c r="J112" s="371">
        <v>441</v>
      </c>
      <c r="K112" s="371">
        <v>393.25</v>
      </c>
      <c r="L112" s="371">
        <v>357.75</v>
      </c>
      <c r="M112" s="575">
        <v>541.79999999999995</v>
      </c>
      <c r="N112" s="575">
        <v>426.75</v>
      </c>
      <c r="O112" s="360" t="s">
        <v>88</v>
      </c>
      <c r="P112" s="360" t="s">
        <v>88</v>
      </c>
      <c r="Q112" s="360" t="s">
        <v>88</v>
      </c>
      <c r="R112" s="360" t="s">
        <v>88</v>
      </c>
      <c r="S112" s="360" t="s">
        <v>88</v>
      </c>
      <c r="T112" s="360" t="s">
        <v>88</v>
      </c>
      <c r="U112" s="360" t="s">
        <v>88</v>
      </c>
      <c r="V112" s="360" t="s">
        <v>88</v>
      </c>
      <c r="W112" s="360" t="s">
        <v>88</v>
      </c>
      <c r="X112" s="360" t="s">
        <v>88</v>
      </c>
      <c r="Y112" s="360" t="s">
        <v>88</v>
      </c>
      <c r="Z112" s="360" t="s">
        <v>88</v>
      </c>
      <c r="AA112" s="360" t="s">
        <v>88</v>
      </c>
      <c r="AB112" s="360" t="s">
        <v>88</v>
      </c>
      <c r="AC112" s="360" t="s">
        <v>88</v>
      </c>
      <c r="AD112" s="360" t="s">
        <v>88</v>
      </c>
      <c r="AE112" s="360" t="s">
        <v>88</v>
      </c>
      <c r="AF112" s="360" t="s">
        <v>88</v>
      </c>
      <c r="AG112" s="360" t="s">
        <v>88</v>
      </c>
      <c r="AH112" s="360" t="s">
        <v>88</v>
      </c>
      <c r="AI112" s="360" t="s">
        <v>88</v>
      </c>
      <c r="AJ112" s="360" t="s">
        <v>88</v>
      </c>
      <c r="AK112" s="360" t="s">
        <v>88</v>
      </c>
      <c r="AL112" s="360" t="s">
        <v>88</v>
      </c>
      <c r="AM112" s="360" t="s">
        <v>88</v>
      </c>
      <c r="AN112" s="360" t="s">
        <v>88</v>
      </c>
      <c r="AO112" s="360" t="s">
        <v>88</v>
      </c>
      <c r="AP112" s="360" t="s">
        <v>88</v>
      </c>
      <c r="AQ112" s="360" t="s">
        <v>88</v>
      </c>
      <c r="AR112" s="360" t="s">
        <v>88</v>
      </c>
      <c r="AS112" s="360" t="s">
        <v>88</v>
      </c>
      <c r="AT112" s="360" t="s">
        <v>88</v>
      </c>
      <c r="AU112" s="360" t="s">
        <v>88</v>
      </c>
      <c r="AV112" s="360" t="s">
        <v>88</v>
      </c>
      <c r="AW112" s="360" t="s">
        <v>88</v>
      </c>
      <c r="AX112" s="360" t="s">
        <v>88</v>
      </c>
      <c r="AY112" s="360" t="s">
        <v>88</v>
      </c>
      <c r="AZ112" s="360" t="s">
        <v>88</v>
      </c>
      <c r="BA112" s="360" t="s">
        <v>88</v>
      </c>
      <c r="BB112" s="360" t="s">
        <v>88</v>
      </c>
      <c r="BC112" s="360" t="s">
        <v>88</v>
      </c>
      <c r="BD112" s="360" t="s">
        <v>88</v>
      </c>
      <c r="BE112" s="360" t="s">
        <v>88</v>
      </c>
      <c r="BF112" s="360" t="s">
        <v>88</v>
      </c>
      <c r="BG112" s="360" t="s">
        <v>88</v>
      </c>
      <c r="BH112" s="360" t="s">
        <v>88</v>
      </c>
      <c r="BI112" s="360" t="s">
        <v>88</v>
      </c>
      <c r="BJ112" s="360" t="s">
        <v>88</v>
      </c>
      <c r="BK112" s="360" t="s">
        <v>88</v>
      </c>
      <c r="BL112" s="354" t="s">
        <v>89</v>
      </c>
      <c r="BM112" s="364" t="s">
        <v>189</v>
      </c>
      <c r="BN112" s="354" t="s">
        <v>91</v>
      </c>
      <c r="BO112" s="354">
        <v>225876</v>
      </c>
      <c r="BP112" s="354" t="s">
        <v>92</v>
      </c>
      <c r="BQ112" s="354" t="s">
        <v>202</v>
      </c>
      <c r="BR112" s="354" t="s">
        <v>94</v>
      </c>
      <c r="BS112" s="354">
        <v>63250612</v>
      </c>
      <c r="BT112" s="354" t="s">
        <v>95</v>
      </c>
      <c r="BU112" s="354" t="s">
        <v>112</v>
      </c>
      <c r="BV112" s="477"/>
    </row>
    <row r="113" spans="1:74" s="2" customFormat="1" ht="24.9" customHeight="1">
      <c r="A113" s="147" t="s">
        <v>85</v>
      </c>
      <c r="B113" s="356" t="s">
        <v>192</v>
      </c>
      <c r="C113" s="369"/>
      <c r="D113" s="356"/>
      <c r="E113" s="363">
        <v>46224</v>
      </c>
      <c r="F113" s="358">
        <v>1</v>
      </c>
      <c r="G113" s="358">
        <v>30</v>
      </c>
      <c r="H113" s="360" t="s">
        <v>88</v>
      </c>
      <c r="I113" s="371">
        <v>367</v>
      </c>
      <c r="J113" s="371">
        <v>438</v>
      </c>
      <c r="K113" s="371">
        <v>391.3</v>
      </c>
      <c r="L113" s="371">
        <v>286.7</v>
      </c>
      <c r="M113" s="371">
        <v>382.7</v>
      </c>
      <c r="N113" s="371">
        <v>382.67</v>
      </c>
      <c r="O113" s="360" t="s">
        <v>88</v>
      </c>
      <c r="P113" s="360" t="s">
        <v>88</v>
      </c>
      <c r="Q113" s="360" t="s">
        <v>88</v>
      </c>
      <c r="R113" s="360" t="s">
        <v>88</v>
      </c>
      <c r="S113" s="360" t="s">
        <v>88</v>
      </c>
      <c r="T113" s="360" t="s">
        <v>88</v>
      </c>
      <c r="U113" s="360" t="s">
        <v>88</v>
      </c>
      <c r="V113" s="360" t="s">
        <v>88</v>
      </c>
      <c r="W113" s="360" t="s">
        <v>88</v>
      </c>
      <c r="X113" s="360" t="s">
        <v>88</v>
      </c>
      <c r="Y113" s="360" t="s">
        <v>88</v>
      </c>
      <c r="Z113" s="360" t="s">
        <v>88</v>
      </c>
      <c r="AA113" s="360" t="s">
        <v>88</v>
      </c>
      <c r="AB113" s="360" t="s">
        <v>88</v>
      </c>
      <c r="AC113" s="360" t="s">
        <v>88</v>
      </c>
      <c r="AD113" s="360" t="s">
        <v>88</v>
      </c>
      <c r="AE113" s="360" t="s">
        <v>88</v>
      </c>
      <c r="AF113" s="360" t="s">
        <v>88</v>
      </c>
      <c r="AG113" s="360" t="s">
        <v>88</v>
      </c>
      <c r="AH113" s="360" t="s">
        <v>88</v>
      </c>
      <c r="AI113" s="360" t="s">
        <v>88</v>
      </c>
      <c r="AJ113" s="360" t="s">
        <v>88</v>
      </c>
      <c r="AK113" s="360" t="s">
        <v>88</v>
      </c>
      <c r="AL113" s="360" t="s">
        <v>88</v>
      </c>
      <c r="AM113" s="360" t="s">
        <v>88</v>
      </c>
      <c r="AN113" s="360" t="s">
        <v>88</v>
      </c>
      <c r="AO113" s="360" t="s">
        <v>88</v>
      </c>
      <c r="AP113" s="360" t="s">
        <v>88</v>
      </c>
      <c r="AQ113" s="360" t="s">
        <v>88</v>
      </c>
      <c r="AR113" s="360" t="s">
        <v>88</v>
      </c>
      <c r="AS113" s="360" t="s">
        <v>88</v>
      </c>
      <c r="AT113" s="360" t="s">
        <v>88</v>
      </c>
      <c r="AU113" s="360" t="s">
        <v>88</v>
      </c>
      <c r="AV113" s="360" t="s">
        <v>88</v>
      </c>
      <c r="AW113" s="360" t="s">
        <v>88</v>
      </c>
      <c r="AX113" s="360" t="s">
        <v>88</v>
      </c>
      <c r="AY113" s="360" t="s">
        <v>88</v>
      </c>
      <c r="AZ113" s="360" t="s">
        <v>88</v>
      </c>
      <c r="BA113" s="360" t="s">
        <v>88</v>
      </c>
      <c r="BB113" s="360" t="s">
        <v>88</v>
      </c>
      <c r="BC113" s="360" t="s">
        <v>88</v>
      </c>
      <c r="BD113" s="360" t="s">
        <v>88</v>
      </c>
      <c r="BE113" s="360" t="s">
        <v>88</v>
      </c>
      <c r="BF113" s="360" t="s">
        <v>88</v>
      </c>
      <c r="BG113" s="360" t="s">
        <v>88</v>
      </c>
      <c r="BH113" s="360" t="s">
        <v>88</v>
      </c>
      <c r="BI113" s="360" t="s">
        <v>88</v>
      </c>
      <c r="BJ113" s="360" t="s">
        <v>88</v>
      </c>
      <c r="BK113" s="360" t="s">
        <v>88</v>
      </c>
      <c r="BL113" s="354" t="s">
        <v>89</v>
      </c>
      <c r="BM113" s="364" t="s">
        <v>189</v>
      </c>
      <c r="BN113" s="354" t="s">
        <v>91</v>
      </c>
      <c r="BO113" s="354">
        <v>225876</v>
      </c>
      <c r="BP113" s="354" t="s">
        <v>92</v>
      </c>
      <c r="BQ113" s="354" t="s">
        <v>202</v>
      </c>
      <c r="BR113" s="354" t="s">
        <v>94</v>
      </c>
      <c r="BS113" s="354">
        <v>63250612</v>
      </c>
      <c r="BT113" s="354" t="s">
        <v>95</v>
      </c>
      <c r="BU113" s="354" t="s">
        <v>112</v>
      </c>
      <c r="BV113" s="477"/>
    </row>
    <row r="114" spans="1:74" s="2" customFormat="1" ht="24.9" customHeight="1">
      <c r="A114" s="147" t="s">
        <v>85</v>
      </c>
      <c r="B114" s="356" t="s">
        <v>208</v>
      </c>
      <c r="C114" s="369"/>
      <c r="D114" s="356"/>
      <c r="E114" s="363">
        <v>46224</v>
      </c>
      <c r="F114" s="358">
        <v>1</v>
      </c>
      <c r="G114" s="358">
        <v>30</v>
      </c>
      <c r="H114" s="512" t="s">
        <v>101</v>
      </c>
      <c r="I114" s="371">
        <v>363</v>
      </c>
      <c r="J114" s="371">
        <v>474</v>
      </c>
      <c r="K114" s="371">
        <v>396.58</v>
      </c>
      <c r="L114" s="371">
        <v>248.4</v>
      </c>
      <c r="M114" s="371">
        <v>345.4</v>
      </c>
      <c r="N114" s="371">
        <v>393.3</v>
      </c>
      <c r="O114" s="360" t="s">
        <v>88</v>
      </c>
      <c r="P114" s="360" t="s">
        <v>88</v>
      </c>
      <c r="Q114" s="371">
        <v>-1.44</v>
      </c>
      <c r="R114" s="360" t="s">
        <v>88</v>
      </c>
      <c r="S114" s="360" t="s">
        <v>88</v>
      </c>
      <c r="T114" s="360" t="s">
        <v>88</v>
      </c>
      <c r="U114" s="360" t="s">
        <v>88</v>
      </c>
      <c r="V114" s="360" t="s">
        <v>88</v>
      </c>
      <c r="W114" s="360" t="s">
        <v>88</v>
      </c>
      <c r="X114" s="360" t="s">
        <v>88</v>
      </c>
      <c r="Y114" s="360" t="s">
        <v>88</v>
      </c>
      <c r="Z114" s="360" t="s">
        <v>88</v>
      </c>
      <c r="AA114" s="360" t="s">
        <v>88</v>
      </c>
      <c r="AB114" s="360" t="s">
        <v>88</v>
      </c>
      <c r="AC114" s="360" t="s">
        <v>88</v>
      </c>
      <c r="AD114" s="360" t="s">
        <v>88</v>
      </c>
      <c r="AE114" s="360" t="s">
        <v>88</v>
      </c>
      <c r="AF114" s="360" t="s">
        <v>88</v>
      </c>
      <c r="AG114" s="371">
        <v>5.66</v>
      </c>
      <c r="AH114" s="360" t="s">
        <v>88</v>
      </c>
      <c r="AI114" s="360" t="s">
        <v>88</v>
      </c>
      <c r="AJ114" s="360" t="s">
        <v>88</v>
      </c>
      <c r="AK114" s="360" t="s">
        <v>88</v>
      </c>
      <c r="AL114" s="360" t="s">
        <v>88</v>
      </c>
      <c r="AM114" s="360" t="s">
        <v>88</v>
      </c>
      <c r="AN114" s="360" t="s">
        <v>88</v>
      </c>
      <c r="AO114" s="360" t="s">
        <v>88</v>
      </c>
      <c r="AP114" s="360" t="s">
        <v>88</v>
      </c>
      <c r="AQ114" s="360" t="s">
        <v>88</v>
      </c>
      <c r="AR114" s="360" t="s">
        <v>88</v>
      </c>
      <c r="AS114" s="360" t="s">
        <v>88</v>
      </c>
      <c r="AT114" s="360" t="s">
        <v>88</v>
      </c>
      <c r="AU114" s="360" t="s">
        <v>88</v>
      </c>
      <c r="AV114" s="360" t="s">
        <v>88</v>
      </c>
      <c r="AW114" s="360" t="s">
        <v>88</v>
      </c>
      <c r="AX114" s="360" t="s">
        <v>88</v>
      </c>
      <c r="AY114" s="360" t="s">
        <v>88</v>
      </c>
      <c r="AZ114" s="360" t="s">
        <v>88</v>
      </c>
      <c r="BA114" s="360" t="s">
        <v>88</v>
      </c>
      <c r="BB114" s="360" t="s">
        <v>88</v>
      </c>
      <c r="BC114" s="360" t="s">
        <v>88</v>
      </c>
      <c r="BD114" s="360" t="s">
        <v>88</v>
      </c>
      <c r="BE114" s="360" t="s">
        <v>88</v>
      </c>
      <c r="BF114" s="360" t="s">
        <v>88</v>
      </c>
      <c r="BG114" s="360" t="s">
        <v>88</v>
      </c>
      <c r="BH114" s="360" t="s">
        <v>88</v>
      </c>
      <c r="BI114" s="360" t="s">
        <v>88</v>
      </c>
      <c r="BJ114" s="360" t="s">
        <v>88</v>
      </c>
      <c r="BK114" s="360" t="s">
        <v>88</v>
      </c>
      <c r="BL114" s="354" t="s">
        <v>89</v>
      </c>
      <c r="BM114" s="364" t="s">
        <v>189</v>
      </c>
      <c r="BN114" s="354" t="s">
        <v>91</v>
      </c>
      <c r="BO114" s="354">
        <v>225876</v>
      </c>
      <c r="BP114" s="354" t="s">
        <v>92</v>
      </c>
      <c r="BQ114" s="354" t="s">
        <v>202</v>
      </c>
      <c r="BR114" s="354" t="s">
        <v>94</v>
      </c>
      <c r="BS114" s="354">
        <v>63250612</v>
      </c>
      <c r="BT114" s="354" t="s">
        <v>95</v>
      </c>
      <c r="BU114" s="354" t="s">
        <v>112</v>
      </c>
      <c r="BV114" s="477"/>
    </row>
    <row r="115" spans="1:74" s="2" customFormat="1" ht="24.9" customHeight="1">
      <c r="A115" s="147" t="s">
        <v>85</v>
      </c>
      <c r="B115" s="356" t="s">
        <v>209</v>
      </c>
      <c r="C115" s="369"/>
      <c r="D115" s="356"/>
      <c r="E115" s="363">
        <v>46224</v>
      </c>
      <c r="F115" s="358">
        <v>1</v>
      </c>
      <c r="G115" s="358">
        <v>30</v>
      </c>
      <c r="H115" s="360" t="s">
        <v>88</v>
      </c>
      <c r="I115" s="360" t="s">
        <v>88</v>
      </c>
      <c r="J115" s="360" t="s">
        <v>88</v>
      </c>
      <c r="K115" s="360" t="s">
        <v>88</v>
      </c>
      <c r="L115" s="360" t="s">
        <v>88</v>
      </c>
      <c r="M115" s="360" t="s">
        <v>88</v>
      </c>
      <c r="N115" s="360" t="s">
        <v>88</v>
      </c>
      <c r="O115" s="360" t="s">
        <v>88</v>
      </c>
      <c r="P115" s="360" t="s">
        <v>88</v>
      </c>
      <c r="Q115" s="360" t="s">
        <v>88</v>
      </c>
      <c r="R115" s="360" t="s">
        <v>88</v>
      </c>
      <c r="S115" s="360" t="s">
        <v>88</v>
      </c>
      <c r="T115" s="360" t="s">
        <v>88</v>
      </c>
      <c r="U115" s="360" t="s">
        <v>88</v>
      </c>
      <c r="V115" s="360" t="s">
        <v>88</v>
      </c>
      <c r="W115" s="360" t="s">
        <v>88</v>
      </c>
      <c r="X115" s="360" t="s">
        <v>88</v>
      </c>
      <c r="Y115" s="360" t="s">
        <v>88</v>
      </c>
      <c r="Z115" s="360" t="s">
        <v>88</v>
      </c>
      <c r="AA115" s="360" t="s">
        <v>88</v>
      </c>
      <c r="AB115" s="360" t="s">
        <v>88</v>
      </c>
      <c r="AC115" s="360" t="s">
        <v>88</v>
      </c>
      <c r="AD115" s="360" t="s">
        <v>88</v>
      </c>
      <c r="AE115" s="360" t="s">
        <v>88</v>
      </c>
      <c r="AF115" s="360" t="s">
        <v>88</v>
      </c>
      <c r="AG115" s="360" t="s">
        <v>88</v>
      </c>
      <c r="AH115" s="360" t="s">
        <v>88</v>
      </c>
      <c r="AI115" s="360" t="s">
        <v>88</v>
      </c>
      <c r="AJ115" s="360" t="s">
        <v>88</v>
      </c>
      <c r="AK115" s="360" t="s">
        <v>88</v>
      </c>
      <c r="AL115" s="360" t="s">
        <v>88</v>
      </c>
      <c r="AM115" s="360" t="s">
        <v>88</v>
      </c>
      <c r="AN115" s="360" t="s">
        <v>88</v>
      </c>
      <c r="AO115" s="360" t="s">
        <v>88</v>
      </c>
      <c r="AP115" s="360" t="s">
        <v>88</v>
      </c>
      <c r="AQ115" s="360" t="s">
        <v>88</v>
      </c>
      <c r="AR115" s="360" t="s">
        <v>88</v>
      </c>
      <c r="AS115" s="360" t="s">
        <v>88</v>
      </c>
      <c r="AT115" s="360" t="s">
        <v>88</v>
      </c>
      <c r="AU115" s="360" t="s">
        <v>88</v>
      </c>
      <c r="AV115" s="360" t="s">
        <v>88</v>
      </c>
      <c r="AW115" s="360" t="s">
        <v>88</v>
      </c>
      <c r="AX115" s="360" t="s">
        <v>88</v>
      </c>
      <c r="AY115" s="360" t="s">
        <v>88</v>
      </c>
      <c r="AZ115" s="459">
        <v>76.13</v>
      </c>
      <c r="BA115" s="459">
        <v>44.27</v>
      </c>
      <c r="BB115" s="459">
        <v>49.05</v>
      </c>
      <c r="BC115" s="459">
        <v>38.46</v>
      </c>
      <c r="BD115" s="360" t="s">
        <v>88</v>
      </c>
      <c r="BE115" s="360" t="s">
        <v>88</v>
      </c>
      <c r="BF115" s="459">
        <v>78.260000000000005</v>
      </c>
      <c r="BG115" s="459">
        <v>43.27</v>
      </c>
      <c r="BH115" s="459">
        <v>52.58</v>
      </c>
      <c r="BI115" s="459">
        <v>40.42</v>
      </c>
      <c r="BJ115" s="360" t="s">
        <v>88</v>
      </c>
      <c r="BK115" s="360" t="s">
        <v>88</v>
      </c>
      <c r="BL115" s="354" t="s">
        <v>89</v>
      </c>
      <c r="BM115" s="364" t="s">
        <v>189</v>
      </c>
      <c r="BN115" s="354" t="s">
        <v>91</v>
      </c>
      <c r="BO115" s="354">
        <v>225876</v>
      </c>
      <c r="BP115" s="354" t="s">
        <v>92</v>
      </c>
      <c r="BQ115" s="354" t="s">
        <v>202</v>
      </c>
      <c r="BR115" s="354" t="s">
        <v>94</v>
      </c>
      <c r="BS115" s="354">
        <v>63250612</v>
      </c>
      <c r="BT115" s="354" t="s">
        <v>95</v>
      </c>
      <c r="BU115" s="354" t="s">
        <v>112</v>
      </c>
      <c r="BV115" s="477"/>
    </row>
    <row r="116" spans="1:74" s="2" customFormat="1" ht="24.9" customHeight="1">
      <c r="A116" s="147" t="s">
        <v>85</v>
      </c>
      <c r="B116" s="356" t="s">
        <v>210</v>
      </c>
      <c r="C116" s="369"/>
      <c r="D116" s="356"/>
      <c r="E116" s="363">
        <v>46224</v>
      </c>
      <c r="F116" s="358">
        <v>2</v>
      </c>
      <c r="G116" s="358">
        <v>30</v>
      </c>
      <c r="H116" s="512" t="s">
        <v>101</v>
      </c>
      <c r="I116" s="371">
        <v>325</v>
      </c>
      <c r="J116" s="371">
        <v>415</v>
      </c>
      <c r="K116" s="371">
        <v>360</v>
      </c>
      <c r="L116" s="371">
        <v>277</v>
      </c>
      <c r="M116" s="371">
        <v>293</v>
      </c>
      <c r="N116" s="371">
        <v>250</v>
      </c>
      <c r="O116" s="360" t="s">
        <v>88</v>
      </c>
      <c r="P116" s="360" t="s">
        <v>88</v>
      </c>
      <c r="Q116" s="371">
        <v>-1.02</v>
      </c>
      <c r="R116" s="360" t="s">
        <v>88</v>
      </c>
      <c r="S116" s="360" t="s">
        <v>88</v>
      </c>
      <c r="T116" s="360" t="s">
        <v>88</v>
      </c>
      <c r="U116" s="360" t="s">
        <v>88</v>
      </c>
      <c r="V116" s="360" t="s">
        <v>88</v>
      </c>
      <c r="W116" s="360" t="s">
        <v>88</v>
      </c>
      <c r="X116" s="360" t="s">
        <v>88</v>
      </c>
      <c r="Y116" s="360" t="s">
        <v>88</v>
      </c>
      <c r="Z116" s="360" t="s">
        <v>88</v>
      </c>
      <c r="AA116" s="360" t="s">
        <v>88</v>
      </c>
      <c r="AB116" s="360" t="s">
        <v>88</v>
      </c>
      <c r="AC116" s="360" t="s">
        <v>88</v>
      </c>
      <c r="AD116" s="360" t="s">
        <v>88</v>
      </c>
      <c r="AE116" s="360" t="s">
        <v>88</v>
      </c>
      <c r="AF116" s="360" t="s">
        <v>88</v>
      </c>
      <c r="AG116" s="371">
        <v>9.86</v>
      </c>
      <c r="AH116" s="360" t="s">
        <v>88</v>
      </c>
      <c r="AI116" s="360" t="s">
        <v>88</v>
      </c>
      <c r="AJ116" s="360" t="s">
        <v>88</v>
      </c>
      <c r="AK116" s="360" t="s">
        <v>88</v>
      </c>
      <c r="AL116" s="360" t="s">
        <v>88</v>
      </c>
      <c r="AM116" s="360" t="s">
        <v>88</v>
      </c>
      <c r="AN116" s="360" t="s">
        <v>88</v>
      </c>
      <c r="AO116" s="360" t="s">
        <v>88</v>
      </c>
      <c r="AP116" s="360" t="s">
        <v>88</v>
      </c>
      <c r="AQ116" s="360" t="s">
        <v>88</v>
      </c>
      <c r="AR116" s="360" t="s">
        <v>88</v>
      </c>
      <c r="AS116" s="360" t="s">
        <v>88</v>
      </c>
      <c r="AT116" s="360" t="s">
        <v>88</v>
      </c>
      <c r="AU116" s="360" t="s">
        <v>88</v>
      </c>
      <c r="AV116" s="360" t="s">
        <v>88</v>
      </c>
      <c r="AW116" s="360" t="s">
        <v>88</v>
      </c>
      <c r="AX116" s="360" t="s">
        <v>88</v>
      </c>
      <c r="AY116" s="360" t="s">
        <v>88</v>
      </c>
      <c r="AZ116" s="360" t="s">
        <v>88</v>
      </c>
      <c r="BA116" s="360" t="s">
        <v>88</v>
      </c>
      <c r="BB116" s="360" t="s">
        <v>88</v>
      </c>
      <c r="BC116" s="360" t="s">
        <v>88</v>
      </c>
      <c r="BD116" s="360" t="s">
        <v>88</v>
      </c>
      <c r="BE116" s="360" t="s">
        <v>88</v>
      </c>
      <c r="BF116" s="360" t="s">
        <v>88</v>
      </c>
      <c r="BG116" s="360" t="s">
        <v>88</v>
      </c>
      <c r="BH116" s="360" t="s">
        <v>88</v>
      </c>
      <c r="BI116" s="360" t="s">
        <v>88</v>
      </c>
      <c r="BJ116" s="360" t="s">
        <v>88</v>
      </c>
      <c r="BK116" s="360" t="s">
        <v>88</v>
      </c>
      <c r="BL116" s="354" t="s">
        <v>89</v>
      </c>
      <c r="BM116" s="559" t="s">
        <v>189</v>
      </c>
      <c r="BN116" s="354" t="s">
        <v>91</v>
      </c>
      <c r="BO116" s="354">
        <v>225876</v>
      </c>
      <c r="BP116" s="354" t="s">
        <v>92</v>
      </c>
      <c r="BQ116" s="354" t="s">
        <v>93</v>
      </c>
      <c r="BR116" s="354" t="s">
        <v>94</v>
      </c>
      <c r="BS116" s="354">
        <v>63250612</v>
      </c>
      <c r="BT116" s="354" t="s">
        <v>95</v>
      </c>
      <c r="BU116" s="354" t="s">
        <v>112</v>
      </c>
      <c r="BV116" s="477"/>
    </row>
    <row r="117" spans="1:74" s="2" customFormat="1" ht="24.9" customHeight="1">
      <c r="A117" s="147" t="s">
        <v>85</v>
      </c>
      <c r="B117" s="356" t="s">
        <v>211</v>
      </c>
      <c r="C117" s="369"/>
      <c r="D117" s="356"/>
      <c r="E117" s="363">
        <v>46224</v>
      </c>
      <c r="F117" s="358">
        <v>2</v>
      </c>
      <c r="G117" s="358">
        <v>30</v>
      </c>
      <c r="H117" s="360" t="s">
        <v>88</v>
      </c>
      <c r="I117" s="360" t="s">
        <v>88</v>
      </c>
      <c r="J117" s="360" t="s">
        <v>88</v>
      </c>
      <c r="K117" s="360" t="s">
        <v>88</v>
      </c>
      <c r="L117" s="360" t="s">
        <v>88</v>
      </c>
      <c r="M117" s="360" t="s">
        <v>88</v>
      </c>
      <c r="N117" s="360" t="s">
        <v>88</v>
      </c>
      <c r="O117" s="360" t="s">
        <v>88</v>
      </c>
      <c r="P117" s="360" t="s">
        <v>88</v>
      </c>
      <c r="Q117" s="360" t="s">
        <v>88</v>
      </c>
      <c r="R117" s="360" t="s">
        <v>88</v>
      </c>
      <c r="S117" s="360" t="s">
        <v>88</v>
      </c>
      <c r="T117" s="360" t="s">
        <v>88</v>
      </c>
      <c r="U117" s="360" t="s">
        <v>88</v>
      </c>
      <c r="V117" s="360" t="s">
        <v>88</v>
      </c>
      <c r="W117" s="360" t="s">
        <v>88</v>
      </c>
      <c r="X117" s="360" t="s">
        <v>88</v>
      </c>
      <c r="Y117" s="360" t="s">
        <v>88</v>
      </c>
      <c r="Z117" s="360" t="s">
        <v>88</v>
      </c>
      <c r="AA117" s="360" t="s">
        <v>88</v>
      </c>
      <c r="AB117" s="360" t="s">
        <v>88</v>
      </c>
      <c r="AC117" s="360" t="s">
        <v>88</v>
      </c>
      <c r="AD117" s="360" t="s">
        <v>88</v>
      </c>
      <c r="AE117" s="360" t="s">
        <v>88</v>
      </c>
      <c r="AF117" s="360" t="s">
        <v>88</v>
      </c>
      <c r="AG117" s="360" t="s">
        <v>88</v>
      </c>
      <c r="AH117" s="360" t="s">
        <v>88</v>
      </c>
      <c r="AI117" s="360" t="s">
        <v>88</v>
      </c>
      <c r="AJ117" s="360" t="s">
        <v>88</v>
      </c>
      <c r="AK117" s="360" t="s">
        <v>88</v>
      </c>
      <c r="AL117" s="360" t="s">
        <v>88</v>
      </c>
      <c r="AM117" s="360" t="s">
        <v>88</v>
      </c>
      <c r="AN117" s="360" t="s">
        <v>88</v>
      </c>
      <c r="AO117" s="360" t="s">
        <v>88</v>
      </c>
      <c r="AP117" s="360" t="s">
        <v>88</v>
      </c>
      <c r="AQ117" s="360" t="s">
        <v>88</v>
      </c>
      <c r="AR117" s="360" t="s">
        <v>88</v>
      </c>
      <c r="AS117" s="360" t="s">
        <v>88</v>
      </c>
      <c r="AT117" s="360" t="s">
        <v>88</v>
      </c>
      <c r="AU117" s="360" t="s">
        <v>88</v>
      </c>
      <c r="AV117" s="360" t="s">
        <v>88</v>
      </c>
      <c r="AW117" s="360" t="s">
        <v>88</v>
      </c>
      <c r="AX117" s="360" t="s">
        <v>88</v>
      </c>
      <c r="AY117" s="360" t="s">
        <v>88</v>
      </c>
      <c r="AZ117" s="459">
        <v>49.85</v>
      </c>
      <c r="BA117" s="459">
        <v>37</v>
      </c>
      <c r="BB117" s="459">
        <v>42.77</v>
      </c>
      <c r="BC117" s="459">
        <v>31.78</v>
      </c>
      <c r="BD117" s="360" t="s">
        <v>88</v>
      </c>
      <c r="BE117" s="360" t="s">
        <v>88</v>
      </c>
      <c r="BF117" s="459" t="s">
        <v>88</v>
      </c>
      <c r="BG117" s="459">
        <v>36.14</v>
      </c>
      <c r="BH117" s="459" t="s">
        <v>88</v>
      </c>
      <c r="BI117" s="459">
        <v>31.78</v>
      </c>
      <c r="BJ117" s="459">
        <v>89.07</v>
      </c>
      <c r="BK117" s="459" t="s">
        <v>88</v>
      </c>
      <c r="BL117" s="354" t="s">
        <v>89</v>
      </c>
      <c r="BM117" s="364" t="s">
        <v>189</v>
      </c>
      <c r="BN117" s="354" t="s">
        <v>91</v>
      </c>
      <c r="BO117" s="354">
        <v>225876</v>
      </c>
      <c r="BP117" s="354" t="s">
        <v>92</v>
      </c>
      <c r="BQ117" s="354" t="s">
        <v>93</v>
      </c>
      <c r="BR117" s="354" t="s">
        <v>94</v>
      </c>
      <c r="BS117" s="354">
        <v>63250612</v>
      </c>
      <c r="BT117" s="354" t="s">
        <v>95</v>
      </c>
      <c r="BU117" s="354" t="s">
        <v>112</v>
      </c>
      <c r="BV117" s="477"/>
    </row>
    <row r="118" spans="1:74" s="2" customFormat="1" ht="24.9" customHeight="1">
      <c r="A118" s="147" t="s">
        <v>85</v>
      </c>
      <c r="B118" s="356" t="s">
        <v>212</v>
      </c>
      <c r="C118" s="369"/>
      <c r="D118" s="356"/>
      <c r="E118" s="363">
        <v>46224</v>
      </c>
      <c r="F118" s="358">
        <v>3</v>
      </c>
      <c r="G118" s="358">
        <v>30</v>
      </c>
      <c r="H118" s="512" t="s">
        <v>101</v>
      </c>
      <c r="I118" s="371">
        <v>356</v>
      </c>
      <c r="J118" s="371">
        <v>409</v>
      </c>
      <c r="K118" s="371">
        <v>389</v>
      </c>
      <c r="L118" s="371">
        <v>206</v>
      </c>
      <c r="M118" s="371">
        <v>355</v>
      </c>
      <c r="N118" s="371">
        <v>266</v>
      </c>
      <c r="O118" s="360" t="s">
        <v>88</v>
      </c>
      <c r="P118" s="360" t="s">
        <v>88</v>
      </c>
      <c r="Q118" s="371">
        <v>-1.0900000000000001</v>
      </c>
      <c r="R118" s="360" t="s">
        <v>88</v>
      </c>
      <c r="S118" s="360" t="s">
        <v>88</v>
      </c>
      <c r="T118" s="360" t="s">
        <v>88</v>
      </c>
      <c r="U118" s="360" t="s">
        <v>88</v>
      </c>
      <c r="V118" s="360" t="s">
        <v>88</v>
      </c>
      <c r="W118" s="360" t="s">
        <v>88</v>
      </c>
      <c r="X118" s="360" t="s">
        <v>88</v>
      </c>
      <c r="Y118" s="360" t="s">
        <v>88</v>
      </c>
      <c r="Z118" s="360" t="s">
        <v>88</v>
      </c>
      <c r="AA118" s="360" t="s">
        <v>88</v>
      </c>
      <c r="AB118" s="360" t="s">
        <v>88</v>
      </c>
      <c r="AC118" s="360" t="s">
        <v>88</v>
      </c>
      <c r="AD118" s="360" t="s">
        <v>88</v>
      </c>
      <c r="AE118" s="360" t="s">
        <v>88</v>
      </c>
      <c r="AF118" s="360" t="s">
        <v>88</v>
      </c>
      <c r="AG118" s="371">
        <v>7.87</v>
      </c>
      <c r="AH118" s="360" t="s">
        <v>88</v>
      </c>
      <c r="AI118" s="360" t="s">
        <v>88</v>
      </c>
      <c r="AJ118" s="360" t="s">
        <v>88</v>
      </c>
      <c r="AK118" s="360" t="s">
        <v>88</v>
      </c>
      <c r="AL118" s="360" t="s">
        <v>88</v>
      </c>
      <c r="AM118" s="360" t="s">
        <v>88</v>
      </c>
      <c r="AN118" s="360" t="s">
        <v>88</v>
      </c>
      <c r="AO118" s="360" t="s">
        <v>88</v>
      </c>
      <c r="AP118" s="360" t="s">
        <v>88</v>
      </c>
      <c r="AQ118" s="360" t="s">
        <v>88</v>
      </c>
      <c r="AR118" s="360" t="s">
        <v>88</v>
      </c>
      <c r="AS118" s="360" t="s">
        <v>88</v>
      </c>
      <c r="AT118" s="360" t="s">
        <v>88</v>
      </c>
      <c r="AU118" s="360" t="s">
        <v>88</v>
      </c>
      <c r="AV118" s="360" t="s">
        <v>88</v>
      </c>
      <c r="AW118" s="360" t="s">
        <v>88</v>
      </c>
      <c r="AX118" s="360" t="s">
        <v>88</v>
      </c>
      <c r="AY118" s="360" t="s">
        <v>88</v>
      </c>
      <c r="AZ118" s="360" t="s">
        <v>88</v>
      </c>
      <c r="BA118" s="360" t="s">
        <v>88</v>
      </c>
      <c r="BB118" s="360" t="s">
        <v>88</v>
      </c>
      <c r="BC118" s="360" t="s">
        <v>88</v>
      </c>
      <c r="BD118" s="360" t="s">
        <v>88</v>
      </c>
      <c r="BE118" s="360" t="s">
        <v>88</v>
      </c>
      <c r="BF118" s="360" t="s">
        <v>88</v>
      </c>
      <c r="BG118" s="360" t="s">
        <v>88</v>
      </c>
      <c r="BH118" s="360" t="s">
        <v>88</v>
      </c>
      <c r="BI118" s="360" t="s">
        <v>88</v>
      </c>
      <c r="BJ118" s="360" t="s">
        <v>88</v>
      </c>
      <c r="BK118" s="360" t="s">
        <v>88</v>
      </c>
      <c r="BL118" s="354" t="s">
        <v>89</v>
      </c>
      <c r="BM118" s="364" t="s">
        <v>189</v>
      </c>
      <c r="BN118" s="354" t="s">
        <v>91</v>
      </c>
      <c r="BO118" s="354">
        <v>225876</v>
      </c>
      <c r="BP118" s="354" t="s">
        <v>92</v>
      </c>
      <c r="BQ118" s="354" t="s">
        <v>93</v>
      </c>
      <c r="BR118" s="354" t="s">
        <v>94</v>
      </c>
      <c r="BS118" s="354">
        <v>63250612</v>
      </c>
      <c r="BT118" s="354" t="s">
        <v>95</v>
      </c>
      <c r="BU118" s="354" t="s">
        <v>112</v>
      </c>
      <c r="BV118" s="477"/>
    </row>
    <row r="119" spans="1:74" s="2" customFormat="1" ht="24.9" customHeight="1">
      <c r="A119" s="147" t="s">
        <v>85</v>
      </c>
      <c r="B119" s="356" t="s">
        <v>213</v>
      </c>
      <c r="C119" s="369"/>
      <c r="D119" s="356"/>
      <c r="E119" s="363">
        <v>46224</v>
      </c>
      <c r="F119" s="358">
        <v>3</v>
      </c>
      <c r="G119" s="358">
        <v>30</v>
      </c>
      <c r="H119" s="360" t="s">
        <v>88</v>
      </c>
      <c r="I119" s="360" t="s">
        <v>88</v>
      </c>
      <c r="J119" s="360" t="s">
        <v>88</v>
      </c>
      <c r="K119" s="360" t="s">
        <v>88</v>
      </c>
      <c r="L119" s="360" t="s">
        <v>88</v>
      </c>
      <c r="M119" s="360" t="s">
        <v>88</v>
      </c>
      <c r="N119" s="360" t="s">
        <v>88</v>
      </c>
      <c r="O119" s="360" t="s">
        <v>88</v>
      </c>
      <c r="P119" s="360" t="s">
        <v>88</v>
      </c>
      <c r="Q119" s="360" t="s">
        <v>88</v>
      </c>
      <c r="R119" s="360" t="s">
        <v>88</v>
      </c>
      <c r="S119" s="360" t="s">
        <v>88</v>
      </c>
      <c r="T119" s="360" t="s">
        <v>88</v>
      </c>
      <c r="U119" s="360" t="s">
        <v>88</v>
      </c>
      <c r="V119" s="360" t="s">
        <v>88</v>
      </c>
      <c r="W119" s="360" t="s">
        <v>88</v>
      </c>
      <c r="X119" s="360" t="s">
        <v>88</v>
      </c>
      <c r="Y119" s="360" t="s">
        <v>88</v>
      </c>
      <c r="Z119" s="360" t="s">
        <v>88</v>
      </c>
      <c r="AA119" s="360" t="s">
        <v>88</v>
      </c>
      <c r="AB119" s="360" t="s">
        <v>88</v>
      </c>
      <c r="AC119" s="360" t="s">
        <v>88</v>
      </c>
      <c r="AD119" s="360" t="s">
        <v>88</v>
      </c>
      <c r="AE119" s="360" t="s">
        <v>88</v>
      </c>
      <c r="AF119" s="360" t="s">
        <v>88</v>
      </c>
      <c r="AG119" s="360" t="s">
        <v>88</v>
      </c>
      <c r="AH119" s="360" t="s">
        <v>88</v>
      </c>
      <c r="AI119" s="360" t="s">
        <v>88</v>
      </c>
      <c r="AJ119" s="360" t="s">
        <v>88</v>
      </c>
      <c r="AK119" s="360" t="s">
        <v>88</v>
      </c>
      <c r="AL119" s="360" t="s">
        <v>88</v>
      </c>
      <c r="AM119" s="360" t="s">
        <v>88</v>
      </c>
      <c r="AN119" s="360" t="s">
        <v>88</v>
      </c>
      <c r="AO119" s="360" t="s">
        <v>88</v>
      </c>
      <c r="AP119" s="360" t="s">
        <v>88</v>
      </c>
      <c r="AQ119" s="360" t="s">
        <v>88</v>
      </c>
      <c r="AR119" s="360" t="s">
        <v>88</v>
      </c>
      <c r="AS119" s="360" t="s">
        <v>88</v>
      </c>
      <c r="AT119" s="360" t="s">
        <v>88</v>
      </c>
      <c r="AU119" s="360" t="s">
        <v>88</v>
      </c>
      <c r="AV119" s="360" t="s">
        <v>88</v>
      </c>
      <c r="AW119" s="360" t="s">
        <v>88</v>
      </c>
      <c r="AX119" s="360" t="s">
        <v>88</v>
      </c>
      <c r="AY119" s="360" t="s">
        <v>88</v>
      </c>
      <c r="AZ119" s="371">
        <v>93.78</v>
      </c>
      <c r="BA119" s="371">
        <v>37.78</v>
      </c>
      <c r="BB119" s="371">
        <v>40.42</v>
      </c>
      <c r="BC119" s="371">
        <v>32.18</v>
      </c>
      <c r="BD119" s="360" t="s">
        <v>88</v>
      </c>
      <c r="BE119" s="360" t="s">
        <v>88</v>
      </c>
      <c r="BF119" s="371">
        <v>88.29</v>
      </c>
      <c r="BG119" s="371">
        <v>39.19</v>
      </c>
      <c r="BH119" s="371">
        <v>54.94</v>
      </c>
      <c r="BI119" s="371">
        <v>36.89</v>
      </c>
      <c r="BJ119" s="360" t="s">
        <v>88</v>
      </c>
      <c r="BK119" s="360" t="s">
        <v>88</v>
      </c>
      <c r="BL119" s="354" t="s">
        <v>89</v>
      </c>
      <c r="BM119" s="364" t="s">
        <v>189</v>
      </c>
      <c r="BN119" s="354" t="s">
        <v>91</v>
      </c>
      <c r="BO119" s="354">
        <v>225876</v>
      </c>
      <c r="BP119" s="354" t="s">
        <v>92</v>
      </c>
      <c r="BQ119" s="354" t="s">
        <v>93</v>
      </c>
      <c r="BR119" s="354" t="s">
        <v>94</v>
      </c>
      <c r="BS119" s="354">
        <v>63250612</v>
      </c>
      <c r="BT119" s="354" t="s">
        <v>95</v>
      </c>
      <c r="BU119" s="354" t="s">
        <v>112</v>
      </c>
      <c r="BV119" s="477"/>
    </row>
    <row r="120" spans="1:74" s="2" customFormat="1" ht="24.9" customHeight="1">
      <c r="A120" s="147" t="s">
        <v>85</v>
      </c>
      <c r="B120" s="356" t="s">
        <v>214</v>
      </c>
      <c r="C120" s="369"/>
      <c r="D120" s="356"/>
      <c r="E120" s="363">
        <v>46224</v>
      </c>
      <c r="F120" s="358">
        <v>3</v>
      </c>
      <c r="G120" s="358">
        <v>30</v>
      </c>
      <c r="H120" s="360" t="s">
        <v>88</v>
      </c>
      <c r="I120" s="360" t="s">
        <v>88</v>
      </c>
      <c r="J120" s="360" t="s">
        <v>88</v>
      </c>
      <c r="K120" s="360" t="s">
        <v>88</v>
      </c>
      <c r="L120" s="360" t="s">
        <v>88</v>
      </c>
      <c r="M120" s="360" t="s">
        <v>88</v>
      </c>
      <c r="N120" s="360" t="s">
        <v>88</v>
      </c>
      <c r="O120" s="360" t="s">
        <v>88</v>
      </c>
      <c r="P120" s="360" t="s">
        <v>88</v>
      </c>
      <c r="Q120" s="360" t="s">
        <v>88</v>
      </c>
      <c r="R120" s="360" t="s">
        <v>88</v>
      </c>
      <c r="S120" s="360" t="s">
        <v>88</v>
      </c>
      <c r="T120" s="360" t="s">
        <v>88</v>
      </c>
      <c r="U120" s="360" t="s">
        <v>88</v>
      </c>
      <c r="V120" s="360" t="s">
        <v>88</v>
      </c>
      <c r="W120" s="360" t="s">
        <v>88</v>
      </c>
      <c r="X120" s="360" t="s">
        <v>88</v>
      </c>
      <c r="Y120" s="360" t="s">
        <v>88</v>
      </c>
      <c r="Z120" s="360" t="s">
        <v>88</v>
      </c>
      <c r="AA120" s="360" t="s">
        <v>88</v>
      </c>
      <c r="AB120" s="360" t="s">
        <v>88</v>
      </c>
      <c r="AC120" s="371">
        <v>2.59</v>
      </c>
      <c r="AD120" s="371">
        <v>2.2400000000000002</v>
      </c>
      <c r="AE120" s="371">
        <v>2.5</v>
      </c>
      <c r="AF120" s="371">
        <f>AVERAGE(AC120:AE120)</f>
        <v>2.4433333333333334</v>
      </c>
      <c r="AG120" s="360" t="s">
        <v>88</v>
      </c>
      <c r="AH120" s="512" t="s">
        <v>99</v>
      </c>
      <c r="AI120" s="512" t="s">
        <v>99</v>
      </c>
      <c r="AJ120" s="512" t="s">
        <v>99</v>
      </c>
      <c r="AK120" s="512" t="s">
        <v>99</v>
      </c>
      <c r="AL120" s="512" t="s">
        <v>99</v>
      </c>
      <c r="AM120" s="512" t="s">
        <v>99</v>
      </c>
      <c r="AN120" s="360" t="s">
        <v>88</v>
      </c>
      <c r="AO120" s="360" t="s">
        <v>88</v>
      </c>
      <c r="AP120" s="360" t="s">
        <v>88</v>
      </c>
      <c r="AQ120" s="360" t="s">
        <v>88</v>
      </c>
      <c r="AR120" s="360" t="s">
        <v>88</v>
      </c>
      <c r="AS120" s="360" t="s">
        <v>88</v>
      </c>
      <c r="AT120" s="360" t="s">
        <v>88</v>
      </c>
      <c r="AU120" s="360" t="s">
        <v>88</v>
      </c>
      <c r="AV120" s="360" t="s">
        <v>88</v>
      </c>
      <c r="AW120" s="360" t="s">
        <v>88</v>
      </c>
      <c r="AX120" s="360" t="s">
        <v>88</v>
      </c>
      <c r="AY120" s="360" t="s">
        <v>88</v>
      </c>
      <c r="AZ120" s="360" t="s">
        <v>88</v>
      </c>
      <c r="BA120" s="360" t="s">
        <v>88</v>
      </c>
      <c r="BB120" s="360" t="s">
        <v>88</v>
      </c>
      <c r="BC120" s="360" t="s">
        <v>88</v>
      </c>
      <c r="BD120" s="360" t="s">
        <v>88</v>
      </c>
      <c r="BE120" s="360" t="s">
        <v>88</v>
      </c>
      <c r="BF120" s="360" t="s">
        <v>88</v>
      </c>
      <c r="BG120" s="360" t="s">
        <v>88</v>
      </c>
      <c r="BH120" s="360" t="s">
        <v>88</v>
      </c>
      <c r="BI120" s="360" t="s">
        <v>88</v>
      </c>
      <c r="BJ120" s="360" t="s">
        <v>88</v>
      </c>
      <c r="BK120" s="360" t="s">
        <v>88</v>
      </c>
      <c r="BL120" s="354" t="s">
        <v>89</v>
      </c>
      <c r="BM120" s="364" t="s">
        <v>189</v>
      </c>
      <c r="BN120" s="354" t="s">
        <v>91</v>
      </c>
      <c r="BO120" s="354">
        <v>225876</v>
      </c>
      <c r="BP120" s="354" t="s">
        <v>92</v>
      </c>
      <c r="BQ120" s="354" t="s">
        <v>93</v>
      </c>
      <c r="BR120" s="354" t="s">
        <v>94</v>
      </c>
      <c r="BS120" s="354">
        <v>63250612</v>
      </c>
      <c r="BT120" s="354" t="s">
        <v>95</v>
      </c>
      <c r="BU120" s="354" t="s">
        <v>112</v>
      </c>
      <c r="BV120" s="477"/>
    </row>
    <row r="121" spans="1:74" s="2" customFormat="1" ht="24.9" customHeight="1">
      <c r="A121" s="147" t="s">
        <v>85</v>
      </c>
      <c r="B121" s="356" t="s">
        <v>215</v>
      </c>
      <c r="C121" s="369"/>
      <c r="D121" s="356"/>
      <c r="E121" s="363">
        <v>46225</v>
      </c>
      <c r="F121" s="358">
        <v>1</v>
      </c>
      <c r="G121" s="358">
        <v>30</v>
      </c>
      <c r="H121" s="512" t="s">
        <v>101</v>
      </c>
      <c r="I121" s="371">
        <v>324</v>
      </c>
      <c r="J121" s="371">
        <v>405</v>
      </c>
      <c r="K121" s="371">
        <v>361.92</v>
      </c>
      <c r="L121" s="371">
        <v>232.08</v>
      </c>
      <c r="M121" s="371">
        <v>355</v>
      </c>
      <c r="N121" s="371">
        <v>394.75</v>
      </c>
      <c r="O121" s="360" t="s">
        <v>88</v>
      </c>
      <c r="P121" s="360" t="s">
        <v>88</v>
      </c>
      <c r="Q121" s="371">
        <v>-0.95</v>
      </c>
      <c r="R121" s="360" t="s">
        <v>88</v>
      </c>
      <c r="S121" s="360" t="s">
        <v>88</v>
      </c>
      <c r="T121" s="360" t="s">
        <v>88</v>
      </c>
      <c r="U121" s="360" t="s">
        <v>88</v>
      </c>
      <c r="V121" s="360" t="s">
        <v>88</v>
      </c>
      <c r="W121" s="360" t="s">
        <v>88</v>
      </c>
      <c r="X121" s="360" t="s">
        <v>88</v>
      </c>
      <c r="Y121" s="360" t="s">
        <v>88</v>
      </c>
      <c r="Z121" s="360" t="s">
        <v>88</v>
      </c>
      <c r="AA121" s="360" t="s">
        <v>88</v>
      </c>
      <c r="AB121" s="360" t="s">
        <v>88</v>
      </c>
      <c r="AC121" s="360" t="s">
        <v>88</v>
      </c>
      <c r="AD121" s="360" t="s">
        <v>88</v>
      </c>
      <c r="AE121" s="360" t="s">
        <v>88</v>
      </c>
      <c r="AF121" s="360" t="s">
        <v>88</v>
      </c>
      <c r="AG121" s="360" t="s">
        <v>88</v>
      </c>
      <c r="AH121" s="360" t="s">
        <v>88</v>
      </c>
      <c r="AI121" s="360" t="s">
        <v>88</v>
      </c>
      <c r="AJ121" s="360" t="s">
        <v>88</v>
      </c>
      <c r="AK121" s="360" t="s">
        <v>88</v>
      </c>
      <c r="AL121" s="360" t="s">
        <v>88</v>
      </c>
      <c r="AM121" s="360" t="s">
        <v>88</v>
      </c>
      <c r="AN121" s="360" t="s">
        <v>88</v>
      </c>
      <c r="AO121" s="360" t="s">
        <v>88</v>
      </c>
      <c r="AP121" s="360" t="s">
        <v>88</v>
      </c>
      <c r="AQ121" s="360" t="s">
        <v>88</v>
      </c>
      <c r="AR121" s="360" t="s">
        <v>88</v>
      </c>
      <c r="AS121" s="360" t="s">
        <v>88</v>
      </c>
      <c r="AT121" s="360" t="s">
        <v>88</v>
      </c>
      <c r="AU121" s="360" t="s">
        <v>88</v>
      </c>
      <c r="AV121" s="360" t="s">
        <v>88</v>
      </c>
      <c r="AW121" s="360" t="s">
        <v>88</v>
      </c>
      <c r="AX121" s="360" t="s">
        <v>88</v>
      </c>
      <c r="AY121" s="360" t="s">
        <v>88</v>
      </c>
      <c r="AZ121" s="360" t="s">
        <v>88</v>
      </c>
      <c r="BA121" s="360" t="s">
        <v>88</v>
      </c>
      <c r="BB121" s="360" t="s">
        <v>88</v>
      </c>
      <c r="BC121" s="360" t="s">
        <v>88</v>
      </c>
      <c r="BD121" s="360" t="s">
        <v>88</v>
      </c>
      <c r="BE121" s="360" t="s">
        <v>88</v>
      </c>
      <c r="BF121" s="360" t="s">
        <v>88</v>
      </c>
      <c r="BG121" s="360" t="s">
        <v>88</v>
      </c>
      <c r="BH121" s="360" t="s">
        <v>88</v>
      </c>
      <c r="BI121" s="360" t="s">
        <v>88</v>
      </c>
      <c r="BJ121" s="360" t="s">
        <v>88</v>
      </c>
      <c r="BK121" s="360" t="s">
        <v>88</v>
      </c>
      <c r="BL121" s="354" t="s">
        <v>89</v>
      </c>
      <c r="BM121" s="364" t="s">
        <v>189</v>
      </c>
      <c r="BN121" s="354" t="s">
        <v>91</v>
      </c>
      <c r="BO121" s="354">
        <v>225876</v>
      </c>
      <c r="BP121" s="354" t="s">
        <v>92</v>
      </c>
      <c r="BQ121" s="354" t="s">
        <v>93</v>
      </c>
      <c r="BR121" s="354" t="s">
        <v>94</v>
      </c>
      <c r="BS121" s="354">
        <v>63250612</v>
      </c>
      <c r="BT121" s="354" t="s">
        <v>95</v>
      </c>
      <c r="BU121" s="354" t="s">
        <v>112</v>
      </c>
      <c r="BV121" s="477"/>
    </row>
    <row r="122" spans="1:74" s="2" customFormat="1" ht="24.9" customHeight="1">
      <c r="A122" s="147" t="s">
        <v>85</v>
      </c>
      <c r="B122" s="356" t="s">
        <v>216</v>
      </c>
      <c r="C122" s="369"/>
      <c r="D122" s="356"/>
      <c r="E122" s="363">
        <v>46225</v>
      </c>
      <c r="F122" s="358">
        <v>1</v>
      </c>
      <c r="G122" s="358">
        <v>30</v>
      </c>
      <c r="H122" s="360" t="s">
        <v>88</v>
      </c>
      <c r="I122" s="360" t="s">
        <v>88</v>
      </c>
      <c r="J122" s="360" t="s">
        <v>88</v>
      </c>
      <c r="K122" s="360" t="s">
        <v>88</v>
      </c>
      <c r="L122" s="360" t="s">
        <v>88</v>
      </c>
      <c r="M122" s="360" t="s">
        <v>88</v>
      </c>
      <c r="N122" s="360" t="s">
        <v>88</v>
      </c>
      <c r="O122" s="360" t="s">
        <v>88</v>
      </c>
      <c r="P122" s="360" t="s">
        <v>88</v>
      </c>
      <c r="Q122" s="360" t="s">
        <v>88</v>
      </c>
      <c r="R122" s="360" t="s">
        <v>88</v>
      </c>
      <c r="S122" s="360" t="s">
        <v>88</v>
      </c>
      <c r="T122" s="360" t="s">
        <v>88</v>
      </c>
      <c r="U122" s="360" t="s">
        <v>88</v>
      </c>
      <c r="V122" s="360" t="s">
        <v>88</v>
      </c>
      <c r="W122" s="360" t="s">
        <v>88</v>
      </c>
      <c r="X122" s="360" t="s">
        <v>88</v>
      </c>
      <c r="Y122" s="360" t="s">
        <v>88</v>
      </c>
      <c r="Z122" s="360" t="s">
        <v>88</v>
      </c>
      <c r="AA122" s="360" t="s">
        <v>88</v>
      </c>
      <c r="AB122" s="360" t="s">
        <v>88</v>
      </c>
      <c r="AC122" s="360" t="s">
        <v>88</v>
      </c>
      <c r="AD122" s="360" t="s">
        <v>88</v>
      </c>
      <c r="AE122" s="360" t="s">
        <v>88</v>
      </c>
      <c r="AF122" s="360" t="s">
        <v>88</v>
      </c>
      <c r="AG122" s="360" t="s">
        <v>88</v>
      </c>
      <c r="AH122" s="360" t="s">
        <v>88</v>
      </c>
      <c r="AI122" s="360" t="s">
        <v>88</v>
      </c>
      <c r="AJ122" s="360" t="s">
        <v>88</v>
      </c>
      <c r="AK122" s="360" t="s">
        <v>88</v>
      </c>
      <c r="AL122" s="360" t="s">
        <v>88</v>
      </c>
      <c r="AM122" s="360" t="s">
        <v>88</v>
      </c>
      <c r="AN122" s="360" t="s">
        <v>88</v>
      </c>
      <c r="AO122" s="360" t="s">
        <v>88</v>
      </c>
      <c r="AP122" s="360" t="s">
        <v>88</v>
      </c>
      <c r="AQ122" s="360" t="s">
        <v>88</v>
      </c>
      <c r="AR122" s="360" t="s">
        <v>88</v>
      </c>
      <c r="AS122" s="360" t="s">
        <v>88</v>
      </c>
      <c r="AT122" s="360" t="s">
        <v>88</v>
      </c>
      <c r="AU122" s="360" t="s">
        <v>88</v>
      </c>
      <c r="AV122" s="360" t="s">
        <v>88</v>
      </c>
      <c r="AW122" s="360" t="s">
        <v>88</v>
      </c>
      <c r="AX122" s="360" t="s">
        <v>88</v>
      </c>
      <c r="AY122" s="360" t="s">
        <v>88</v>
      </c>
      <c r="AZ122" s="371">
        <v>47.67</v>
      </c>
      <c r="BA122" s="371">
        <v>34.11</v>
      </c>
      <c r="BB122" s="371">
        <v>44.34</v>
      </c>
      <c r="BC122" s="371">
        <v>29.82</v>
      </c>
      <c r="BD122" s="360" t="s">
        <v>88</v>
      </c>
      <c r="BE122" s="360" t="s">
        <v>88</v>
      </c>
      <c r="BF122" s="371">
        <v>63.43</v>
      </c>
      <c r="BG122" s="371">
        <v>36.700000000000003</v>
      </c>
      <c r="BH122" s="371">
        <v>36.1</v>
      </c>
      <c r="BI122" s="371">
        <v>31.78</v>
      </c>
      <c r="BJ122" s="360" t="s">
        <v>88</v>
      </c>
      <c r="BK122" s="360" t="s">
        <v>88</v>
      </c>
      <c r="BL122" s="354" t="s">
        <v>89</v>
      </c>
      <c r="BM122" s="364" t="s">
        <v>189</v>
      </c>
      <c r="BN122" s="354" t="s">
        <v>91</v>
      </c>
      <c r="BO122" s="354">
        <v>225876</v>
      </c>
      <c r="BP122" s="354" t="s">
        <v>92</v>
      </c>
      <c r="BQ122" s="354" t="s">
        <v>93</v>
      </c>
      <c r="BR122" s="354" t="s">
        <v>94</v>
      </c>
      <c r="BS122" s="354">
        <v>63250612</v>
      </c>
      <c r="BT122" s="354" t="s">
        <v>95</v>
      </c>
      <c r="BU122" s="354" t="s">
        <v>112</v>
      </c>
      <c r="BV122" s="477"/>
    </row>
    <row r="123" spans="1:74" s="2" customFormat="1" ht="24.9" customHeight="1">
      <c r="A123" s="147" t="s">
        <v>85</v>
      </c>
      <c r="B123" s="356" t="s">
        <v>217</v>
      </c>
      <c r="C123" s="369"/>
      <c r="D123" s="356"/>
      <c r="E123" s="363">
        <v>46225</v>
      </c>
      <c r="F123" s="358">
        <v>1</v>
      </c>
      <c r="G123" s="358">
        <v>30</v>
      </c>
      <c r="H123" s="360" t="s">
        <v>88</v>
      </c>
      <c r="I123" s="371">
        <v>336</v>
      </c>
      <c r="J123" s="371">
        <v>452</v>
      </c>
      <c r="K123" s="371">
        <v>379.1</v>
      </c>
      <c r="L123" s="371">
        <v>279.92</v>
      </c>
      <c r="M123" s="371">
        <v>368.9</v>
      </c>
      <c r="N123" s="371">
        <v>320.3</v>
      </c>
      <c r="O123" s="360" t="s">
        <v>88</v>
      </c>
      <c r="P123" s="360" t="s">
        <v>88</v>
      </c>
      <c r="Q123" s="360" t="s">
        <v>88</v>
      </c>
      <c r="R123" s="360" t="s">
        <v>88</v>
      </c>
      <c r="S123" s="360" t="s">
        <v>88</v>
      </c>
      <c r="T123" s="360" t="s">
        <v>88</v>
      </c>
      <c r="U123" s="360" t="s">
        <v>88</v>
      </c>
      <c r="V123" s="360" t="s">
        <v>88</v>
      </c>
      <c r="W123" s="360" t="s">
        <v>88</v>
      </c>
      <c r="X123" s="360" t="s">
        <v>88</v>
      </c>
      <c r="Y123" s="360" t="s">
        <v>88</v>
      </c>
      <c r="Z123" s="360" t="s">
        <v>88</v>
      </c>
      <c r="AA123" s="360" t="s">
        <v>88</v>
      </c>
      <c r="AB123" s="360" t="s">
        <v>88</v>
      </c>
      <c r="AC123" s="360" t="s">
        <v>88</v>
      </c>
      <c r="AD123" s="360" t="s">
        <v>88</v>
      </c>
      <c r="AE123" s="360" t="s">
        <v>88</v>
      </c>
      <c r="AF123" s="360" t="s">
        <v>88</v>
      </c>
      <c r="AG123" s="360" t="s">
        <v>88</v>
      </c>
      <c r="AH123" s="360" t="s">
        <v>88</v>
      </c>
      <c r="AI123" s="360" t="s">
        <v>88</v>
      </c>
      <c r="AJ123" s="360" t="s">
        <v>88</v>
      </c>
      <c r="AK123" s="360" t="s">
        <v>88</v>
      </c>
      <c r="AL123" s="360" t="s">
        <v>88</v>
      </c>
      <c r="AM123" s="360" t="s">
        <v>88</v>
      </c>
      <c r="AN123" s="360" t="s">
        <v>88</v>
      </c>
      <c r="AO123" s="360" t="s">
        <v>88</v>
      </c>
      <c r="AP123" s="360" t="s">
        <v>88</v>
      </c>
      <c r="AQ123" s="360" t="s">
        <v>88</v>
      </c>
      <c r="AR123" s="360" t="s">
        <v>88</v>
      </c>
      <c r="AS123" s="360" t="s">
        <v>88</v>
      </c>
      <c r="AT123" s="360" t="s">
        <v>88</v>
      </c>
      <c r="AU123" s="360" t="s">
        <v>88</v>
      </c>
      <c r="AV123" s="360" t="s">
        <v>88</v>
      </c>
      <c r="AW123" s="360" t="s">
        <v>88</v>
      </c>
      <c r="AX123" s="360" t="s">
        <v>88</v>
      </c>
      <c r="AY123" s="360" t="s">
        <v>88</v>
      </c>
      <c r="AZ123" s="360" t="s">
        <v>88</v>
      </c>
      <c r="BA123" s="360" t="s">
        <v>88</v>
      </c>
      <c r="BB123" s="360" t="s">
        <v>88</v>
      </c>
      <c r="BC123" s="360" t="s">
        <v>88</v>
      </c>
      <c r="BD123" s="360" t="s">
        <v>88</v>
      </c>
      <c r="BE123" s="360" t="s">
        <v>88</v>
      </c>
      <c r="BF123" s="360" t="s">
        <v>88</v>
      </c>
      <c r="BG123" s="360" t="s">
        <v>88</v>
      </c>
      <c r="BH123" s="360" t="s">
        <v>88</v>
      </c>
      <c r="BI123" s="360" t="s">
        <v>88</v>
      </c>
      <c r="BJ123" s="360" t="s">
        <v>88</v>
      </c>
      <c r="BK123" s="360" t="s">
        <v>88</v>
      </c>
      <c r="BL123" s="354" t="s">
        <v>89</v>
      </c>
      <c r="BM123" s="364" t="s">
        <v>189</v>
      </c>
      <c r="BN123" s="354" t="s">
        <v>91</v>
      </c>
      <c r="BO123" s="354">
        <v>225876</v>
      </c>
      <c r="BP123" s="354" t="s">
        <v>92</v>
      </c>
      <c r="BQ123" s="354" t="s">
        <v>93</v>
      </c>
      <c r="BR123" s="354" t="s">
        <v>94</v>
      </c>
      <c r="BS123" s="354">
        <v>63250612</v>
      </c>
      <c r="BT123" s="354" t="s">
        <v>95</v>
      </c>
      <c r="BU123" s="354" t="s">
        <v>112</v>
      </c>
      <c r="BV123" s="477"/>
    </row>
    <row r="124" spans="1:74" s="2" customFormat="1" ht="24.9" customHeight="1">
      <c r="A124" s="147" t="s">
        <v>85</v>
      </c>
      <c r="B124" s="356" t="s">
        <v>218</v>
      </c>
      <c r="C124" s="369"/>
      <c r="D124" s="356"/>
      <c r="E124" s="363">
        <v>46225</v>
      </c>
      <c r="F124" s="358">
        <v>1</v>
      </c>
      <c r="G124" s="358">
        <v>30</v>
      </c>
      <c r="H124" s="360" t="s">
        <v>88</v>
      </c>
      <c r="I124" s="371">
        <v>325</v>
      </c>
      <c r="J124" s="371">
        <v>468</v>
      </c>
      <c r="K124" s="371">
        <v>393.4</v>
      </c>
      <c r="L124" s="371">
        <v>201</v>
      </c>
      <c r="M124" s="371">
        <v>297.58</v>
      </c>
      <c r="N124" s="371">
        <v>241.8</v>
      </c>
      <c r="O124" s="360" t="s">
        <v>88</v>
      </c>
      <c r="P124" s="360" t="s">
        <v>88</v>
      </c>
      <c r="Q124" s="360" t="s">
        <v>88</v>
      </c>
      <c r="R124" s="360" t="s">
        <v>88</v>
      </c>
      <c r="S124" s="360" t="s">
        <v>88</v>
      </c>
      <c r="T124" s="360" t="s">
        <v>88</v>
      </c>
      <c r="U124" s="360" t="s">
        <v>88</v>
      </c>
      <c r="V124" s="360" t="s">
        <v>88</v>
      </c>
      <c r="W124" s="360" t="s">
        <v>88</v>
      </c>
      <c r="X124" s="360" t="s">
        <v>88</v>
      </c>
      <c r="Y124" s="360" t="s">
        <v>88</v>
      </c>
      <c r="Z124" s="360" t="s">
        <v>88</v>
      </c>
      <c r="AA124" s="360" t="s">
        <v>88</v>
      </c>
      <c r="AB124" s="360" t="s">
        <v>88</v>
      </c>
      <c r="AC124" s="360" t="s">
        <v>88</v>
      </c>
      <c r="AD124" s="360" t="s">
        <v>88</v>
      </c>
      <c r="AE124" s="360" t="s">
        <v>88</v>
      </c>
      <c r="AF124" s="360" t="s">
        <v>88</v>
      </c>
      <c r="AG124" s="360" t="s">
        <v>88</v>
      </c>
      <c r="AH124" s="360" t="s">
        <v>88</v>
      </c>
      <c r="AI124" s="360" t="s">
        <v>88</v>
      </c>
      <c r="AJ124" s="360" t="s">
        <v>88</v>
      </c>
      <c r="AK124" s="360" t="s">
        <v>88</v>
      </c>
      <c r="AL124" s="360" t="s">
        <v>88</v>
      </c>
      <c r="AM124" s="360" t="s">
        <v>88</v>
      </c>
      <c r="AN124" s="360" t="s">
        <v>88</v>
      </c>
      <c r="AO124" s="360" t="s">
        <v>88</v>
      </c>
      <c r="AP124" s="360" t="s">
        <v>88</v>
      </c>
      <c r="AQ124" s="360" t="s">
        <v>88</v>
      </c>
      <c r="AR124" s="360" t="s">
        <v>88</v>
      </c>
      <c r="AS124" s="360" t="s">
        <v>88</v>
      </c>
      <c r="AT124" s="360" t="s">
        <v>88</v>
      </c>
      <c r="AU124" s="360" t="s">
        <v>88</v>
      </c>
      <c r="AV124" s="360" t="s">
        <v>88</v>
      </c>
      <c r="AW124" s="360" t="s">
        <v>88</v>
      </c>
      <c r="AX124" s="360" t="s">
        <v>88</v>
      </c>
      <c r="AY124" s="360" t="s">
        <v>88</v>
      </c>
      <c r="AZ124" s="360" t="s">
        <v>88</v>
      </c>
      <c r="BA124" s="360" t="s">
        <v>88</v>
      </c>
      <c r="BB124" s="360" t="s">
        <v>88</v>
      </c>
      <c r="BC124" s="360" t="s">
        <v>88</v>
      </c>
      <c r="BD124" s="360" t="s">
        <v>88</v>
      </c>
      <c r="BE124" s="360" t="s">
        <v>88</v>
      </c>
      <c r="BF124" s="360" t="s">
        <v>88</v>
      </c>
      <c r="BG124" s="360" t="s">
        <v>88</v>
      </c>
      <c r="BH124" s="360" t="s">
        <v>88</v>
      </c>
      <c r="BI124" s="360" t="s">
        <v>88</v>
      </c>
      <c r="BJ124" s="360" t="s">
        <v>88</v>
      </c>
      <c r="BK124" s="360" t="s">
        <v>88</v>
      </c>
      <c r="BL124" s="354" t="s">
        <v>89</v>
      </c>
      <c r="BM124" s="364" t="s">
        <v>189</v>
      </c>
      <c r="BN124" s="354" t="s">
        <v>91</v>
      </c>
      <c r="BO124" s="354">
        <v>225876</v>
      </c>
      <c r="BP124" s="354" t="s">
        <v>92</v>
      </c>
      <c r="BQ124" s="354" t="s">
        <v>93</v>
      </c>
      <c r="BR124" s="354" t="s">
        <v>94</v>
      </c>
      <c r="BS124" s="354">
        <v>63250612</v>
      </c>
      <c r="BT124" s="354" t="s">
        <v>95</v>
      </c>
      <c r="BU124" s="354" t="s">
        <v>112</v>
      </c>
      <c r="BV124" s="477"/>
    </row>
    <row r="125" spans="1:74" s="2" customFormat="1" ht="24.9" customHeight="1">
      <c r="A125" s="147" t="s">
        <v>85</v>
      </c>
      <c r="B125" s="356" t="s">
        <v>219</v>
      </c>
      <c r="C125" s="369"/>
      <c r="D125" s="356"/>
      <c r="E125" s="363">
        <v>46225</v>
      </c>
      <c r="F125" s="358">
        <v>2</v>
      </c>
      <c r="G125" s="358">
        <v>30</v>
      </c>
      <c r="H125" s="578" t="s">
        <v>101</v>
      </c>
      <c r="I125" s="371">
        <v>295</v>
      </c>
      <c r="J125" s="371">
        <v>450</v>
      </c>
      <c r="K125" s="371">
        <v>377</v>
      </c>
      <c r="L125" s="371">
        <v>212</v>
      </c>
      <c r="M125" s="371">
        <v>327</v>
      </c>
      <c r="N125" s="371">
        <v>248</v>
      </c>
      <c r="O125" s="360" t="s">
        <v>88</v>
      </c>
      <c r="P125" s="360" t="s">
        <v>88</v>
      </c>
      <c r="Q125" s="360" t="s">
        <v>88</v>
      </c>
      <c r="R125" s="360" t="s">
        <v>88</v>
      </c>
      <c r="S125" s="360" t="s">
        <v>88</v>
      </c>
      <c r="T125" s="360" t="s">
        <v>88</v>
      </c>
      <c r="U125" s="360" t="s">
        <v>88</v>
      </c>
      <c r="V125" s="360" t="s">
        <v>88</v>
      </c>
      <c r="W125" s="360" t="s">
        <v>88</v>
      </c>
      <c r="X125" s="360" t="s">
        <v>88</v>
      </c>
      <c r="Y125" s="360" t="s">
        <v>88</v>
      </c>
      <c r="Z125" s="360" t="s">
        <v>88</v>
      </c>
      <c r="AA125" s="360" t="s">
        <v>88</v>
      </c>
      <c r="AB125" s="360" t="s">
        <v>88</v>
      </c>
      <c r="AC125" s="360" t="s">
        <v>88</v>
      </c>
      <c r="AD125" s="360" t="s">
        <v>88</v>
      </c>
      <c r="AE125" s="360" t="s">
        <v>88</v>
      </c>
      <c r="AF125" s="360" t="s">
        <v>88</v>
      </c>
      <c r="AG125" s="360" t="s">
        <v>88</v>
      </c>
      <c r="AH125" s="360" t="s">
        <v>88</v>
      </c>
      <c r="AI125" s="360" t="s">
        <v>88</v>
      </c>
      <c r="AJ125" s="360" t="s">
        <v>88</v>
      </c>
      <c r="AK125" s="360" t="s">
        <v>88</v>
      </c>
      <c r="AL125" s="360" t="s">
        <v>88</v>
      </c>
      <c r="AM125" s="360" t="s">
        <v>88</v>
      </c>
      <c r="AN125" s="360" t="s">
        <v>88</v>
      </c>
      <c r="AO125" s="360" t="s">
        <v>88</v>
      </c>
      <c r="AP125" s="360" t="s">
        <v>88</v>
      </c>
      <c r="AQ125" s="360" t="s">
        <v>88</v>
      </c>
      <c r="AR125" s="360" t="s">
        <v>88</v>
      </c>
      <c r="AS125" s="360" t="s">
        <v>88</v>
      </c>
      <c r="AT125" s="360" t="s">
        <v>88</v>
      </c>
      <c r="AU125" s="360" t="s">
        <v>88</v>
      </c>
      <c r="AV125" s="360" t="s">
        <v>88</v>
      </c>
      <c r="AW125" s="360" t="s">
        <v>88</v>
      </c>
      <c r="AX125" s="360" t="s">
        <v>88</v>
      </c>
      <c r="AY125" s="360" t="s">
        <v>88</v>
      </c>
      <c r="AZ125" s="360" t="s">
        <v>88</v>
      </c>
      <c r="BA125" s="360" t="s">
        <v>88</v>
      </c>
      <c r="BB125" s="360" t="s">
        <v>88</v>
      </c>
      <c r="BC125" s="360" t="s">
        <v>88</v>
      </c>
      <c r="BD125" s="360" t="s">
        <v>88</v>
      </c>
      <c r="BE125" s="360" t="s">
        <v>88</v>
      </c>
      <c r="BF125" s="360" t="s">
        <v>88</v>
      </c>
      <c r="BG125" s="360" t="s">
        <v>88</v>
      </c>
      <c r="BH125" s="360" t="s">
        <v>88</v>
      </c>
      <c r="BI125" s="360" t="s">
        <v>88</v>
      </c>
      <c r="BJ125" s="360" t="s">
        <v>88</v>
      </c>
      <c r="BK125" s="360" t="s">
        <v>88</v>
      </c>
      <c r="BL125" s="354" t="s">
        <v>89</v>
      </c>
      <c r="BM125" s="364" t="s">
        <v>189</v>
      </c>
      <c r="BN125" s="354" t="s">
        <v>91</v>
      </c>
      <c r="BO125" s="354">
        <v>225876</v>
      </c>
      <c r="BP125" s="354" t="s">
        <v>92</v>
      </c>
      <c r="BQ125" s="354" t="s">
        <v>93</v>
      </c>
      <c r="BR125" s="354" t="s">
        <v>94</v>
      </c>
      <c r="BS125" s="354">
        <v>63250612</v>
      </c>
      <c r="BT125" s="354" t="s">
        <v>95</v>
      </c>
      <c r="BU125" s="354" t="s">
        <v>112</v>
      </c>
      <c r="BV125" s="477"/>
    </row>
    <row r="126" spans="1:74" s="2" customFormat="1" ht="24.9" customHeight="1">
      <c r="A126" s="147" t="s">
        <v>85</v>
      </c>
      <c r="B126" s="356" t="s">
        <v>220</v>
      </c>
      <c r="C126" s="369"/>
      <c r="D126" s="356"/>
      <c r="E126" s="363">
        <v>46225</v>
      </c>
      <c r="F126" s="358">
        <v>2</v>
      </c>
      <c r="G126" s="358">
        <v>30</v>
      </c>
      <c r="H126" s="360" t="s">
        <v>88</v>
      </c>
      <c r="I126" s="360" t="s">
        <v>88</v>
      </c>
      <c r="J126" s="360" t="s">
        <v>88</v>
      </c>
      <c r="K126" s="360" t="s">
        <v>88</v>
      </c>
      <c r="L126" s="360" t="s">
        <v>88</v>
      </c>
      <c r="M126" s="360" t="s">
        <v>88</v>
      </c>
      <c r="N126" s="360" t="s">
        <v>88</v>
      </c>
      <c r="O126" s="360" t="s">
        <v>88</v>
      </c>
      <c r="P126" s="360" t="s">
        <v>88</v>
      </c>
      <c r="Q126" s="360" t="s">
        <v>88</v>
      </c>
      <c r="R126" s="360" t="s">
        <v>88</v>
      </c>
      <c r="S126" s="360" t="s">
        <v>88</v>
      </c>
      <c r="T126" s="360" t="s">
        <v>88</v>
      </c>
      <c r="U126" s="360" t="s">
        <v>88</v>
      </c>
      <c r="V126" s="360" t="s">
        <v>88</v>
      </c>
      <c r="W126" s="360" t="s">
        <v>88</v>
      </c>
      <c r="X126" s="360" t="s">
        <v>88</v>
      </c>
      <c r="Y126" s="360" t="s">
        <v>88</v>
      </c>
      <c r="Z126" s="360" t="s">
        <v>88</v>
      </c>
      <c r="AA126" s="360" t="s">
        <v>88</v>
      </c>
      <c r="AB126" s="360" t="s">
        <v>88</v>
      </c>
      <c r="AC126" s="360" t="s">
        <v>88</v>
      </c>
      <c r="AD126" s="360" t="s">
        <v>88</v>
      </c>
      <c r="AE126" s="360" t="s">
        <v>88</v>
      </c>
      <c r="AF126" s="360" t="s">
        <v>88</v>
      </c>
      <c r="AG126" s="360" t="s">
        <v>88</v>
      </c>
      <c r="AH126" s="360" t="s">
        <v>88</v>
      </c>
      <c r="AI126" s="360" t="s">
        <v>88</v>
      </c>
      <c r="AJ126" s="360" t="s">
        <v>88</v>
      </c>
      <c r="AK126" s="360" t="s">
        <v>88</v>
      </c>
      <c r="AL126" s="360" t="s">
        <v>88</v>
      </c>
      <c r="AM126" s="360" t="s">
        <v>88</v>
      </c>
      <c r="AN126" s="360" t="s">
        <v>88</v>
      </c>
      <c r="AO126" s="360" t="s">
        <v>88</v>
      </c>
      <c r="AP126" s="360" t="s">
        <v>88</v>
      </c>
      <c r="AQ126" s="360" t="s">
        <v>88</v>
      </c>
      <c r="AR126" s="360" t="s">
        <v>88</v>
      </c>
      <c r="AS126" s="360" t="s">
        <v>88</v>
      </c>
      <c r="AT126" s="360" t="s">
        <v>88</v>
      </c>
      <c r="AU126" s="360" t="s">
        <v>88</v>
      </c>
      <c r="AV126" s="360" t="s">
        <v>88</v>
      </c>
      <c r="AW126" s="360" t="s">
        <v>88</v>
      </c>
      <c r="AX126" s="360" t="s">
        <v>88</v>
      </c>
      <c r="AY126" s="360" t="s">
        <v>88</v>
      </c>
      <c r="AZ126" s="371">
        <v>54.72</v>
      </c>
      <c r="BA126" s="371">
        <v>37.619999999999997</v>
      </c>
      <c r="BB126" s="371">
        <v>47.48</v>
      </c>
      <c r="BC126" s="371">
        <v>31</v>
      </c>
      <c r="BD126" s="360" t="s">
        <v>88</v>
      </c>
      <c r="BE126" s="360" t="s">
        <v>88</v>
      </c>
      <c r="BF126" s="371">
        <v>57.74</v>
      </c>
      <c r="BG126" s="371">
        <v>40.15</v>
      </c>
      <c r="BH126" s="371">
        <v>53.37</v>
      </c>
      <c r="BI126" s="371">
        <v>36.1</v>
      </c>
      <c r="BJ126" s="360" t="s">
        <v>88</v>
      </c>
      <c r="BK126" s="360" t="s">
        <v>88</v>
      </c>
      <c r="BL126" s="354" t="s">
        <v>89</v>
      </c>
      <c r="BM126" s="364" t="s">
        <v>189</v>
      </c>
      <c r="BN126" s="354" t="s">
        <v>91</v>
      </c>
      <c r="BO126" s="354">
        <v>225876</v>
      </c>
      <c r="BP126" s="354" t="s">
        <v>92</v>
      </c>
      <c r="BQ126" s="354" t="s">
        <v>93</v>
      </c>
      <c r="BR126" s="354" t="s">
        <v>94</v>
      </c>
      <c r="BS126" s="354">
        <v>63250612</v>
      </c>
      <c r="BT126" s="354" t="s">
        <v>95</v>
      </c>
      <c r="BU126" s="354" t="s">
        <v>112</v>
      </c>
      <c r="BV126" s="562"/>
    </row>
    <row r="127" spans="1:74" s="2" customFormat="1" ht="24.9" customHeight="1">
      <c r="A127" s="147" t="s">
        <v>85</v>
      </c>
      <c r="B127" s="356" t="s">
        <v>221</v>
      </c>
      <c r="C127" s="369"/>
      <c r="D127" s="356"/>
      <c r="E127" s="363">
        <v>46225</v>
      </c>
      <c r="F127" s="358">
        <v>3</v>
      </c>
      <c r="G127" s="358">
        <v>30</v>
      </c>
      <c r="H127" s="578" t="s">
        <v>101</v>
      </c>
      <c r="I127" s="459">
        <v>341</v>
      </c>
      <c r="J127" s="459">
        <v>438</v>
      </c>
      <c r="K127" s="459">
        <v>379</v>
      </c>
      <c r="L127" s="459">
        <v>271</v>
      </c>
      <c r="M127" s="459">
        <v>399</v>
      </c>
      <c r="N127" s="459">
        <v>325</v>
      </c>
      <c r="O127" s="360" t="s">
        <v>88</v>
      </c>
      <c r="P127" s="360" t="s">
        <v>88</v>
      </c>
      <c r="Q127" s="360" t="s">
        <v>88</v>
      </c>
      <c r="R127" s="360" t="s">
        <v>88</v>
      </c>
      <c r="S127" s="360" t="s">
        <v>88</v>
      </c>
      <c r="T127" s="360" t="s">
        <v>88</v>
      </c>
      <c r="U127" s="360" t="s">
        <v>88</v>
      </c>
      <c r="V127" s="360" t="s">
        <v>88</v>
      </c>
      <c r="W127" s="360" t="s">
        <v>88</v>
      </c>
      <c r="X127" s="360" t="s">
        <v>88</v>
      </c>
      <c r="Y127" s="360" t="s">
        <v>88</v>
      </c>
      <c r="Z127" s="360" t="s">
        <v>88</v>
      </c>
      <c r="AA127" s="360" t="s">
        <v>88</v>
      </c>
      <c r="AB127" s="360" t="s">
        <v>88</v>
      </c>
      <c r="AC127" s="360" t="s">
        <v>88</v>
      </c>
      <c r="AD127" s="360" t="s">
        <v>88</v>
      </c>
      <c r="AE127" s="360" t="s">
        <v>88</v>
      </c>
      <c r="AF127" s="360" t="s">
        <v>88</v>
      </c>
      <c r="AG127" s="360" t="s">
        <v>88</v>
      </c>
      <c r="AH127" s="360" t="s">
        <v>88</v>
      </c>
      <c r="AI127" s="360" t="s">
        <v>88</v>
      </c>
      <c r="AJ127" s="360" t="s">
        <v>88</v>
      </c>
      <c r="AK127" s="360" t="s">
        <v>88</v>
      </c>
      <c r="AL127" s="360" t="s">
        <v>88</v>
      </c>
      <c r="AM127" s="360" t="s">
        <v>88</v>
      </c>
      <c r="AN127" s="360" t="s">
        <v>88</v>
      </c>
      <c r="AO127" s="360" t="s">
        <v>88</v>
      </c>
      <c r="AP127" s="360" t="s">
        <v>88</v>
      </c>
      <c r="AQ127" s="360" t="s">
        <v>88</v>
      </c>
      <c r="AR127" s="360" t="s">
        <v>88</v>
      </c>
      <c r="AS127" s="360" t="s">
        <v>88</v>
      </c>
      <c r="AT127" s="360" t="s">
        <v>88</v>
      </c>
      <c r="AU127" s="360" t="s">
        <v>88</v>
      </c>
      <c r="AV127" s="360" t="s">
        <v>88</v>
      </c>
      <c r="AW127" s="360" t="s">
        <v>88</v>
      </c>
      <c r="AX127" s="360" t="s">
        <v>88</v>
      </c>
      <c r="AY127" s="360" t="s">
        <v>88</v>
      </c>
      <c r="AZ127" s="360" t="s">
        <v>88</v>
      </c>
      <c r="BA127" s="360" t="s">
        <v>88</v>
      </c>
      <c r="BB127" s="360" t="s">
        <v>88</v>
      </c>
      <c r="BC127" s="360" t="s">
        <v>88</v>
      </c>
      <c r="BD127" s="360" t="s">
        <v>88</v>
      </c>
      <c r="BE127" s="360" t="s">
        <v>88</v>
      </c>
      <c r="BF127" s="360" t="s">
        <v>88</v>
      </c>
      <c r="BG127" s="360" t="s">
        <v>88</v>
      </c>
      <c r="BH127" s="360" t="s">
        <v>88</v>
      </c>
      <c r="BI127" s="360" t="s">
        <v>88</v>
      </c>
      <c r="BJ127" s="360" t="s">
        <v>88</v>
      </c>
      <c r="BK127" s="360" t="s">
        <v>88</v>
      </c>
      <c r="BL127" s="354" t="s">
        <v>89</v>
      </c>
      <c r="BM127" s="364" t="s">
        <v>189</v>
      </c>
      <c r="BN127" s="354" t="s">
        <v>91</v>
      </c>
      <c r="BO127" s="354">
        <v>225876</v>
      </c>
      <c r="BP127" s="354" t="s">
        <v>92</v>
      </c>
      <c r="BQ127" s="354" t="s">
        <v>93</v>
      </c>
      <c r="BR127" s="354" t="s">
        <v>94</v>
      </c>
      <c r="BS127" s="354">
        <v>63250612</v>
      </c>
      <c r="BT127" s="354" t="s">
        <v>95</v>
      </c>
      <c r="BU127" s="354" t="s">
        <v>112</v>
      </c>
      <c r="BV127" s="562"/>
    </row>
    <row r="128" spans="1:74" s="2" customFormat="1" ht="24.9" customHeight="1">
      <c r="A128" s="147" t="s">
        <v>85</v>
      </c>
      <c r="B128" s="356" t="s">
        <v>222</v>
      </c>
      <c r="C128" s="369"/>
      <c r="D128" s="356"/>
      <c r="E128" s="363">
        <v>46225</v>
      </c>
      <c r="F128" s="358">
        <v>3</v>
      </c>
      <c r="G128" s="358">
        <v>30</v>
      </c>
      <c r="H128" s="360" t="s">
        <v>88</v>
      </c>
      <c r="I128" s="360" t="s">
        <v>88</v>
      </c>
      <c r="J128" s="360" t="s">
        <v>88</v>
      </c>
      <c r="K128" s="360" t="s">
        <v>88</v>
      </c>
      <c r="L128" s="360" t="s">
        <v>88</v>
      </c>
      <c r="M128" s="360" t="s">
        <v>88</v>
      </c>
      <c r="N128" s="360" t="s">
        <v>88</v>
      </c>
      <c r="O128" s="360" t="s">
        <v>88</v>
      </c>
      <c r="P128" s="360" t="s">
        <v>88</v>
      </c>
      <c r="Q128" s="360" t="s">
        <v>88</v>
      </c>
      <c r="R128" s="360" t="s">
        <v>88</v>
      </c>
      <c r="S128" s="360" t="s">
        <v>88</v>
      </c>
      <c r="T128" s="360" t="s">
        <v>88</v>
      </c>
      <c r="U128" s="360" t="s">
        <v>88</v>
      </c>
      <c r="V128" s="360" t="s">
        <v>88</v>
      </c>
      <c r="W128" s="360" t="s">
        <v>88</v>
      </c>
      <c r="X128" s="360" t="s">
        <v>88</v>
      </c>
      <c r="Y128" s="360" t="s">
        <v>88</v>
      </c>
      <c r="Z128" s="360" t="s">
        <v>88</v>
      </c>
      <c r="AA128" s="360" t="s">
        <v>88</v>
      </c>
      <c r="AB128" s="360" t="s">
        <v>88</v>
      </c>
      <c r="AC128" s="360" t="s">
        <v>88</v>
      </c>
      <c r="AD128" s="360" t="s">
        <v>88</v>
      </c>
      <c r="AE128" s="360" t="s">
        <v>88</v>
      </c>
      <c r="AF128" s="360" t="s">
        <v>88</v>
      </c>
      <c r="AG128" s="360" t="s">
        <v>88</v>
      </c>
      <c r="AH128" s="360" t="s">
        <v>88</v>
      </c>
      <c r="AI128" s="360" t="s">
        <v>88</v>
      </c>
      <c r="AJ128" s="360" t="s">
        <v>88</v>
      </c>
      <c r="AK128" s="360" t="s">
        <v>88</v>
      </c>
      <c r="AL128" s="360" t="s">
        <v>88</v>
      </c>
      <c r="AM128" s="360" t="s">
        <v>88</v>
      </c>
      <c r="AN128" s="360" t="s">
        <v>88</v>
      </c>
      <c r="AO128" s="360" t="s">
        <v>88</v>
      </c>
      <c r="AP128" s="360" t="s">
        <v>88</v>
      </c>
      <c r="AQ128" s="360" t="s">
        <v>88</v>
      </c>
      <c r="AR128" s="360" t="s">
        <v>88</v>
      </c>
      <c r="AS128" s="360" t="s">
        <v>88</v>
      </c>
      <c r="AT128" s="360" t="s">
        <v>88</v>
      </c>
      <c r="AU128" s="360" t="s">
        <v>88</v>
      </c>
      <c r="AV128" s="360" t="s">
        <v>88</v>
      </c>
      <c r="AW128" s="360" t="s">
        <v>88</v>
      </c>
      <c r="AX128" s="360" t="s">
        <v>88</v>
      </c>
      <c r="AY128" s="360" t="s">
        <v>88</v>
      </c>
      <c r="AZ128" s="371">
        <v>59.38</v>
      </c>
      <c r="BA128" s="371">
        <v>40.93</v>
      </c>
      <c r="BB128" s="371">
        <v>45.52</v>
      </c>
      <c r="BC128" s="371">
        <v>37.28</v>
      </c>
      <c r="BD128" s="360" t="s">
        <v>88</v>
      </c>
      <c r="BE128" s="360" t="s">
        <v>88</v>
      </c>
      <c r="BF128" s="371">
        <v>82.01</v>
      </c>
      <c r="BG128" s="371">
        <v>34.880000000000003</v>
      </c>
      <c r="BH128" s="371">
        <v>36.49</v>
      </c>
      <c r="BI128" s="371">
        <v>25.9</v>
      </c>
      <c r="BJ128" s="360"/>
      <c r="BK128" s="360"/>
      <c r="BL128" s="354" t="s">
        <v>89</v>
      </c>
      <c r="BM128" s="364" t="s">
        <v>189</v>
      </c>
      <c r="BN128" s="354" t="s">
        <v>91</v>
      </c>
      <c r="BO128" s="354">
        <v>225876</v>
      </c>
      <c r="BP128" s="354" t="s">
        <v>92</v>
      </c>
      <c r="BQ128" s="354" t="s">
        <v>93</v>
      </c>
      <c r="BR128" s="354" t="s">
        <v>94</v>
      </c>
      <c r="BS128" s="354">
        <v>63250612</v>
      </c>
      <c r="BT128" s="354" t="s">
        <v>95</v>
      </c>
      <c r="BU128" s="354" t="s">
        <v>112</v>
      </c>
      <c r="BV128" s="562"/>
    </row>
    <row r="129" spans="1:74" s="2" customFormat="1" ht="24.9" customHeight="1">
      <c r="A129" s="147" t="s">
        <v>85</v>
      </c>
      <c r="B129" s="356" t="s">
        <v>176</v>
      </c>
      <c r="C129" s="369"/>
      <c r="D129" s="356"/>
      <c r="E129" s="363">
        <v>46225</v>
      </c>
      <c r="F129" s="358">
        <v>3</v>
      </c>
      <c r="G129" s="358">
        <v>30</v>
      </c>
      <c r="H129" s="360" t="s">
        <v>88</v>
      </c>
      <c r="I129" s="360" t="s">
        <v>88</v>
      </c>
      <c r="J129" s="360" t="s">
        <v>88</v>
      </c>
      <c r="K129" s="360" t="s">
        <v>88</v>
      </c>
      <c r="L129" s="360" t="s">
        <v>88</v>
      </c>
      <c r="M129" s="360" t="s">
        <v>88</v>
      </c>
      <c r="N129" s="360" t="s">
        <v>88</v>
      </c>
      <c r="O129" s="360" t="s">
        <v>88</v>
      </c>
      <c r="P129" s="360" t="s">
        <v>88</v>
      </c>
      <c r="Q129" s="360" t="s">
        <v>88</v>
      </c>
      <c r="R129" s="360" t="s">
        <v>88</v>
      </c>
      <c r="S129" s="512" t="s">
        <v>101</v>
      </c>
      <c r="T129" s="512" t="s">
        <v>101</v>
      </c>
      <c r="U129" s="360" t="s">
        <v>88</v>
      </c>
      <c r="V129" s="360" t="s">
        <v>88</v>
      </c>
      <c r="W129" s="360" t="s">
        <v>88</v>
      </c>
      <c r="X129" s="360" t="s">
        <v>88</v>
      </c>
      <c r="Y129" s="360" t="s">
        <v>88</v>
      </c>
      <c r="Z129" s="360" t="s">
        <v>88</v>
      </c>
      <c r="AA129" s="360" t="s">
        <v>88</v>
      </c>
      <c r="AB129" s="360" t="s">
        <v>88</v>
      </c>
      <c r="AC129" s="371">
        <v>2.77</v>
      </c>
      <c r="AD129" s="371">
        <v>2.5099999999999998</v>
      </c>
      <c r="AE129" s="371">
        <v>2.41</v>
      </c>
      <c r="AF129" s="371">
        <f>AVERAGE(AC129:AE129)</f>
        <v>2.563333333333333</v>
      </c>
      <c r="AG129" s="360" t="s">
        <v>88</v>
      </c>
      <c r="AH129" s="512" t="s">
        <v>99</v>
      </c>
      <c r="AI129" s="512" t="s">
        <v>99</v>
      </c>
      <c r="AJ129" s="512" t="s">
        <v>99</v>
      </c>
      <c r="AK129" s="512" t="s">
        <v>99</v>
      </c>
      <c r="AL129" s="512" t="s">
        <v>99</v>
      </c>
      <c r="AM129" s="512" t="s">
        <v>99</v>
      </c>
      <c r="AN129" s="360" t="s">
        <v>88</v>
      </c>
      <c r="AO129" s="360" t="s">
        <v>88</v>
      </c>
      <c r="AP129" s="360" t="s">
        <v>88</v>
      </c>
      <c r="AQ129" s="360" t="s">
        <v>88</v>
      </c>
      <c r="AR129" s="360" t="s">
        <v>88</v>
      </c>
      <c r="AS129" s="360" t="s">
        <v>88</v>
      </c>
      <c r="AT129" s="360" t="s">
        <v>88</v>
      </c>
      <c r="AU129" s="360" t="s">
        <v>88</v>
      </c>
      <c r="AV129" s="360" t="s">
        <v>88</v>
      </c>
      <c r="AW129" s="360" t="s">
        <v>88</v>
      </c>
      <c r="AX129" s="360" t="s">
        <v>88</v>
      </c>
      <c r="AY129" s="360" t="s">
        <v>88</v>
      </c>
      <c r="AZ129" s="360" t="s">
        <v>88</v>
      </c>
      <c r="BA129" s="360" t="s">
        <v>88</v>
      </c>
      <c r="BB129" s="360" t="s">
        <v>88</v>
      </c>
      <c r="BC129" s="360" t="s">
        <v>88</v>
      </c>
      <c r="BD129" s="360" t="s">
        <v>88</v>
      </c>
      <c r="BE129" s="360" t="s">
        <v>88</v>
      </c>
      <c r="BF129" s="360" t="s">
        <v>88</v>
      </c>
      <c r="BG129" s="360" t="s">
        <v>88</v>
      </c>
      <c r="BH129" s="360" t="s">
        <v>88</v>
      </c>
      <c r="BI129" s="360" t="s">
        <v>88</v>
      </c>
      <c r="BJ129" s="360" t="s">
        <v>88</v>
      </c>
      <c r="BK129" s="360" t="s">
        <v>88</v>
      </c>
      <c r="BL129" s="354" t="s">
        <v>89</v>
      </c>
      <c r="BM129" s="364" t="s">
        <v>189</v>
      </c>
      <c r="BN129" s="354" t="s">
        <v>91</v>
      </c>
      <c r="BO129" s="354">
        <v>225876</v>
      </c>
      <c r="BP129" s="354" t="s">
        <v>92</v>
      </c>
      <c r="BQ129" s="354" t="s">
        <v>93</v>
      </c>
      <c r="BR129" s="354" t="s">
        <v>94</v>
      </c>
      <c r="BS129" s="354">
        <v>63250612</v>
      </c>
      <c r="BT129" s="354" t="s">
        <v>95</v>
      </c>
      <c r="BU129" s="354" t="s">
        <v>112</v>
      </c>
      <c r="BV129" s="477"/>
    </row>
    <row r="130" spans="1:74" s="2" customFormat="1" ht="24.9" customHeight="1">
      <c r="A130" s="147" t="s">
        <v>85</v>
      </c>
      <c r="B130" s="356" t="s">
        <v>223</v>
      </c>
      <c r="C130" s="369"/>
      <c r="D130" s="356"/>
      <c r="E130" s="363">
        <v>46226</v>
      </c>
      <c r="F130" s="358">
        <v>1</v>
      </c>
      <c r="G130" s="358">
        <v>30</v>
      </c>
      <c r="H130" s="512" t="s">
        <v>101</v>
      </c>
      <c r="I130" s="371">
        <v>307</v>
      </c>
      <c r="J130" s="371">
        <v>410</v>
      </c>
      <c r="K130" s="371">
        <v>356.3</v>
      </c>
      <c r="L130" s="371">
        <v>256.7</v>
      </c>
      <c r="M130" s="371">
        <v>393.8</v>
      </c>
      <c r="N130" s="371">
        <v>319.8</v>
      </c>
      <c r="O130" s="360" t="s">
        <v>88</v>
      </c>
      <c r="P130" s="360" t="s">
        <v>88</v>
      </c>
      <c r="Q130" s="371">
        <v>-1.21</v>
      </c>
      <c r="R130" s="360" t="s">
        <v>88</v>
      </c>
      <c r="S130" s="360" t="s">
        <v>88</v>
      </c>
      <c r="T130" s="360" t="s">
        <v>88</v>
      </c>
      <c r="U130" s="360" t="s">
        <v>88</v>
      </c>
      <c r="V130" s="360" t="s">
        <v>88</v>
      </c>
      <c r="W130" s="360" t="s">
        <v>88</v>
      </c>
      <c r="X130" s="360" t="s">
        <v>88</v>
      </c>
      <c r="Y130" s="360" t="s">
        <v>88</v>
      </c>
      <c r="Z130" s="360" t="s">
        <v>88</v>
      </c>
      <c r="AA130" s="360" t="s">
        <v>88</v>
      </c>
      <c r="AB130" s="360" t="s">
        <v>88</v>
      </c>
      <c r="AC130" s="360" t="s">
        <v>88</v>
      </c>
      <c r="AD130" s="360" t="s">
        <v>88</v>
      </c>
      <c r="AE130" s="360" t="s">
        <v>88</v>
      </c>
      <c r="AF130" s="360" t="s">
        <v>88</v>
      </c>
      <c r="AG130" s="371">
        <v>6.18</v>
      </c>
      <c r="AH130" s="360" t="s">
        <v>88</v>
      </c>
      <c r="AI130" s="360" t="s">
        <v>88</v>
      </c>
      <c r="AJ130" s="360" t="s">
        <v>88</v>
      </c>
      <c r="AK130" s="360" t="s">
        <v>88</v>
      </c>
      <c r="AL130" s="360" t="s">
        <v>88</v>
      </c>
      <c r="AM130" s="360" t="s">
        <v>88</v>
      </c>
      <c r="AN130" s="360" t="s">
        <v>88</v>
      </c>
      <c r="AO130" s="360" t="s">
        <v>88</v>
      </c>
      <c r="AP130" s="360" t="s">
        <v>88</v>
      </c>
      <c r="AQ130" s="360" t="s">
        <v>88</v>
      </c>
      <c r="AR130" s="360" t="s">
        <v>88</v>
      </c>
      <c r="AS130" s="360" t="s">
        <v>88</v>
      </c>
      <c r="AT130" s="360" t="s">
        <v>88</v>
      </c>
      <c r="AU130" s="360" t="s">
        <v>88</v>
      </c>
      <c r="AV130" s="360" t="s">
        <v>88</v>
      </c>
      <c r="AW130" s="360" t="s">
        <v>88</v>
      </c>
      <c r="AX130" s="360" t="s">
        <v>88</v>
      </c>
      <c r="AY130" s="360" t="s">
        <v>88</v>
      </c>
      <c r="AZ130" s="360" t="s">
        <v>88</v>
      </c>
      <c r="BA130" s="360" t="s">
        <v>88</v>
      </c>
      <c r="BB130" s="360" t="s">
        <v>88</v>
      </c>
      <c r="BC130" s="360" t="s">
        <v>88</v>
      </c>
      <c r="BD130" s="360" t="s">
        <v>88</v>
      </c>
      <c r="BE130" s="360" t="s">
        <v>88</v>
      </c>
      <c r="BF130" s="360" t="s">
        <v>88</v>
      </c>
      <c r="BG130" s="360" t="s">
        <v>88</v>
      </c>
      <c r="BH130" s="360" t="s">
        <v>88</v>
      </c>
      <c r="BI130" s="360" t="s">
        <v>88</v>
      </c>
      <c r="BJ130" s="360" t="s">
        <v>88</v>
      </c>
      <c r="BK130" s="360" t="s">
        <v>88</v>
      </c>
      <c r="BL130" s="354" t="s">
        <v>89</v>
      </c>
      <c r="BM130" s="364" t="s">
        <v>189</v>
      </c>
      <c r="BN130" s="354" t="s">
        <v>91</v>
      </c>
      <c r="BO130" s="354">
        <v>225876</v>
      </c>
      <c r="BP130" s="354" t="s">
        <v>92</v>
      </c>
      <c r="BQ130" s="354" t="s">
        <v>93</v>
      </c>
      <c r="BR130" s="354" t="s">
        <v>94</v>
      </c>
      <c r="BS130" s="354">
        <v>63250612</v>
      </c>
      <c r="BT130" s="354" t="s">
        <v>95</v>
      </c>
      <c r="BU130" s="354" t="s">
        <v>112</v>
      </c>
      <c r="BV130" s="477"/>
    </row>
    <row r="131" spans="1:74" s="2" customFormat="1" ht="24.9" customHeight="1">
      <c r="A131" s="147" t="s">
        <v>85</v>
      </c>
      <c r="B131" s="356" t="s">
        <v>224</v>
      </c>
      <c r="C131" s="369"/>
      <c r="D131" s="356"/>
      <c r="E131" s="363">
        <v>46226</v>
      </c>
      <c r="F131" s="358">
        <v>1</v>
      </c>
      <c r="G131" s="358">
        <v>30</v>
      </c>
      <c r="H131" s="360" t="s">
        <v>88</v>
      </c>
      <c r="I131" s="360" t="s">
        <v>88</v>
      </c>
      <c r="J131" s="360" t="s">
        <v>88</v>
      </c>
      <c r="K131" s="360" t="s">
        <v>88</v>
      </c>
      <c r="L131" s="360" t="s">
        <v>88</v>
      </c>
      <c r="M131" s="360" t="s">
        <v>88</v>
      </c>
      <c r="N131" s="360" t="s">
        <v>88</v>
      </c>
      <c r="O131" s="360" t="s">
        <v>88</v>
      </c>
      <c r="P131" s="360" t="s">
        <v>88</v>
      </c>
      <c r="Q131" s="360" t="s">
        <v>88</v>
      </c>
      <c r="R131" s="360" t="s">
        <v>88</v>
      </c>
      <c r="S131" s="360" t="s">
        <v>88</v>
      </c>
      <c r="T131" s="360" t="s">
        <v>88</v>
      </c>
      <c r="U131" s="360" t="s">
        <v>88</v>
      </c>
      <c r="V131" s="360" t="s">
        <v>88</v>
      </c>
      <c r="W131" s="360" t="s">
        <v>88</v>
      </c>
      <c r="X131" s="360" t="s">
        <v>88</v>
      </c>
      <c r="Y131" s="360" t="s">
        <v>88</v>
      </c>
      <c r="Z131" s="360" t="s">
        <v>88</v>
      </c>
      <c r="AA131" s="360" t="s">
        <v>88</v>
      </c>
      <c r="AB131" s="360" t="s">
        <v>88</v>
      </c>
      <c r="AC131" s="360" t="s">
        <v>88</v>
      </c>
      <c r="AD131" s="360" t="s">
        <v>88</v>
      </c>
      <c r="AE131" s="360" t="s">
        <v>88</v>
      </c>
      <c r="AF131" s="360" t="s">
        <v>88</v>
      </c>
      <c r="AG131" s="360" t="s">
        <v>88</v>
      </c>
      <c r="AH131" s="360" t="s">
        <v>88</v>
      </c>
      <c r="AI131" s="360" t="s">
        <v>88</v>
      </c>
      <c r="AJ131" s="360" t="s">
        <v>88</v>
      </c>
      <c r="AK131" s="360" t="s">
        <v>88</v>
      </c>
      <c r="AL131" s="360" t="s">
        <v>88</v>
      </c>
      <c r="AM131" s="360" t="s">
        <v>88</v>
      </c>
      <c r="AN131" s="360" t="s">
        <v>88</v>
      </c>
      <c r="AO131" s="360" t="s">
        <v>88</v>
      </c>
      <c r="AP131" s="360" t="s">
        <v>88</v>
      </c>
      <c r="AQ131" s="360" t="s">
        <v>88</v>
      </c>
      <c r="AR131" s="360" t="s">
        <v>88</v>
      </c>
      <c r="AS131" s="360" t="s">
        <v>88</v>
      </c>
      <c r="AT131" s="360" t="s">
        <v>88</v>
      </c>
      <c r="AU131" s="360" t="s">
        <v>88</v>
      </c>
      <c r="AV131" s="360" t="s">
        <v>88</v>
      </c>
      <c r="AW131" s="360" t="s">
        <v>88</v>
      </c>
      <c r="AX131" s="360" t="s">
        <v>88</v>
      </c>
      <c r="AY131" s="360" t="s">
        <v>88</v>
      </c>
      <c r="AZ131" s="371">
        <v>70.150000000000006</v>
      </c>
      <c r="BA131" s="371">
        <v>43.48</v>
      </c>
      <c r="BB131" s="371">
        <v>58.47</v>
      </c>
      <c r="BC131" s="371">
        <v>38.06</v>
      </c>
      <c r="BD131" s="360" t="s">
        <v>88</v>
      </c>
      <c r="BE131" s="360" t="s">
        <v>88</v>
      </c>
      <c r="BF131" s="371">
        <v>63.14</v>
      </c>
      <c r="BG131" s="371">
        <v>33.479999999999997</v>
      </c>
      <c r="BH131" s="371">
        <v>60.04</v>
      </c>
      <c r="BI131" s="371">
        <v>7.06</v>
      </c>
      <c r="BJ131" s="360" t="s">
        <v>88</v>
      </c>
      <c r="BK131" s="360" t="s">
        <v>88</v>
      </c>
      <c r="BL131" s="354" t="s">
        <v>89</v>
      </c>
      <c r="BM131" s="364" t="s">
        <v>189</v>
      </c>
      <c r="BN131" s="354" t="s">
        <v>91</v>
      </c>
      <c r="BO131" s="354">
        <v>225876</v>
      </c>
      <c r="BP131" s="354" t="s">
        <v>92</v>
      </c>
      <c r="BQ131" s="354" t="s">
        <v>93</v>
      </c>
      <c r="BR131" s="354" t="s">
        <v>94</v>
      </c>
      <c r="BS131" s="354">
        <v>63250612</v>
      </c>
      <c r="BT131" s="354" t="s">
        <v>95</v>
      </c>
      <c r="BU131" s="354" t="s">
        <v>112</v>
      </c>
      <c r="BV131" s="477"/>
    </row>
    <row r="132" spans="1:74" s="2" customFormat="1" ht="24.9" customHeight="1">
      <c r="A132" s="147" t="s">
        <v>85</v>
      </c>
      <c r="B132" s="356" t="s">
        <v>225</v>
      </c>
      <c r="C132" s="369"/>
      <c r="D132" s="356"/>
      <c r="E132" s="363">
        <v>46226</v>
      </c>
      <c r="F132" s="358">
        <v>2</v>
      </c>
      <c r="G132" s="358">
        <v>30</v>
      </c>
      <c r="H132" s="512" t="s">
        <v>101</v>
      </c>
      <c r="I132" s="371">
        <v>314</v>
      </c>
      <c r="J132" s="371">
        <v>427</v>
      </c>
      <c r="K132" s="371">
        <v>368</v>
      </c>
      <c r="L132" s="371">
        <v>213</v>
      </c>
      <c r="M132" s="371">
        <v>298</v>
      </c>
      <c r="N132" s="371">
        <v>258</v>
      </c>
      <c r="O132" s="360" t="s">
        <v>88</v>
      </c>
      <c r="P132" s="360" t="s">
        <v>88</v>
      </c>
      <c r="Q132" s="371">
        <v>-0.3</v>
      </c>
      <c r="R132" s="360" t="s">
        <v>88</v>
      </c>
      <c r="S132" s="360" t="s">
        <v>88</v>
      </c>
      <c r="T132" s="360" t="s">
        <v>88</v>
      </c>
      <c r="U132" s="360" t="s">
        <v>88</v>
      </c>
      <c r="V132" s="360" t="s">
        <v>88</v>
      </c>
      <c r="W132" s="360" t="s">
        <v>88</v>
      </c>
      <c r="X132" s="360" t="s">
        <v>88</v>
      </c>
      <c r="Y132" s="360" t="s">
        <v>88</v>
      </c>
      <c r="Z132" s="360" t="s">
        <v>88</v>
      </c>
      <c r="AA132" s="360" t="s">
        <v>88</v>
      </c>
      <c r="AB132" s="360" t="s">
        <v>88</v>
      </c>
      <c r="AC132" s="360" t="s">
        <v>88</v>
      </c>
      <c r="AD132" s="360" t="s">
        <v>88</v>
      </c>
      <c r="AE132" s="360" t="s">
        <v>88</v>
      </c>
      <c r="AF132" s="360" t="s">
        <v>88</v>
      </c>
      <c r="AG132" s="371">
        <v>4.8</v>
      </c>
      <c r="AH132" s="360" t="s">
        <v>88</v>
      </c>
      <c r="AI132" s="360" t="s">
        <v>88</v>
      </c>
      <c r="AJ132" s="360" t="s">
        <v>88</v>
      </c>
      <c r="AK132" s="360" t="s">
        <v>88</v>
      </c>
      <c r="AL132" s="360" t="s">
        <v>88</v>
      </c>
      <c r="AM132" s="360" t="s">
        <v>88</v>
      </c>
      <c r="AN132" s="360" t="s">
        <v>88</v>
      </c>
      <c r="AO132" s="360" t="s">
        <v>88</v>
      </c>
      <c r="AP132" s="360" t="s">
        <v>88</v>
      </c>
      <c r="AQ132" s="360" t="s">
        <v>88</v>
      </c>
      <c r="AR132" s="360" t="s">
        <v>88</v>
      </c>
      <c r="AS132" s="360" t="s">
        <v>88</v>
      </c>
      <c r="AT132" s="360" t="s">
        <v>88</v>
      </c>
      <c r="AU132" s="360" t="s">
        <v>88</v>
      </c>
      <c r="AV132" s="360" t="s">
        <v>88</v>
      </c>
      <c r="AW132" s="360" t="s">
        <v>88</v>
      </c>
      <c r="AX132" s="360" t="s">
        <v>88</v>
      </c>
      <c r="AY132" s="360" t="s">
        <v>88</v>
      </c>
      <c r="AZ132" s="360" t="s">
        <v>88</v>
      </c>
      <c r="BA132" s="360" t="s">
        <v>88</v>
      </c>
      <c r="BB132" s="360" t="s">
        <v>88</v>
      </c>
      <c r="BC132" s="360" t="s">
        <v>88</v>
      </c>
      <c r="BD132" s="360" t="s">
        <v>88</v>
      </c>
      <c r="BE132" s="360" t="s">
        <v>88</v>
      </c>
      <c r="BF132" s="360" t="s">
        <v>88</v>
      </c>
      <c r="BG132" s="360" t="s">
        <v>88</v>
      </c>
      <c r="BH132" s="360" t="s">
        <v>88</v>
      </c>
      <c r="BI132" s="360" t="s">
        <v>88</v>
      </c>
      <c r="BJ132" s="360" t="s">
        <v>88</v>
      </c>
      <c r="BK132" s="360" t="s">
        <v>88</v>
      </c>
      <c r="BL132" s="354" t="s">
        <v>89</v>
      </c>
      <c r="BM132" s="364" t="s">
        <v>189</v>
      </c>
      <c r="BN132" s="354" t="s">
        <v>91</v>
      </c>
      <c r="BO132" s="354">
        <v>225876</v>
      </c>
      <c r="BP132" s="354" t="s">
        <v>92</v>
      </c>
      <c r="BQ132" s="354" t="s">
        <v>93</v>
      </c>
      <c r="BR132" s="354" t="s">
        <v>94</v>
      </c>
      <c r="BS132" s="354">
        <v>63250612</v>
      </c>
      <c r="BT132" s="354" t="s">
        <v>95</v>
      </c>
      <c r="BU132" s="354" t="s">
        <v>112</v>
      </c>
      <c r="BV132" s="477"/>
    </row>
    <row r="133" spans="1:74" s="2" customFormat="1" ht="24.9" customHeight="1">
      <c r="A133" s="147" t="s">
        <v>85</v>
      </c>
      <c r="B133" s="356" t="s">
        <v>226</v>
      </c>
      <c r="C133" s="369"/>
      <c r="D133" s="356"/>
      <c r="E133" s="363">
        <v>46226</v>
      </c>
      <c r="F133" s="358">
        <v>2</v>
      </c>
      <c r="G133" s="358">
        <v>30</v>
      </c>
      <c r="H133" s="360" t="s">
        <v>88</v>
      </c>
      <c r="I133" s="360" t="s">
        <v>88</v>
      </c>
      <c r="J133" s="360" t="s">
        <v>88</v>
      </c>
      <c r="K133" s="360" t="s">
        <v>88</v>
      </c>
      <c r="L133" s="360" t="s">
        <v>88</v>
      </c>
      <c r="M133" s="360" t="s">
        <v>88</v>
      </c>
      <c r="N133" s="360" t="s">
        <v>88</v>
      </c>
      <c r="O133" s="360" t="s">
        <v>88</v>
      </c>
      <c r="P133" s="360" t="s">
        <v>88</v>
      </c>
      <c r="Q133" s="360" t="s">
        <v>88</v>
      </c>
      <c r="R133" s="360" t="s">
        <v>88</v>
      </c>
      <c r="S133" s="360" t="s">
        <v>88</v>
      </c>
      <c r="T133" s="360" t="s">
        <v>88</v>
      </c>
      <c r="U133" s="360" t="s">
        <v>88</v>
      </c>
      <c r="V133" s="360" t="s">
        <v>88</v>
      </c>
      <c r="W133" s="360" t="s">
        <v>88</v>
      </c>
      <c r="X133" s="360" t="s">
        <v>88</v>
      </c>
      <c r="Y133" s="360" t="s">
        <v>88</v>
      </c>
      <c r="Z133" s="360" t="s">
        <v>88</v>
      </c>
      <c r="AA133" s="360" t="s">
        <v>88</v>
      </c>
      <c r="AB133" s="360" t="s">
        <v>88</v>
      </c>
      <c r="AC133" s="360" t="s">
        <v>88</v>
      </c>
      <c r="AD133" s="360" t="s">
        <v>88</v>
      </c>
      <c r="AE133" s="360" t="s">
        <v>88</v>
      </c>
      <c r="AF133" s="360" t="s">
        <v>88</v>
      </c>
      <c r="AG133" s="360" t="s">
        <v>88</v>
      </c>
      <c r="AH133" s="360" t="s">
        <v>88</v>
      </c>
      <c r="AI133" s="360" t="s">
        <v>88</v>
      </c>
      <c r="AJ133" s="360" t="s">
        <v>88</v>
      </c>
      <c r="AK133" s="360" t="s">
        <v>88</v>
      </c>
      <c r="AL133" s="360" t="s">
        <v>88</v>
      </c>
      <c r="AM133" s="360" t="s">
        <v>88</v>
      </c>
      <c r="AN133" s="360" t="s">
        <v>88</v>
      </c>
      <c r="AO133" s="360" t="s">
        <v>88</v>
      </c>
      <c r="AP133" s="360" t="s">
        <v>88</v>
      </c>
      <c r="AQ133" s="360" t="s">
        <v>88</v>
      </c>
      <c r="AR133" s="360" t="s">
        <v>88</v>
      </c>
      <c r="AS133" s="360" t="s">
        <v>88</v>
      </c>
      <c r="AT133" s="360" t="s">
        <v>88</v>
      </c>
      <c r="AU133" s="360" t="s">
        <v>88</v>
      </c>
      <c r="AV133" s="360" t="s">
        <v>88</v>
      </c>
      <c r="AW133" s="360" t="s">
        <v>88</v>
      </c>
      <c r="AX133" s="360" t="s">
        <v>88</v>
      </c>
      <c r="AY133" s="360" t="s">
        <v>88</v>
      </c>
      <c r="AZ133" s="371">
        <v>40.049999999999997</v>
      </c>
      <c r="BA133" s="371">
        <v>33.33</v>
      </c>
      <c r="BB133" s="371">
        <v>21.19</v>
      </c>
      <c r="BC133" s="371">
        <v>29.82</v>
      </c>
      <c r="BD133" s="360" t="s">
        <v>88</v>
      </c>
      <c r="BE133" s="360" t="s">
        <v>88</v>
      </c>
      <c r="BF133" s="371">
        <v>59.58</v>
      </c>
      <c r="BG133" s="371">
        <v>38.35</v>
      </c>
      <c r="BH133" s="371">
        <v>53.37</v>
      </c>
      <c r="BI133" s="371">
        <v>34.92</v>
      </c>
      <c r="BJ133" s="360" t="s">
        <v>88</v>
      </c>
      <c r="BK133" s="360" t="s">
        <v>88</v>
      </c>
      <c r="BL133" s="354" t="s">
        <v>89</v>
      </c>
      <c r="BM133" s="364" t="s">
        <v>189</v>
      </c>
      <c r="BN133" s="354" t="s">
        <v>91</v>
      </c>
      <c r="BO133" s="354">
        <v>225876</v>
      </c>
      <c r="BP133" s="354" t="s">
        <v>92</v>
      </c>
      <c r="BQ133" s="354" t="s">
        <v>93</v>
      </c>
      <c r="BR133" s="354" t="s">
        <v>94</v>
      </c>
      <c r="BS133" s="354">
        <v>63250612</v>
      </c>
      <c r="BT133" s="354" t="s">
        <v>95</v>
      </c>
      <c r="BU133" s="354" t="s">
        <v>112</v>
      </c>
      <c r="BV133" s="477"/>
    </row>
    <row r="134" spans="1:74" s="2" customFormat="1" ht="24.9" customHeight="1">
      <c r="A134" s="147" t="s">
        <v>85</v>
      </c>
      <c r="B134" s="356" t="s">
        <v>227</v>
      </c>
      <c r="C134" s="369"/>
      <c r="D134" s="356"/>
      <c r="E134" s="363">
        <v>46226</v>
      </c>
      <c r="F134" s="358">
        <v>3</v>
      </c>
      <c r="G134" s="358">
        <v>30</v>
      </c>
      <c r="H134" s="512" t="s">
        <v>101</v>
      </c>
      <c r="I134" s="371">
        <v>314</v>
      </c>
      <c r="J134" s="371">
        <v>418</v>
      </c>
      <c r="K134" s="371">
        <v>367</v>
      </c>
      <c r="L134" s="371">
        <v>221</v>
      </c>
      <c r="M134" s="371">
        <v>313</v>
      </c>
      <c r="N134" s="371">
        <v>261</v>
      </c>
      <c r="O134" s="360" t="s">
        <v>88</v>
      </c>
      <c r="P134" s="360" t="s">
        <v>88</v>
      </c>
      <c r="Q134" s="371">
        <v>-1.34</v>
      </c>
      <c r="R134" s="360" t="s">
        <v>88</v>
      </c>
      <c r="S134" s="360" t="s">
        <v>88</v>
      </c>
      <c r="T134" s="360" t="s">
        <v>88</v>
      </c>
      <c r="U134" s="360" t="s">
        <v>88</v>
      </c>
      <c r="V134" s="360" t="s">
        <v>88</v>
      </c>
      <c r="W134" s="360" t="s">
        <v>88</v>
      </c>
      <c r="X134" s="360" t="s">
        <v>88</v>
      </c>
      <c r="Y134" s="360" t="s">
        <v>88</v>
      </c>
      <c r="Z134" s="360" t="s">
        <v>88</v>
      </c>
      <c r="AA134" s="360" t="s">
        <v>88</v>
      </c>
      <c r="AB134" s="360" t="s">
        <v>88</v>
      </c>
      <c r="AC134" s="360" t="s">
        <v>88</v>
      </c>
      <c r="AD134" s="360" t="s">
        <v>88</v>
      </c>
      <c r="AE134" s="360" t="s">
        <v>88</v>
      </c>
      <c r="AF134" s="360" t="s">
        <v>88</v>
      </c>
      <c r="AG134" s="360" t="s">
        <v>88</v>
      </c>
      <c r="AH134" s="360" t="s">
        <v>88</v>
      </c>
      <c r="AI134" s="360" t="s">
        <v>88</v>
      </c>
      <c r="AJ134" s="360" t="s">
        <v>88</v>
      </c>
      <c r="AK134" s="360" t="s">
        <v>88</v>
      </c>
      <c r="AL134" s="360" t="s">
        <v>88</v>
      </c>
      <c r="AM134" s="360" t="s">
        <v>88</v>
      </c>
      <c r="AN134" s="360" t="s">
        <v>88</v>
      </c>
      <c r="AO134" s="360" t="s">
        <v>88</v>
      </c>
      <c r="AP134" s="360" t="s">
        <v>88</v>
      </c>
      <c r="AQ134" s="360" t="s">
        <v>88</v>
      </c>
      <c r="AR134" s="360" t="s">
        <v>88</v>
      </c>
      <c r="AS134" s="360" t="s">
        <v>88</v>
      </c>
      <c r="AT134" s="360" t="s">
        <v>88</v>
      </c>
      <c r="AU134" s="360" t="s">
        <v>88</v>
      </c>
      <c r="AV134" s="360" t="s">
        <v>88</v>
      </c>
      <c r="AW134" s="360" t="s">
        <v>88</v>
      </c>
      <c r="AX134" s="360" t="s">
        <v>88</v>
      </c>
      <c r="AY134" s="360" t="s">
        <v>88</v>
      </c>
      <c r="AZ134" s="360" t="s">
        <v>88</v>
      </c>
      <c r="BA134" s="360" t="s">
        <v>88</v>
      </c>
      <c r="BB134" s="360" t="s">
        <v>88</v>
      </c>
      <c r="BC134" s="360" t="s">
        <v>88</v>
      </c>
      <c r="BD134" s="360" t="s">
        <v>88</v>
      </c>
      <c r="BE134" s="360" t="s">
        <v>88</v>
      </c>
      <c r="BF134" s="360" t="s">
        <v>88</v>
      </c>
      <c r="BG134" s="360" t="s">
        <v>88</v>
      </c>
      <c r="BH134" s="360" t="s">
        <v>88</v>
      </c>
      <c r="BI134" s="360" t="s">
        <v>88</v>
      </c>
      <c r="BJ134" s="360" t="s">
        <v>88</v>
      </c>
      <c r="BK134" s="360" t="s">
        <v>88</v>
      </c>
      <c r="BL134" s="354" t="s">
        <v>89</v>
      </c>
      <c r="BM134" s="364" t="s">
        <v>189</v>
      </c>
      <c r="BN134" s="354" t="s">
        <v>91</v>
      </c>
      <c r="BO134" s="354">
        <v>225876</v>
      </c>
      <c r="BP134" s="354" t="s">
        <v>92</v>
      </c>
      <c r="BQ134" s="574" t="s">
        <v>228</v>
      </c>
      <c r="BR134" s="354" t="s">
        <v>94</v>
      </c>
      <c r="BS134" s="354">
        <v>63250612</v>
      </c>
      <c r="BT134" s="354" t="s">
        <v>95</v>
      </c>
      <c r="BU134" s="354" t="s">
        <v>112</v>
      </c>
      <c r="BV134" s="477"/>
    </row>
    <row r="135" spans="1:74" s="2" customFormat="1" ht="24.9" customHeight="1">
      <c r="A135" s="147" t="s">
        <v>85</v>
      </c>
      <c r="B135" s="356" t="s">
        <v>214</v>
      </c>
      <c r="C135" s="369"/>
      <c r="D135" s="356"/>
      <c r="E135" s="363">
        <v>46226</v>
      </c>
      <c r="F135" s="358">
        <v>3</v>
      </c>
      <c r="G135" s="358">
        <v>30</v>
      </c>
      <c r="H135" s="360" t="s">
        <v>88</v>
      </c>
      <c r="I135" s="360" t="s">
        <v>88</v>
      </c>
      <c r="J135" s="360" t="s">
        <v>88</v>
      </c>
      <c r="K135" s="360" t="s">
        <v>88</v>
      </c>
      <c r="L135" s="360" t="s">
        <v>88</v>
      </c>
      <c r="M135" s="360" t="s">
        <v>88</v>
      </c>
      <c r="N135" s="360" t="s">
        <v>88</v>
      </c>
      <c r="O135" s="360" t="s">
        <v>88</v>
      </c>
      <c r="P135" s="360" t="s">
        <v>88</v>
      </c>
      <c r="Q135" s="360" t="s">
        <v>88</v>
      </c>
      <c r="R135" s="360" t="s">
        <v>88</v>
      </c>
      <c r="S135" s="360" t="s">
        <v>88</v>
      </c>
      <c r="T135" s="360" t="s">
        <v>88</v>
      </c>
      <c r="U135" s="360" t="s">
        <v>88</v>
      </c>
      <c r="V135" s="360" t="s">
        <v>88</v>
      </c>
      <c r="W135" s="360" t="s">
        <v>88</v>
      </c>
      <c r="X135" s="360" t="s">
        <v>88</v>
      </c>
      <c r="Y135" s="360" t="s">
        <v>88</v>
      </c>
      <c r="Z135" s="360" t="s">
        <v>88</v>
      </c>
      <c r="AA135" s="360" t="s">
        <v>88</v>
      </c>
      <c r="AB135" s="360" t="s">
        <v>88</v>
      </c>
      <c r="AC135" s="512" t="s">
        <v>229</v>
      </c>
      <c r="AD135" s="512" t="s">
        <v>229</v>
      </c>
      <c r="AE135" s="512" t="s">
        <v>229</v>
      </c>
      <c r="AF135" s="512" t="s">
        <v>229</v>
      </c>
      <c r="AG135" s="371">
        <v>6.11</v>
      </c>
      <c r="AH135" s="512" t="s">
        <v>99</v>
      </c>
      <c r="AI135" s="512" t="s">
        <v>99</v>
      </c>
      <c r="AJ135" s="512" t="s">
        <v>99</v>
      </c>
      <c r="AK135" s="512" t="s">
        <v>99</v>
      </c>
      <c r="AL135" s="512" t="s">
        <v>99</v>
      </c>
      <c r="AM135" s="512" t="s">
        <v>99</v>
      </c>
      <c r="AN135" s="360" t="s">
        <v>88</v>
      </c>
      <c r="AO135" s="360" t="s">
        <v>88</v>
      </c>
      <c r="AP135" s="360" t="s">
        <v>88</v>
      </c>
      <c r="AQ135" s="360" t="s">
        <v>88</v>
      </c>
      <c r="AR135" s="360" t="s">
        <v>88</v>
      </c>
      <c r="AS135" s="360" t="s">
        <v>88</v>
      </c>
      <c r="AT135" s="360" t="s">
        <v>88</v>
      </c>
      <c r="AU135" s="360" t="s">
        <v>88</v>
      </c>
      <c r="AV135" s="360" t="s">
        <v>88</v>
      </c>
      <c r="AW135" s="360" t="s">
        <v>88</v>
      </c>
      <c r="AX135" s="360" t="s">
        <v>88</v>
      </c>
      <c r="AY135" s="360" t="s">
        <v>88</v>
      </c>
      <c r="AZ135" s="360" t="s">
        <v>88</v>
      </c>
      <c r="BA135" s="360" t="s">
        <v>88</v>
      </c>
      <c r="BB135" s="360" t="s">
        <v>88</v>
      </c>
      <c r="BC135" s="360" t="s">
        <v>88</v>
      </c>
      <c r="BD135" s="360" t="s">
        <v>88</v>
      </c>
      <c r="BE135" s="360" t="s">
        <v>88</v>
      </c>
      <c r="BF135" s="360" t="s">
        <v>88</v>
      </c>
      <c r="BG135" s="360" t="s">
        <v>88</v>
      </c>
      <c r="BH135" s="360" t="s">
        <v>88</v>
      </c>
      <c r="BI135" s="360" t="s">
        <v>88</v>
      </c>
      <c r="BJ135" s="360" t="s">
        <v>88</v>
      </c>
      <c r="BK135" s="360" t="s">
        <v>88</v>
      </c>
      <c r="BL135" s="354" t="s">
        <v>89</v>
      </c>
      <c r="BM135" s="364" t="s">
        <v>189</v>
      </c>
      <c r="BN135" s="354" t="s">
        <v>91</v>
      </c>
      <c r="BO135" s="354">
        <v>225876</v>
      </c>
      <c r="BP135" s="354" t="s">
        <v>92</v>
      </c>
      <c r="BQ135" s="364" t="s">
        <v>228</v>
      </c>
      <c r="BR135" s="354" t="s">
        <v>94</v>
      </c>
      <c r="BS135" s="354">
        <v>63250612</v>
      </c>
      <c r="BT135" s="354" t="s">
        <v>95</v>
      </c>
      <c r="BU135" s="354" t="s">
        <v>112</v>
      </c>
      <c r="BV135" s="477"/>
    </row>
    <row r="136" spans="1:74" s="2" customFormat="1" ht="24.9" customHeight="1">
      <c r="A136" s="147" t="s">
        <v>85</v>
      </c>
      <c r="B136" s="356" t="s">
        <v>230</v>
      </c>
      <c r="C136" s="369"/>
      <c r="D136" s="356"/>
      <c r="E136" s="363">
        <v>46227</v>
      </c>
      <c r="F136" s="358">
        <v>1</v>
      </c>
      <c r="G136" s="358">
        <v>30</v>
      </c>
      <c r="H136" s="512" t="s">
        <v>101</v>
      </c>
      <c r="I136" s="371">
        <v>278</v>
      </c>
      <c r="J136" s="371">
        <v>374</v>
      </c>
      <c r="K136" s="371">
        <v>332</v>
      </c>
      <c r="L136" s="371">
        <v>225</v>
      </c>
      <c r="M136" s="371">
        <v>365</v>
      </c>
      <c r="N136" s="371">
        <v>283.8</v>
      </c>
      <c r="O136" s="360" t="s">
        <v>88</v>
      </c>
      <c r="P136" s="360" t="s">
        <v>88</v>
      </c>
      <c r="Q136" s="371">
        <v>-1.1100000000000001</v>
      </c>
      <c r="R136" s="360" t="s">
        <v>88</v>
      </c>
      <c r="S136" s="360" t="s">
        <v>88</v>
      </c>
      <c r="T136" s="360" t="s">
        <v>88</v>
      </c>
      <c r="U136" s="360" t="s">
        <v>88</v>
      </c>
      <c r="V136" s="360" t="s">
        <v>88</v>
      </c>
      <c r="W136" s="360" t="s">
        <v>88</v>
      </c>
      <c r="X136" s="360" t="s">
        <v>88</v>
      </c>
      <c r="Y136" s="360" t="s">
        <v>88</v>
      </c>
      <c r="Z136" s="360" t="s">
        <v>88</v>
      </c>
      <c r="AA136" s="360" t="s">
        <v>88</v>
      </c>
      <c r="AB136" s="360" t="s">
        <v>88</v>
      </c>
      <c r="AC136" s="360" t="s">
        <v>88</v>
      </c>
      <c r="AD136" s="360" t="s">
        <v>88</v>
      </c>
      <c r="AE136" s="360" t="s">
        <v>88</v>
      </c>
      <c r="AF136" s="360" t="s">
        <v>88</v>
      </c>
      <c r="AG136" s="371">
        <v>3.94</v>
      </c>
      <c r="AH136" s="360" t="s">
        <v>88</v>
      </c>
      <c r="AI136" s="360" t="s">
        <v>88</v>
      </c>
      <c r="AJ136" s="360" t="s">
        <v>88</v>
      </c>
      <c r="AK136" s="360" t="s">
        <v>88</v>
      </c>
      <c r="AL136" s="360" t="s">
        <v>88</v>
      </c>
      <c r="AM136" s="360" t="s">
        <v>88</v>
      </c>
      <c r="AN136" s="360" t="s">
        <v>88</v>
      </c>
      <c r="AO136" s="360" t="s">
        <v>88</v>
      </c>
      <c r="AP136" s="360" t="s">
        <v>88</v>
      </c>
      <c r="AQ136" s="360" t="s">
        <v>88</v>
      </c>
      <c r="AR136" s="360" t="s">
        <v>88</v>
      </c>
      <c r="AS136" s="360" t="s">
        <v>88</v>
      </c>
      <c r="AT136" s="360" t="s">
        <v>88</v>
      </c>
      <c r="AU136" s="360" t="s">
        <v>88</v>
      </c>
      <c r="AV136" s="360" t="s">
        <v>88</v>
      </c>
      <c r="AW136" s="360" t="s">
        <v>88</v>
      </c>
      <c r="AX136" s="360" t="s">
        <v>88</v>
      </c>
      <c r="AY136" s="360" t="s">
        <v>88</v>
      </c>
      <c r="AZ136" s="360" t="s">
        <v>88</v>
      </c>
      <c r="BA136" s="360" t="s">
        <v>88</v>
      </c>
      <c r="BB136" s="360" t="s">
        <v>88</v>
      </c>
      <c r="BC136" s="360" t="s">
        <v>88</v>
      </c>
      <c r="BD136" s="360" t="s">
        <v>88</v>
      </c>
      <c r="BE136" s="360" t="s">
        <v>88</v>
      </c>
      <c r="BF136" s="360" t="s">
        <v>88</v>
      </c>
      <c r="BG136" s="360" t="s">
        <v>88</v>
      </c>
      <c r="BH136" s="360" t="s">
        <v>88</v>
      </c>
      <c r="BI136" s="360" t="s">
        <v>88</v>
      </c>
      <c r="BJ136" s="360" t="s">
        <v>88</v>
      </c>
      <c r="BK136" s="360" t="s">
        <v>88</v>
      </c>
      <c r="BL136" s="354" t="s">
        <v>89</v>
      </c>
      <c r="BM136" s="364" t="s">
        <v>189</v>
      </c>
      <c r="BN136" s="354" t="s">
        <v>91</v>
      </c>
      <c r="BO136" s="354">
        <v>225876</v>
      </c>
      <c r="BP136" s="354" t="s">
        <v>92</v>
      </c>
      <c r="BQ136" s="364" t="s">
        <v>228</v>
      </c>
      <c r="BR136" s="354" t="s">
        <v>94</v>
      </c>
      <c r="BS136" s="354">
        <v>63250612</v>
      </c>
      <c r="BT136" s="354" t="s">
        <v>95</v>
      </c>
      <c r="BU136" s="354" t="s">
        <v>112</v>
      </c>
      <c r="BV136" s="477"/>
    </row>
    <row r="137" spans="1:74" s="2" customFormat="1" ht="24.9" customHeight="1">
      <c r="A137" s="147" t="s">
        <v>85</v>
      </c>
      <c r="B137" s="356" t="s">
        <v>231</v>
      </c>
      <c r="C137" s="369"/>
      <c r="D137" s="356"/>
      <c r="E137" s="363">
        <v>46227</v>
      </c>
      <c r="F137" s="358">
        <v>1</v>
      </c>
      <c r="G137" s="358">
        <v>30</v>
      </c>
      <c r="H137" s="360" t="s">
        <v>88</v>
      </c>
      <c r="I137" s="360" t="s">
        <v>88</v>
      </c>
      <c r="J137" s="360" t="s">
        <v>88</v>
      </c>
      <c r="K137" s="360" t="s">
        <v>88</v>
      </c>
      <c r="L137" s="360" t="s">
        <v>88</v>
      </c>
      <c r="M137" s="360" t="s">
        <v>88</v>
      </c>
      <c r="N137" s="360" t="s">
        <v>88</v>
      </c>
      <c r="O137" s="360" t="s">
        <v>88</v>
      </c>
      <c r="P137" s="360" t="s">
        <v>88</v>
      </c>
      <c r="Q137" s="360" t="s">
        <v>88</v>
      </c>
      <c r="R137" s="360" t="s">
        <v>88</v>
      </c>
      <c r="S137" s="360" t="s">
        <v>88</v>
      </c>
      <c r="T137" s="360" t="s">
        <v>88</v>
      </c>
      <c r="U137" s="360" t="s">
        <v>88</v>
      </c>
      <c r="V137" s="360" t="s">
        <v>88</v>
      </c>
      <c r="W137" s="360" t="s">
        <v>88</v>
      </c>
      <c r="X137" s="360" t="s">
        <v>88</v>
      </c>
      <c r="Y137" s="360" t="s">
        <v>88</v>
      </c>
      <c r="Z137" s="360" t="s">
        <v>88</v>
      </c>
      <c r="AA137" s="360" t="s">
        <v>88</v>
      </c>
      <c r="AB137" s="360" t="s">
        <v>88</v>
      </c>
      <c r="AC137" s="360" t="s">
        <v>88</v>
      </c>
      <c r="AD137" s="360" t="s">
        <v>88</v>
      </c>
      <c r="AE137" s="360" t="s">
        <v>88</v>
      </c>
      <c r="AF137" s="360" t="s">
        <v>88</v>
      </c>
      <c r="AG137" s="360" t="s">
        <v>88</v>
      </c>
      <c r="AH137" s="360" t="s">
        <v>88</v>
      </c>
      <c r="AI137" s="360" t="s">
        <v>88</v>
      </c>
      <c r="AJ137" s="360" t="s">
        <v>88</v>
      </c>
      <c r="AK137" s="360" t="s">
        <v>88</v>
      </c>
      <c r="AL137" s="360" t="s">
        <v>88</v>
      </c>
      <c r="AM137" s="360" t="s">
        <v>88</v>
      </c>
      <c r="AN137" s="360" t="s">
        <v>88</v>
      </c>
      <c r="AO137" s="360" t="s">
        <v>88</v>
      </c>
      <c r="AP137" s="360" t="s">
        <v>88</v>
      </c>
      <c r="AQ137" s="360" t="s">
        <v>88</v>
      </c>
      <c r="AR137" s="360" t="s">
        <v>88</v>
      </c>
      <c r="AS137" s="360" t="s">
        <v>88</v>
      </c>
      <c r="AT137" s="360" t="s">
        <v>88</v>
      </c>
      <c r="AU137" s="360" t="s">
        <v>88</v>
      </c>
      <c r="AV137" s="360" t="s">
        <v>88</v>
      </c>
      <c r="AW137" s="360" t="s">
        <v>88</v>
      </c>
      <c r="AX137" s="360" t="s">
        <v>88</v>
      </c>
      <c r="AY137" s="360" t="s">
        <v>88</v>
      </c>
      <c r="AZ137" s="371">
        <v>52.74</v>
      </c>
      <c r="BA137" s="371">
        <v>49.5</v>
      </c>
      <c r="BB137" s="371">
        <v>20.8</v>
      </c>
      <c r="BC137" s="371">
        <v>42.38</v>
      </c>
      <c r="BD137" s="360" t="s">
        <v>88</v>
      </c>
      <c r="BE137" s="360" t="s">
        <v>88</v>
      </c>
      <c r="BF137" s="371">
        <v>68.22</v>
      </c>
      <c r="BG137" s="371">
        <v>43.98</v>
      </c>
      <c r="BH137" s="371">
        <v>36.89</v>
      </c>
      <c r="BI137" s="371">
        <v>30.21</v>
      </c>
      <c r="BJ137" s="360" t="s">
        <v>88</v>
      </c>
      <c r="BK137" s="360" t="s">
        <v>88</v>
      </c>
      <c r="BL137" s="354" t="s">
        <v>89</v>
      </c>
      <c r="BM137" s="364" t="s">
        <v>189</v>
      </c>
      <c r="BN137" s="354" t="s">
        <v>91</v>
      </c>
      <c r="BO137" s="354">
        <v>225876</v>
      </c>
      <c r="BP137" s="354" t="s">
        <v>92</v>
      </c>
      <c r="BQ137" s="364" t="s">
        <v>228</v>
      </c>
      <c r="BR137" s="354" t="s">
        <v>94</v>
      </c>
      <c r="BS137" s="354">
        <v>63250612</v>
      </c>
      <c r="BT137" s="354" t="s">
        <v>95</v>
      </c>
      <c r="BU137" s="354" t="s">
        <v>112</v>
      </c>
      <c r="BV137" s="477"/>
    </row>
    <row r="138" spans="1:74" s="2" customFormat="1" ht="24.9" customHeight="1">
      <c r="A138" s="147" t="s">
        <v>85</v>
      </c>
      <c r="B138" s="356" t="s">
        <v>232</v>
      </c>
      <c r="C138" s="369"/>
      <c r="D138" s="356"/>
      <c r="E138" s="363">
        <v>46227</v>
      </c>
      <c r="F138" s="358">
        <v>1</v>
      </c>
      <c r="G138" s="358">
        <v>30</v>
      </c>
      <c r="H138" s="539" t="s">
        <v>171</v>
      </c>
      <c r="I138" s="371">
        <v>283</v>
      </c>
      <c r="J138" s="371">
        <v>396</v>
      </c>
      <c r="K138" s="371">
        <v>345.3</v>
      </c>
      <c r="L138" s="371">
        <v>337</v>
      </c>
      <c r="M138" s="575">
        <v>434.7</v>
      </c>
      <c r="N138" s="371">
        <v>391.1</v>
      </c>
      <c r="O138" s="360" t="s">
        <v>88</v>
      </c>
      <c r="P138" s="360" t="s">
        <v>88</v>
      </c>
      <c r="Q138" s="360" t="s">
        <v>88</v>
      </c>
      <c r="R138" s="360" t="s">
        <v>88</v>
      </c>
      <c r="S138" s="360" t="s">
        <v>88</v>
      </c>
      <c r="T138" s="360" t="s">
        <v>88</v>
      </c>
      <c r="U138" s="360" t="s">
        <v>88</v>
      </c>
      <c r="V138" s="360" t="s">
        <v>88</v>
      </c>
      <c r="W138" s="360" t="s">
        <v>88</v>
      </c>
      <c r="X138" s="360" t="s">
        <v>88</v>
      </c>
      <c r="Y138" s="360" t="s">
        <v>88</v>
      </c>
      <c r="Z138" s="360" t="s">
        <v>88</v>
      </c>
      <c r="AA138" s="360" t="s">
        <v>88</v>
      </c>
      <c r="AB138" s="360" t="s">
        <v>88</v>
      </c>
      <c r="AC138" s="360" t="s">
        <v>88</v>
      </c>
      <c r="AD138" s="360" t="s">
        <v>88</v>
      </c>
      <c r="AE138" s="360" t="s">
        <v>88</v>
      </c>
      <c r="AF138" s="360" t="s">
        <v>88</v>
      </c>
      <c r="AG138" s="360" t="s">
        <v>88</v>
      </c>
      <c r="AH138" s="360" t="s">
        <v>88</v>
      </c>
      <c r="AI138" s="360" t="s">
        <v>88</v>
      </c>
      <c r="AJ138" s="360" t="s">
        <v>88</v>
      </c>
      <c r="AK138" s="360" t="s">
        <v>88</v>
      </c>
      <c r="AL138" s="360" t="s">
        <v>88</v>
      </c>
      <c r="AM138" s="360" t="s">
        <v>88</v>
      </c>
      <c r="AN138" s="360" t="s">
        <v>88</v>
      </c>
      <c r="AO138" s="360" t="s">
        <v>88</v>
      </c>
      <c r="AP138" s="360" t="s">
        <v>88</v>
      </c>
      <c r="AQ138" s="360" t="s">
        <v>88</v>
      </c>
      <c r="AR138" s="360" t="s">
        <v>88</v>
      </c>
      <c r="AS138" s="360" t="s">
        <v>88</v>
      </c>
      <c r="AT138" s="360" t="s">
        <v>88</v>
      </c>
      <c r="AU138" s="360" t="s">
        <v>88</v>
      </c>
      <c r="AV138" s="360" t="s">
        <v>88</v>
      </c>
      <c r="AW138" s="360" t="s">
        <v>88</v>
      </c>
      <c r="AX138" s="360" t="s">
        <v>88</v>
      </c>
      <c r="AY138" s="360" t="s">
        <v>88</v>
      </c>
      <c r="AZ138" s="360" t="s">
        <v>88</v>
      </c>
      <c r="BA138" s="360" t="s">
        <v>88</v>
      </c>
      <c r="BB138" s="360" t="s">
        <v>88</v>
      </c>
      <c r="BC138" s="360" t="s">
        <v>88</v>
      </c>
      <c r="BD138" s="360" t="s">
        <v>88</v>
      </c>
      <c r="BE138" s="360" t="s">
        <v>88</v>
      </c>
      <c r="BF138" s="360" t="s">
        <v>88</v>
      </c>
      <c r="BG138" s="360" t="s">
        <v>88</v>
      </c>
      <c r="BH138" s="360" t="s">
        <v>88</v>
      </c>
      <c r="BI138" s="360" t="s">
        <v>88</v>
      </c>
      <c r="BJ138" s="360" t="s">
        <v>88</v>
      </c>
      <c r="BK138" s="360" t="s">
        <v>88</v>
      </c>
      <c r="BL138" s="354" t="s">
        <v>89</v>
      </c>
      <c r="BM138" s="364" t="s">
        <v>189</v>
      </c>
      <c r="BN138" s="354" t="s">
        <v>91</v>
      </c>
      <c r="BO138" s="354">
        <v>225876</v>
      </c>
      <c r="BP138" s="354" t="s">
        <v>92</v>
      </c>
      <c r="BQ138" s="364" t="s">
        <v>228</v>
      </c>
      <c r="BR138" s="354" t="s">
        <v>94</v>
      </c>
      <c r="BS138" s="354">
        <v>63250612</v>
      </c>
      <c r="BT138" s="354" t="s">
        <v>95</v>
      </c>
      <c r="BU138" s="354" t="s">
        <v>112</v>
      </c>
      <c r="BV138" s="477"/>
    </row>
    <row r="139" spans="1:74" s="2" customFormat="1" ht="24.9" customHeight="1">
      <c r="A139" s="147" t="s">
        <v>85</v>
      </c>
      <c r="B139" s="356" t="s">
        <v>233</v>
      </c>
      <c r="C139" s="369"/>
      <c r="D139" s="356"/>
      <c r="E139" s="363">
        <v>46227</v>
      </c>
      <c r="F139" s="358">
        <v>1</v>
      </c>
      <c r="G139" s="358">
        <v>30</v>
      </c>
      <c r="H139" s="360" t="s">
        <v>88</v>
      </c>
      <c r="I139" s="371">
        <v>310</v>
      </c>
      <c r="J139" s="371">
        <v>407</v>
      </c>
      <c r="K139" s="371">
        <v>348</v>
      </c>
      <c r="L139" s="371">
        <v>221</v>
      </c>
      <c r="M139" s="371">
        <v>350</v>
      </c>
      <c r="N139" s="371">
        <v>276.10000000000002</v>
      </c>
      <c r="O139" s="360" t="s">
        <v>88</v>
      </c>
      <c r="P139" s="360" t="s">
        <v>88</v>
      </c>
      <c r="Q139" s="360" t="s">
        <v>88</v>
      </c>
      <c r="R139" s="360" t="s">
        <v>88</v>
      </c>
      <c r="S139" s="360" t="s">
        <v>88</v>
      </c>
      <c r="T139" s="360" t="s">
        <v>88</v>
      </c>
      <c r="U139" s="360" t="s">
        <v>88</v>
      </c>
      <c r="V139" s="360" t="s">
        <v>88</v>
      </c>
      <c r="W139" s="360" t="s">
        <v>88</v>
      </c>
      <c r="X139" s="360" t="s">
        <v>88</v>
      </c>
      <c r="Y139" s="360" t="s">
        <v>88</v>
      </c>
      <c r="Z139" s="360" t="s">
        <v>88</v>
      </c>
      <c r="AA139" s="360" t="s">
        <v>88</v>
      </c>
      <c r="AB139" s="360" t="s">
        <v>88</v>
      </c>
      <c r="AC139" s="360" t="s">
        <v>88</v>
      </c>
      <c r="AD139" s="360" t="s">
        <v>88</v>
      </c>
      <c r="AE139" s="360" t="s">
        <v>88</v>
      </c>
      <c r="AF139" s="360" t="s">
        <v>88</v>
      </c>
      <c r="AG139" s="360" t="s">
        <v>88</v>
      </c>
      <c r="AH139" s="360" t="s">
        <v>88</v>
      </c>
      <c r="AI139" s="360" t="s">
        <v>88</v>
      </c>
      <c r="AJ139" s="360" t="s">
        <v>88</v>
      </c>
      <c r="AK139" s="360" t="s">
        <v>88</v>
      </c>
      <c r="AL139" s="360" t="s">
        <v>88</v>
      </c>
      <c r="AM139" s="360" t="s">
        <v>88</v>
      </c>
      <c r="AN139" s="360" t="s">
        <v>88</v>
      </c>
      <c r="AO139" s="360" t="s">
        <v>88</v>
      </c>
      <c r="AP139" s="360" t="s">
        <v>88</v>
      </c>
      <c r="AQ139" s="360" t="s">
        <v>88</v>
      </c>
      <c r="AR139" s="360" t="s">
        <v>88</v>
      </c>
      <c r="AS139" s="360" t="s">
        <v>88</v>
      </c>
      <c r="AT139" s="360" t="s">
        <v>88</v>
      </c>
      <c r="AU139" s="360" t="s">
        <v>88</v>
      </c>
      <c r="AV139" s="360" t="s">
        <v>88</v>
      </c>
      <c r="AW139" s="360" t="s">
        <v>88</v>
      </c>
      <c r="AX139" s="360" t="s">
        <v>88</v>
      </c>
      <c r="AY139" s="360" t="s">
        <v>88</v>
      </c>
      <c r="AZ139" s="360" t="s">
        <v>88</v>
      </c>
      <c r="BA139" s="360" t="s">
        <v>88</v>
      </c>
      <c r="BB139" s="360" t="s">
        <v>88</v>
      </c>
      <c r="BC139" s="360" t="s">
        <v>88</v>
      </c>
      <c r="BD139" s="360" t="s">
        <v>88</v>
      </c>
      <c r="BE139" s="360" t="s">
        <v>88</v>
      </c>
      <c r="BF139" s="360" t="s">
        <v>88</v>
      </c>
      <c r="BG139" s="360" t="s">
        <v>88</v>
      </c>
      <c r="BH139" s="360" t="s">
        <v>88</v>
      </c>
      <c r="BI139" s="360" t="s">
        <v>88</v>
      </c>
      <c r="BJ139" s="360" t="s">
        <v>88</v>
      </c>
      <c r="BK139" s="360" t="s">
        <v>88</v>
      </c>
      <c r="BL139" s="354" t="s">
        <v>89</v>
      </c>
      <c r="BM139" s="364" t="s">
        <v>189</v>
      </c>
      <c r="BN139" s="354" t="s">
        <v>91</v>
      </c>
      <c r="BO139" s="354">
        <v>225876</v>
      </c>
      <c r="BP139" s="354" t="s">
        <v>92</v>
      </c>
      <c r="BQ139" s="364" t="s">
        <v>228</v>
      </c>
      <c r="BR139" s="354" t="s">
        <v>94</v>
      </c>
      <c r="BS139" s="354">
        <v>63250612</v>
      </c>
      <c r="BT139" s="354" t="s">
        <v>95</v>
      </c>
      <c r="BU139" s="354" t="s">
        <v>112</v>
      </c>
      <c r="BV139" s="477"/>
    </row>
    <row r="140" spans="1:74" s="2" customFormat="1" ht="24.9" customHeight="1">
      <c r="A140" s="147" t="s">
        <v>85</v>
      </c>
      <c r="B140" s="356" t="s">
        <v>234</v>
      </c>
      <c r="C140" s="369"/>
      <c r="D140" s="356"/>
      <c r="E140" s="363">
        <v>46227</v>
      </c>
      <c r="F140" s="358">
        <v>2</v>
      </c>
      <c r="G140" s="358">
        <v>30</v>
      </c>
      <c r="H140" s="512" t="s">
        <v>101</v>
      </c>
      <c r="I140" s="371">
        <v>304</v>
      </c>
      <c r="J140" s="371">
        <v>375</v>
      </c>
      <c r="K140" s="371">
        <v>345</v>
      </c>
      <c r="L140" s="371">
        <v>235</v>
      </c>
      <c r="M140" s="371">
        <v>369</v>
      </c>
      <c r="N140" s="371">
        <v>280</v>
      </c>
      <c r="O140" s="360" t="s">
        <v>88</v>
      </c>
      <c r="P140" s="360" t="s">
        <v>88</v>
      </c>
      <c r="Q140" s="371">
        <v>-0.86</v>
      </c>
      <c r="R140" s="360" t="s">
        <v>88</v>
      </c>
      <c r="S140" s="360" t="s">
        <v>88</v>
      </c>
      <c r="T140" s="360" t="s">
        <v>88</v>
      </c>
      <c r="U140" s="360" t="s">
        <v>88</v>
      </c>
      <c r="V140" s="360" t="s">
        <v>88</v>
      </c>
      <c r="W140" s="360" t="s">
        <v>88</v>
      </c>
      <c r="X140" s="360" t="s">
        <v>88</v>
      </c>
      <c r="Y140" s="360" t="s">
        <v>88</v>
      </c>
      <c r="Z140" s="360" t="s">
        <v>88</v>
      </c>
      <c r="AA140" s="360" t="s">
        <v>88</v>
      </c>
      <c r="AB140" s="360" t="s">
        <v>88</v>
      </c>
      <c r="AC140" s="360" t="s">
        <v>88</v>
      </c>
      <c r="AD140" s="360" t="s">
        <v>88</v>
      </c>
      <c r="AE140" s="360" t="s">
        <v>88</v>
      </c>
      <c r="AF140" s="360" t="s">
        <v>88</v>
      </c>
      <c r="AG140" s="371">
        <v>6.41</v>
      </c>
      <c r="AH140" s="360" t="s">
        <v>88</v>
      </c>
      <c r="AI140" s="360" t="s">
        <v>88</v>
      </c>
      <c r="AJ140" s="360" t="s">
        <v>88</v>
      </c>
      <c r="AK140" s="360" t="s">
        <v>88</v>
      </c>
      <c r="AL140" s="360" t="s">
        <v>88</v>
      </c>
      <c r="AM140" s="360" t="s">
        <v>88</v>
      </c>
      <c r="AN140" s="360" t="s">
        <v>88</v>
      </c>
      <c r="AO140" s="360" t="s">
        <v>88</v>
      </c>
      <c r="AP140" s="360" t="s">
        <v>88</v>
      </c>
      <c r="AQ140" s="360" t="s">
        <v>88</v>
      </c>
      <c r="AR140" s="360" t="s">
        <v>88</v>
      </c>
      <c r="AS140" s="360" t="s">
        <v>88</v>
      </c>
      <c r="AT140" s="360" t="s">
        <v>88</v>
      </c>
      <c r="AU140" s="360" t="s">
        <v>88</v>
      </c>
      <c r="AV140" s="360" t="s">
        <v>88</v>
      </c>
      <c r="AW140" s="360" t="s">
        <v>88</v>
      </c>
      <c r="AX140" s="360" t="s">
        <v>88</v>
      </c>
      <c r="AY140" s="360" t="s">
        <v>88</v>
      </c>
      <c r="AZ140" s="360" t="s">
        <v>88</v>
      </c>
      <c r="BA140" s="360" t="s">
        <v>88</v>
      </c>
      <c r="BB140" s="360" t="s">
        <v>88</v>
      </c>
      <c r="BC140" s="360" t="s">
        <v>88</v>
      </c>
      <c r="BD140" s="360" t="s">
        <v>88</v>
      </c>
      <c r="BE140" s="360" t="s">
        <v>88</v>
      </c>
      <c r="BF140" s="360" t="s">
        <v>88</v>
      </c>
      <c r="BG140" s="360" t="s">
        <v>88</v>
      </c>
      <c r="BH140" s="360" t="s">
        <v>88</v>
      </c>
      <c r="BI140" s="360" t="s">
        <v>88</v>
      </c>
      <c r="BJ140" s="360" t="s">
        <v>88</v>
      </c>
      <c r="BK140" s="360" t="s">
        <v>88</v>
      </c>
      <c r="BL140" s="354" t="s">
        <v>89</v>
      </c>
      <c r="BM140" s="364" t="s">
        <v>189</v>
      </c>
      <c r="BN140" s="354" t="s">
        <v>91</v>
      </c>
      <c r="BO140" s="354">
        <v>225876</v>
      </c>
      <c r="BP140" s="354" t="s">
        <v>92</v>
      </c>
      <c r="BQ140" s="364" t="s">
        <v>228</v>
      </c>
      <c r="BR140" s="354" t="s">
        <v>94</v>
      </c>
      <c r="BS140" s="354">
        <v>63250612</v>
      </c>
      <c r="BT140" s="354" t="s">
        <v>95</v>
      </c>
      <c r="BU140" s="354" t="s">
        <v>112</v>
      </c>
      <c r="BV140" s="477"/>
    </row>
    <row r="141" spans="1:74" s="2" customFormat="1" ht="24.9" customHeight="1">
      <c r="A141" s="147" t="s">
        <v>85</v>
      </c>
      <c r="B141" s="356" t="s">
        <v>235</v>
      </c>
      <c r="C141" s="369"/>
      <c r="D141" s="356"/>
      <c r="E141" s="363">
        <v>46227</v>
      </c>
      <c r="F141" s="358">
        <v>2</v>
      </c>
      <c r="G141" s="358">
        <v>30</v>
      </c>
      <c r="H141" s="360" t="s">
        <v>88</v>
      </c>
      <c r="I141" s="360" t="s">
        <v>88</v>
      </c>
      <c r="J141" s="360" t="s">
        <v>88</v>
      </c>
      <c r="K141" s="360" t="s">
        <v>88</v>
      </c>
      <c r="L141" s="360" t="s">
        <v>88</v>
      </c>
      <c r="M141" s="360" t="s">
        <v>88</v>
      </c>
      <c r="N141" s="360" t="s">
        <v>88</v>
      </c>
      <c r="O141" s="360" t="s">
        <v>88</v>
      </c>
      <c r="P141" s="360" t="s">
        <v>88</v>
      </c>
      <c r="Q141" s="360" t="s">
        <v>88</v>
      </c>
      <c r="R141" s="360" t="s">
        <v>88</v>
      </c>
      <c r="S141" s="360" t="s">
        <v>88</v>
      </c>
      <c r="T141" s="360" t="s">
        <v>88</v>
      </c>
      <c r="U141" s="360" t="s">
        <v>88</v>
      </c>
      <c r="V141" s="360" t="s">
        <v>88</v>
      </c>
      <c r="W141" s="360" t="s">
        <v>88</v>
      </c>
      <c r="X141" s="360" t="s">
        <v>88</v>
      </c>
      <c r="Y141" s="360" t="s">
        <v>88</v>
      </c>
      <c r="Z141" s="360" t="s">
        <v>88</v>
      </c>
      <c r="AA141" s="360" t="s">
        <v>88</v>
      </c>
      <c r="AB141" s="360" t="s">
        <v>88</v>
      </c>
      <c r="AC141" s="360" t="s">
        <v>88</v>
      </c>
      <c r="AD141" s="360" t="s">
        <v>88</v>
      </c>
      <c r="AE141" s="360" t="s">
        <v>88</v>
      </c>
      <c r="AF141" s="360" t="s">
        <v>88</v>
      </c>
      <c r="AG141" s="360" t="s">
        <v>88</v>
      </c>
      <c r="AH141" s="360" t="s">
        <v>88</v>
      </c>
      <c r="AI141" s="360" t="s">
        <v>88</v>
      </c>
      <c r="AJ141" s="360" t="s">
        <v>88</v>
      </c>
      <c r="AK141" s="360" t="s">
        <v>88</v>
      </c>
      <c r="AL141" s="360" t="s">
        <v>88</v>
      </c>
      <c r="AM141" s="360" t="s">
        <v>88</v>
      </c>
      <c r="AN141" s="360" t="s">
        <v>88</v>
      </c>
      <c r="AO141" s="360" t="s">
        <v>88</v>
      </c>
      <c r="AP141" s="360" t="s">
        <v>88</v>
      </c>
      <c r="AQ141" s="360" t="s">
        <v>88</v>
      </c>
      <c r="AR141" s="360" t="s">
        <v>88</v>
      </c>
      <c r="AS141" s="360" t="s">
        <v>88</v>
      </c>
      <c r="AT141" s="360" t="s">
        <v>88</v>
      </c>
      <c r="AU141" s="360" t="s">
        <v>88</v>
      </c>
      <c r="AV141" s="360" t="s">
        <v>88</v>
      </c>
      <c r="AW141" s="360" t="s">
        <v>88</v>
      </c>
      <c r="AX141" s="360" t="s">
        <v>88</v>
      </c>
      <c r="AY141" s="360" t="s">
        <v>88</v>
      </c>
      <c r="AZ141" s="371">
        <v>64.819999999999993</v>
      </c>
      <c r="BA141" s="371">
        <v>33.9</v>
      </c>
      <c r="BB141" s="371">
        <v>56.11</v>
      </c>
      <c r="BC141" s="371">
        <v>16.48</v>
      </c>
      <c r="BD141" s="360" t="s">
        <v>88</v>
      </c>
      <c r="BE141" s="360" t="s">
        <v>88</v>
      </c>
      <c r="BF141" s="371">
        <v>59.52</v>
      </c>
      <c r="BG141" s="371">
        <v>38.72</v>
      </c>
      <c r="BH141" s="371">
        <v>48.66</v>
      </c>
      <c r="BI141" s="371">
        <v>18.440000000000001</v>
      </c>
      <c r="BJ141" s="360" t="s">
        <v>88</v>
      </c>
      <c r="BK141" s="360" t="s">
        <v>88</v>
      </c>
      <c r="BL141" s="354" t="s">
        <v>89</v>
      </c>
      <c r="BM141" s="364" t="s">
        <v>189</v>
      </c>
      <c r="BN141" s="354" t="s">
        <v>91</v>
      </c>
      <c r="BO141" s="354">
        <v>225876</v>
      </c>
      <c r="BP141" s="354" t="s">
        <v>92</v>
      </c>
      <c r="BQ141" s="364" t="s">
        <v>228</v>
      </c>
      <c r="BR141" s="354" t="s">
        <v>94</v>
      </c>
      <c r="BS141" s="354">
        <v>63250612</v>
      </c>
      <c r="BT141" s="354" t="s">
        <v>95</v>
      </c>
      <c r="BU141" s="354" t="s">
        <v>112</v>
      </c>
      <c r="BV141" s="477"/>
    </row>
    <row r="142" spans="1:74" s="2" customFormat="1" ht="24.9" customHeight="1">
      <c r="A142" s="147" t="s">
        <v>85</v>
      </c>
      <c r="B142" s="356" t="s">
        <v>236</v>
      </c>
      <c r="C142" s="369"/>
      <c r="D142" s="356"/>
      <c r="E142" s="363">
        <v>46227</v>
      </c>
      <c r="F142" s="358">
        <v>3</v>
      </c>
      <c r="G142" s="358">
        <v>30</v>
      </c>
      <c r="H142" s="512" t="s">
        <v>101</v>
      </c>
      <c r="I142" s="371">
        <v>329</v>
      </c>
      <c r="J142" s="371">
        <v>421</v>
      </c>
      <c r="K142" s="371">
        <v>382</v>
      </c>
      <c r="L142" s="371">
        <v>211</v>
      </c>
      <c r="M142" s="371">
        <v>393</v>
      </c>
      <c r="N142" s="371">
        <v>281</v>
      </c>
      <c r="O142" s="360" t="s">
        <v>88</v>
      </c>
      <c r="P142" s="360" t="s">
        <v>88</v>
      </c>
      <c r="Q142" s="371">
        <v>0.89</v>
      </c>
      <c r="R142" s="360" t="s">
        <v>88</v>
      </c>
      <c r="S142" s="360" t="s">
        <v>88</v>
      </c>
      <c r="T142" s="360" t="s">
        <v>88</v>
      </c>
      <c r="U142" s="360" t="s">
        <v>88</v>
      </c>
      <c r="V142" s="360" t="s">
        <v>88</v>
      </c>
      <c r="W142" s="360" t="s">
        <v>88</v>
      </c>
      <c r="X142" s="360" t="s">
        <v>88</v>
      </c>
      <c r="Y142" s="360" t="s">
        <v>88</v>
      </c>
      <c r="Z142" s="360" t="s">
        <v>88</v>
      </c>
      <c r="AA142" s="360" t="s">
        <v>88</v>
      </c>
      <c r="AB142" s="360" t="s">
        <v>88</v>
      </c>
      <c r="AC142" s="360" t="s">
        <v>88</v>
      </c>
      <c r="AD142" s="360" t="s">
        <v>88</v>
      </c>
      <c r="AE142" s="360" t="s">
        <v>88</v>
      </c>
      <c r="AF142" s="360" t="s">
        <v>88</v>
      </c>
      <c r="AG142" s="371">
        <v>2.06</v>
      </c>
      <c r="AH142" s="360" t="s">
        <v>88</v>
      </c>
      <c r="AI142" s="360" t="s">
        <v>88</v>
      </c>
      <c r="AJ142" s="360" t="s">
        <v>88</v>
      </c>
      <c r="AK142" s="360" t="s">
        <v>88</v>
      </c>
      <c r="AL142" s="360" t="s">
        <v>88</v>
      </c>
      <c r="AM142" s="360" t="s">
        <v>88</v>
      </c>
      <c r="AN142" s="360" t="s">
        <v>88</v>
      </c>
      <c r="AO142" s="360" t="s">
        <v>88</v>
      </c>
      <c r="AP142" s="360" t="s">
        <v>88</v>
      </c>
      <c r="AQ142" s="360" t="s">
        <v>88</v>
      </c>
      <c r="AR142" s="360" t="s">
        <v>88</v>
      </c>
      <c r="AS142" s="360" t="s">
        <v>88</v>
      </c>
      <c r="AT142" s="360" t="s">
        <v>88</v>
      </c>
      <c r="AU142" s="360" t="s">
        <v>88</v>
      </c>
      <c r="AV142" s="360" t="s">
        <v>88</v>
      </c>
      <c r="AW142" s="360" t="s">
        <v>88</v>
      </c>
      <c r="AX142" s="360" t="s">
        <v>88</v>
      </c>
      <c r="AY142" s="360" t="s">
        <v>88</v>
      </c>
      <c r="AZ142" s="360" t="s">
        <v>88</v>
      </c>
      <c r="BA142" s="360" t="s">
        <v>88</v>
      </c>
      <c r="BB142" s="360" t="s">
        <v>88</v>
      </c>
      <c r="BC142" s="360" t="s">
        <v>88</v>
      </c>
      <c r="BD142" s="360" t="s">
        <v>88</v>
      </c>
      <c r="BE142" s="360" t="s">
        <v>88</v>
      </c>
      <c r="BF142" s="360" t="s">
        <v>88</v>
      </c>
      <c r="BG142" s="360" t="s">
        <v>88</v>
      </c>
      <c r="BH142" s="360" t="s">
        <v>88</v>
      </c>
      <c r="BI142" s="360" t="s">
        <v>88</v>
      </c>
      <c r="BJ142" s="360" t="s">
        <v>88</v>
      </c>
      <c r="BK142" s="360" t="s">
        <v>88</v>
      </c>
      <c r="BL142" s="354" t="s">
        <v>89</v>
      </c>
      <c r="BM142" s="364" t="s">
        <v>189</v>
      </c>
      <c r="BN142" s="354" t="s">
        <v>91</v>
      </c>
      <c r="BO142" s="354">
        <v>225876</v>
      </c>
      <c r="BP142" s="354" t="s">
        <v>92</v>
      </c>
      <c r="BQ142" s="364" t="s">
        <v>228</v>
      </c>
      <c r="BR142" s="354" t="s">
        <v>94</v>
      </c>
      <c r="BS142" s="354">
        <v>63250612</v>
      </c>
      <c r="BT142" s="354" t="s">
        <v>95</v>
      </c>
      <c r="BU142" s="354" t="s">
        <v>112</v>
      </c>
      <c r="BV142" s="477"/>
    </row>
    <row r="143" spans="1:74" s="2" customFormat="1" ht="24.9" customHeight="1">
      <c r="A143" s="147" t="s">
        <v>85</v>
      </c>
      <c r="B143" s="356" t="s">
        <v>237</v>
      </c>
      <c r="C143" s="369"/>
      <c r="D143" s="356"/>
      <c r="E143" s="363">
        <v>46227</v>
      </c>
      <c r="F143" s="358">
        <v>3</v>
      </c>
      <c r="G143" s="358">
        <v>30</v>
      </c>
      <c r="H143" s="360" t="s">
        <v>88</v>
      </c>
      <c r="I143" s="360" t="s">
        <v>88</v>
      </c>
      <c r="J143" s="360" t="s">
        <v>88</v>
      </c>
      <c r="K143" s="360" t="s">
        <v>88</v>
      </c>
      <c r="L143" s="360" t="s">
        <v>88</v>
      </c>
      <c r="M143" s="360" t="s">
        <v>88</v>
      </c>
      <c r="N143" s="360" t="s">
        <v>88</v>
      </c>
      <c r="O143" s="360" t="s">
        <v>88</v>
      </c>
      <c r="P143" s="360" t="s">
        <v>88</v>
      </c>
      <c r="Q143" s="360" t="s">
        <v>88</v>
      </c>
      <c r="R143" s="360" t="s">
        <v>88</v>
      </c>
      <c r="S143" s="360" t="s">
        <v>88</v>
      </c>
      <c r="T143" s="360" t="s">
        <v>88</v>
      </c>
      <c r="U143" s="360" t="s">
        <v>88</v>
      </c>
      <c r="V143" s="360" t="s">
        <v>88</v>
      </c>
      <c r="W143" s="360" t="s">
        <v>88</v>
      </c>
      <c r="X143" s="360" t="s">
        <v>88</v>
      </c>
      <c r="Y143" s="360" t="s">
        <v>88</v>
      </c>
      <c r="Z143" s="360" t="s">
        <v>88</v>
      </c>
      <c r="AA143" s="360" t="s">
        <v>88</v>
      </c>
      <c r="AB143" s="360" t="s">
        <v>88</v>
      </c>
      <c r="AC143" s="360" t="s">
        <v>88</v>
      </c>
      <c r="AD143" s="360" t="s">
        <v>88</v>
      </c>
      <c r="AE143" s="360" t="s">
        <v>88</v>
      </c>
      <c r="AF143" s="360" t="s">
        <v>88</v>
      </c>
      <c r="AG143" s="360" t="s">
        <v>88</v>
      </c>
      <c r="AH143" s="360" t="s">
        <v>88</v>
      </c>
      <c r="AI143" s="360" t="s">
        <v>88</v>
      </c>
      <c r="AJ143" s="360" t="s">
        <v>88</v>
      </c>
      <c r="AK143" s="360" t="s">
        <v>88</v>
      </c>
      <c r="AL143" s="360" t="s">
        <v>88</v>
      </c>
      <c r="AM143" s="360" t="s">
        <v>88</v>
      </c>
      <c r="AN143" s="360" t="s">
        <v>88</v>
      </c>
      <c r="AO143" s="360" t="s">
        <v>88</v>
      </c>
      <c r="AP143" s="360" t="s">
        <v>88</v>
      </c>
      <c r="AQ143" s="360" t="s">
        <v>88</v>
      </c>
      <c r="AR143" s="360" t="s">
        <v>88</v>
      </c>
      <c r="AS143" s="360" t="s">
        <v>88</v>
      </c>
      <c r="AT143" s="360" t="s">
        <v>88</v>
      </c>
      <c r="AU143" s="360" t="s">
        <v>88</v>
      </c>
      <c r="AV143" s="360" t="s">
        <v>88</v>
      </c>
      <c r="AW143" s="360" t="s">
        <v>88</v>
      </c>
      <c r="AX143" s="360" t="s">
        <v>88</v>
      </c>
      <c r="AY143" s="360" t="s">
        <v>88</v>
      </c>
      <c r="AZ143" s="371">
        <v>78.48</v>
      </c>
      <c r="BA143" s="371">
        <v>52.97</v>
      </c>
      <c r="BB143" s="371">
        <v>22.75</v>
      </c>
      <c r="BC143" s="371">
        <v>48.27</v>
      </c>
      <c r="BD143" s="360" t="s">
        <v>88</v>
      </c>
      <c r="BE143" s="360" t="s">
        <v>88</v>
      </c>
      <c r="BF143" s="371">
        <v>87.51</v>
      </c>
      <c r="BG143" s="371">
        <v>41.3</v>
      </c>
      <c r="BH143" s="371">
        <v>67.099999999999994</v>
      </c>
      <c r="BI143" s="371">
        <v>34.53</v>
      </c>
      <c r="BJ143" s="360" t="s">
        <v>88</v>
      </c>
      <c r="BK143" s="360" t="s">
        <v>88</v>
      </c>
      <c r="BL143" s="354" t="s">
        <v>89</v>
      </c>
      <c r="BM143" s="364" t="s">
        <v>189</v>
      </c>
      <c r="BN143" s="354" t="s">
        <v>91</v>
      </c>
      <c r="BO143" s="354">
        <v>225876</v>
      </c>
      <c r="BP143" s="354" t="s">
        <v>92</v>
      </c>
      <c r="BQ143" s="364" t="s">
        <v>228</v>
      </c>
      <c r="BR143" s="354" t="s">
        <v>94</v>
      </c>
      <c r="BS143" s="354">
        <v>63250612</v>
      </c>
      <c r="BT143" s="354" t="s">
        <v>95</v>
      </c>
      <c r="BU143" s="354" t="s">
        <v>112</v>
      </c>
      <c r="BV143" s="477"/>
    </row>
    <row r="144" spans="1:74" s="2" customFormat="1" ht="24.9" customHeight="1">
      <c r="A144" s="147" t="s">
        <v>85</v>
      </c>
      <c r="B144" s="356" t="s">
        <v>238</v>
      </c>
      <c r="C144" s="369"/>
      <c r="D144" s="356"/>
      <c r="E144" s="363">
        <v>46227</v>
      </c>
      <c r="F144" s="358">
        <v>3</v>
      </c>
      <c r="G144" s="358">
        <v>30</v>
      </c>
      <c r="H144" s="360" t="s">
        <v>88</v>
      </c>
      <c r="I144" s="360" t="s">
        <v>88</v>
      </c>
      <c r="J144" s="360" t="s">
        <v>88</v>
      </c>
      <c r="K144" s="360" t="s">
        <v>88</v>
      </c>
      <c r="L144" s="360" t="s">
        <v>88</v>
      </c>
      <c r="M144" s="360" t="s">
        <v>88</v>
      </c>
      <c r="N144" s="360" t="s">
        <v>88</v>
      </c>
      <c r="O144" s="360" t="s">
        <v>88</v>
      </c>
      <c r="P144" s="360" t="s">
        <v>88</v>
      </c>
      <c r="Q144" s="360" t="s">
        <v>88</v>
      </c>
      <c r="R144" s="360" t="s">
        <v>88</v>
      </c>
      <c r="S144" s="360" t="s">
        <v>88</v>
      </c>
      <c r="T144" s="360" t="s">
        <v>88</v>
      </c>
      <c r="U144" s="360" t="s">
        <v>88</v>
      </c>
      <c r="V144" s="360" t="s">
        <v>88</v>
      </c>
      <c r="W144" s="360" t="s">
        <v>88</v>
      </c>
      <c r="X144" s="360" t="s">
        <v>88</v>
      </c>
      <c r="Y144" s="360" t="s">
        <v>88</v>
      </c>
      <c r="Z144" s="360" t="s">
        <v>88</v>
      </c>
      <c r="AA144" s="360" t="s">
        <v>88</v>
      </c>
      <c r="AB144" s="360" t="s">
        <v>88</v>
      </c>
      <c r="AC144" s="512"/>
      <c r="AD144" s="512"/>
      <c r="AE144" s="512"/>
      <c r="AF144" s="512"/>
      <c r="AG144" s="360" t="s">
        <v>88</v>
      </c>
      <c r="AH144" s="512"/>
      <c r="AI144" s="512"/>
      <c r="AJ144" s="512"/>
      <c r="AK144" s="512"/>
      <c r="AL144" s="512"/>
      <c r="AM144" s="512"/>
      <c r="AN144" s="360" t="s">
        <v>88</v>
      </c>
      <c r="AO144" s="360" t="s">
        <v>88</v>
      </c>
      <c r="AP144" s="360" t="s">
        <v>88</v>
      </c>
      <c r="AQ144" s="360" t="s">
        <v>88</v>
      </c>
      <c r="AR144" s="360" t="s">
        <v>88</v>
      </c>
      <c r="AS144" s="360" t="s">
        <v>88</v>
      </c>
      <c r="AT144" s="360" t="s">
        <v>88</v>
      </c>
      <c r="AU144" s="360" t="s">
        <v>88</v>
      </c>
      <c r="AV144" s="360" t="s">
        <v>88</v>
      </c>
      <c r="AW144" s="360" t="s">
        <v>88</v>
      </c>
      <c r="AX144" s="360" t="s">
        <v>88</v>
      </c>
      <c r="AY144" s="360" t="s">
        <v>88</v>
      </c>
      <c r="AZ144" s="360" t="s">
        <v>88</v>
      </c>
      <c r="BA144" s="360" t="s">
        <v>88</v>
      </c>
      <c r="BB144" s="360" t="s">
        <v>88</v>
      </c>
      <c r="BC144" s="360" t="s">
        <v>88</v>
      </c>
      <c r="BD144" s="360" t="s">
        <v>88</v>
      </c>
      <c r="BE144" s="360" t="s">
        <v>88</v>
      </c>
      <c r="BF144" s="360" t="s">
        <v>88</v>
      </c>
      <c r="BG144" s="360" t="s">
        <v>88</v>
      </c>
      <c r="BH144" s="360" t="s">
        <v>88</v>
      </c>
      <c r="BI144" s="360" t="s">
        <v>88</v>
      </c>
      <c r="BJ144" s="360" t="s">
        <v>88</v>
      </c>
      <c r="BK144" s="360" t="s">
        <v>88</v>
      </c>
      <c r="BL144" s="354" t="s">
        <v>89</v>
      </c>
      <c r="BM144" s="364" t="s">
        <v>189</v>
      </c>
      <c r="BN144" s="354" t="s">
        <v>91</v>
      </c>
      <c r="BO144" s="354">
        <v>225876</v>
      </c>
      <c r="BP144" s="354" t="s">
        <v>92</v>
      </c>
      <c r="BQ144" s="364" t="s">
        <v>228</v>
      </c>
      <c r="BR144" s="354" t="s">
        <v>94</v>
      </c>
      <c r="BS144" s="354">
        <v>63250612</v>
      </c>
      <c r="BT144" s="354" t="s">
        <v>95</v>
      </c>
      <c r="BU144" s="354" t="s">
        <v>112</v>
      </c>
      <c r="BV144" s="477"/>
    </row>
    <row r="145" spans="1:74" s="2" customFormat="1" ht="24.9" customHeight="1">
      <c r="A145" s="147" t="s">
        <v>85</v>
      </c>
      <c r="B145" s="356" t="s">
        <v>239</v>
      </c>
      <c r="C145" s="369"/>
      <c r="D145" s="356"/>
      <c r="E145" s="363">
        <v>46230</v>
      </c>
      <c r="F145" s="358">
        <v>1</v>
      </c>
      <c r="G145" s="358">
        <v>31</v>
      </c>
      <c r="H145" s="539" t="s">
        <v>171</v>
      </c>
      <c r="I145" s="371">
        <v>302</v>
      </c>
      <c r="J145" s="371">
        <v>375</v>
      </c>
      <c r="K145" s="371">
        <v>335.5</v>
      </c>
      <c r="L145" s="371">
        <v>284</v>
      </c>
      <c r="M145" s="575">
        <v>416.5</v>
      </c>
      <c r="N145" s="371">
        <v>365.3</v>
      </c>
      <c r="O145" s="360" t="s">
        <v>88</v>
      </c>
      <c r="P145" s="360" t="s">
        <v>88</v>
      </c>
      <c r="Q145" s="360" t="s">
        <v>88</v>
      </c>
      <c r="R145" s="360" t="s">
        <v>88</v>
      </c>
      <c r="S145" s="360" t="s">
        <v>88</v>
      </c>
      <c r="T145" s="360" t="s">
        <v>88</v>
      </c>
      <c r="U145" s="360" t="s">
        <v>88</v>
      </c>
      <c r="V145" s="360" t="s">
        <v>88</v>
      </c>
      <c r="W145" s="360" t="s">
        <v>88</v>
      </c>
      <c r="X145" s="360" t="s">
        <v>88</v>
      </c>
      <c r="Y145" s="360" t="s">
        <v>88</v>
      </c>
      <c r="Z145" s="360" t="s">
        <v>88</v>
      </c>
      <c r="AA145" s="360" t="s">
        <v>88</v>
      </c>
      <c r="AB145" s="360" t="s">
        <v>88</v>
      </c>
      <c r="AC145" s="360" t="s">
        <v>88</v>
      </c>
      <c r="AD145" s="360" t="s">
        <v>88</v>
      </c>
      <c r="AE145" s="360" t="s">
        <v>88</v>
      </c>
      <c r="AF145" s="360" t="s">
        <v>88</v>
      </c>
      <c r="AG145" s="360" t="s">
        <v>88</v>
      </c>
      <c r="AH145" s="360" t="s">
        <v>88</v>
      </c>
      <c r="AI145" s="360" t="s">
        <v>88</v>
      </c>
      <c r="AJ145" s="360" t="s">
        <v>88</v>
      </c>
      <c r="AK145" s="360" t="s">
        <v>88</v>
      </c>
      <c r="AL145" s="360" t="s">
        <v>88</v>
      </c>
      <c r="AM145" s="360" t="s">
        <v>88</v>
      </c>
      <c r="AN145" s="360" t="s">
        <v>88</v>
      </c>
      <c r="AO145" s="360" t="s">
        <v>88</v>
      </c>
      <c r="AP145" s="360" t="s">
        <v>88</v>
      </c>
      <c r="AQ145" s="360" t="s">
        <v>88</v>
      </c>
      <c r="AR145" s="360" t="s">
        <v>88</v>
      </c>
      <c r="AS145" s="360" t="s">
        <v>88</v>
      </c>
      <c r="AT145" s="360" t="s">
        <v>88</v>
      </c>
      <c r="AU145" s="360" t="s">
        <v>88</v>
      </c>
      <c r="AV145" s="360" t="s">
        <v>88</v>
      </c>
      <c r="AW145" s="360" t="s">
        <v>88</v>
      </c>
      <c r="AX145" s="360" t="s">
        <v>88</v>
      </c>
      <c r="AY145" s="360" t="s">
        <v>88</v>
      </c>
      <c r="AZ145" s="360" t="s">
        <v>88</v>
      </c>
      <c r="BA145" s="360" t="s">
        <v>88</v>
      </c>
      <c r="BB145" s="360" t="s">
        <v>88</v>
      </c>
      <c r="BC145" s="360" t="s">
        <v>88</v>
      </c>
      <c r="BD145" s="360" t="s">
        <v>88</v>
      </c>
      <c r="BE145" s="360" t="s">
        <v>88</v>
      </c>
      <c r="BF145" s="360" t="s">
        <v>88</v>
      </c>
      <c r="BG145" s="360" t="s">
        <v>88</v>
      </c>
      <c r="BH145" s="360" t="s">
        <v>88</v>
      </c>
      <c r="BI145" s="360" t="s">
        <v>88</v>
      </c>
      <c r="BJ145" s="360" t="s">
        <v>88</v>
      </c>
      <c r="BK145" s="360" t="s">
        <v>88</v>
      </c>
      <c r="BL145" s="354" t="s">
        <v>89</v>
      </c>
      <c r="BM145" s="364" t="s">
        <v>189</v>
      </c>
      <c r="BN145" s="354" t="s">
        <v>91</v>
      </c>
      <c r="BO145" s="354">
        <v>225876</v>
      </c>
      <c r="BP145" s="354" t="s">
        <v>92</v>
      </c>
      <c r="BQ145" s="364" t="s">
        <v>228</v>
      </c>
      <c r="BR145" s="354" t="s">
        <v>94</v>
      </c>
      <c r="BS145" s="574">
        <v>63260124</v>
      </c>
      <c r="BT145" s="354" t="s">
        <v>95</v>
      </c>
      <c r="BU145" s="354" t="s">
        <v>112</v>
      </c>
      <c r="BV145" s="477" t="s">
        <v>240</v>
      </c>
    </row>
    <row r="146" spans="1:74" s="2" customFormat="1" ht="24.9" customHeight="1">
      <c r="A146" s="147" t="s">
        <v>85</v>
      </c>
      <c r="B146" s="356"/>
      <c r="C146" s="369"/>
      <c r="D146" s="356"/>
      <c r="E146" s="357"/>
      <c r="F146" s="358"/>
      <c r="G146" s="358"/>
      <c r="H146" s="358"/>
      <c r="I146" s="307"/>
      <c r="J146" s="307"/>
      <c r="K146" s="307"/>
      <c r="L146" s="307"/>
      <c r="M146" s="307"/>
      <c r="N146" s="307"/>
      <c r="O146" s="306"/>
      <c r="P146" s="306"/>
      <c r="Q146" s="307"/>
      <c r="R146" s="317"/>
      <c r="S146" s="317"/>
      <c r="T146" s="317"/>
      <c r="U146" s="307"/>
      <c r="V146" s="307"/>
      <c r="W146" s="307"/>
      <c r="X146" s="307"/>
      <c r="Y146" s="307"/>
      <c r="Z146" s="307"/>
      <c r="AA146" s="364"/>
      <c r="AB146" s="364"/>
      <c r="AC146" s="306"/>
      <c r="AD146" s="306"/>
      <c r="AE146" s="306"/>
      <c r="AF146" s="306"/>
      <c r="AG146" s="307"/>
      <c r="AH146" s="306"/>
      <c r="AI146" s="306"/>
      <c r="AJ146" s="306"/>
      <c r="AK146" s="306"/>
      <c r="AL146" s="306"/>
      <c r="AM146" s="306"/>
      <c r="AN146" s="306"/>
      <c r="AO146" s="306"/>
      <c r="AP146" s="306"/>
      <c r="AQ146" s="365"/>
      <c r="AR146" s="365"/>
      <c r="AS146" s="364"/>
      <c r="AT146" s="364"/>
      <c r="AU146" s="364"/>
      <c r="AV146" s="364"/>
      <c r="AW146" s="364"/>
      <c r="AX146" s="364"/>
      <c r="AY146" s="364"/>
      <c r="AZ146" s="307"/>
      <c r="BA146" s="307"/>
      <c r="BB146" s="307"/>
      <c r="BC146" s="307"/>
      <c r="BD146" s="307"/>
      <c r="BE146" s="307"/>
      <c r="BF146" s="307"/>
      <c r="BG146" s="307"/>
      <c r="BH146" s="307"/>
      <c r="BI146" s="307"/>
      <c r="BJ146" s="307"/>
      <c r="BK146" s="307"/>
      <c r="BL146" s="354" t="s">
        <v>89</v>
      </c>
      <c r="BM146" s="364" t="s">
        <v>189</v>
      </c>
      <c r="BN146" s="354" t="s">
        <v>91</v>
      </c>
      <c r="BO146" s="354">
        <v>225876</v>
      </c>
      <c r="BP146" s="354" t="s">
        <v>92</v>
      </c>
      <c r="BQ146" s="364" t="s">
        <v>228</v>
      </c>
      <c r="BR146" s="354" t="s">
        <v>94</v>
      </c>
      <c r="BS146" s="354">
        <v>63260124</v>
      </c>
      <c r="BT146" s="354" t="s">
        <v>95</v>
      </c>
      <c r="BU146" s="354" t="s">
        <v>112</v>
      </c>
      <c r="BV146" s="477"/>
    </row>
    <row r="147" spans="1:74" s="2" customFormat="1" ht="24.9" customHeight="1">
      <c r="A147" s="147" t="s">
        <v>85</v>
      </c>
      <c r="B147" s="356"/>
      <c r="C147" s="369"/>
      <c r="D147" s="356"/>
      <c r="E147" s="357"/>
      <c r="F147" s="358"/>
      <c r="G147" s="358"/>
      <c r="H147" s="358"/>
      <c r="I147" s="307"/>
      <c r="J147" s="307"/>
      <c r="K147" s="307"/>
      <c r="L147" s="307"/>
      <c r="M147" s="307"/>
      <c r="N147" s="307"/>
      <c r="O147" s="306"/>
      <c r="P147" s="306"/>
      <c r="Q147" s="307"/>
      <c r="R147" s="317"/>
      <c r="S147" s="317"/>
      <c r="T147" s="317"/>
      <c r="U147" s="307"/>
      <c r="V147" s="307"/>
      <c r="W147" s="307"/>
      <c r="X147" s="307"/>
      <c r="Y147" s="307"/>
      <c r="Z147" s="307"/>
      <c r="AA147" s="364"/>
      <c r="AB147" s="364"/>
      <c r="AC147" s="306"/>
      <c r="AD147" s="306"/>
      <c r="AE147" s="306"/>
      <c r="AF147" s="306"/>
      <c r="AG147" s="307"/>
      <c r="AH147" s="306"/>
      <c r="AI147" s="306"/>
      <c r="AJ147" s="306"/>
      <c r="AK147" s="306"/>
      <c r="AL147" s="306"/>
      <c r="AM147" s="306"/>
      <c r="AN147" s="306"/>
      <c r="AO147" s="306"/>
      <c r="AP147" s="306"/>
      <c r="AQ147" s="365"/>
      <c r="AR147" s="365"/>
      <c r="AS147" s="364"/>
      <c r="AT147" s="364"/>
      <c r="AU147" s="364"/>
      <c r="AV147" s="364"/>
      <c r="AW147" s="364"/>
      <c r="AX147" s="364"/>
      <c r="AY147" s="364"/>
      <c r="AZ147" s="307"/>
      <c r="BA147" s="307"/>
      <c r="BB147" s="307"/>
      <c r="BC147" s="307"/>
      <c r="BD147" s="307"/>
      <c r="BE147" s="307"/>
      <c r="BF147" s="307"/>
      <c r="BG147" s="307"/>
      <c r="BH147" s="307"/>
      <c r="BI147" s="307"/>
      <c r="BJ147" s="307"/>
      <c r="BK147" s="307"/>
      <c r="BL147" s="354" t="s">
        <v>89</v>
      </c>
      <c r="BM147" s="364" t="s">
        <v>189</v>
      </c>
      <c r="BN147" s="354" t="s">
        <v>91</v>
      </c>
      <c r="BO147" s="354">
        <v>225876</v>
      </c>
      <c r="BP147" s="354" t="s">
        <v>92</v>
      </c>
      <c r="BQ147" s="364" t="s">
        <v>228</v>
      </c>
      <c r="BR147" s="354" t="s">
        <v>94</v>
      </c>
      <c r="BS147" s="354">
        <v>63260124</v>
      </c>
      <c r="BT147" s="354" t="s">
        <v>95</v>
      </c>
      <c r="BU147" s="354" t="s">
        <v>112</v>
      </c>
      <c r="BV147" s="477"/>
    </row>
    <row r="148" spans="1:74" s="2" customFormat="1" ht="24.9" customHeight="1">
      <c r="A148" s="147" t="s">
        <v>85</v>
      </c>
      <c r="B148" s="356"/>
      <c r="C148" s="369"/>
      <c r="D148" s="356"/>
      <c r="E148" s="357"/>
      <c r="F148" s="358"/>
      <c r="G148" s="358"/>
      <c r="H148" s="358"/>
      <c r="I148" s="307"/>
      <c r="J148" s="307"/>
      <c r="K148" s="307"/>
      <c r="L148" s="307"/>
      <c r="M148" s="307"/>
      <c r="N148" s="307"/>
      <c r="O148" s="306"/>
      <c r="P148" s="306"/>
      <c r="Q148" s="307"/>
      <c r="R148" s="306"/>
      <c r="S148" s="306"/>
      <c r="T148" s="306"/>
      <c r="U148" s="307"/>
      <c r="V148" s="307"/>
      <c r="W148" s="307"/>
      <c r="X148" s="307"/>
      <c r="Y148" s="307"/>
      <c r="Z148" s="307"/>
      <c r="AA148" s="364"/>
      <c r="AB148" s="364"/>
      <c r="AC148" s="306"/>
      <c r="AD148" s="306"/>
      <c r="AE148" s="306"/>
      <c r="AF148" s="306"/>
      <c r="AG148" s="307"/>
      <c r="AH148" s="306"/>
      <c r="AI148" s="306"/>
      <c r="AJ148" s="306"/>
      <c r="AK148" s="306"/>
      <c r="AL148" s="306"/>
      <c r="AM148" s="306"/>
      <c r="AN148" s="306"/>
      <c r="AO148" s="306"/>
      <c r="AP148" s="306"/>
      <c r="AQ148" s="365"/>
      <c r="AR148" s="365"/>
      <c r="AS148" s="364"/>
      <c r="AT148" s="364"/>
      <c r="AU148" s="364"/>
      <c r="AV148" s="364"/>
      <c r="AW148" s="364"/>
      <c r="AX148" s="364"/>
      <c r="AY148" s="364"/>
      <c r="AZ148" s="307"/>
      <c r="BA148" s="307"/>
      <c r="BB148" s="307"/>
      <c r="BC148" s="307"/>
      <c r="BD148" s="307"/>
      <c r="BE148" s="307"/>
      <c r="BF148" s="307"/>
      <c r="BG148" s="307"/>
      <c r="BH148" s="307"/>
      <c r="BI148" s="307"/>
      <c r="BJ148" s="307"/>
      <c r="BK148" s="307"/>
      <c r="BL148" s="36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477"/>
    </row>
    <row r="149" spans="1:74" s="2" customFormat="1" ht="24.9" customHeight="1">
      <c r="A149" s="147" t="s">
        <v>85</v>
      </c>
      <c r="B149" s="356"/>
      <c r="C149" s="369"/>
      <c r="D149" s="356"/>
      <c r="E149" s="357"/>
      <c r="F149" s="358"/>
      <c r="G149" s="358"/>
      <c r="H149" s="358"/>
      <c r="I149" s="307"/>
      <c r="J149" s="307"/>
      <c r="K149" s="307"/>
      <c r="L149" s="307"/>
      <c r="M149" s="307"/>
      <c r="N149" s="307"/>
      <c r="O149" s="306"/>
      <c r="P149" s="306"/>
      <c r="Q149" s="307"/>
      <c r="R149" s="317"/>
      <c r="S149" s="317"/>
      <c r="T149" s="317"/>
      <c r="U149" s="307"/>
      <c r="V149" s="307"/>
      <c r="W149" s="307"/>
      <c r="X149" s="307"/>
      <c r="Y149" s="307"/>
      <c r="Z149" s="307"/>
      <c r="AA149" s="364"/>
      <c r="AB149" s="364"/>
      <c r="AC149" s="306"/>
      <c r="AD149" s="306"/>
      <c r="AE149" s="306"/>
      <c r="AF149" s="306"/>
      <c r="AG149" s="307"/>
      <c r="AH149" s="306"/>
      <c r="AI149" s="306"/>
      <c r="AJ149" s="306"/>
      <c r="AK149" s="306"/>
      <c r="AL149" s="306"/>
      <c r="AM149" s="306"/>
      <c r="AN149" s="306"/>
      <c r="AO149" s="306"/>
      <c r="AP149" s="306"/>
      <c r="AQ149" s="365"/>
      <c r="AR149" s="365"/>
      <c r="AS149" s="364"/>
      <c r="AT149" s="364"/>
      <c r="AU149" s="364"/>
      <c r="AV149" s="364"/>
      <c r="AW149" s="364"/>
      <c r="AX149" s="364"/>
      <c r="AY149" s="364"/>
      <c r="AZ149" s="307"/>
      <c r="BA149" s="307"/>
      <c r="BB149" s="307"/>
      <c r="BC149" s="307"/>
      <c r="BD149" s="307"/>
      <c r="BE149" s="307"/>
      <c r="BF149" s="307"/>
      <c r="BG149" s="307"/>
      <c r="BH149" s="307"/>
      <c r="BI149" s="307"/>
      <c r="BJ149" s="307"/>
      <c r="BK149" s="307"/>
      <c r="BL149" s="36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477"/>
    </row>
    <row r="150" spans="1:74" s="2" customFormat="1" ht="24.9" customHeight="1">
      <c r="A150" s="147" t="s">
        <v>85</v>
      </c>
      <c r="B150" s="356"/>
      <c r="C150" s="369"/>
      <c r="D150" s="356"/>
      <c r="E150" s="357"/>
      <c r="F150" s="358"/>
      <c r="G150" s="358"/>
      <c r="H150" s="358"/>
      <c r="I150" s="307"/>
      <c r="J150" s="307"/>
      <c r="K150" s="307"/>
      <c r="L150" s="307"/>
      <c r="M150" s="307"/>
      <c r="N150" s="307"/>
      <c r="O150" s="306"/>
      <c r="P150" s="306"/>
      <c r="Q150" s="307"/>
      <c r="R150" s="317"/>
      <c r="S150" s="317"/>
      <c r="T150" s="317"/>
      <c r="U150" s="307"/>
      <c r="V150" s="307"/>
      <c r="W150" s="307"/>
      <c r="X150" s="307"/>
      <c r="Y150" s="307"/>
      <c r="Z150" s="307"/>
      <c r="AA150" s="364"/>
      <c r="AB150" s="364"/>
      <c r="AC150" s="306"/>
      <c r="AD150" s="306"/>
      <c r="AE150" s="306"/>
      <c r="AF150" s="306"/>
      <c r="AG150" s="307"/>
      <c r="AH150" s="306"/>
      <c r="AI150" s="306"/>
      <c r="AJ150" s="306"/>
      <c r="AK150" s="306"/>
      <c r="AL150" s="306"/>
      <c r="AM150" s="306"/>
      <c r="AN150" s="306"/>
      <c r="AO150" s="306"/>
      <c r="AP150" s="306"/>
      <c r="AQ150" s="365"/>
      <c r="AR150" s="365"/>
      <c r="AS150" s="364"/>
      <c r="AT150" s="364"/>
      <c r="AU150" s="364"/>
      <c r="AV150" s="364"/>
      <c r="AW150" s="364"/>
      <c r="AX150" s="364"/>
      <c r="AY150" s="364"/>
      <c r="AZ150" s="307"/>
      <c r="BA150" s="307"/>
      <c r="BB150" s="307"/>
      <c r="BC150" s="307"/>
      <c r="BD150" s="307"/>
      <c r="BE150" s="307"/>
      <c r="BF150" s="307"/>
      <c r="BG150" s="307"/>
      <c r="BH150" s="307"/>
      <c r="BI150" s="307"/>
      <c r="BJ150" s="307"/>
      <c r="BK150" s="307"/>
      <c r="BL150" s="36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477"/>
    </row>
    <row r="151" spans="1:74" s="2" customFormat="1" ht="24.9" customHeight="1">
      <c r="A151" s="147" t="s">
        <v>85</v>
      </c>
      <c r="B151" s="356"/>
      <c r="C151" s="369"/>
      <c r="D151" s="356"/>
      <c r="E151" s="357"/>
      <c r="F151" s="358"/>
      <c r="G151" s="358"/>
      <c r="H151" s="358"/>
      <c r="I151" s="307"/>
      <c r="J151" s="307"/>
      <c r="K151" s="307"/>
      <c r="L151" s="307"/>
      <c r="M151" s="307"/>
      <c r="N151" s="307"/>
      <c r="O151" s="306"/>
      <c r="P151" s="306"/>
      <c r="Q151" s="307"/>
      <c r="R151" s="306"/>
      <c r="S151" s="306"/>
      <c r="T151" s="306"/>
      <c r="U151" s="307"/>
      <c r="V151" s="307"/>
      <c r="W151" s="307"/>
      <c r="X151" s="307"/>
      <c r="Y151" s="307"/>
      <c r="Z151" s="307"/>
      <c r="AA151" s="364"/>
      <c r="AB151" s="364"/>
      <c r="AC151" s="306"/>
      <c r="AD151" s="306"/>
      <c r="AE151" s="306"/>
      <c r="AF151" s="306"/>
      <c r="AG151" s="307"/>
      <c r="AH151" s="306"/>
      <c r="AI151" s="306"/>
      <c r="AJ151" s="306"/>
      <c r="AK151" s="306"/>
      <c r="AL151" s="306"/>
      <c r="AM151" s="306"/>
      <c r="AN151" s="306"/>
      <c r="AO151" s="306"/>
      <c r="AP151" s="306"/>
      <c r="AQ151" s="365"/>
      <c r="AR151" s="365"/>
      <c r="AS151" s="364"/>
      <c r="AT151" s="364"/>
      <c r="AU151" s="364"/>
      <c r="AV151" s="364"/>
      <c r="AW151" s="364"/>
      <c r="AX151" s="364"/>
      <c r="AY151" s="364"/>
      <c r="AZ151" s="307"/>
      <c r="BA151" s="307"/>
      <c r="BB151" s="307"/>
      <c r="BC151" s="307"/>
      <c r="BD151" s="307"/>
      <c r="BE151" s="307"/>
      <c r="BF151" s="307"/>
      <c r="BG151" s="307"/>
      <c r="BH151" s="307"/>
      <c r="BI151" s="307"/>
      <c r="BJ151" s="307"/>
      <c r="BK151" s="307"/>
      <c r="BL151" s="36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477"/>
    </row>
    <row r="152" spans="1:74" s="2" customFormat="1" ht="24.9" customHeight="1">
      <c r="A152" s="147" t="s">
        <v>85</v>
      </c>
      <c r="B152" s="356"/>
      <c r="C152" s="369"/>
      <c r="D152" s="356"/>
      <c r="E152" s="357"/>
      <c r="F152" s="358"/>
      <c r="G152" s="358"/>
      <c r="H152" s="358"/>
      <c r="I152" s="307"/>
      <c r="J152" s="307"/>
      <c r="K152" s="307"/>
      <c r="L152" s="307"/>
      <c r="M152" s="307"/>
      <c r="N152" s="307"/>
      <c r="O152" s="306"/>
      <c r="P152" s="306"/>
      <c r="Q152" s="307"/>
      <c r="R152" s="317"/>
      <c r="S152" s="317"/>
      <c r="T152" s="317"/>
      <c r="U152" s="307"/>
      <c r="V152" s="307"/>
      <c r="W152" s="307"/>
      <c r="X152" s="307"/>
      <c r="Y152" s="307"/>
      <c r="Z152" s="307"/>
      <c r="AA152" s="364"/>
      <c r="AB152" s="364"/>
      <c r="AC152" s="306"/>
      <c r="AD152" s="306"/>
      <c r="AE152" s="306"/>
      <c r="AF152" s="306"/>
      <c r="AG152" s="307"/>
      <c r="AH152" s="306"/>
      <c r="AI152" s="306"/>
      <c r="AJ152" s="306"/>
      <c r="AK152" s="306"/>
      <c r="AL152" s="306"/>
      <c r="AM152" s="306"/>
      <c r="AN152" s="306"/>
      <c r="AO152" s="306"/>
      <c r="AP152" s="306"/>
      <c r="AQ152" s="365"/>
      <c r="AR152" s="365"/>
      <c r="AS152" s="364"/>
      <c r="AT152" s="364"/>
      <c r="AU152" s="364"/>
      <c r="AV152" s="364"/>
      <c r="AW152" s="364"/>
      <c r="AX152" s="364"/>
      <c r="AY152" s="364"/>
      <c r="AZ152" s="307"/>
      <c r="BA152" s="307"/>
      <c r="BB152" s="307"/>
      <c r="BC152" s="307"/>
      <c r="BD152" s="307"/>
      <c r="BE152" s="307"/>
      <c r="BF152" s="307"/>
      <c r="BG152" s="307"/>
      <c r="BH152" s="307"/>
      <c r="BI152" s="307"/>
      <c r="BJ152" s="307"/>
      <c r="BK152" s="307"/>
      <c r="BL152" s="36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477"/>
    </row>
    <row r="153" spans="1:74" s="2" customFormat="1" ht="24.9" customHeight="1">
      <c r="A153" s="147" t="s">
        <v>85</v>
      </c>
      <c r="B153" s="356"/>
      <c r="C153" s="369"/>
      <c r="D153" s="356"/>
      <c r="E153" s="357"/>
      <c r="F153" s="358"/>
      <c r="G153" s="358"/>
      <c r="H153" s="358"/>
      <c r="I153" s="307"/>
      <c r="J153" s="307"/>
      <c r="K153" s="307"/>
      <c r="L153" s="307"/>
      <c r="M153" s="307"/>
      <c r="N153" s="307"/>
      <c r="O153" s="306"/>
      <c r="P153" s="306"/>
      <c r="Q153" s="307"/>
      <c r="R153" s="306"/>
      <c r="S153" s="306"/>
      <c r="T153" s="306"/>
      <c r="U153" s="307"/>
      <c r="V153" s="307"/>
      <c r="W153" s="307"/>
      <c r="X153" s="307"/>
      <c r="Y153" s="307"/>
      <c r="Z153" s="307"/>
      <c r="AA153" s="364"/>
      <c r="AB153" s="364"/>
      <c r="AC153" s="306"/>
      <c r="AD153" s="306"/>
      <c r="AE153" s="306"/>
      <c r="AF153" s="306"/>
      <c r="AG153" s="307"/>
      <c r="AH153" s="306"/>
      <c r="AI153" s="306"/>
      <c r="AJ153" s="306"/>
      <c r="AK153" s="306"/>
      <c r="AL153" s="306"/>
      <c r="AM153" s="306"/>
      <c r="AN153" s="306"/>
      <c r="AO153" s="306"/>
      <c r="AP153" s="306"/>
      <c r="AQ153" s="365"/>
      <c r="AR153" s="365"/>
      <c r="AS153" s="364"/>
      <c r="AT153" s="364"/>
      <c r="AU153" s="364"/>
      <c r="AV153" s="364"/>
      <c r="AW153" s="364"/>
      <c r="AX153" s="364"/>
      <c r="AY153" s="364"/>
      <c r="AZ153" s="307"/>
      <c r="BA153" s="307"/>
      <c r="BB153" s="307"/>
      <c r="BC153" s="307"/>
      <c r="BD153" s="307"/>
      <c r="BE153" s="307"/>
      <c r="BF153" s="307"/>
      <c r="BG153" s="307"/>
      <c r="BH153" s="307"/>
      <c r="BI153" s="307"/>
      <c r="BJ153" s="307"/>
      <c r="BK153" s="307"/>
      <c r="BL153" s="36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477"/>
    </row>
    <row r="154" spans="1:74" s="2" customFormat="1" ht="24.9" customHeight="1">
      <c r="A154" s="147" t="s">
        <v>85</v>
      </c>
      <c r="B154" s="343"/>
      <c r="C154" s="344"/>
      <c r="D154" s="343"/>
      <c r="E154" s="173"/>
      <c r="F154" s="345"/>
      <c r="G154" s="345"/>
      <c r="H154" s="345"/>
      <c r="I154" s="308"/>
      <c r="J154" s="416"/>
      <c r="K154" s="417"/>
      <c r="L154" s="308"/>
      <c r="M154" s="416"/>
      <c r="N154" s="417"/>
      <c r="O154" s="167"/>
      <c r="P154" s="347"/>
      <c r="Q154" s="308"/>
      <c r="R154" s="348"/>
      <c r="S154" s="521"/>
      <c r="T154" s="521"/>
      <c r="U154" s="308"/>
      <c r="V154" s="349"/>
      <c r="W154" s="350"/>
      <c r="X154" s="308"/>
      <c r="Y154" s="349"/>
      <c r="Z154" s="349"/>
      <c r="AA154" s="351"/>
      <c r="AB154" s="352"/>
      <c r="AC154" s="167"/>
      <c r="AD154" s="165"/>
      <c r="AE154" s="168"/>
      <c r="AF154" s="505"/>
      <c r="AG154" s="462"/>
      <c r="AH154" s="167"/>
      <c r="AI154" s="168"/>
      <c r="AJ154" s="167"/>
      <c r="AK154" s="168"/>
      <c r="AL154" s="167"/>
      <c r="AM154" s="168"/>
      <c r="AN154" s="167"/>
      <c r="AO154" s="165"/>
      <c r="AP154" s="165"/>
      <c r="AQ154" s="353"/>
      <c r="AR154" s="353"/>
      <c r="AS154" s="149"/>
      <c r="AT154" s="324"/>
      <c r="AU154" s="324"/>
      <c r="AV154" s="324"/>
      <c r="AW154" s="324"/>
      <c r="AX154" s="324"/>
      <c r="AY154" s="324"/>
      <c r="AZ154" s="308"/>
      <c r="BA154" s="417"/>
      <c r="BB154" s="417"/>
      <c r="BC154" s="417"/>
      <c r="BD154" s="417"/>
      <c r="BE154" s="416"/>
      <c r="BF154" s="308"/>
      <c r="BG154" s="417"/>
      <c r="BH154" s="417"/>
      <c r="BI154" s="417"/>
      <c r="BJ154" s="417"/>
      <c r="BK154" s="416"/>
      <c r="BL154" s="36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565"/>
    </row>
    <row r="155" spans="1:74" s="2" customFormat="1" ht="24.9" customHeight="1">
      <c r="A155" s="147" t="s">
        <v>85</v>
      </c>
      <c r="B155" s="158"/>
      <c r="C155" s="179"/>
      <c r="D155" s="158"/>
      <c r="E155" s="160"/>
      <c r="F155" s="161"/>
      <c r="G155" s="161"/>
      <c r="H155" s="161"/>
      <c r="I155" s="154"/>
      <c r="J155" s="418"/>
      <c r="K155" s="419"/>
      <c r="L155" s="154"/>
      <c r="M155" s="418"/>
      <c r="N155" s="419"/>
      <c r="O155" s="150"/>
      <c r="P155" s="164"/>
      <c r="Q155" s="154"/>
      <c r="R155" s="174"/>
      <c r="S155" s="523"/>
      <c r="T155" s="523"/>
      <c r="U155" s="154"/>
      <c r="V155" s="155"/>
      <c r="W155" s="156"/>
      <c r="X155" s="154"/>
      <c r="Y155" s="155"/>
      <c r="Z155" s="155"/>
      <c r="AA155" s="157"/>
      <c r="AB155" s="217"/>
      <c r="AC155" s="150"/>
      <c r="AD155" s="151"/>
      <c r="AE155" s="152"/>
      <c r="AF155" s="506"/>
      <c r="AG155" s="463"/>
      <c r="AH155" s="150"/>
      <c r="AI155" s="152"/>
      <c r="AJ155" s="150"/>
      <c r="AK155" s="152"/>
      <c r="AL155" s="150"/>
      <c r="AM155" s="152"/>
      <c r="AN155" s="150"/>
      <c r="AO155" s="151"/>
      <c r="AP155" s="151"/>
      <c r="AQ155" s="169"/>
      <c r="AR155" s="169"/>
      <c r="AS155" s="149"/>
      <c r="AT155" s="324"/>
      <c r="AU155" s="324"/>
      <c r="AV155" s="324"/>
      <c r="AW155" s="324"/>
      <c r="AX155" s="324"/>
      <c r="AY155" s="324"/>
      <c r="AZ155" s="154"/>
      <c r="BA155" s="419"/>
      <c r="BB155" s="419"/>
      <c r="BC155" s="419"/>
      <c r="BD155" s="419"/>
      <c r="BE155" s="418"/>
      <c r="BF155" s="154"/>
      <c r="BG155" s="419"/>
      <c r="BH155" s="419"/>
      <c r="BI155" s="419"/>
      <c r="BJ155" s="419"/>
      <c r="BK155" s="418"/>
      <c r="BL155" s="36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564"/>
    </row>
    <row r="156" spans="1:74" s="2" customFormat="1" ht="24.9" customHeight="1">
      <c r="A156" s="147" t="s">
        <v>85</v>
      </c>
      <c r="B156" s="158"/>
      <c r="C156" s="179"/>
      <c r="D156" s="158"/>
      <c r="E156" s="160"/>
      <c r="F156" s="161"/>
      <c r="G156" s="161"/>
      <c r="H156" s="161"/>
      <c r="I156" s="154"/>
      <c r="J156" s="418"/>
      <c r="K156" s="419"/>
      <c r="L156" s="154"/>
      <c r="M156" s="418"/>
      <c r="N156" s="419"/>
      <c r="O156" s="150"/>
      <c r="P156" s="164"/>
      <c r="Q156" s="154"/>
      <c r="R156" s="151"/>
      <c r="S156" s="522"/>
      <c r="T156" s="522"/>
      <c r="U156" s="154"/>
      <c r="V156" s="155"/>
      <c r="W156" s="156"/>
      <c r="X156" s="154"/>
      <c r="Y156" s="155"/>
      <c r="Z156" s="155"/>
      <c r="AA156" s="157"/>
      <c r="AB156" s="217"/>
      <c r="AC156" s="150"/>
      <c r="AD156" s="151"/>
      <c r="AE156" s="152"/>
      <c r="AF156" s="297"/>
      <c r="AG156" s="154"/>
      <c r="AH156" s="150"/>
      <c r="AI156" s="152"/>
      <c r="AJ156" s="150"/>
      <c r="AK156" s="152"/>
      <c r="AL156" s="150"/>
      <c r="AM156" s="152"/>
      <c r="AN156" s="150"/>
      <c r="AO156" s="151"/>
      <c r="AP156" s="151"/>
      <c r="AQ156" s="169"/>
      <c r="AR156" s="169"/>
      <c r="AS156" s="149"/>
      <c r="AT156" s="324"/>
      <c r="AU156" s="324"/>
      <c r="AV156" s="324"/>
      <c r="AW156" s="324"/>
      <c r="AX156" s="324"/>
      <c r="AY156" s="324"/>
      <c r="AZ156" s="154"/>
      <c r="BA156" s="419"/>
      <c r="BB156" s="419"/>
      <c r="BC156" s="419"/>
      <c r="BD156" s="419"/>
      <c r="BE156" s="418"/>
      <c r="BF156" s="154"/>
      <c r="BG156" s="419"/>
      <c r="BH156" s="419"/>
      <c r="BI156" s="419"/>
      <c r="BJ156" s="419"/>
      <c r="BK156" s="418"/>
      <c r="BL156" s="36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431"/>
    </row>
    <row r="157" spans="1:74" s="2" customFormat="1" ht="24.9" customHeight="1">
      <c r="A157" s="147" t="s">
        <v>85</v>
      </c>
      <c r="B157" s="158"/>
      <c r="C157" s="179"/>
      <c r="D157" s="158"/>
      <c r="E157" s="160"/>
      <c r="F157" s="161"/>
      <c r="G157" s="161"/>
      <c r="H157" s="161"/>
      <c r="I157" s="154"/>
      <c r="J157" s="418"/>
      <c r="K157" s="419"/>
      <c r="L157" s="154"/>
      <c r="M157" s="418"/>
      <c r="N157" s="419"/>
      <c r="O157" s="150"/>
      <c r="P157" s="164"/>
      <c r="Q157" s="154"/>
      <c r="R157" s="174"/>
      <c r="S157" s="523"/>
      <c r="T157" s="523"/>
      <c r="U157" s="154"/>
      <c r="V157" s="155"/>
      <c r="W157" s="156"/>
      <c r="X157" s="154"/>
      <c r="Y157" s="155"/>
      <c r="Z157" s="155"/>
      <c r="AA157" s="157"/>
      <c r="AB157" s="217"/>
      <c r="AC157" s="150"/>
      <c r="AD157" s="151"/>
      <c r="AE157" s="152"/>
      <c r="AF157" s="506"/>
      <c r="AG157" s="463"/>
      <c r="AH157" s="150"/>
      <c r="AI157" s="152"/>
      <c r="AJ157" s="150"/>
      <c r="AK157" s="152"/>
      <c r="AL157" s="150"/>
      <c r="AM157" s="152"/>
      <c r="AN157" s="150"/>
      <c r="AO157" s="151"/>
      <c r="AP157" s="151"/>
      <c r="AQ157" s="169"/>
      <c r="AR157" s="169"/>
      <c r="AS157" s="149"/>
      <c r="AT157" s="324"/>
      <c r="AU157" s="324"/>
      <c r="AV157" s="324"/>
      <c r="AW157" s="324"/>
      <c r="AX157" s="324"/>
      <c r="AY157" s="324"/>
      <c r="AZ157" s="154"/>
      <c r="BA157" s="419"/>
      <c r="BB157" s="419"/>
      <c r="BC157" s="419"/>
      <c r="BD157" s="419"/>
      <c r="BE157" s="418"/>
      <c r="BF157" s="154"/>
      <c r="BG157" s="419"/>
      <c r="BH157" s="419"/>
      <c r="BI157" s="419"/>
      <c r="BJ157" s="419"/>
      <c r="BK157" s="418"/>
      <c r="BL157" s="36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432"/>
    </row>
    <row r="158" spans="1:74" s="2" customFormat="1" ht="24.9" customHeight="1">
      <c r="A158" s="147" t="s">
        <v>85</v>
      </c>
      <c r="B158" s="158"/>
      <c r="C158" s="179"/>
      <c r="D158" s="158"/>
      <c r="E158" s="160"/>
      <c r="F158" s="161"/>
      <c r="G158" s="161"/>
      <c r="H158" s="161"/>
      <c r="I158" s="154"/>
      <c r="J158" s="418"/>
      <c r="K158" s="419"/>
      <c r="L158" s="154"/>
      <c r="M158" s="418"/>
      <c r="N158" s="419"/>
      <c r="O158" s="150"/>
      <c r="P158" s="164"/>
      <c r="Q158" s="154"/>
      <c r="R158" s="174"/>
      <c r="S158" s="523"/>
      <c r="T158" s="523"/>
      <c r="U158" s="154"/>
      <c r="V158" s="155"/>
      <c r="W158" s="156"/>
      <c r="X158" s="154"/>
      <c r="Y158" s="155"/>
      <c r="Z158" s="155"/>
      <c r="AA158" s="157"/>
      <c r="AB158" s="217"/>
      <c r="AC158" s="150"/>
      <c r="AD158" s="151"/>
      <c r="AE158" s="152"/>
      <c r="AF158" s="506"/>
      <c r="AG158" s="463"/>
      <c r="AH158" s="150"/>
      <c r="AI158" s="152"/>
      <c r="AJ158" s="150"/>
      <c r="AK158" s="152"/>
      <c r="AL158" s="150"/>
      <c r="AM158" s="152"/>
      <c r="AN158" s="150"/>
      <c r="AO158" s="151"/>
      <c r="AP158" s="151"/>
      <c r="AQ158" s="169"/>
      <c r="AR158" s="169"/>
      <c r="AS158" s="149"/>
      <c r="AT158" s="324"/>
      <c r="AU158" s="324"/>
      <c r="AV158" s="324"/>
      <c r="AW158" s="324"/>
      <c r="AX158" s="324"/>
      <c r="AY158" s="324"/>
      <c r="AZ158" s="154"/>
      <c r="BA158" s="419"/>
      <c r="BB158" s="419"/>
      <c r="BC158" s="419"/>
      <c r="BD158" s="419"/>
      <c r="BE158" s="418"/>
      <c r="BF158" s="154"/>
      <c r="BG158" s="419"/>
      <c r="BH158" s="419"/>
      <c r="BI158" s="419"/>
      <c r="BJ158" s="419"/>
      <c r="BK158" s="418"/>
      <c r="BL158" s="36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561"/>
    </row>
    <row r="159" spans="1:74" s="2" customFormat="1" ht="24.9" customHeight="1">
      <c r="A159" s="147" t="s">
        <v>85</v>
      </c>
      <c r="B159" s="158"/>
      <c r="C159" s="179"/>
      <c r="D159" s="158"/>
      <c r="E159" s="160"/>
      <c r="F159" s="161"/>
      <c r="G159" s="161"/>
      <c r="H159" s="161"/>
      <c r="I159" s="154"/>
      <c r="J159" s="418"/>
      <c r="K159" s="419"/>
      <c r="L159" s="154"/>
      <c r="M159" s="418"/>
      <c r="N159" s="419"/>
      <c r="O159" s="150"/>
      <c r="P159" s="164"/>
      <c r="Q159" s="154"/>
      <c r="R159" s="174"/>
      <c r="S159" s="523"/>
      <c r="T159" s="523"/>
      <c r="U159" s="154"/>
      <c r="V159" s="155"/>
      <c r="W159" s="156"/>
      <c r="X159" s="154"/>
      <c r="Y159" s="155"/>
      <c r="Z159" s="155"/>
      <c r="AA159" s="157"/>
      <c r="AB159" s="217"/>
      <c r="AC159" s="150"/>
      <c r="AD159" s="151"/>
      <c r="AE159" s="152"/>
      <c r="AF159" s="506"/>
      <c r="AG159" s="463"/>
      <c r="AH159" s="150"/>
      <c r="AI159" s="152"/>
      <c r="AJ159" s="150"/>
      <c r="AK159" s="152"/>
      <c r="AL159" s="150"/>
      <c r="AM159" s="152"/>
      <c r="AN159" s="150"/>
      <c r="AO159" s="151"/>
      <c r="AP159" s="151"/>
      <c r="AQ159" s="169"/>
      <c r="AR159" s="169"/>
      <c r="AS159" s="149"/>
      <c r="AT159" s="324"/>
      <c r="AU159" s="324"/>
      <c r="AV159" s="324"/>
      <c r="AW159" s="324"/>
      <c r="AX159" s="324"/>
      <c r="AY159" s="324"/>
      <c r="AZ159" s="154"/>
      <c r="BA159" s="419"/>
      <c r="BB159" s="419"/>
      <c r="BC159" s="419"/>
      <c r="BD159" s="419"/>
      <c r="BE159" s="418"/>
      <c r="BF159" s="154"/>
      <c r="BG159" s="419"/>
      <c r="BH159" s="419"/>
      <c r="BI159" s="419"/>
      <c r="BJ159" s="419"/>
      <c r="BK159" s="418"/>
      <c r="BL159" s="36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431"/>
    </row>
    <row r="160" spans="1:74" s="2" customFormat="1" ht="24.9" customHeight="1">
      <c r="A160" s="147" t="s">
        <v>85</v>
      </c>
      <c r="B160" s="158"/>
      <c r="C160" s="179"/>
      <c r="D160" s="158"/>
      <c r="E160" s="160"/>
      <c r="F160" s="161"/>
      <c r="G160" s="161"/>
      <c r="H160" s="161"/>
      <c r="I160" s="154"/>
      <c r="J160" s="418"/>
      <c r="K160" s="419"/>
      <c r="L160" s="154"/>
      <c r="M160" s="418"/>
      <c r="N160" s="419"/>
      <c r="O160" s="150"/>
      <c r="P160" s="164"/>
      <c r="Q160" s="154"/>
      <c r="R160" s="151"/>
      <c r="S160" s="522"/>
      <c r="T160" s="522"/>
      <c r="U160" s="154"/>
      <c r="V160" s="155"/>
      <c r="W160" s="156"/>
      <c r="X160" s="154"/>
      <c r="Y160" s="155"/>
      <c r="Z160" s="155"/>
      <c r="AA160" s="157"/>
      <c r="AB160" s="217"/>
      <c r="AC160" s="150"/>
      <c r="AD160" s="151"/>
      <c r="AE160" s="152"/>
      <c r="AF160" s="506"/>
      <c r="AG160" s="463"/>
      <c r="AH160" s="150"/>
      <c r="AI160" s="152"/>
      <c r="AJ160" s="150"/>
      <c r="AK160" s="152"/>
      <c r="AL160" s="150"/>
      <c r="AM160" s="152"/>
      <c r="AN160" s="150"/>
      <c r="AO160" s="151"/>
      <c r="AP160" s="151"/>
      <c r="AQ160" s="169"/>
      <c r="AR160" s="169"/>
      <c r="AS160" s="149"/>
      <c r="AT160" s="324"/>
      <c r="AU160" s="324"/>
      <c r="AV160" s="324"/>
      <c r="AW160" s="324"/>
      <c r="AX160" s="324"/>
      <c r="AY160" s="324"/>
      <c r="AZ160" s="154"/>
      <c r="BA160" s="419"/>
      <c r="BB160" s="419"/>
      <c r="BC160" s="419"/>
      <c r="BD160" s="419"/>
      <c r="BE160" s="418"/>
      <c r="BF160" s="154"/>
      <c r="BG160" s="419"/>
      <c r="BH160" s="419"/>
      <c r="BI160" s="419"/>
      <c r="BJ160" s="419"/>
      <c r="BK160" s="418"/>
      <c r="BL160" s="36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432"/>
    </row>
    <row r="161" spans="1:74" s="2" customFormat="1" ht="24.9" customHeight="1">
      <c r="A161" s="147" t="s">
        <v>85</v>
      </c>
      <c r="B161" s="158"/>
      <c r="C161" s="179"/>
      <c r="D161" s="158"/>
      <c r="E161" s="160"/>
      <c r="F161" s="161"/>
      <c r="G161" s="161"/>
      <c r="H161" s="161"/>
      <c r="I161" s="154"/>
      <c r="J161" s="418"/>
      <c r="K161" s="419"/>
      <c r="L161" s="154"/>
      <c r="M161" s="418"/>
      <c r="N161" s="419"/>
      <c r="O161" s="150"/>
      <c r="P161" s="164"/>
      <c r="Q161" s="154"/>
      <c r="R161" s="174"/>
      <c r="S161" s="523"/>
      <c r="T161" s="523"/>
      <c r="U161" s="154"/>
      <c r="V161" s="155"/>
      <c r="W161" s="156"/>
      <c r="X161" s="154"/>
      <c r="Y161" s="155"/>
      <c r="Z161" s="155"/>
      <c r="AA161" s="157"/>
      <c r="AB161" s="217"/>
      <c r="AC161" s="150"/>
      <c r="AD161" s="151"/>
      <c r="AE161" s="152"/>
      <c r="AF161" s="506"/>
      <c r="AG161" s="463"/>
      <c r="AH161" s="150"/>
      <c r="AI161" s="152"/>
      <c r="AJ161" s="150"/>
      <c r="AK161" s="152"/>
      <c r="AL161" s="150"/>
      <c r="AM161" s="152"/>
      <c r="AN161" s="150"/>
      <c r="AO161" s="151"/>
      <c r="AP161" s="151"/>
      <c r="AQ161" s="169"/>
      <c r="AR161" s="169"/>
      <c r="AS161" s="149"/>
      <c r="AT161" s="324"/>
      <c r="AU161" s="324"/>
      <c r="AV161" s="324"/>
      <c r="AW161" s="324"/>
      <c r="AX161" s="324"/>
      <c r="AY161" s="324"/>
      <c r="AZ161" s="154"/>
      <c r="BA161" s="419"/>
      <c r="BB161" s="419"/>
      <c r="BC161" s="419"/>
      <c r="BD161" s="419"/>
      <c r="BE161" s="418"/>
      <c r="BF161" s="154"/>
      <c r="BG161" s="419"/>
      <c r="BH161" s="419"/>
      <c r="BI161" s="419"/>
      <c r="BJ161" s="419"/>
      <c r="BK161" s="418"/>
      <c r="BL161" s="36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561"/>
    </row>
    <row r="162" spans="1:74" s="2" customFormat="1" ht="24.9" customHeight="1">
      <c r="A162" s="147" t="s">
        <v>85</v>
      </c>
      <c r="B162" s="158"/>
      <c r="C162" s="179"/>
      <c r="D162" s="158"/>
      <c r="E162" s="160"/>
      <c r="F162" s="161"/>
      <c r="G162" s="161"/>
      <c r="H162" s="161"/>
      <c r="I162" s="154"/>
      <c r="J162" s="418"/>
      <c r="K162" s="419"/>
      <c r="L162" s="154"/>
      <c r="M162" s="418"/>
      <c r="N162" s="419"/>
      <c r="O162" s="150"/>
      <c r="P162" s="164"/>
      <c r="Q162" s="154"/>
      <c r="R162" s="174"/>
      <c r="S162" s="523"/>
      <c r="T162" s="523"/>
      <c r="U162" s="154"/>
      <c r="V162" s="155"/>
      <c r="W162" s="156"/>
      <c r="X162" s="154"/>
      <c r="Y162" s="155"/>
      <c r="Z162" s="155"/>
      <c r="AA162" s="157"/>
      <c r="AB162" s="217"/>
      <c r="AC162" s="150"/>
      <c r="AD162" s="151"/>
      <c r="AE162" s="152"/>
      <c r="AF162" s="506"/>
      <c r="AG162" s="463"/>
      <c r="AH162" s="150"/>
      <c r="AI162" s="152"/>
      <c r="AJ162" s="150"/>
      <c r="AK162" s="152"/>
      <c r="AL162" s="150"/>
      <c r="AM162" s="152"/>
      <c r="AN162" s="150"/>
      <c r="AO162" s="151"/>
      <c r="AP162" s="151"/>
      <c r="AQ162" s="169"/>
      <c r="AR162" s="169"/>
      <c r="AS162" s="149"/>
      <c r="AT162" s="324"/>
      <c r="AU162" s="324"/>
      <c r="AV162" s="324"/>
      <c r="AW162" s="324"/>
      <c r="AX162" s="324"/>
      <c r="AY162" s="324"/>
      <c r="AZ162" s="154"/>
      <c r="BA162" s="419"/>
      <c r="BB162" s="419"/>
      <c r="BC162" s="419"/>
      <c r="BD162" s="419"/>
      <c r="BE162" s="418"/>
      <c r="BF162" s="154"/>
      <c r="BG162" s="419"/>
      <c r="BH162" s="419"/>
      <c r="BI162" s="419"/>
      <c r="BJ162" s="419"/>
      <c r="BK162" s="418"/>
      <c r="BL162" s="36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431"/>
    </row>
    <row r="163" spans="1:74" s="2" customFormat="1" ht="24.9" customHeight="1">
      <c r="A163" s="147" t="s">
        <v>85</v>
      </c>
      <c r="B163" s="158"/>
      <c r="C163" s="179"/>
      <c r="D163" s="158"/>
      <c r="E163" s="160"/>
      <c r="F163" s="161"/>
      <c r="G163" s="161"/>
      <c r="H163" s="161"/>
      <c r="I163" s="154"/>
      <c r="J163" s="154"/>
      <c r="K163" s="154"/>
      <c r="L163" s="154"/>
      <c r="M163" s="154"/>
      <c r="N163" s="154"/>
      <c r="O163" s="161"/>
      <c r="P163" s="161"/>
      <c r="Q163" s="154"/>
      <c r="R163" s="151"/>
      <c r="S163" s="522"/>
      <c r="T163" s="522"/>
      <c r="U163" s="154"/>
      <c r="V163" s="155"/>
      <c r="W163" s="156"/>
      <c r="X163" s="154"/>
      <c r="Y163" s="155"/>
      <c r="Z163" s="155"/>
      <c r="AA163" s="157"/>
      <c r="AB163" s="217"/>
      <c r="AC163" s="150"/>
      <c r="AD163" s="151"/>
      <c r="AE163" s="152"/>
      <c r="AF163" s="506"/>
      <c r="AG163" s="463"/>
      <c r="AH163" s="150"/>
      <c r="AI163" s="152"/>
      <c r="AJ163" s="150"/>
      <c r="AK163" s="152"/>
      <c r="AL163" s="150"/>
      <c r="AM163" s="152"/>
      <c r="AN163" s="150"/>
      <c r="AO163" s="151"/>
      <c r="AP163" s="151"/>
      <c r="AQ163" s="169"/>
      <c r="AR163" s="169"/>
      <c r="AS163" s="149"/>
      <c r="AT163" s="324"/>
      <c r="AU163" s="324"/>
      <c r="AV163" s="324"/>
      <c r="AW163" s="324"/>
      <c r="AX163" s="324"/>
      <c r="AY163" s="324"/>
      <c r="AZ163" s="154"/>
      <c r="BA163" s="419"/>
      <c r="BB163" s="419"/>
      <c r="BC163" s="419"/>
      <c r="BD163" s="419"/>
      <c r="BE163" s="418"/>
      <c r="BF163" s="154"/>
      <c r="BG163" s="419"/>
      <c r="BH163" s="419"/>
      <c r="BI163" s="419"/>
      <c r="BJ163" s="419"/>
      <c r="BK163" s="418"/>
      <c r="BL163" s="36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432"/>
    </row>
    <row r="164" spans="1:74" s="2" customFormat="1" ht="24.9" customHeight="1">
      <c r="A164" s="147" t="s">
        <v>85</v>
      </c>
      <c r="B164" s="158"/>
      <c r="C164" s="179"/>
      <c r="D164" s="158"/>
      <c r="E164" s="160"/>
      <c r="F164" s="161"/>
      <c r="G164" s="161"/>
      <c r="H164" s="161"/>
      <c r="I164" s="154"/>
      <c r="J164" s="154"/>
      <c r="K164" s="154"/>
      <c r="L164" s="154"/>
      <c r="M164" s="154"/>
      <c r="N164" s="154"/>
      <c r="O164" s="161"/>
      <c r="P164" s="161"/>
      <c r="Q164" s="154"/>
      <c r="R164" s="174"/>
      <c r="S164" s="523"/>
      <c r="T164" s="523"/>
      <c r="U164" s="154"/>
      <c r="V164" s="155"/>
      <c r="W164" s="156"/>
      <c r="X164" s="154"/>
      <c r="Y164" s="155"/>
      <c r="Z164" s="155"/>
      <c r="AA164" s="157"/>
      <c r="AB164" s="217"/>
      <c r="AC164" s="150"/>
      <c r="AD164" s="151"/>
      <c r="AE164" s="152"/>
      <c r="AF164" s="506"/>
      <c r="AG164" s="463"/>
      <c r="AH164" s="150"/>
      <c r="AI164" s="152"/>
      <c r="AJ164" s="150"/>
      <c r="AK164" s="152"/>
      <c r="AL164" s="150"/>
      <c r="AM164" s="152"/>
      <c r="AN164" s="150"/>
      <c r="AO164" s="151"/>
      <c r="AP164" s="151"/>
      <c r="AQ164" s="169"/>
      <c r="AR164" s="169"/>
      <c r="AS164" s="149"/>
      <c r="AT164" s="324"/>
      <c r="AU164" s="324"/>
      <c r="AV164" s="324"/>
      <c r="AW164" s="324"/>
      <c r="AX164" s="324"/>
      <c r="AY164" s="324"/>
      <c r="AZ164" s="154"/>
      <c r="BA164" s="419"/>
      <c r="BB164" s="419"/>
      <c r="BC164" s="419"/>
      <c r="BD164" s="419"/>
      <c r="BE164" s="418"/>
      <c r="BF164" s="154"/>
      <c r="BG164" s="419"/>
      <c r="BH164" s="419"/>
      <c r="BI164" s="419"/>
      <c r="BJ164" s="419"/>
      <c r="BK164" s="418"/>
      <c r="BL164" s="36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561"/>
    </row>
    <row r="165" spans="1:74" s="2" customFormat="1" ht="24.9" customHeight="1">
      <c r="A165" s="147" t="s">
        <v>85</v>
      </c>
      <c r="B165" s="158"/>
      <c r="C165" s="179"/>
      <c r="D165" s="158"/>
      <c r="E165" s="160"/>
      <c r="F165" s="161"/>
      <c r="G165" s="161"/>
      <c r="H165" s="161"/>
      <c r="I165" s="154"/>
      <c r="J165" s="154"/>
      <c r="K165" s="154"/>
      <c r="L165" s="154"/>
      <c r="M165" s="154"/>
      <c r="N165" s="154"/>
      <c r="O165" s="161"/>
      <c r="P165" s="161"/>
      <c r="Q165" s="154"/>
      <c r="R165" s="174"/>
      <c r="S165" s="523"/>
      <c r="T165" s="523"/>
      <c r="U165" s="154"/>
      <c r="V165" s="155"/>
      <c r="W165" s="156"/>
      <c r="X165" s="154"/>
      <c r="Y165" s="155"/>
      <c r="Z165" s="155"/>
      <c r="AA165" s="157"/>
      <c r="AB165" s="217"/>
      <c r="AC165" s="150"/>
      <c r="AD165" s="151"/>
      <c r="AE165" s="152"/>
      <c r="AF165" s="506"/>
      <c r="AG165" s="463"/>
      <c r="AH165" s="150"/>
      <c r="AI165" s="152"/>
      <c r="AJ165" s="150"/>
      <c r="AK165" s="152"/>
      <c r="AL165" s="150"/>
      <c r="AM165" s="152"/>
      <c r="AN165" s="150"/>
      <c r="AO165" s="151"/>
      <c r="AP165" s="151"/>
      <c r="AQ165" s="169"/>
      <c r="AR165" s="169"/>
      <c r="AS165" s="149"/>
      <c r="AT165" s="324"/>
      <c r="AU165" s="324"/>
      <c r="AV165" s="324"/>
      <c r="AW165" s="324"/>
      <c r="AX165" s="324"/>
      <c r="AY165" s="324"/>
      <c r="AZ165" s="154"/>
      <c r="BA165" s="419"/>
      <c r="BB165" s="419"/>
      <c r="BC165" s="419"/>
      <c r="BD165" s="419"/>
      <c r="BE165" s="418"/>
      <c r="BF165" s="154"/>
      <c r="BG165" s="419"/>
      <c r="BH165" s="419"/>
      <c r="BI165" s="419"/>
      <c r="BJ165" s="419"/>
      <c r="BK165" s="418"/>
      <c r="BL165" s="36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565"/>
    </row>
    <row r="166" spans="1:74" s="2" customFormat="1" ht="24.9" customHeight="1">
      <c r="A166" s="147" t="s">
        <v>85</v>
      </c>
      <c r="B166" s="158"/>
      <c r="C166" s="179"/>
      <c r="D166" s="158"/>
      <c r="E166" s="160"/>
      <c r="F166" s="161"/>
      <c r="G166" s="161"/>
      <c r="H166" s="161"/>
      <c r="I166" s="154"/>
      <c r="J166" s="154"/>
      <c r="K166" s="154"/>
      <c r="L166" s="154"/>
      <c r="M166" s="154"/>
      <c r="N166" s="154"/>
      <c r="O166" s="161"/>
      <c r="P166" s="161"/>
      <c r="Q166" s="154"/>
      <c r="R166" s="174"/>
      <c r="S166" s="523"/>
      <c r="T166" s="523"/>
      <c r="U166" s="154"/>
      <c r="V166" s="155"/>
      <c r="W166" s="156"/>
      <c r="X166" s="154"/>
      <c r="Y166" s="155"/>
      <c r="Z166" s="155"/>
      <c r="AA166" s="157"/>
      <c r="AB166" s="217"/>
      <c r="AC166" s="150"/>
      <c r="AD166" s="151"/>
      <c r="AE166" s="152"/>
      <c r="AF166" s="506"/>
      <c r="AG166" s="463"/>
      <c r="AH166" s="150"/>
      <c r="AI166" s="152"/>
      <c r="AJ166" s="150"/>
      <c r="AK166" s="152"/>
      <c r="AL166" s="150"/>
      <c r="AM166" s="152"/>
      <c r="AN166" s="150"/>
      <c r="AO166" s="151"/>
      <c r="AP166" s="151"/>
      <c r="AQ166" s="169"/>
      <c r="AR166" s="169"/>
      <c r="AS166" s="149"/>
      <c r="AT166" s="324"/>
      <c r="AU166" s="324"/>
      <c r="AV166" s="324"/>
      <c r="AW166" s="324"/>
      <c r="AX166" s="324"/>
      <c r="AY166" s="324"/>
      <c r="AZ166" s="154"/>
      <c r="BA166" s="419"/>
      <c r="BB166" s="419"/>
      <c r="BC166" s="419"/>
      <c r="BD166" s="419"/>
      <c r="BE166" s="418"/>
      <c r="BF166" s="154"/>
      <c r="BG166" s="419"/>
      <c r="BH166" s="419"/>
      <c r="BI166" s="419"/>
      <c r="BJ166" s="419"/>
      <c r="BK166" s="418"/>
      <c r="BL166" s="36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564"/>
    </row>
    <row r="167" spans="1:74" s="2" customFormat="1" ht="24.9" customHeight="1">
      <c r="A167" s="147" t="s">
        <v>85</v>
      </c>
      <c r="B167" s="158"/>
      <c r="C167" s="179"/>
      <c r="D167" s="158"/>
      <c r="E167" s="160"/>
      <c r="F167" s="161"/>
      <c r="G167" s="161"/>
      <c r="H167" s="161"/>
      <c r="I167" s="154"/>
      <c r="J167" s="154"/>
      <c r="K167" s="154"/>
      <c r="L167" s="154"/>
      <c r="M167" s="154"/>
      <c r="N167" s="154"/>
      <c r="O167" s="161"/>
      <c r="P167" s="161"/>
      <c r="Q167" s="154"/>
      <c r="R167" s="174"/>
      <c r="S167" s="523"/>
      <c r="T167" s="523"/>
      <c r="U167" s="154"/>
      <c r="V167" s="155"/>
      <c r="W167" s="156"/>
      <c r="X167" s="154"/>
      <c r="Y167" s="155"/>
      <c r="Z167" s="155"/>
      <c r="AA167" s="157"/>
      <c r="AB167" s="217"/>
      <c r="AC167" s="150"/>
      <c r="AD167" s="151"/>
      <c r="AE167" s="152"/>
      <c r="AF167" s="506"/>
      <c r="AG167" s="463"/>
      <c r="AH167" s="150"/>
      <c r="AI167" s="152"/>
      <c r="AJ167" s="150"/>
      <c r="AK167" s="152"/>
      <c r="AL167" s="150"/>
      <c r="AM167" s="152"/>
      <c r="AN167" s="150"/>
      <c r="AO167" s="151"/>
      <c r="AP167" s="151"/>
      <c r="AQ167" s="169"/>
      <c r="AR167" s="169"/>
      <c r="AS167" s="149"/>
      <c r="AT167" s="324"/>
      <c r="AU167" s="324"/>
      <c r="AV167" s="324"/>
      <c r="AW167" s="324"/>
      <c r="AX167" s="324"/>
      <c r="AY167" s="324"/>
      <c r="AZ167" s="154"/>
      <c r="BA167" s="419"/>
      <c r="BB167" s="419"/>
      <c r="BC167" s="419"/>
      <c r="BD167" s="419"/>
      <c r="BE167" s="418"/>
      <c r="BF167" s="154"/>
      <c r="BG167" s="419"/>
      <c r="BH167" s="419"/>
      <c r="BI167" s="419"/>
      <c r="BJ167" s="419"/>
      <c r="BK167" s="418"/>
      <c r="BL167" s="36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431"/>
    </row>
    <row r="168" spans="1:74" s="2" customFormat="1" ht="24.9" customHeight="1">
      <c r="A168" s="147" t="s">
        <v>85</v>
      </c>
      <c r="B168" s="158"/>
      <c r="C168" s="179"/>
      <c r="D168" s="158"/>
      <c r="E168" s="160"/>
      <c r="F168" s="161"/>
      <c r="G168" s="161"/>
      <c r="H168" s="161"/>
      <c r="I168" s="154"/>
      <c r="J168" s="154"/>
      <c r="K168" s="154"/>
      <c r="L168" s="154"/>
      <c r="M168" s="154"/>
      <c r="N168" s="154"/>
      <c r="O168" s="161"/>
      <c r="P168" s="161"/>
      <c r="Q168" s="154"/>
      <c r="R168" s="174"/>
      <c r="S168" s="523"/>
      <c r="T168" s="523"/>
      <c r="U168" s="154"/>
      <c r="V168" s="155"/>
      <c r="W168" s="156"/>
      <c r="X168" s="154"/>
      <c r="Y168" s="155"/>
      <c r="Z168" s="155"/>
      <c r="AA168" s="157"/>
      <c r="AB168" s="217"/>
      <c r="AC168" s="150"/>
      <c r="AD168" s="151"/>
      <c r="AE168" s="152"/>
      <c r="AF168" s="506"/>
      <c r="AG168" s="463"/>
      <c r="AH168" s="150"/>
      <c r="AI168" s="152"/>
      <c r="AJ168" s="150"/>
      <c r="AK168" s="152"/>
      <c r="AL168" s="150"/>
      <c r="AM168" s="152"/>
      <c r="AN168" s="150"/>
      <c r="AO168" s="151"/>
      <c r="AP168" s="151"/>
      <c r="AQ168" s="169"/>
      <c r="AR168" s="169"/>
      <c r="AS168" s="149"/>
      <c r="AT168" s="324"/>
      <c r="AU168" s="324"/>
      <c r="AV168" s="324"/>
      <c r="AW168" s="324"/>
      <c r="AX168" s="324"/>
      <c r="AY168" s="324"/>
      <c r="AZ168" s="154"/>
      <c r="BA168" s="419"/>
      <c r="BB168" s="419"/>
      <c r="BC168" s="419"/>
      <c r="BD168" s="419"/>
      <c r="BE168" s="418"/>
      <c r="BF168" s="154"/>
      <c r="BG168" s="419"/>
      <c r="BH168" s="419"/>
      <c r="BI168" s="419"/>
      <c r="BJ168" s="419"/>
      <c r="BK168" s="418"/>
      <c r="BL168" s="36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561"/>
    </row>
    <row r="169" spans="1:74" s="2" customFormat="1" ht="24.9" customHeight="1">
      <c r="A169" s="147" t="s">
        <v>85</v>
      </c>
      <c r="B169" s="158"/>
      <c r="C169" s="179"/>
      <c r="D169" s="158"/>
      <c r="E169" s="160"/>
      <c r="F169" s="161"/>
      <c r="G169" s="161"/>
      <c r="H169" s="161"/>
      <c r="I169" s="154"/>
      <c r="J169" s="154"/>
      <c r="K169" s="154"/>
      <c r="L169" s="154"/>
      <c r="M169" s="154"/>
      <c r="N169" s="154"/>
      <c r="O169" s="161"/>
      <c r="P169" s="161"/>
      <c r="Q169" s="154"/>
      <c r="R169" s="174"/>
      <c r="S169" s="523"/>
      <c r="T169" s="523"/>
      <c r="U169" s="154"/>
      <c r="V169" s="155"/>
      <c r="W169" s="156"/>
      <c r="X169" s="154"/>
      <c r="Y169" s="155"/>
      <c r="Z169" s="155"/>
      <c r="AA169" s="157"/>
      <c r="AB169" s="217"/>
      <c r="AC169" s="150"/>
      <c r="AD169" s="151"/>
      <c r="AE169" s="152"/>
      <c r="AF169" s="506"/>
      <c r="AG169" s="463"/>
      <c r="AH169" s="150"/>
      <c r="AI169" s="152"/>
      <c r="AJ169" s="150"/>
      <c r="AK169" s="152"/>
      <c r="AL169" s="150"/>
      <c r="AM169" s="152"/>
      <c r="AN169" s="150"/>
      <c r="AO169" s="151"/>
      <c r="AP169" s="151"/>
      <c r="AQ169" s="169"/>
      <c r="AR169" s="169"/>
      <c r="AS169" s="149"/>
      <c r="AT169" s="324"/>
      <c r="AU169" s="324"/>
      <c r="AV169" s="324"/>
      <c r="AW169" s="324"/>
      <c r="AX169" s="324"/>
      <c r="AY169" s="324"/>
      <c r="AZ169" s="154"/>
      <c r="BA169" s="419"/>
      <c r="BB169" s="419"/>
      <c r="BC169" s="419"/>
      <c r="BD169" s="419"/>
      <c r="BE169" s="418"/>
      <c r="BF169" s="154"/>
      <c r="BG169" s="419"/>
      <c r="BH169" s="419"/>
      <c r="BI169" s="419"/>
      <c r="BJ169" s="419"/>
      <c r="BK169" s="418"/>
      <c r="BL169" s="36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431"/>
    </row>
    <row r="170" spans="1:74" s="2" customFormat="1" ht="24.9" customHeight="1">
      <c r="A170" s="147" t="s">
        <v>85</v>
      </c>
      <c r="B170" s="158"/>
      <c r="C170" s="179"/>
      <c r="D170" s="158"/>
      <c r="E170" s="160"/>
      <c r="F170" s="161"/>
      <c r="G170" s="161"/>
      <c r="H170" s="161"/>
      <c r="I170" s="154"/>
      <c r="J170" s="418"/>
      <c r="K170" s="419"/>
      <c r="L170" s="154"/>
      <c r="M170" s="418"/>
      <c r="N170" s="419"/>
      <c r="O170" s="150"/>
      <c r="P170" s="164"/>
      <c r="Q170" s="154"/>
      <c r="R170" s="151"/>
      <c r="S170" s="522"/>
      <c r="T170" s="522"/>
      <c r="U170" s="154"/>
      <c r="V170" s="155"/>
      <c r="W170" s="156"/>
      <c r="X170" s="154"/>
      <c r="Y170" s="155"/>
      <c r="Z170" s="155"/>
      <c r="AA170" s="157"/>
      <c r="AB170" s="217"/>
      <c r="AC170" s="150"/>
      <c r="AD170" s="151"/>
      <c r="AE170" s="152"/>
      <c r="AF170" s="506"/>
      <c r="AG170" s="463"/>
      <c r="AH170" s="150"/>
      <c r="AI170" s="152"/>
      <c r="AJ170" s="150"/>
      <c r="AK170" s="152"/>
      <c r="AL170" s="150"/>
      <c r="AM170" s="152"/>
      <c r="AN170" s="150"/>
      <c r="AO170" s="151"/>
      <c r="AP170" s="151"/>
      <c r="AQ170" s="169"/>
      <c r="AR170" s="169"/>
      <c r="AS170" s="149"/>
      <c r="AT170" s="324"/>
      <c r="AU170" s="324"/>
      <c r="AV170" s="324"/>
      <c r="AW170" s="324"/>
      <c r="AX170" s="324"/>
      <c r="AY170" s="324"/>
      <c r="AZ170" s="154"/>
      <c r="BA170" s="419"/>
      <c r="BB170" s="419"/>
      <c r="BC170" s="419"/>
      <c r="BD170" s="419"/>
      <c r="BE170" s="418"/>
      <c r="BF170" s="154"/>
      <c r="BG170" s="419"/>
      <c r="BH170" s="419"/>
      <c r="BI170" s="419"/>
      <c r="BJ170" s="419"/>
      <c r="BK170" s="418"/>
      <c r="BL170" s="36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432"/>
    </row>
    <row r="171" spans="1:74" s="2" customFormat="1" ht="24.9" customHeight="1">
      <c r="A171" s="147" t="s">
        <v>85</v>
      </c>
      <c r="B171" s="158"/>
      <c r="C171" s="179"/>
      <c r="D171" s="158"/>
      <c r="E171" s="160"/>
      <c r="F171" s="161"/>
      <c r="G171" s="161"/>
      <c r="H171" s="161"/>
      <c r="I171" s="154"/>
      <c r="J171" s="418"/>
      <c r="K171" s="419"/>
      <c r="L171" s="154"/>
      <c r="M171" s="418"/>
      <c r="N171" s="419"/>
      <c r="O171" s="150"/>
      <c r="P171" s="164"/>
      <c r="Q171" s="154"/>
      <c r="R171" s="174"/>
      <c r="S171" s="523"/>
      <c r="T171" s="523"/>
      <c r="U171" s="154"/>
      <c r="V171" s="155"/>
      <c r="W171" s="156"/>
      <c r="X171" s="154"/>
      <c r="Y171" s="155"/>
      <c r="Z171" s="155"/>
      <c r="AA171" s="157"/>
      <c r="AB171" s="217"/>
      <c r="AC171" s="150"/>
      <c r="AD171" s="151"/>
      <c r="AE171" s="152"/>
      <c r="AF171" s="506"/>
      <c r="AG171" s="463"/>
      <c r="AH171" s="150"/>
      <c r="AI171" s="152"/>
      <c r="AJ171" s="150"/>
      <c r="AK171" s="152"/>
      <c r="AL171" s="150"/>
      <c r="AM171" s="152"/>
      <c r="AN171" s="150"/>
      <c r="AO171" s="151"/>
      <c r="AP171" s="151"/>
      <c r="AQ171" s="169"/>
      <c r="AR171" s="169"/>
      <c r="AS171" s="149"/>
      <c r="AT171" s="324"/>
      <c r="AU171" s="324"/>
      <c r="AV171" s="324"/>
      <c r="AW171" s="324"/>
      <c r="AX171" s="324"/>
      <c r="AY171" s="324"/>
      <c r="AZ171" s="154"/>
      <c r="BA171" s="419"/>
      <c r="BB171" s="419"/>
      <c r="BC171" s="419"/>
      <c r="BD171" s="419"/>
      <c r="BE171" s="418"/>
      <c r="BF171" s="154"/>
      <c r="BG171" s="419"/>
      <c r="BH171" s="419"/>
      <c r="BI171" s="419"/>
      <c r="BJ171" s="419"/>
      <c r="BK171" s="418"/>
      <c r="BL171" s="36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561"/>
    </row>
    <row r="172" spans="1:74" s="2" customFormat="1" ht="24.9" customHeight="1">
      <c r="A172" s="147" t="s">
        <v>85</v>
      </c>
      <c r="B172" s="158"/>
      <c r="C172" s="179"/>
      <c r="D172" s="158"/>
      <c r="E172" s="160"/>
      <c r="F172" s="161"/>
      <c r="G172" s="161"/>
      <c r="H172" s="161"/>
      <c r="I172" s="154"/>
      <c r="J172" s="418"/>
      <c r="K172" s="419"/>
      <c r="L172" s="154"/>
      <c r="M172" s="418"/>
      <c r="N172" s="419"/>
      <c r="O172" s="150"/>
      <c r="P172" s="164"/>
      <c r="Q172" s="154"/>
      <c r="R172" s="174"/>
      <c r="S172" s="523"/>
      <c r="T172" s="523"/>
      <c r="U172" s="154"/>
      <c r="V172" s="155"/>
      <c r="W172" s="156"/>
      <c r="X172" s="154"/>
      <c r="Y172" s="155"/>
      <c r="Z172" s="155"/>
      <c r="AA172" s="157"/>
      <c r="AB172" s="217"/>
      <c r="AC172" s="150"/>
      <c r="AD172" s="151"/>
      <c r="AE172" s="152"/>
      <c r="AF172" s="506"/>
      <c r="AG172" s="463"/>
      <c r="AH172" s="150"/>
      <c r="AI172" s="152"/>
      <c r="AJ172" s="150"/>
      <c r="AK172" s="152"/>
      <c r="AL172" s="150"/>
      <c r="AM172" s="152"/>
      <c r="AN172" s="150"/>
      <c r="AO172" s="151"/>
      <c r="AP172" s="151"/>
      <c r="AQ172" s="169"/>
      <c r="AR172" s="169"/>
      <c r="AS172" s="149"/>
      <c r="AT172" s="324"/>
      <c r="AU172" s="324"/>
      <c r="AV172" s="324"/>
      <c r="AW172" s="324"/>
      <c r="AX172" s="324"/>
      <c r="AY172" s="324"/>
      <c r="AZ172" s="154"/>
      <c r="BA172" s="419"/>
      <c r="BB172" s="419"/>
      <c r="BC172" s="419"/>
      <c r="BD172" s="419"/>
      <c r="BE172" s="418"/>
      <c r="BF172" s="154"/>
      <c r="BG172" s="419"/>
      <c r="BH172" s="419"/>
      <c r="BI172" s="419"/>
      <c r="BJ172" s="419"/>
      <c r="BK172" s="418"/>
      <c r="BL172" s="36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431"/>
    </row>
    <row r="173" spans="1:74" s="2" customFormat="1" ht="24.9" customHeight="1">
      <c r="A173" s="147" t="s">
        <v>85</v>
      </c>
      <c r="B173" s="158"/>
      <c r="C173" s="179"/>
      <c r="D173" s="158"/>
      <c r="E173" s="160"/>
      <c r="F173" s="161"/>
      <c r="G173" s="161"/>
      <c r="H173" s="161"/>
      <c r="I173" s="154"/>
      <c r="J173" s="418"/>
      <c r="K173" s="419"/>
      <c r="L173" s="154"/>
      <c r="M173" s="418"/>
      <c r="N173" s="419"/>
      <c r="O173" s="150"/>
      <c r="P173" s="164"/>
      <c r="Q173" s="154"/>
      <c r="R173" s="174"/>
      <c r="S173" s="523"/>
      <c r="T173" s="523"/>
      <c r="U173" s="154"/>
      <c r="V173" s="155"/>
      <c r="W173" s="156"/>
      <c r="X173" s="154"/>
      <c r="Y173" s="155"/>
      <c r="Z173" s="155"/>
      <c r="AA173" s="157"/>
      <c r="AB173" s="217"/>
      <c r="AC173" s="150"/>
      <c r="AD173" s="151"/>
      <c r="AE173" s="152"/>
      <c r="AF173" s="506"/>
      <c r="AG173" s="463"/>
      <c r="AH173" s="150"/>
      <c r="AI173" s="152"/>
      <c r="AJ173" s="150"/>
      <c r="AK173" s="152"/>
      <c r="AL173" s="150"/>
      <c r="AM173" s="152"/>
      <c r="AN173" s="150"/>
      <c r="AO173" s="151"/>
      <c r="AP173" s="151"/>
      <c r="AQ173" s="169"/>
      <c r="AR173" s="169"/>
      <c r="AS173" s="149"/>
      <c r="AT173" s="324"/>
      <c r="AU173" s="324"/>
      <c r="AV173" s="324"/>
      <c r="AW173" s="324"/>
      <c r="AX173" s="324"/>
      <c r="AY173" s="324"/>
      <c r="AZ173" s="154"/>
      <c r="BA173" s="419"/>
      <c r="BB173" s="419"/>
      <c r="BC173" s="419"/>
      <c r="BD173" s="419"/>
      <c r="BE173" s="418"/>
      <c r="BF173" s="154"/>
      <c r="BG173" s="419"/>
      <c r="BH173" s="419"/>
      <c r="BI173" s="419"/>
      <c r="BJ173" s="419"/>
      <c r="BK173" s="418"/>
      <c r="BL173" s="36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561"/>
    </row>
    <row r="174" spans="1:74" s="2" customFormat="1" ht="24.9" customHeight="1">
      <c r="A174" s="147" t="s">
        <v>85</v>
      </c>
      <c r="B174" s="158"/>
      <c r="C174" s="179"/>
      <c r="D174" s="158"/>
      <c r="E174" s="160"/>
      <c r="F174" s="161"/>
      <c r="G174" s="161"/>
      <c r="H174" s="161"/>
      <c r="I174" s="154"/>
      <c r="J174" s="418"/>
      <c r="K174" s="419"/>
      <c r="L174" s="154"/>
      <c r="M174" s="418"/>
      <c r="N174" s="419"/>
      <c r="O174" s="150"/>
      <c r="P174" s="164"/>
      <c r="Q174" s="154"/>
      <c r="R174" s="174"/>
      <c r="S174" s="523"/>
      <c r="T174" s="523"/>
      <c r="U174" s="154"/>
      <c r="V174" s="155"/>
      <c r="W174" s="156"/>
      <c r="X174" s="154"/>
      <c r="Y174" s="155"/>
      <c r="Z174" s="155"/>
      <c r="AA174" s="157"/>
      <c r="AB174" s="217"/>
      <c r="AC174" s="150"/>
      <c r="AD174" s="151"/>
      <c r="AE174" s="152"/>
      <c r="AF174" s="506"/>
      <c r="AG174" s="463"/>
      <c r="AH174" s="150"/>
      <c r="AI174" s="152"/>
      <c r="AJ174" s="150"/>
      <c r="AK174" s="152"/>
      <c r="AL174" s="150"/>
      <c r="AM174" s="152"/>
      <c r="AN174" s="150"/>
      <c r="AO174" s="151"/>
      <c r="AP174" s="151"/>
      <c r="AQ174" s="169"/>
      <c r="AR174" s="169"/>
      <c r="AS174" s="149"/>
      <c r="AT174" s="324"/>
      <c r="AU174" s="324"/>
      <c r="AV174" s="324"/>
      <c r="AW174" s="324"/>
      <c r="AX174" s="324"/>
      <c r="AY174" s="324"/>
      <c r="AZ174" s="154"/>
      <c r="BA174" s="419"/>
      <c r="BB174" s="419"/>
      <c r="BC174" s="419"/>
      <c r="BD174" s="419"/>
      <c r="BE174" s="418"/>
      <c r="BF174" s="154"/>
      <c r="BG174" s="419"/>
      <c r="BH174" s="419"/>
      <c r="BI174" s="419"/>
      <c r="BJ174" s="419"/>
      <c r="BK174" s="418"/>
      <c r="BL174" s="36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431"/>
    </row>
    <row r="175" spans="1:74" s="2" customFormat="1" ht="24.9" customHeight="1">
      <c r="A175" s="147" t="s">
        <v>85</v>
      </c>
      <c r="B175" s="158"/>
      <c r="C175" s="179"/>
      <c r="D175" s="158"/>
      <c r="E175" s="160"/>
      <c r="F175" s="161"/>
      <c r="G175" s="161"/>
      <c r="H175" s="161"/>
      <c r="I175" s="154"/>
      <c r="J175" s="418"/>
      <c r="K175" s="419"/>
      <c r="L175" s="154"/>
      <c r="M175" s="418"/>
      <c r="N175" s="419"/>
      <c r="O175" s="150"/>
      <c r="P175" s="164"/>
      <c r="Q175" s="154"/>
      <c r="R175" s="174"/>
      <c r="S175" s="523"/>
      <c r="T175" s="523"/>
      <c r="U175" s="154"/>
      <c r="V175" s="155"/>
      <c r="W175" s="156"/>
      <c r="X175" s="154"/>
      <c r="Y175" s="155"/>
      <c r="Z175" s="155"/>
      <c r="AA175" s="157"/>
      <c r="AB175" s="217"/>
      <c r="AC175" s="150"/>
      <c r="AD175" s="151"/>
      <c r="AE175" s="152"/>
      <c r="AF175" s="506"/>
      <c r="AG175" s="463"/>
      <c r="AH175" s="150"/>
      <c r="AI175" s="152"/>
      <c r="AJ175" s="150"/>
      <c r="AK175" s="152"/>
      <c r="AL175" s="150"/>
      <c r="AM175" s="152"/>
      <c r="AN175" s="150"/>
      <c r="AO175" s="151"/>
      <c r="AP175" s="151"/>
      <c r="AQ175" s="169"/>
      <c r="AR175" s="169"/>
      <c r="AS175" s="149"/>
      <c r="AT175" s="324"/>
      <c r="AU175" s="324"/>
      <c r="AV175" s="324"/>
      <c r="AW175" s="324"/>
      <c r="AX175" s="324"/>
      <c r="AY175" s="324"/>
      <c r="AZ175" s="154"/>
      <c r="BA175" s="419"/>
      <c r="BB175" s="419"/>
      <c r="BC175" s="419"/>
      <c r="BD175" s="419"/>
      <c r="BE175" s="418"/>
      <c r="BF175" s="154"/>
      <c r="BG175" s="419"/>
      <c r="BH175" s="419"/>
      <c r="BI175" s="419"/>
      <c r="BJ175" s="419"/>
      <c r="BK175" s="418"/>
      <c r="BL175" s="36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561"/>
    </row>
    <row r="176" spans="1:74" s="2" customFormat="1" ht="24.9" customHeight="1">
      <c r="A176" s="147" t="s">
        <v>85</v>
      </c>
      <c r="B176" s="158"/>
      <c r="C176" s="179"/>
      <c r="D176" s="158"/>
      <c r="E176" s="160"/>
      <c r="F176" s="161"/>
      <c r="G176" s="161"/>
      <c r="H176" s="161"/>
      <c r="I176" s="154"/>
      <c r="J176" s="418"/>
      <c r="K176" s="419"/>
      <c r="L176" s="154"/>
      <c r="M176" s="418"/>
      <c r="N176" s="419"/>
      <c r="O176" s="150"/>
      <c r="P176" s="164"/>
      <c r="Q176" s="154"/>
      <c r="R176" s="174"/>
      <c r="S176" s="523"/>
      <c r="T176" s="523"/>
      <c r="U176" s="154"/>
      <c r="V176" s="155"/>
      <c r="W176" s="156"/>
      <c r="X176" s="154"/>
      <c r="Y176" s="155"/>
      <c r="Z176" s="155"/>
      <c r="AA176" s="157"/>
      <c r="AB176" s="217"/>
      <c r="AC176" s="150"/>
      <c r="AD176" s="151"/>
      <c r="AE176" s="152"/>
      <c r="AF176" s="506"/>
      <c r="AG176" s="463"/>
      <c r="AH176" s="150"/>
      <c r="AI176" s="152"/>
      <c r="AJ176" s="150"/>
      <c r="AK176" s="152"/>
      <c r="AL176" s="150"/>
      <c r="AM176" s="152"/>
      <c r="AN176" s="150"/>
      <c r="AO176" s="151"/>
      <c r="AP176" s="151"/>
      <c r="AQ176" s="169"/>
      <c r="AR176" s="169"/>
      <c r="AS176" s="149"/>
      <c r="AT176" s="324"/>
      <c r="AU176" s="324"/>
      <c r="AV176" s="324"/>
      <c r="AW176" s="324"/>
      <c r="AX176" s="324"/>
      <c r="AY176" s="324"/>
      <c r="AZ176" s="154"/>
      <c r="BA176" s="419"/>
      <c r="BB176" s="419"/>
      <c r="BC176" s="419"/>
      <c r="BD176" s="419"/>
      <c r="BE176" s="418"/>
      <c r="BF176" s="154"/>
      <c r="BG176" s="419"/>
      <c r="BH176" s="419"/>
      <c r="BI176" s="419"/>
      <c r="BJ176" s="419"/>
      <c r="BK176" s="418"/>
      <c r="BL176" s="36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431"/>
    </row>
    <row r="177" spans="1:74" s="2" customFormat="1" ht="24.9" customHeight="1">
      <c r="A177" s="147" t="s">
        <v>85</v>
      </c>
      <c r="B177" s="158"/>
      <c r="C177" s="179"/>
      <c r="D177" s="158"/>
      <c r="E177" s="160"/>
      <c r="F177" s="161"/>
      <c r="G177" s="161"/>
      <c r="H177" s="161"/>
      <c r="I177" s="154"/>
      <c r="J177" s="418"/>
      <c r="K177" s="419"/>
      <c r="L177" s="154"/>
      <c r="M177" s="418"/>
      <c r="N177" s="419"/>
      <c r="O177" s="150"/>
      <c r="P177" s="164"/>
      <c r="Q177" s="154"/>
      <c r="R177" s="151"/>
      <c r="S177" s="522"/>
      <c r="T177" s="522"/>
      <c r="U177" s="154"/>
      <c r="V177" s="155"/>
      <c r="W177" s="156"/>
      <c r="X177" s="154"/>
      <c r="Y177" s="155"/>
      <c r="Z177" s="155"/>
      <c r="AA177" s="157"/>
      <c r="AB177" s="217"/>
      <c r="AC177" s="150"/>
      <c r="AD177" s="151"/>
      <c r="AE177" s="152"/>
      <c r="AF177" s="506"/>
      <c r="AG177" s="463"/>
      <c r="AH177" s="150"/>
      <c r="AI177" s="152"/>
      <c r="AJ177" s="150"/>
      <c r="AK177" s="152"/>
      <c r="AL177" s="150"/>
      <c r="AM177" s="152"/>
      <c r="AN177" s="150"/>
      <c r="AO177" s="151"/>
      <c r="AP177" s="151"/>
      <c r="AQ177" s="169"/>
      <c r="AR177" s="169"/>
      <c r="AS177" s="149"/>
      <c r="AT177" s="324"/>
      <c r="AU177" s="324"/>
      <c r="AV177" s="324"/>
      <c r="AW177" s="324"/>
      <c r="AX177" s="324"/>
      <c r="AY177" s="324"/>
      <c r="AZ177" s="154"/>
      <c r="BA177" s="419"/>
      <c r="BB177" s="419"/>
      <c r="BC177" s="419"/>
      <c r="BD177" s="419"/>
      <c r="BE177" s="418"/>
      <c r="BF177" s="154"/>
      <c r="BG177" s="419"/>
      <c r="BH177" s="419"/>
      <c r="BI177" s="419"/>
      <c r="BJ177" s="419"/>
      <c r="BK177" s="418"/>
      <c r="BL177" s="36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432"/>
    </row>
    <row r="178" spans="1:74" s="2" customFormat="1" ht="24.9" customHeight="1">
      <c r="A178" s="147" t="s">
        <v>85</v>
      </c>
      <c r="B178" s="158"/>
      <c r="C178" s="179"/>
      <c r="D178" s="158"/>
      <c r="E178" s="160"/>
      <c r="F178" s="161"/>
      <c r="G178" s="161"/>
      <c r="H178" s="161"/>
      <c r="I178" s="154"/>
      <c r="J178" s="418"/>
      <c r="K178" s="419"/>
      <c r="L178" s="154"/>
      <c r="M178" s="418"/>
      <c r="N178" s="419"/>
      <c r="O178" s="150"/>
      <c r="P178" s="164"/>
      <c r="Q178" s="154"/>
      <c r="R178" s="174"/>
      <c r="S178" s="523"/>
      <c r="T178" s="523"/>
      <c r="U178" s="154"/>
      <c r="V178" s="155"/>
      <c r="W178" s="156"/>
      <c r="X178" s="154"/>
      <c r="Y178" s="155"/>
      <c r="Z178" s="155"/>
      <c r="AA178" s="157"/>
      <c r="AB178" s="217"/>
      <c r="AC178" s="150"/>
      <c r="AD178" s="151"/>
      <c r="AE178" s="152"/>
      <c r="AF178" s="506"/>
      <c r="AG178" s="463"/>
      <c r="AH178" s="150"/>
      <c r="AI178" s="152"/>
      <c r="AJ178" s="150"/>
      <c r="AK178" s="152"/>
      <c r="AL178" s="150"/>
      <c r="AM178" s="152"/>
      <c r="AN178" s="150"/>
      <c r="AO178" s="151"/>
      <c r="AP178" s="151"/>
      <c r="AQ178" s="169"/>
      <c r="AR178" s="169"/>
      <c r="AS178" s="149"/>
      <c r="AT178" s="324"/>
      <c r="AU178" s="324"/>
      <c r="AV178" s="324"/>
      <c r="AW178" s="324"/>
      <c r="AX178" s="324"/>
      <c r="AY178" s="324"/>
      <c r="AZ178" s="154"/>
      <c r="BA178" s="419"/>
      <c r="BB178" s="419"/>
      <c r="BC178" s="419"/>
      <c r="BD178" s="419"/>
      <c r="BE178" s="418"/>
      <c r="BF178" s="154"/>
      <c r="BG178" s="419"/>
      <c r="BH178" s="419"/>
      <c r="BI178" s="419"/>
      <c r="BJ178" s="419"/>
      <c r="BK178" s="418"/>
      <c r="BL178" s="36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561"/>
    </row>
    <row r="179" spans="1:74" s="2" customFormat="1" ht="24.9" customHeight="1">
      <c r="A179" s="147" t="s">
        <v>85</v>
      </c>
      <c r="B179" s="158"/>
      <c r="C179" s="179"/>
      <c r="D179" s="158"/>
      <c r="E179" s="160"/>
      <c r="F179" s="161"/>
      <c r="G179" s="161"/>
      <c r="H179" s="161"/>
      <c r="I179" s="154"/>
      <c r="J179" s="418"/>
      <c r="K179" s="419"/>
      <c r="L179" s="154"/>
      <c r="M179" s="418"/>
      <c r="N179" s="419"/>
      <c r="O179" s="150"/>
      <c r="P179" s="164"/>
      <c r="Q179" s="154"/>
      <c r="R179" s="174"/>
      <c r="S179" s="523"/>
      <c r="T179" s="523"/>
      <c r="U179" s="154"/>
      <c r="V179" s="155"/>
      <c r="W179" s="156"/>
      <c r="X179" s="154"/>
      <c r="Y179" s="155"/>
      <c r="Z179" s="155"/>
      <c r="AA179" s="157"/>
      <c r="AB179" s="217"/>
      <c r="AC179" s="150"/>
      <c r="AD179" s="151"/>
      <c r="AE179" s="152"/>
      <c r="AF179" s="506"/>
      <c r="AG179" s="463"/>
      <c r="AH179" s="150"/>
      <c r="AI179" s="152"/>
      <c r="AJ179" s="150"/>
      <c r="AK179" s="152"/>
      <c r="AL179" s="150"/>
      <c r="AM179" s="152"/>
      <c r="AN179" s="150"/>
      <c r="AO179" s="151"/>
      <c r="AP179" s="151"/>
      <c r="AQ179" s="169"/>
      <c r="AR179" s="169"/>
      <c r="AS179" s="149"/>
      <c r="AT179" s="324"/>
      <c r="AU179" s="324"/>
      <c r="AV179" s="324"/>
      <c r="AW179" s="324"/>
      <c r="AX179" s="324"/>
      <c r="AY179" s="324"/>
      <c r="AZ179" s="154"/>
      <c r="BA179" s="419"/>
      <c r="BB179" s="419"/>
      <c r="BC179" s="419"/>
      <c r="BD179" s="419"/>
      <c r="BE179" s="418"/>
      <c r="BF179" s="154"/>
      <c r="BG179" s="419"/>
      <c r="BH179" s="419"/>
      <c r="BI179" s="419"/>
      <c r="BJ179" s="419"/>
      <c r="BK179" s="418"/>
      <c r="BL179" s="36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431"/>
    </row>
    <row r="180" spans="1:74" s="2" customFormat="1" ht="24.9" customHeight="1">
      <c r="A180" s="147" t="s">
        <v>85</v>
      </c>
      <c r="B180" s="158"/>
      <c r="C180" s="179"/>
      <c r="D180" s="158"/>
      <c r="E180" s="160"/>
      <c r="F180" s="161"/>
      <c r="G180" s="161"/>
      <c r="H180" s="161"/>
      <c r="I180" s="154"/>
      <c r="J180" s="418"/>
      <c r="K180" s="419"/>
      <c r="L180" s="154"/>
      <c r="M180" s="418"/>
      <c r="N180" s="419"/>
      <c r="O180" s="150"/>
      <c r="P180" s="164"/>
      <c r="Q180" s="154"/>
      <c r="R180" s="174"/>
      <c r="S180" s="523"/>
      <c r="T180" s="523"/>
      <c r="U180" s="154"/>
      <c r="V180" s="155"/>
      <c r="W180" s="156"/>
      <c r="X180" s="154"/>
      <c r="Y180" s="155"/>
      <c r="Z180" s="155"/>
      <c r="AA180" s="157"/>
      <c r="AB180" s="217"/>
      <c r="AC180" s="150"/>
      <c r="AD180" s="151"/>
      <c r="AE180" s="152"/>
      <c r="AF180" s="506"/>
      <c r="AG180" s="463"/>
      <c r="AH180" s="150"/>
      <c r="AI180" s="152"/>
      <c r="AJ180" s="150"/>
      <c r="AK180" s="152"/>
      <c r="AL180" s="150"/>
      <c r="AM180" s="152"/>
      <c r="AN180" s="150"/>
      <c r="AO180" s="151"/>
      <c r="AP180" s="151"/>
      <c r="AQ180" s="169"/>
      <c r="AR180" s="169"/>
      <c r="AS180" s="149"/>
      <c r="AT180" s="324"/>
      <c r="AU180" s="324"/>
      <c r="AV180" s="324"/>
      <c r="AW180" s="324"/>
      <c r="AX180" s="324"/>
      <c r="AY180" s="324"/>
      <c r="AZ180" s="154"/>
      <c r="BA180" s="419"/>
      <c r="BB180" s="419"/>
      <c r="BC180" s="419"/>
      <c r="BD180" s="419"/>
      <c r="BE180" s="418"/>
      <c r="BF180" s="154"/>
      <c r="BG180" s="419"/>
      <c r="BH180" s="419"/>
      <c r="BI180" s="419"/>
      <c r="BJ180" s="419"/>
      <c r="BK180" s="418"/>
      <c r="BL180" s="36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561"/>
    </row>
    <row r="181" spans="1:74" s="2" customFormat="1" ht="24.9" customHeight="1">
      <c r="A181" s="147" t="s">
        <v>85</v>
      </c>
      <c r="B181" s="158"/>
      <c r="C181" s="179"/>
      <c r="D181" s="158"/>
      <c r="E181" s="160"/>
      <c r="F181" s="161"/>
      <c r="G181" s="161"/>
      <c r="H181" s="161"/>
      <c r="I181" s="154"/>
      <c r="J181" s="418"/>
      <c r="K181" s="419"/>
      <c r="L181" s="154"/>
      <c r="M181" s="418"/>
      <c r="N181" s="419"/>
      <c r="O181" s="150"/>
      <c r="P181" s="164"/>
      <c r="Q181" s="154"/>
      <c r="R181" s="174"/>
      <c r="S181" s="523"/>
      <c r="T181" s="523"/>
      <c r="U181" s="154"/>
      <c r="V181" s="155"/>
      <c r="W181" s="156"/>
      <c r="X181" s="154"/>
      <c r="Y181" s="155"/>
      <c r="Z181" s="155"/>
      <c r="AA181" s="157"/>
      <c r="AB181" s="217"/>
      <c r="AC181" s="150"/>
      <c r="AD181" s="151"/>
      <c r="AE181" s="152"/>
      <c r="AF181" s="506"/>
      <c r="AG181" s="463"/>
      <c r="AH181" s="150"/>
      <c r="AI181" s="152"/>
      <c r="AJ181" s="150"/>
      <c r="AK181" s="152"/>
      <c r="AL181" s="150"/>
      <c r="AM181" s="152"/>
      <c r="AN181" s="150"/>
      <c r="AO181" s="151"/>
      <c r="AP181" s="151"/>
      <c r="AQ181" s="169"/>
      <c r="AR181" s="169"/>
      <c r="AS181" s="149"/>
      <c r="AT181" s="324"/>
      <c r="AU181" s="324"/>
      <c r="AV181" s="324"/>
      <c r="AW181" s="324"/>
      <c r="AX181" s="324"/>
      <c r="AY181" s="324"/>
      <c r="AZ181" s="154"/>
      <c r="BA181" s="419"/>
      <c r="BB181" s="419"/>
      <c r="BC181" s="419"/>
      <c r="BD181" s="419"/>
      <c r="BE181" s="418"/>
      <c r="BF181" s="154"/>
      <c r="BG181" s="419"/>
      <c r="BH181" s="419"/>
      <c r="BI181" s="419"/>
      <c r="BJ181" s="419"/>
      <c r="BK181" s="418"/>
      <c r="BL181" s="36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431"/>
    </row>
    <row r="182" spans="1:74" s="2" customFormat="1" ht="24.9" customHeight="1">
      <c r="A182" s="147" t="s">
        <v>85</v>
      </c>
      <c r="B182" s="158"/>
      <c r="C182" s="179"/>
      <c r="D182" s="158"/>
      <c r="E182" s="160"/>
      <c r="F182" s="161"/>
      <c r="G182" s="161"/>
      <c r="H182" s="161"/>
      <c r="I182" s="154"/>
      <c r="J182" s="418"/>
      <c r="K182" s="419"/>
      <c r="L182" s="154"/>
      <c r="M182" s="418"/>
      <c r="N182" s="419"/>
      <c r="O182" s="150"/>
      <c r="P182" s="164"/>
      <c r="Q182" s="154"/>
      <c r="R182" s="174"/>
      <c r="S182" s="523"/>
      <c r="T182" s="523"/>
      <c r="U182" s="154"/>
      <c r="V182" s="155"/>
      <c r="W182" s="156"/>
      <c r="X182" s="154"/>
      <c r="Y182" s="155"/>
      <c r="Z182" s="155"/>
      <c r="AA182" s="157"/>
      <c r="AB182" s="217"/>
      <c r="AC182" s="150"/>
      <c r="AD182" s="151"/>
      <c r="AE182" s="152"/>
      <c r="AF182" s="506"/>
      <c r="AG182" s="463"/>
      <c r="AH182" s="150"/>
      <c r="AI182" s="152"/>
      <c r="AJ182" s="150"/>
      <c r="AK182" s="152"/>
      <c r="AL182" s="150"/>
      <c r="AM182" s="152"/>
      <c r="AN182" s="150"/>
      <c r="AO182" s="151"/>
      <c r="AP182" s="151"/>
      <c r="AQ182" s="169"/>
      <c r="AR182" s="169"/>
      <c r="AS182" s="149"/>
      <c r="AT182" s="324"/>
      <c r="AU182" s="324"/>
      <c r="AV182" s="324"/>
      <c r="AW182" s="324"/>
      <c r="AX182" s="324"/>
      <c r="AY182" s="324"/>
      <c r="AZ182" s="154"/>
      <c r="BA182" s="419"/>
      <c r="BB182" s="419"/>
      <c r="BC182" s="419"/>
      <c r="BD182" s="419"/>
      <c r="BE182" s="418"/>
      <c r="BF182" s="154"/>
      <c r="BG182" s="419"/>
      <c r="BH182" s="419"/>
      <c r="BI182" s="419"/>
      <c r="BJ182" s="419"/>
      <c r="BK182" s="418"/>
      <c r="BL182" s="36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561"/>
    </row>
    <row r="183" spans="1:74" s="2" customFormat="1" ht="24.9" customHeight="1">
      <c r="A183" s="147" t="s">
        <v>85</v>
      </c>
      <c r="B183" s="158"/>
      <c r="C183" s="179"/>
      <c r="D183" s="158"/>
      <c r="E183" s="160"/>
      <c r="F183" s="161"/>
      <c r="G183" s="161"/>
      <c r="H183" s="161"/>
      <c r="I183" s="154"/>
      <c r="J183" s="418"/>
      <c r="K183" s="419"/>
      <c r="L183" s="154"/>
      <c r="M183" s="418"/>
      <c r="N183" s="419"/>
      <c r="O183" s="150"/>
      <c r="P183" s="164"/>
      <c r="Q183" s="154"/>
      <c r="R183" s="151"/>
      <c r="S183" s="522"/>
      <c r="T183" s="522"/>
      <c r="U183" s="154"/>
      <c r="V183" s="155"/>
      <c r="W183" s="156"/>
      <c r="X183" s="154"/>
      <c r="Y183" s="155"/>
      <c r="Z183" s="155"/>
      <c r="AA183" s="157"/>
      <c r="AB183" s="217"/>
      <c r="AC183" s="150"/>
      <c r="AD183" s="151"/>
      <c r="AE183" s="152"/>
      <c r="AF183" s="506"/>
      <c r="AG183" s="463"/>
      <c r="AH183" s="150"/>
      <c r="AI183" s="152"/>
      <c r="AJ183" s="150"/>
      <c r="AK183" s="152"/>
      <c r="AL183" s="150"/>
      <c r="AM183" s="152"/>
      <c r="AN183" s="150"/>
      <c r="AO183" s="151"/>
      <c r="AP183" s="151"/>
      <c r="AQ183" s="169"/>
      <c r="AR183" s="169"/>
      <c r="AS183" s="149"/>
      <c r="AT183" s="324"/>
      <c r="AU183" s="324"/>
      <c r="AV183" s="324"/>
      <c r="AW183" s="324"/>
      <c r="AX183" s="324"/>
      <c r="AY183" s="324"/>
      <c r="AZ183" s="154"/>
      <c r="BA183" s="419"/>
      <c r="BB183" s="419"/>
      <c r="BC183" s="419"/>
      <c r="BD183" s="419"/>
      <c r="BE183" s="418"/>
      <c r="BF183" s="154"/>
      <c r="BG183" s="419"/>
      <c r="BH183" s="419"/>
      <c r="BI183" s="419"/>
      <c r="BJ183" s="419"/>
      <c r="BK183" s="418"/>
      <c r="BL183" s="36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431"/>
    </row>
    <row r="184" spans="1:74" s="2" customFormat="1" ht="24.9" customHeight="1">
      <c r="A184" s="147" t="s">
        <v>85</v>
      </c>
      <c r="B184" s="158"/>
      <c r="C184" s="179"/>
      <c r="D184" s="158"/>
      <c r="E184" s="160"/>
      <c r="F184" s="161"/>
      <c r="G184" s="161"/>
      <c r="H184" s="161"/>
      <c r="I184" s="154"/>
      <c r="J184" s="418"/>
      <c r="K184" s="419"/>
      <c r="L184" s="154"/>
      <c r="M184" s="418"/>
      <c r="N184" s="419"/>
      <c r="O184" s="150"/>
      <c r="P184" s="164"/>
      <c r="Q184" s="154"/>
      <c r="R184" s="174"/>
      <c r="S184" s="523"/>
      <c r="T184" s="523"/>
      <c r="U184" s="154"/>
      <c r="V184" s="155"/>
      <c r="W184" s="156"/>
      <c r="X184" s="154"/>
      <c r="Y184" s="155"/>
      <c r="Z184" s="155"/>
      <c r="AA184" s="157"/>
      <c r="AB184" s="217"/>
      <c r="AC184" s="150"/>
      <c r="AD184" s="151"/>
      <c r="AE184" s="152"/>
      <c r="AF184" s="506"/>
      <c r="AG184" s="463"/>
      <c r="AH184" s="150"/>
      <c r="AI184" s="152"/>
      <c r="AJ184" s="150"/>
      <c r="AK184" s="152"/>
      <c r="AL184" s="150"/>
      <c r="AM184" s="152"/>
      <c r="AN184" s="150"/>
      <c r="AO184" s="151"/>
      <c r="AP184" s="151"/>
      <c r="AQ184" s="169"/>
      <c r="AR184" s="169"/>
      <c r="AS184" s="149"/>
      <c r="AT184" s="324"/>
      <c r="AU184" s="324"/>
      <c r="AV184" s="324"/>
      <c r="AW184" s="324"/>
      <c r="AX184" s="324"/>
      <c r="AY184" s="324"/>
      <c r="AZ184" s="154"/>
      <c r="BA184" s="419"/>
      <c r="BB184" s="419"/>
      <c r="BC184" s="419"/>
      <c r="BD184" s="419"/>
      <c r="BE184" s="418"/>
      <c r="BF184" s="154"/>
      <c r="BG184" s="419"/>
      <c r="BH184" s="419"/>
      <c r="BI184" s="419"/>
      <c r="BJ184" s="419"/>
      <c r="BK184" s="418"/>
      <c r="BL184" s="36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432"/>
    </row>
    <row r="185" spans="1:74" s="2" customFormat="1" ht="24.9" customHeight="1">
      <c r="A185" s="147" t="s">
        <v>85</v>
      </c>
      <c r="B185" s="158"/>
      <c r="C185" s="179"/>
      <c r="D185" s="158"/>
      <c r="E185" s="160"/>
      <c r="F185" s="161"/>
      <c r="G185" s="161"/>
      <c r="H185" s="161"/>
      <c r="I185" s="154"/>
      <c r="J185" s="418"/>
      <c r="K185" s="419"/>
      <c r="L185" s="154"/>
      <c r="M185" s="418"/>
      <c r="N185" s="419"/>
      <c r="O185" s="150"/>
      <c r="P185" s="164"/>
      <c r="Q185" s="154"/>
      <c r="R185" s="174"/>
      <c r="S185" s="523"/>
      <c r="T185" s="523"/>
      <c r="U185" s="154"/>
      <c r="V185" s="155"/>
      <c r="W185" s="156"/>
      <c r="X185" s="154"/>
      <c r="Y185" s="155"/>
      <c r="Z185" s="155"/>
      <c r="AA185" s="157"/>
      <c r="AB185" s="217"/>
      <c r="AC185" s="150"/>
      <c r="AD185" s="151"/>
      <c r="AE185" s="152"/>
      <c r="AF185" s="506"/>
      <c r="AG185" s="463"/>
      <c r="AH185" s="150"/>
      <c r="AI185" s="152"/>
      <c r="AJ185" s="150"/>
      <c r="AK185" s="152"/>
      <c r="AL185" s="150"/>
      <c r="AM185" s="152"/>
      <c r="AN185" s="150"/>
      <c r="AO185" s="151"/>
      <c r="AP185" s="151"/>
      <c r="AQ185" s="169"/>
      <c r="AR185" s="169"/>
      <c r="AS185" s="149"/>
      <c r="AT185" s="324"/>
      <c r="AU185" s="324"/>
      <c r="AV185" s="324"/>
      <c r="AW185" s="324"/>
      <c r="AX185" s="324"/>
      <c r="AY185" s="324"/>
      <c r="AZ185" s="154"/>
      <c r="BA185" s="419"/>
      <c r="BB185" s="419"/>
      <c r="BC185" s="419"/>
      <c r="BD185" s="419"/>
      <c r="BE185" s="418"/>
      <c r="BF185" s="154"/>
      <c r="BG185" s="419"/>
      <c r="BH185" s="419"/>
      <c r="BI185" s="419"/>
      <c r="BJ185" s="419"/>
      <c r="BK185" s="418"/>
      <c r="BL185" s="36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561"/>
    </row>
    <row r="186" spans="1:74" s="2" customFormat="1" ht="24.9" customHeight="1">
      <c r="A186" s="147" t="s">
        <v>85</v>
      </c>
      <c r="B186" s="158"/>
      <c r="C186" s="179"/>
      <c r="D186" s="158"/>
      <c r="E186" s="160"/>
      <c r="F186" s="161"/>
      <c r="G186" s="161"/>
      <c r="H186" s="161"/>
      <c r="I186" s="154"/>
      <c r="J186" s="418"/>
      <c r="K186" s="419"/>
      <c r="L186" s="154"/>
      <c r="M186" s="418"/>
      <c r="N186" s="419"/>
      <c r="O186" s="150"/>
      <c r="P186" s="164"/>
      <c r="Q186" s="154"/>
      <c r="R186" s="174"/>
      <c r="S186" s="523"/>
      <c r="T186" s="523"/>
      <c r="U186" s="154"/>
      <c r="V186" s="155"/>
      <c r="W186" s="156"/>
      <c r="X186" s="154"/>
      <c r="Y186" s="155"/>
      <c r="Z186" s="155"/>
      <c r="AA186" s="157"/>
      <c r="AB186" s="217"/>
      <c r="AC186" s="150"/>
      <c r="AD186" s="151"/>
      <c r="AE186" s="152"/>
      <c r="AF186" s="506"/>
      <c r="AG186" s="463"/>
      <c r="AH186" s="150"/>
      <c r="AI186" s="152"/>
      <c r="AJ186" s="150"/>
      <c r="AK186" s="152"/>
      <c r="AL186" s="150"/>
      <c r="AM186" s="152"/>
      <c r="AN186" s="150"/>
      <c r="AO186" s="151"/>
      <c r="AP186" s="151"/>
      <c r="AQ186" s="169"/>
      <c r="AR186" s="169"/>
      <c r="AS186" s="149"/>
      <c r="AT186" s="324"/>
      <c r="AU186" s="324"/>
      <c r="AV186" s="324"/>
      <c r="AW186" s="324"/>
      <c r="AX186" s="324"/>
      <c r="AY186" s="324"/>
      <c r="AZ186" s="154"/>
      <c r="BA186" s="419"/>
      <c r="BB186" s="419"/>
      <c r="BC186" s="419"/>
      <c r="BD186" s="419"/>
      <c r="BE186" s="418"/>
      <c r="BF186" s="154"/>
      <c r="BG186" s="419"/>
      <c r="BH186" s="419"/>
      <c r="BI186" s="419"/>
      <c r="BJ186" s="419"/>
      <c r="BK186" s="418"/>
      <c r="BL186" s="36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431"/>
    </row>
    <row r="187" spans="1:74" s="2" customFormat="1" ht="24.9" customHeight="1">
      <c r="A187" s="147" t="s">
        <v>85</v>
      </c>
      <c r="B187" s="158"/>
      <c r="C187" s="179"/>
      <c r="D187" s="158"/>
      <c r="E187" s="160"/>
      <c r="F187" s="161"/>
      <c r="G187" s="161"/>
      <c r="H187" s="161"/>
      <c r="I187" s="154"/>
      <c r="J187" s="418"/>
      <c r="K187" s="419"/>
      <c r="L187" s="154"/>
      <c r="M187" s="418"/>
      <c r="N187" s="419"/>
      <c r="O187" s="150"/>
      <c r="P187" s="164"/>
      <c r="Q187" s="154"/>
      <c r="R187" s="174"/>
      <c r="S187" s="523"/>
      <c r="T187" s="523"/>
      <c r="U187" s="154"/>
      <c r="V187" s="155"/>
      <c r="W187" s="156"/>
      <c r="X187" s="154"/>
      <c r="Y187" s="155"/>
      <c r="Z187" s="155"/>
      <c r="AA187" s="157"/>
      <c r="AB187" s="217"/>
      <c r="AC187" s="150"/>
      <c r="AD187" s="151"/>
      <c r="AE187" s="152"/>
      <c r="AF187" s="506"/>
      <c r="AG187" s="463"/>
      <c r="AH187" s="150"/>
      <c r="AI187" s="152"/>
      <c r="AJ187" s="150"/>
      <c r="AK187" s="152"/>
      <c r="AL187" s="150"/>
      <c r="AM187" s="152"/>
      <c r="AN187" s="150"/>
      <c r="AO187" s="151"/>
      <c r="AP187" s="151"/>
      <c r="AQ187" s="169"/>
      <c r="AR187" s="169"/>
      <c r="AS187" s="149"/>
      <c r="AT187" s="324"/>
      <c r="AU187" s="324"/>
      <c r="AV187" s="324"/>
      <c r="AW187" s="324"/>
      <c r="AX187" s="324"/>
      <c r="AY187" s="324"/>
      <c r="AZ187" s="154"/>
      <c r="BA187" s="419"/>
      <c r="BB187" s="419"/>
      <c r="BC187" s="419"/>
      <c r="BD187" s="419"/>
      <c r="BE187" s="418"/>
      <c r="BF187" s="154"/>
      <c r="BG187" s="419"/>
      <c r="BH187" s="419"/>
      <c r="BI187" s="419"/>
      <c r="BJ187" s="419"/>
      <c r="BK187" s="418"/>
      <c r="BL187" s="36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561"/>
    </row>
    <row r="188" spans="1:74" s="2" customFormat="1" ht="24.9" customHeight="1">
      <c r="A188" s="147" t="s">
        <v>85</v>
      </c>
      <c r="B188" s="158"/>
      <c r="C188" s="179"/>
      <c r="D188" s="158"/>
      <c r="E188" s="160"/>
      <c r="F188" s="161"/>
      <c r="G188" s="161"/>
      <c r="H188" s="161"/>
      <c r="I188" s="154"/>
      <c r="J188" s="418"/>
      <c r="K188" s="419"/>
      <c r="L188" s="154"/>
      <c r="M188" s="418"/>
      <c r="N188" s="419"/>
      <c r="O188" s="150"/>
      <c r="P188" s="164"/>
      <c r="Q188" s="154"/>
      <c r="R188" s="174"/>
      <c r="S188" s="523"/>
      <c r="T188" s="523"/>
      <c r="U188" s="154"/>
      <c r="V188" s="155"/>
      <c r="W188" s="156"/>
      <c r="X188" s="154"/>
      <c r="Y188" s="155"/>
      <c r="Z188" s="155"/>
      <c r="AA188" s="157"/>
      <c r="AB188" s="217"/>
      <c r="AC188" s="150"/>
      <c r="AD188" s="151"/>
      <c r="AE188" s="152"/>
      <c r="AF188" s="506"/>
      <c r="AG188" s="463"/>
      <c r="AH188" s="150"/>
      <c r="AI188" s="152"/>
      <c r="AJ188" s="150"/>
      <c r="AK188" s="152"/>
      <c r="AL188" s="150"/>
      <c r="AM188" s="152"/>
      <c r="AN188" s="150"/>
      <c r="AO188" s="151"/>
      <c r="AP188" s="151"/>
      <c r="AQ188" s="169"/>
      <c r="AR188" s="169"/>
      <c r="AS188" s="149"/>
      <c r="AT188" s="324"/>
      <c r="AU188" s="324"/>
      <c r="AV188" s="324"/>
      <c r="AW188" s="324"/>
      <c r="AX188" s="324"/>
      <c r="AY188" s="324"/>
      <c r="AZ188" s="154"/>
      <c r="BA188" s="419"/>
      <c r="BB188" s="419"/>
      <c r="BC188" s="419"/>
      <c r="BD188" s="419"/>
      <c r="BE188" s="418"/>
      <c r="BF188" s="154"/>
      <c r="BG188" s="419"/>
      <c r="BH188" s="419"/>
      <c r="BI188" s="419"/>
      <c r="BJ188" s="419"/>
      <c r="BK188" s="418"/>
      <c r="BL188" s="36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431"/>
    </row>
    <row r="189" spans="1:74" s="2" customFormat="1" ht="24.9" customHeight="1">
      <c r="A189" s="147" t="s">
        <v>85</v>
      </c>
      <c r="B189" s="158"/>
      <c r="C189" s="179"/>
      <c r="D189" s="158"/>
      <c r="E189" s="160"/>
      <c r="F189" s="161"/>
      <c r="G189" s="161"/>
      <c r="H189" s="161"/>
      <c r="I189" s="154"/>
      <c r="J189" s="418"/>
      <c r="K189" s="419"/>
      <c r="L189" s="154"/>
      <c r="M189" s="418"/>
      <c r="N189" s="419"/>
      <c r="O189" s="150"/>
      <c r="P189" s="152"/>
      <c r="Q189" s="498"/>
      <c r="R189" s="174"/>
      <c r="S189" s="523"/>
      <c r="T189" s="523"/>
      <c r="U189" s="154"/>
      <c r="V189" s="155"/>
      <c r="W189" s="156"/>
      <c r="X189" s="154"/>
      <c r="Y189" s="155"/>
      <c r="Z189" s="155"/>
      <c r="AA189" s="157"/>
      <c r="AB189" s="217"/>
      <c r="AC189" s="150"/>
      <c r="AD189" s="151"/>
      <c r="AE189" s="152"/>
      <c r="AF189" s="506"/>
      <c r="AG189" s="463"/>
      <c r="AH189" s="150"/>
      <c r="AI189" s="152"/>
      <c r="AJ189" s="150"/>
      <c r="AK189" s="152"/>
      <c r="AL189" s="150"/>
      <c r="AM189" s="152"/>
      <c r="AN189" s="150"/>
      <c r="AO189" s="151"/>
      <c r="AP189" s="151"/>
      <c r="AQ189" s="169"/>
      <c r="AR189" s="169"/>
      <c r="AS189" s="149"/>
      <c r="AT189" s="324"/>
      <c r="AU189" s="324"/>
      <c r="AV189" s="324"/>
      <c r="AW189" s="324"/>
      <c r="AX189" s="324"/>
      <c r="AY189" s="324"/>
      <c r="AZ189" s="154"/>
      <c r="BA189" s="419"/>
      <c r="BB189" s="419"/>
      <c r="BC189" s="419"/>
      <c r="BD189" s="419"/>
      <c r="BE189" s="418"/>
      <c r="BF189" s="154"/>
      <c r="BG189" s="419"/>
      <c r="BH189" s="419"/>
      <c r="BI189" s="419"/>
      <c r="BJ189" s="419"/>
      <c r="BK189" s="418"/>
      <c r="BL189" s="36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561"/>
    </row>
    <row r="190" spans="1:74" s="2" customFormat="1" ht="24.9" customHeight="1">
      <c r="A190" s="147" t="s">
        <v>85</v>
      </c>
      <c r="B190" s="158"/>
      <c r="C190" s="179"/>
      <c r="D190" s="158"/>
      <c r="E190" s="160"/>
      <c r="F190" s="161"/>
      <c r="G190" s="161"/>
      <c r="H190" s="161"/>
      <c r="I190" s="154"/>
      <c r="J190" s="418"/>
      <c r="K190" s="419"/>
      <c r="L190" s="154"/>
      <c r="M190" s="418"/>
      <c r="N190" s="419"/>
      <c r="O190" s="150"/>
      <c r="P190" s="164"/>
      <c r="Q190" s="154"/>
      <c r="R190" s="174"/>
      <c r="S190" s="523"/>
      <c r="T190" s="523"/>
      <c r="U190" s="154"/>
      <c r="V190" s="155"/>
      <c r="W190" s="156"/>
      <c r="X190" s="154"/>
      <c r="Y190" s="155"/>
      <c r="Z190" s="155"/>
      <c r="AA190" s="157"/>
      <c r="AB190" s="217"/>
      <c r="AC190" s="150"/>
      <c r="AD190" s="151"/>
      <c r="AE190" s="152"/>
      <c r="AF190" s="506"/>
      <c r="AG190" s="463"/>
      <c r="AH190" s="150"/>
      <c r="AI190" s="152"/>
      <c r="AJ190" s="150"/>
      <c r="AK190" s="152"/>
      <c r="AL190" s="150"/>
      <c r="AM190" s="152"/>
      <c r="AN190" s="150"/>
      <c r="AO190" s="151"/>
      <c r="AP190" s="151"/>
      <c r="AQ190" s="169"/>
      <c r="AR190" s="169"/>
      <c r="AS190" s="149"/>
      <c r="AT190" s="324"/>
      <c r="AU190" s="324"/>
      <c r="AV190" s="324"/>
      <c r="AW190" s="324"/>
      <c r="AX190" s="324"/>
      <c r="AY190" s="324"/>
      <c r="AZ190" s="154"/>
      <c r="BA190" s="419"/>
      <c r="BB190" s="419"/>
      <c r="BC190" s="419"/>
      <c r="BD190" s="419"/>
      <c r="BE190" s="418"/>
      <c r="BF190" s="154"/>
      <c r="BG190" s="419"/>
      <c r="BH190" s="419"/>
      <c r="BI190" s="419"/>
      <c r="BJ190" s="419"/>
      <c r="BK190" s="418"/>
      <c r="BL190" s="36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431"/>
    </row>
    <row r="191" spans="1:74" s="2" customFormat="1" ht="24.9" customHeight="1">
      <c r="A191" s="147" t="s">
        <v>85</v>
      </c>
      <c r="B191" s="158"/>
      <c r="C191" s="179"/>
      <c r="D191" s="158"/>
      <c r="E191" s="160"/>
      <c r="F191" s="161"/>
      <c r="G191" s="161"/>
      <c r="H191" s="161"/>
      <c r="I191" s="154"/>
      <c r="J191" s="418"/>
      <c r="K191" s="419"/>
      <c r="L191" s="154"/>
      <c r="M191" s="418"/>
      <c r="N191" s="419"/>
      <c r="O191" s="150"/>
      <c r="P191" s="164"/>
      <c r="Q191" s="154"/>
      <c r="R191" s="151"/>
      <c r="S191" s="522"/>
      <c r="T191" s="522"/>
      <c r="U191" s="154"/>
      <c r="V191" s="155"/>
      <c r="W191" s="156"/>
      <c r="X191" s="154"/>
      <c r="Y191" s="155"/>
      <c r="Z191" s="155"/>
      <c r="AA191" s="157"/>
      <c r="AB191" s="217"/>
      <c r="AC191" s="150"/>
      <c r="AD191" s="151"/>
      <c r="AE191" s="152"/>
      <c r="AF191" s="506"/>
      <c r="AG191" s="463"/>
      <c r="AH191" s="150"/>
      <c r="AI191" s="152"/>
      <c r="AJ191" s="150"/>
      <c r="AK191" s="152"/>
      <c r="AL191" s="150"/>
      <c r="AM191" s="152"/>
      <c r="AN191" s="150"/>
      <c r="AO191" s="151"/>
      <c r="AP191" s="151"/>
      <c r="AQ191" s="169"/>
      <c r="AR191" s="169"/>
      <c r="AS191" s="149"/>
      <c r="AT191" s="324"/>
      <c r="AU191" s="324"/>
      <c r="AV191" s="324"/>
      <c r="AW191" s="324"/>
      <c r="AX191" s="324"/>
      <c r="AY191" s="324"/>
      <c r="AZ191" s="154"/>
      <c r="BA191" s="419"/>
      <c r="BB191" s="419"/>
      <c r="BC191" s="419"/>
      <c r="BD191" s="419"/>
      <c r="BE191" s="418"/>
      <c r="BF191" s="154"/>
      <c r="BG191" s="419"/>
      <c r="BH191" s="419"/>
      <c r="BI191" s="419"/>
      <c r="BJ191" s="419"/>
      <c r="BK191" s="418"/>
      <c r="BL191" s="36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432"/>
    </row>
    <row r="192" spans="1:74" s="2" customFormat="1" ht="24.9" customHeight="1">
      <c r="A192" s="147" t="s">
        <v>85</v>
      </c>
      <c r="B192" s="158"/>
      <c r="C192" s="179"/>
      <c r="D192" s="158"/>
      <c r="E192" s="160"/>
      <c r="F192" s="161"/>
      <c r="G192" s="161"/>
      <c r="H192" s="161"/>
      <c r="I192" s="154"/>
      <c r="J192" s="418"/>
      <c r="K192" s="419"/>
      <c r="L192" s="154"/>
      <c r="M192" s="418"/>
      <c r="N192" s="419"/>
      <c r="O192" s="150"/>
      <c r="P192" s="164"/>
      <c r="Q192" s="155"/>
      <c r="R192" s="174"/>
      <c r="S192" s="523"/>
      <c r="T192" s="523"/>
      <c r="U192" s="154"/>
      <c r="V192" s="155"/>
      <c r="W192" s="156"/>
      <c r="X192" s="154"/>
      <c r="Y192" s="155"/>
      <c r="Z192" s="155"/>
      <c r="AA192" s="157"/>
      <c r="AB192" s="217"/>
      <c r="AC192" s="150"/>
      <c r="AD192" s="151"/>
      <c r="AE192" s="152"/>
      <c r="AF192" s="506"/>
      <c r="AG192" s="463"/>
      <c r="AH192" s="150"/>
      <c r="AI192" s="152"/>
      <c r="AJ192" s="150"/>
      <c r="AK192" s="152"/>
      <c r="AL192" s="150"/>
      <c r="AM192" s="152"/>
      <c r="AN192" s="150"/>
      <c r="AO192" s="151"/>
      <c r="AP192" s="151"/>
      <c r="AQ192" s="169"/>
      <c r="AR192" s="169"/>
      <c r="AS192" s="149"/>
      <c r="AT192" s="324"/>
      <c r="AU192" s="324"/>
      <c r="AV192" s="324"/>
      <c r="AW192" s="324"/>
      <c r="AX192" s="324"/>
      <c r="AY192" s="324"/>
      <c r="AZ192" s="154"/>
      <c r="BA192" s="419"/>
      <c r="BB192" s="419"/>
      <c r="BC192" s="419"/>
      <c r="BD192" s="419"/>
      <c r="BE192" s="418"/>
      <c r="BF192" s="154"/>
      <c r="BG192" s="419"/>
      <c r="BH192" s="419"/>
      <c r="BI192" s="419"/>
      <c r="BJ192" s="419"/>
      <c r="BK192" s="418"/>
      <c r="BL192" s="36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561"/>
    </row>
    <row r="193" spans="1:74" s="2" customFormat="1" ht="24.9" customHeight="1">
      <c r="A193" s="147" t="s">
        <v>85</v>
      </c>
      <c r="B193" s="158"/>
      <c r="C193" s="179"/>
      <c r="D193" s="158"/>
      <c r="E193" s="160"/>
      <c r="F193" s="161"/>
      <c r="G193" s="161"/>
      <c r="H193" s="161"/>
      <c r="I193" s="154"/>
      <c r="J193" s="418"/>
      <c r="K193" s="419"/>
      <c r="L193" s="154"/>
      <c r="M193" s="418"/>
      <c r="N193" s="419"/>
      <c r="O193" s="150"/>
      <c r="P193" s="164"/>
      <c r="Q193" s="154"/>
      <c r="R193" s="174"/>
      <c r="S193" s="523"/>
      <c r="T193" s="523"/>
      <c r="U193" s="154"/>
      <c r="V193" s="155"/>
      <c r="W193" s="156"/>
      <c r="X193" s="154"/>
      <c r="Y193" s="155"/>
      <c r="Z193" s="155"/>
      <c r="AA193" s="157"/>
      <c r="AB193" s="217"/>
      <c r="AC193" s="150"/>
      <c r="AD193" s="151"/>
      <c r="AE193" s="152"/>
      <c r="AF193" s="506"/>
      <c r="AG193" s="463"/>
      <c r="AH193" s="150"/>
      <c r="AI193" s="152"/>
      <c r="AJ193" s="150"/>
      <c r="AK193" s="152"/>
      <c r="AL193" s="150"/>
      <c r="AM193" s="152"/>
      <c r="AN193" s="150"/>
      <c r="AO193" s="151"/>
      <c r="AP193" s="151"/>
      <c r="AQ193" s="169"/>
      <c r="AR193" s="169"/>
      <c r="AS193" s="149"/>
      <c r="AT193" s="324"/>
      <c r="AU193" s="324"/>
      <c r="AV193" s="324"/>
      <c r="AW193" s="324"/>
      <c r="AX193" s="324"/>
      <c r="AY193" s="324"/>
      <c r="AZ193" s="154"/>
      <c r="BA193" s="419"/>
      <c r="BB193" s="419"/>
      <c r="BC193" s="419"/>
      <c r="BD193" s="419"/>
      <c r="BE193" s="418"/>
      <c r="BF193" s="154"/>
      <c r="BG193" s="419"/>
      <c r="BH193" s="419"/>
      <c r="BI193" s="419"/>
      <c r="BJ193" s="419"/>
      <c r="BK193" s="418"/>
      <c r="BL193" s="36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431"/>
    </row>
    <row r="194" spans="1:74" s="2" customFormat="1" ht="24.9" customHeight="1">
      <c r="A194" s="147" t="s">
        <v>85</v>
      </c>
      <c r="B194" s="158"/>
      <c r="C194" s="179"/>
      <c r="D194" s="158"/>
      <c r="E194" s="160"/>
      <c r="F194" s="161"/>
      <c r="G194" s="161"/>
      <c r="H194" s="161"/>
      <c r="I194" s="154"/>
      <c r="J194" s="418"/>
      <c r="K194" s="419"/>
      <c r="L194" s="154"/>
      <c r="M194" s="418"/>
      <c r="N194" s="419"/>
      <c r="O194" s="150"/>
      <c r="P194" s="164"/>
      <c r="Q194" s="154"/>
      <c r="R194" s="174"/>
      <c r="S194" s="523"/>
      <c r="T194" s="523"/>
      <c r="U194" s="154"/>
      <c r="V194" s="155"/>
      <c r="W194" s="156"/>
      <c r="X194" s="154"/>
      <c r="Y194" s="155"/>
      <c r="Z194" s="155"/>
      <c r="AA194" s="157"/>
      <c r="AB194" s="217"/>
      <c r="AC194" s="150"/>
      <c r="AD194" s="151"/>
      <c r="AE194" s="152"/>
      <c r="AF194" s="506"/>
      <c r="AG194" s="463"/>
      <c r="AH194" s="150"/>
      <c r="AI194" s="152"/>
      <c r="AJ194" s="150"/>
      <c r="AK194" s="152"/>
      <c r="AL194" s="150"/>
      <c r="AM194" s="152"/>
      <c r="AN194" s="150"/>
      <c r="AO194" s="151"/>
      <c r="AP194" s="151"/>
      <c r="AQ194" s="169"/>
      <c r="AR194" s="169"/>
      <c r="AS194" s="149"/>
      <c r="AT194" s="324"/>
      <c r="AU194" s="324"/>
      <c r="AV194" s="324"/>
      <c r="AW194" s="324"/>
      <c r="AX194" s="324"/>
      <c r="AY194" s="324"/>
      <c r="AZ194" s="154"/>
      <c r="BA194" s="419"/>
      <c r="BB194" s="419"/>
      <c r="BC194" s="419"/>
      <c r="BD194" s="419"/>
      <c r="BE194" s="418"/>
      <c r="BF194" s="154"/>
      <c r="BG194" s="419"/>
      <c r="BH194" s="419"/>
      <c r="BI194" s="419"/>
      <c r="BJ194" s="419"/>
      <c r="BK194" s="418"/>
      <c r="BL194" s="36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432"/>
    </row>
    <row r="195" spans="1:74" s="2" customFormat="1" ht="24.9" customHeight="1">
      <c r="A195" s="147" t="s">
        <v>85</v>
      </c>
      <c r="B195" s="158"/>
      <c r="C195" s="179"/>
      <c r="D195" s="158"/>
      <c r="E195" s="160"/>
      <c r="F195" s="161"/>
      <c r="G195" s="161"/>
      <c r="H195" s="161"/>
      <c r="I195" s="154"/>
      <c r="J195" s="418"/>
      <c r="K195" s="419"/>
      <c r="L195" s="154"/>
      <c r="M195" s="418"/>
      <c r="N195" s="419"/>
      <c r="O195" s="150"/>
      <c r="P195" s="164"/>
      <c r="Q195" s="154"/>
      <c r="R195" s="151"/>
      <c r="S195" s="522"/>
      <c r="T195" s="522"/>
      <c r="U195" s="154"/>
      <c r="V195" s="155"/>
      <c r="W195" s="156"/>
      <c r="X195" s="154"/>
      <c r="Y195" s="155"/>
      <c r="Z195" s="155"/>
      <c r="AA195" s="157"/>
      <c r="AB195" s="217"/>
      <c r="AC195" s="150"/>
      <c r="AD195" s="151"/>
      <c r="AE195" s="152"/>
      <c r="AF195" s="506"/>
      <c r="AG195" s="463"/>
      <c r="AH195" s="150"/>
      <c r="AI195" s="152"/>
      <c r="AJ195" s="150"/>
      <c r="AK195" s="152"/>
      <c r="AL195" s="150"/>
      <c r="AM195" s="152"/>
      <c r="AN195" s="150"/>
      <c r="AO195" s="151"/>
      <c r="AP195" s="151"/>
      <c r="AQ195" s="169"/>
      <c r="AR195" s="169"/>
      <c r="AS195" s="149"/>
      <c r="AT195" s="324"/>
      <c r="AU195" s="324"/>
      <c r="AV195" s="324"/>
      <c r="AW195" s="324"/>
      <c r="AX195" s="324"/>
      <c r="AY195" s="324"/>
      <c r="AZ195" s="154"/>
      <c r="BA195" s="419"/>
      <c r="BB195" s="419"/>
      <c r="BC195" s="419"/>
      <c r="BD195" s="419"/>
      <c r="BE195" s="418"/>
      <c r="BF195" s="154"/>
      <c r="BG195" s="419"/>
      <c r="BH195" s="419"/>
      <c r="BI195" s="419"/>
      <c r="BJ195" s="419"/>
      <c r="BK195" s="418"/>
      <c r="BL195" s="36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432"/>
    </row>
    <row r="196" spans="1:74" s="2" customFormat="1" ht="24.9" customHeight="1">
      <c r="A196" s="147" t="s">
        <v>85</v>
      </c>
      <c r="B196" s="158"/>
      <c r="C196" s="179"/>
      <c r="D196" s="158"/>
      <c r="E196" s="160"/>
      <c r="F196" s="161"/>
      <c r="G196" s="161"/>
      <c r="H196" s="161"/>
      <c r="I196" s="154"/>
      <c r="J196" s="418"/>
      <c r="K196" s="419"/>
      <c r="L196" s="154"/>
      <c r="M196" s="418"/>
      <c r="N196" s="419"/>
      <c r="O196" s="150"/>
      <c r="P196" s="164"/>
      <c r="Q196" s="154"/>
      <c r="R196" s="151"/>
      <c r="S196" s="522"/>
      <c r="T196" s="522"/>
      <c r="U196" s="154"/>
      <c r="V196" s="155"/>
      <c r="W196" s="156"/>
      <c r="X196" s="154"/>
      <c r="Y196" s="155"/>
      <c r="Z196" s="155"/>
      <c r="AA196" s="157"/>
      <c r="AB196" s="217"/>
      <c r="AC196" s="150"/>
      <c r="AD196" s="151"/>
      <c r="AE196" s="152"/>
      <c r="AF196" s="506"/>
      <c r="AG196" s="463"/>
      <c r="AH196" s="150"/>
      <c r="AI196" s="152"/>
      <c r="AJ196" s="150"/>
      <c r="AK196" s="152"/>
      <c r="AL196" s="150"/>
      <c r="AM196" s="152"/>
      <c r="AN196" s="150"/>
      <c r="AO196" s="151"/>
      <c r="AP196" s="151"/>
      <c r="AQ196" s="169"/>
      <c r="AR196" s="169"/>
      <c r="AS196" s="149"/>
      <c r="AT196" s="324"/>
      <c r="AU196" s="324"/>
      <c r="AV196" s="324"/>
      <c r="AW196" s="324"/>
      <c r="AX196" s="324"/>
      <c r="AY196" s="324"/>
      <c r="AZ196" s="154"/>
      <c r="BA196" s="419"/>
      <c r="BB196" s="419"/>
      <c r="BC196" s="419"/>
      <c r="BD196" s="419"/>
      <c r="BE196" s="418"/>
      <c r="BF196" s="154"/>
      <c r="BG196" s="419"/>
      <c r="BH196" s="419"/>
      <c r="BI196" s="419"/>
      <c r="BJ196" s="419"/>
      <c r="BK196" s="418"/>
      <c r="BL196" s="36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561"/>
    </row>
    <row r="197" spans="1:74" s="2" customFormat="1" ht="24.9" customHeight="1">
      <c r="A197" s="147" t="s">
        <v>85</v>
      </c>
      <c r="B197" s="158"/>
      <c r="C197" s="179"/>
      <c r="D197" s="158"/>
      <c r="E197" s="160"/>
      <c r="F197" s="161"/>
      <c r="G197" s="161"/>
      <c r="H197" s="161"/>
      <c r="I197" s="154"/>
      <c r="J197" s="418"/>
      <c r="K197" s="419"/>
      <c r="L197" s="154"/>
      <c r="M197" s="418"/>
      <c r="N197" s="419"/>
      <c r="O197" s="150"/>
      <c r="P197" s="164"/>
      <c r="Q197" s="154"/>
      <c r="R197" s="174"/>
      <c r="S197" s="523"/>
      <c r="T197" s="523"/>
      <c r="U197" s="154"/>
      <c r="V197" s="155"/>
      <c r="W197" s="156"/>
      <c r="X197" s="154"/>
      <c r="Y197" s="155"/>
      <c r="Z197" s="155"/>
      <c r="AA197" s="157"/>
      <c r="AB197" s="217"/>
      <c r="AC197" s="150"/>
      <c r="AD197" s="151"/>
      <c r="AE197" s="152"/>
      <c r="AF197" s="506"/>
      <c r="AG197" s="463"/>
      <c r="AH197" s="150"/>
      <c r="AI197" s="152"/>
      <c r="AJ197" s="150"/>
      <c r="AK197" s="152"/>
      <c r="AL197" s="150"/>
      <c r="AM197" s="152"/>
      <c r="AN197" s="150"/>
      <c r="AO197" s="151"/>
      <c r="AP197" s="151"/>
      <c r="AQ197" s="169"/>
      <c r="AR197" s="169"/>
      <c r="AS197" s="149"/>
      <c r="AT197" s="324"/>
      <c r="AU197" s="324"/>
      <c r="AV197" s="324"/>
      <c r="AW197" s="324"/>
      <c r="AX197" s="324"/>
      <c r="AY197" s="324"/>
      <c r="AZ197" s="154"/>
      <c r="BA197" s="419"/>
      <c r="BB197" s="419"/>
      <c r="BC197" s="419"/>
      <c r="BD197" s="419"/>
      <c r="BE197" s="418"/>
      <c r="BF197" s="154"/>
      <c r="BG197" s="419"/>
      <c r="BH197" s="419"/>
      <c r="BI197" s="419"/>
      <c r="BJ197" s="419"/>
      <c r="BK197" s="418"/>
      <c r="BL197" s="36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431"/>
    </row>
    <row r="198" spans="1:74" s="2" customFormat="1" ht="24.9" customHeight="1">
      <c r="A198" s="147" t="s">
        <v>85</v>
      </c>
      <c r="B198" s="158"/>
      <c r="C198" s="179"/>
      <c r="D198" s="158"/>
      <c r="E198" s="160"/>
      <c r="F198" s="161"/>
      <c r="G198" s="161"/>
      <c r="H198" s="161"/>
      <c r="I198" s="154"/>
      <c r="J198" s="418"/>
      <c r="K198" s="419"/>
      <c r="L198" s="154"/>
      <c r="M198" s="418"/>
      <c r="N198" s="419"/>
      <c r="O198" s="150"/>
      <c r="P198" s="164"/>
      <c r="Q198" s="154"/>
      <c r="R198" s="174"/>
      <c r="S198" s="523"/>
      <c r="T198" s="523"/>
      <c r="U198" s="154"/>
      <c r="V198" s="155"/>
      <c r="W198" s="156"/>
      <c r="X198" s="154"/>
      <c r="Y198" s="155"/>
      <c r="Z198" s="155"/>
      <c r="AA198" s="157"/>
      <c r="AB198" s="217"/>
      <c r="AC198" s="150"/>
      <c r="AD198" s="151"/>
      <c r="AE198" s="152"/>
      <c r="AF198" s="506"/>
      <c r="AG198" s="463"/>
      <c r="AH198" s="150"/>
      <c r="AI198" s="152"/>
      <c r="AJ198" s="150"/>
      <c r="AK198" s="152"/>
      <c r="AL198" s="150"/>
      <c r="AM198" s="152"/>
      <c r="AN198" s="150"/>
      <c r="AO198" s="151"/>
      <c r="AP198" s="151"/>
      <c r="AQ198" s="169"/>
      <c r="AR198" s="169"/>
      <c r="AS198" s="149"/>
      <c r="AT198" s="324"/>
      <c r="AU198" s="324"/>
      <c r="AV198" s="324"/>
      <c r="AW198" s="324"/>
      <c r="AX198" s="324"/>
      <c r="AY198" s="324"/>
      <c r="AZ198" s="154"/>
      <c r="BA198" s="419"/>
      <c r="BB198" s="419"/>
      <c r="BC198" s="419"/>
      <c r="BD198" s="419"/>
      <c r="BE198" s="418"/>
      <c r="BF198" s="154"/>
      <c r="BG198" s="419"/>
      <c r="BH198" s="419"/>
      <c r="BI198" s="419"/>
      <c r="BJ198" s="419"/>
      <c r="BK198" s="418"/>
      <c r="BL198" s="36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561"/>
    </row>
    <row r="199" spans="1:74" s="2" customFormat="1" ht="24.9" customHeight="1">
      <c r="A199" s="147" t="s">
        <v>85</v>
      </c>
      <c r="B199" s="158"/>
      <c r="C199" s="179"/>
      <c r="D199" s="158"/>
      <c r="E199" s="160"/>
      <c r="F199" s="161"/>
      <c r="G199" s="161"/>
      <c r="H199" s="161"/>
      <c r="I199" s="154"/>
      <c r="J199" s="418"/>
      <c r="K199" s="419"/>
      <c r="L199" s="154"/>
      <c r="M199" s="418"/>
      <c r="N199" s="419"/>
      <c r="O199" s="150"/>
      <c r="P199" s="164"/>
      <c r="Q199" s="154"/>
      <c r="R199" s="151"/>
      <c r="S199" s="522"/>
      <c r="T199" s="522"/>
      <c r="U199" s="154"/>
      <c r="V199" s="155"/>
      <c r="W199" s="156"/>
      <c r="X199" s="154"/>
      <c r="Y199" s="155"/>
      <c r="Z199" s="155"/>
      <c r="AA199" s="157"/>
      <c r="AB199" s="217"/>
      <c r="AC199" s="150"/>
      <c r="AD199" s="151"/>
      <c r="AE199" s="152"/>
      <c r="AF199" s="506"/>
      <c r="AG199" s="463"/>
      <c r="AH199" s="150"/>
      <c r="AI199" s="152"/>
      <c r="AJ199" s="150"/>
      <c r="AK199" s="152"/>
      <c r="AL199" s="150"/>
      <c r="AM199" s="152"/>
      <c r="AN199" s="150"/>
      <c r="AO199" s="151"/>
      <c r="AP199" s="151"/>
      <c r="AQ199" s="169"/>
      <c r="AR199" s="169"/>
      <c r="AS199" s="149"/>
      <c r="AT199" s="324"/>
      <c r="AU199" s="324"/>
      <c r="AV199" s="324"/>
      <c r="AW199" s="324"/>
      <c r="AX199" s="324"/>
      <c r="AY199" s="324"/>
      <c r="AZ199" s="154"/>
      <c r="BA199" s="419"/>
      <c r="BB199" s="419"/>
      <c r="BC199" s="419"/>
      <c r="BD199" s="419"/>
      <c r="BE199" s="418"/>
      <c r="BF199" s="154"/>
      <c r="BG199" s="419"/>
      <c r="BH199" s="419"/>
      <c r="BI199" s="419"/>
      <c r="BJ199" s="419"/>
      <c r="BK199" s="418"/>
      <c r="BL199" s="36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431"/>
    </row>
    <row r="200" spans="1:74" s="2" customFormat="1" ht="24.9" customHeight="1">
      <c r="A200" s="147" t="s">
        <v>85</v>
      </c>
      <c r="B200" s="158"/>
      <c r="C200" s="179"/>
      <c r="D200" s="158"/>
      <c r="E200" s="160"/>
      <c r="F200" s="161"/>
      <c r="G200" s="161"/>
      <c r="H200" s="161"/>
      <c r="I200" s="154"/>
      <c r="J200" s="418"/>
      <c r="K200" s="419"/>
      <c r="L200" s="154"/>
      <c r="M200" s="418"/>
      <c r="N200" s="419"/>
      <c r="O200" s="150"/>
      <c r="P200" s="164"/>
      <c r="Q200" s="154"/>
      <c r="R200" s="174"/>
      <c r="S200" s="523"/>
      <c r="T200" s="523"/>
      <c r="U200" s="154"/>
      <c r="V200" s="155"/>
      <c r="W200" s="156"/>
      <c r="X200" s="154"/>
      <c r="Y200" s="155"/>
      <c r="Z200" s="155"/>
      <c r="AA200" s="157"/>
      <c r="AB200" s="217"/>
      <c r="AC200" s="150"/>
      <c r="AD200" s="151"/>
      <c r="AE200" s="152"/>
      <c r="AF200" s="506"/>
      <c r="AG200" s="463"/>
      <c r="AH200" s="150"/>
      <c r="AI200" s="152"/>
      <c r="AJ200" s="150"/>
      <c r="AK200" s="152"/>
      <c r="AL200" s="150"/>
      <c r="AM200" s="152"/>
      <c r="AN200" s="150"/>
      <c r="AO200" s="151"/>
      <c r="AP200" s="151"/>
      <c r="AQ200" s="169"/>
      <c r="AR200" s="169"/>
      <c r="AS200" s="149"/>
      <c r="AT200" s="324"/>
      <c r="AU200" s="324"/>
      <c r="AV200" s="324"/>
      <c r="AW200" s="324"/>
      <c r="AX200" s="324"/>
      <c r="AY200" s="324"/>
      <c r="AZ200" s="154"/>
      <c r="BA200" s="419"/>
      <c r="BB200" s="419"/>
      <c r="BC200" s="419"/>
      <c r="BD200" s="419"/>
      <c r="BE200" s="418"/>
      <c r="BF200" s="154"/>
      <c r="BG200" s="419"/>
      <c r="BH200" s="419"/>
      <c r="BI200" s="419"/>
      <c r="BJ200" s="419"/>
      <c r="BK200" s="418"/>
      <c r="BL200" s="36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432"/>
    </row>
    <row r="201" spans="1:74" s="2" customFormat="1" ht="24.9" customHeight="1">
      <c r="A201" s="147" t="s">
        <v>85</v>
      </c>
      <c r="B201" s="158"/>
      <c r="C201" s="179"/>
      <c r="D201" s="158"/>
      <c r="E201" s="160"/>
      <c r="F201" s="161"/>
      <c r="G201" s="161"/>
      <c r="H201" s="161"/>
      <c r="I201" s="154"/>
      <c r="J201" s="418"/>
      <c r="K201" s="419"/>
      <c r="L201" s="154"/>
      <c r="M201" s="418"/>
      <c r="N201" s="419"/>
      <c r="O201" s="150"/>
      <c r="P201" s="164"/>
      <c r="Q201" s="154"/>
      <c r="R201" s="174"/>
      <c r="S201" s="523"/>
      <c r="T201" s="523"/>
      <c r="U201" s="154"/>
      <c r="V201" s="155"/>
      <c r="W201" s="156"/>
      <c r="X201" s="154"/>
      <c r="Y201" s="155"/>
      <c r="Z201" s="155"/>
      <c r="AA201" s="157"/>
      <c r="AB201" s="217"/>
      <c r="AC201" s="150"/>
      <c r="AD201" s="151"/>
      <c r="AE201" s="152"/>
      <c r="AF201" s="506"/>
      <c r="AG201" s="463"/>
      <c r="AH201" s="150"/>
      <c r="AI201" s="152"/>
      <c r="AJ201" s="150"/>
      <c r="AK201" s="152"/>
      <c r="AL201" s="150"/>
      <c r="AM201" s="152"/>
      <c r="AN201" s="150"/>
      <c r="AO201" s="151"/>
      <c r="AP201" s="151"/>
      <c r="AQ201" s="169"/>
      <c r="AR201" s="169"/>
      <c r="AS201" s="149"/>
      <c r="AT201" s="324"/>
      <c r="AU201" s="324"/>
      <c r="AV201" s="324"/>
      <c r="AW201" s="324"/>
      <c r="AX201" s="324"/>
      <c r="AY201" s="324"/>
      <c r="AZ201" s="154"/>
      <c r="BA201" s="419"/>
      <c r="BB201" s="419"/>
      <c r="BC201" s="419"/>
      <c r="BD201" s="419"/>
      <c r="BE201" s="418"/>
      <c r="BF201" s="154"/>
      <c r="BG201" s="419"/>
      <c r="BH201" s="419"/>
      <c r="BI201" s="419"/>
      <c r="BJ201" s="419"/>
      <c r="BK201" s="418"/>
      <c r="BL201" s="36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432"/>
    </row>
    <row r="202" spans="1:74" s="2" customFormat="1" ht="24.9" customHeight="1">
      <c r="A202" s="159" t="s">
        <v>85</v>
      </c>
      <c r="B202" s="158"/>
      <c r="C202" s="179"/>
      <c r="D202" s="158"/>
      <c r="E202" s="160"/>
      <c r="F202" s="161"/>
      <c r="G202" s="161"/>
      <c r="H202" s="161"/>
      <c r="I202" s="154"/>
      <c r="J202" s="418"/>
      <c r="K202" s="419"/>
      <c r="L202" s="154"/>
      <c r="M202" s="418"/>
      <c r="N202" s="419"/>
      <c r="O202" s="150"/>
      <c r="P202" s="164"/>
      <c r="Q202" s="154"/>
      <c r="R202" s="151"/>
      <c r="S202" s="522"/>
      <c r="T202" s="522"/>
      <c r="U202" s="154"/>
      <c r="V202" s="155"/>
      <c r="W202" s="156"/>
      <c r="X202" s="154"/>
      <c r="Y202" s="155"/>
      <c r="Z202" s="155"/>
      <c r="AA202" s="157"/>
      <c r="AB202" s="217"/>
      <c r="AC202" s="150"/>
      <c r="AD202" s="151"/>
      <c r="AE202" s="152"/>
      <c r="AF202" s="506"/>
      <c r="AG202" s="463"/>
      <c r="AH202" s="150"/>
      <c r="AI202" s="152"/>
      <c r="AJ202" s="150"/>
      <c r="AK202" s="152"/>
      <c r="AL202" s="150"/>
      <c r="AM202" s="152"/>
      <c r="AN202" s="150"/>
      <c r="AO202" s="151"/>
      <c r="AP202" s="151"/>
      <c r="AQ202" s="169"/>
      <c r="AR202" s="169"/>
      <c r="AS202" s="149"/>
      <c r="AT202" s="324"/>
      <c r="AU202" s="324"/>
      <c r="AV202" s="324"/>
      <c r="AW202" s="324"/>
      <c r="AX202" s="324"/>
      <c r="AY202" s="324"/>
      <c r="AZ202" s="154"/>
      <c r="BA202" s="419"/>
      <c r="BB202" s="419"/>
      <c r="BC202" s="419"/>
      <c r="BD202" s="419"/>
      <c r="BE202" s="418"/>
      <c r="BF202" s="154"/>
      <c r="BG202" s="419"/>
      <c r="BH202" s="419"/>
      <c r="BI202" s="419"/>
      <c r="BJ202" s="419"/>
      <c r="BK202" s="418"/>
      <c r="BL202" s="36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561"/>
    </row>
    <row r="203" spans="1:74" s="2" customFormat="1" ht="24.9" customHeight="1">
      <c r="A203" s="147" t="s">
        <v>85</v>
      </c>
      <c r="B203" s="158"/>
      <c r="C203" s="179"/>
      <c r="D203" s="158"/>
      <c r="E203" s="160"/>
      <c r="F203" s="161"/>
      <c r="G203" s="161"/>
      <c r="H203" s="161"/>
      <c r="I203" s="154"/>
      <c r="J203" s="418"/>
      <c r="K203" s="419"/>
      <c r="L203" s="154"/>
      <c r="M203" s="418"/>
      <c r="N203" s="419"/>
      <c r="O203" s="150"/>
      <c r="P203" s="164"/>
      <c r="Q203" s="154"/>
      <c r="R203" s="174"/>
      <c r="S203" s="523"/>
      <c r="T203" s="523"/>
      <c r="U203" s="154"/>
      <c r="V203" s="155"/>
      <c r="W203" s="156"/>
      <c r="X203" s="154"/>
      <c r="Y203" s="155"/>
      <c r="Z203" s="155"/>
      <c r="AA203" s="157"/>
      <c r="AB203" s="217"/>
      <c r="AC203" s="150"/>
      <c r="AD203" s="151"/>
      <c r="AE203" s="152"/>
      <c r="AF203" s="506"/>
      <c r="AG203" s="463"/>
      <c r="AH203" s="150"/>
      <c r="AI203" s="152"/>
      <c r="AJ203" s="150"/>
      <c r="AK203" s="152"/>
      <c r="AL203" s="150"/>
      <c r="AM203" s="152"/>
      <c r="AN203" s="150"/>
      <c r="AO203" s="151"/>
      <c r="AP203" s="151"/>
      <c r="AQ203" s="169"/>
      <c r="AR203" s="169"/>
      <c r="AS203" s="149"/>
      <c r="AT203" s="324"/>
      <c r="AU203" s="324"/>
      <c r="AV203" s="324"/>
      <c r="AW203" s="324"/>
      <c r="AX203" s="324"/>
      <c r="AY203" s="324"/>
      <c r="AZ203" s="154"/>
      <c r="BA203" s="419"/>
      <c r="BB203" s="419"/>
      <c r="BC203" s="419"/>
      <c r="BD203" s="419"/>
      <c r="BE203" s="418"/>
      <c r="BF203" s="154"/>
      <c r="BG203" s="419"/>
      <c r="BH203" s="419"/>
      <c r="BI203" s="419"/>
      <c r="BJ203" s="419"/>
      <c r="BK203" s="418"/>
      <c r="BL203" s="36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431"/>
    </row>
    <row r="204" spans="1:74" s="2" customFormat="1" ht="24.9" customHeight="1">
      <c r="A204" s="147" t="s">
        <v>85</v>
      </c>
      <c r="B204" s="158"/>
      <c r="C204" s="179"/>
      <c r="D204" s="158"/>
      <c r="E204" s="160"/>
      <c r="F204" s="161"/>
      <c r="G204" s="161"/>
      <c r="H204" s="161"/>
      <c r="I204" s="154"/>
      <c r="J204" s="418"/>
      <c r="K204" s="419"/>
      <c r="L204" s="154"/>
      <c r="M204" s="418"/>
      <c r="N204" s="419"/>
      <c r="O204" s="150"/>
      <c r="P204" s="164"/>
      <c r="Q204" s="154"/>
      <c r="R204" s="174"/>
      <c r="S204" s="523"/>
      <c r="T204" s="523"/>
      <c r="U204" s="154"/>
      <c r="V204" s="155"/>
      <c r="W204" s="156"/>
      <c r="X204" s="154"/>
      <c r="Y204" s="155"/>
      <c r="Z204" s="155"/>
      <c r="AA204" s="157"/>
      <c r="AB204" s="217"/>
      <c r="AC204" s="150"/>
      <c r="AD204" s="151"/>
      <c r="AE204" s="152"/>
      <c r="AF204" s="506"/>
      <c r="AG204" s="463"/>
      <c r="AH204" s="150"/>
      <c r="AI204" s="152"/>
      <c r="AJ204" s="150"/>
      <c r="AK204" s="152"/>
      <c r="AL204" s="150"/>
      <c r="AM204" s="152"/>
      <c r="AN204" s="150"/>
      <c r="AO204" s="151"/>
      <c r="AP204" s="151"/>
      <c r="AQ204" s="169"/>
      <c r="AR204" s="169"/>
      <c r="AS204" s="149"/>
      <c r="AT204" s="324"/>
      <c r="AU204" s="324"/>
      <c r="AV204" s="324"/>
      <c r="AW204" s="324"/>
      <c r="AX204" s="324"/>
      <c r="AY204" s="324"/>
      <c r="AZ204" s="154"/>
      <c r="BA204" s="419"/>
      <c r="BB204" s="419"/>
      <c r="BC204" s="419"/>
      <c r="BD204" s="419"/>
      <c r="BE204" s="418"/>
      <c r="BF204" s="154"/>
      <c r="BG204" s="419"/>
      <c r="BH204" s="419"/>
      <c r="BI204" s="419"/>
      <c r="BJ204" s="419"/>
      <c r="BK204" s="418"/>
      <c r="BL204" s="36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561"/>
    </row>
    <row r="205" spans="1:74" s="2" customFormat="1" ht="24.9" customHeight="1">
      <c r="A205" s="147" t="s">
        <v>85</v>
      </c>
      <c r="B205" s="158"/>
      <c r="C205" s="179"/>
      <c r="D205" s="158"/>
      <c r="E205" s="160"/>
      <c r="F205" s="161"/>
      <c r="G205" s="161"/>
      <c r="H205" s="161"/>
      <c r="I205" s="154"/>
      <c r="J205" s="418"/>
      <c r="K205" s="419"/>
      <c r="L205" s="154"/>
      <c r="M205" s="418"/>
      <c r="N205" s="419"/>
      <c r="O205" s="150"/>
      <c r="P205" s="164"/>
      <c r="Q205" s="154"/>
      <c r="R205" s="174"/>
      <c r="S205" s="523"/>
      <c r="T205" s="523"/>
      <c r="U205" s="154"/>
      <c r="V205" s="155"/>
      <c r="W205" s="156"/>
      <c r="X205" s="154"/>
      <c r="Y205" s="155"/>
      <c r="Z205" s="155"/>
      <c r="AA205" s="157"/>
      <c r="AB205" s="217"/>
      <c r="AC205" s="150"/>
      <c r="AD205" s="151"/>
      <c r="AE205" s="152"/>
      <c r="AF205" s="506"/>
      <c r="AG205" s="463"/>
      <c r="AH205" s="150"/>
      <c r="AI205" s="152"/>
      <c r="AJ205" s="150"/>
      <c r="AK205" s="152"/>
      <c r="AL205" s="150"/>
      <c r="AM205" s="152"/>
      <c r="AN205" s="150"/>
      <c r="AO205" s="151"/>
      <c r="AP205" s="151"/>
      <c r="AQ205" s="169"/>
      <c r="AR205" s="169"/>
      <c r="AS205" s="149"/>
      <c r="AT205" s="324"/>
      <c r="AU205" s="324"/>
      <c r="AV205" s="324"/>
      <c r="AW205" s="324"/>
      <c r="AX205" s="324"/>
      <c r="AY205" s="324"/>
      <c r="AZ205" s="154"/>
      <c r="BA205" s="419"/>
      <c r="BB205" s="419"/>
      <c r="BC205" s="419"/>
      <c r="BD205" s="419"/>
      <c r="BE205" s="418"/>
      <c r="BF205" s="154"/>
      <c r="BG205" s="419"/>
      <c r="BH205" s="419"/>
      <c r="BI205" s="419"/>
      <c r="BJ205" s="419"/>
      <c r="BK205" s="418"/>
      <c r="BL205" s="36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431"/>
    </row>
    <row r="206" spans="1:74" s="2" customFormat="1" ht="24.9" customHeight="1">
      <c r="A206" s="147" t="s">
        <v>85</v>
      </c>
      <c r="B206" s="158"/>
      <c r="C206" s="179"/>
      <c r="D206" s="158"/>
      <c r="E206" s="160"/>
      <c r="F206" s="161"/>
      <c r="G206" s="161"/>
      <c r="H206" s="161"/>
      <c r="I206" s="154"/>
      <c r="J206" s="418"/>
      <c r="K206" s="419"/>
      <c r="L206" s="154"/>
      <c r="M206" s="418"/>
      <c r="N206" s="419"/>
      <c r="O206" s="150"/>
      <c r="P206" s="164"/>
      <c r="Q206" s="154"/>
      <c r="R206" s="174"/>
      <c r="S206" s="523"/>
      <c r="T206" s="523"/>
      <c r="U206" s="154"/>
      <c r="V206" s="155"/>
      <c r="W206" s="156"/>
      <c r="X206" s="154"/>
      <c r="Y206" s="155"/>
      <c r="Z206" s="155"/>
      <c r="AA206" s="157"/>
      <c r="AB206" s="217"/>
      <c r="AC206" s="150"/>
      <c r="AD206" s="151"/>
      <c r="AE206" s="152"/>
      <c r="AF206" s="506"/>
      <c r="AG206" s="463"/>
      <c r="AH206" s="150"/>
      <c r="AI206" s="152"/>
      <c r="AJ206" s="150"/>
      <c r="AK206" s="152"/>
      <c r="AL206" s="150"/>
      <c r="AM206" s="152"/>
      <c r="AN206" s="150"/>
      <c r="AO206" s="151"/>
      <c r="AP206" s="151"/>
      <c r="AQ206" s="169"/>
      <c r="AR206" s="169"/>
      <c r="AS206" s="149"/>
      <c r="AT206" s="324"/>
      <c r="AU206" s="324"/>
      <c r="AV206" s="324"/>
      <c r="AW206" s="324"/>
      <c r="AX206" s="324"/>
      <c r="AY206" s="324"/>
      <c r="AZ206" s="154"/>
      <c r="BA206" s="419"/>
      <c r="BB206" s="419"/>
      <c r="BC206" s="419"/>
      <c r="BD206" s="419"/>
      <c r="BE206" s="418"/>
      <c r="BF206" s="154"/>
      <c r="BG206" s="419"/>
      <c r="BH206" s="419"/>
      <c r="BI206" s="419"/>
      <c r="BJ206" s="419"/>
      <c r="BK206" s="418"/>
      <c r="BL206" s="36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561"/>
    </row>
    <row r="207" spans="1:74" s="2" customFormat="1" ht="24.9" customHeight="1">
      <c r="A207" s="147" t="s">
        <v>85</v>
      </c>
      <c r="B207" s="158"/>
      <c r="C207" s="179"/>
      <c r="D207" s="158"/>
      <c r="E207" s="160"/>
      <c r="F207" s="161"/>
      <c r="G207" s="161"/>
      <c r="H207" s="161"/>
      <c r="I207" s="154"/>
      <c r="J207" s="418"/>
      <c r="K207" s="419"/>
      <c r="L207" s="154"/>
      <c r="M207" s="418"/>
      <c r="N207" s="419"/>
      <c r="O207" s="150"/>
      <c r="P207" s="164"/>
      <c r="Q207" s="154"/>
      <c r="R207" s="174"/>
      <c r="S207" s="523"/>
      <c r="T207" s="523"/>
      <c r="U207" s="154"/>
      <c r="V207" s="155"/>
      <c r="W207" s="156"/>
      <c r="X207" s="154"/>
      <c r="Y207" s="155"/>
      <c r="Z207" s="155"/>
      <c r="AA207" s="157"/>
      <c r="AB207" s="217"/>
      <c r="AC207" s="150"/>
      <c r="AD207" s="151"/>
      <c r="AE207" s="152"/>
      <c r="AF207" s="506"/>
      <c r="AG207" s="463"/>
      <c r="AH207" s="150"/>
      <c r="AI207" s="152"/>
      <c r="AJ207" s="150"/>
      <c r="AK207" s="152"/>
      <c r="AL207" s="150"/>
      <c r="AM207" s="152"/>
      <c r="AN207" s="150"/>
      <c r="AO207" s="151"/>
      <c r="AP207" s="151"/>
      <c r="AQ207" s="169"/>
      <c r="AR207" s="169"/>
      <c r="AS207" s="149"/>
      <c r="AT207" s="324"/>
      <c r="AU207" s="324"/>
      <c r="AV207" s="324"/>
      <c r="AW207" s="324"/>
      <c r="AX207" s="324"/>
      <c r="AY207" s="324"/>
      <c r="AZ207" s="154"/>
      <c r="BA207" s="419"/>
      <c r="BB207" s="419"/>
      <c r="BC207" s="419"/>
      <c r="BD207" s="419"/>
      <c r="BE207" s="418"/>
      <c r="BF207" s="154"/>
      <c r="BG207" s="419"/>
      <c r="BH207" s="419"/>
      <c r="BI207" s="419"/>
      <c r="BJ207" s="419"/>
      <c r="BK207" s="418"/>
      <c r="BL207" s="36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431"/>
    </row>
    <row r="208" spans="1:74" s="2" customFormat="1" ht="24.9" customHeight="1">
      <c r="A208" s="147" t="s">
        <v>85</v>
      </c>
      <c r="B208" s="158"/>
      <c r="C208" s="179"/>
      <c r="D208" s="158"/>
      <c r="E208" s="160"/>
      <c r="F208" s="161"/>
      <c r="G208" s="161"/>
      <c r="H208" s="161"/>
      <c r="I208" s="154"/>
      <c r="J208" s="418"/>
      <c r="K208" s="419"/>
      <c r="L208" s="154"/>
      <c r="M208" s="418"/>
      <c r="N208" s="419"/>
      <c r="O208" s="150"/>
      <c r="P208" s="164"/>
      <c r="Q208" s="154"/>
      <c r="R208" s="151"/>
      <c r="S208" s="522"/>
      <c r="T208" s="522"/>
      <c r="U208" s="154"/>
      <c r="V208" s="155"/>
      <c r="W208" s="156"/>
      <c r="X208" s="154"/>
      <c r="Y208" s="155"/>
      <c r="Z208" s="155"/>
      <c r="AA208" s="157"/>
      <c r="AB208" s="217"/>
      <c r="AC208" s="150"/>
      <c r="AD208" s="151"/>
      <c r="AE208" s="152"/>
      <c r="AF208" s="506"/>
      <c r="AG208" s="464"/>
      <c r="AH208" s="150"/>
      <c r="AI208" s="152"/>
      <c r="AJ208" s="150"/>
      <c r="AK208" s="152"/>
      <c r="AL208" s="150"/>
      <c r="AM208" s="152"/>
      <c r="AN208" s="150"/>
      <c r="AO208" s="151"/>
      <c r="AP208" s="151"/>
      <c r="AQ208" s="169"/>
      <c r="AR208" s="169"/>
      <c r="AS208" s="149"/>
      <c r="AT208" s="324"/>
      <c r="AU208" s="324"/>
      <c r="AV208" s="324"/>
      <c r="AW208" s="324"/>
      <c r="AX208" s="324"/>
      <c r="AY208" s="324"/>
      <c r="AZ208" s="154"/>
      <c r="BA208" s="419"/>
      <c r="BB208" s="419"/>
      <c r="BC208" s="419"/>
      <c r="BD208" s="419"/>
      <c r="BE208" s="418"/>
      <c r="BF208" s="154"/>
      <c r="BG208" s="419"/>
      <c r="BH208" s="419"/>
      <c r="BI208" s="419"/>
      <c r="BJ208" s="419"/>
      <c r="BK208" s="418"/>
      <c r="BL208" s="36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432"/>
    </row>
    <row r="209" spans="1:74" s="2" customFormat="1" ht="24.9" customHeight="1">
      <c r="A209" s="147" t="s">
        <v>85</v>
      </c>
      <c r="B209" s="158"/>
      <c r="C209" s="179"/>
      <c r="D209" s="158"/>
      <c r="E209" s="160"/>
      <c r="F209" s="161"/>
      <c r="G209" s="161"/>
      <c r="H209" s="161"/>
      <c r="I209" s="154"/>
      <c r="J209" s="418"/>
      <c r="K209" s="419"/>
      <c r="L209" s="154"/>
      <c r="M209" s="418"/>
      <c r="N209" s="419"/>
      <c r="O209" s="150"/>
      <c r="P209" s="164"/>
      <c r="Q209" s="154"/>
      <c r="R209" s="151"/>
      <c r="S209" s="522"/>
      <c r="T209" s="522"/>
      <c r="U209" s="154"/>
      <c r="V209" s="155"/>
      <c r="W209" s="156"/>
      <c r="X209" s="154"/>
      <c r="Y209" s="155"/>
      <c r="Z209" s="155"/>
      <c r="AA209" s="157"/>
      <c r="AB209" s="217"/>
      <c r="AC209" s="150"/>
      <c r="AD209" s="151"/>
      <c r="AE209" s="152"/>
      <c r="AF209" s="506"/>
      <c r="AG209" s="463"/>
      <c r="AH209" s="150"/>
      <c r="AI209" s="152"/>
      <c r="AJ209" s="150"/>
      <c r="AK209" s="152"/>
      <c r="AL209" s="150"/>
      <c r="AM209" s="152"/>
      <c r="AN209" s="150"/>
      <c r="AO209" s="151"/>
      <c r="AP209" s="151"/>
      <c r="AQ209" s="169"/>
      <c r="AR209" s="169"/>
      <c r="AS209" s="149"/>
      <c r="AT209" s="324"/>
      <c r="AU209" s="324"/>
      <c r="AV209" s="324"/>
      <c r="AW209" s="324"/>
      <c r="AX209" s="324"/>
      <c r="AY209" s="324"/>
      <c r="AZ209" s="154"/>
      <c r="BA209" s="419"/>
      <c r="BB209" s="419"/>
      <c r="BC209" s="419"/>
      <c r="BD209" s="419"/>
      <c r="BE209" s="418"/>
      <c r="BF209" s="154"/>
      <c r="BG209" s="419"/>
      <c r="BH209" s="419"/>
      <c r="BI209" s="419"/>
      <c r="BJ209" s="419"/>
      <c r="BK209" s="418"/>
      <c r="BL209" s="36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432"/>
    </row>
    <row r="210" spans="1:74" s="2" customFormat="1" ht="24.9" customHeight="1">
      <c r="A210" s="147" t="s">
        <v>85</v>
      </c>
      <c r="B210" s="158"/>
      <c r="C210" s="179"/>
      <c r="D210" s="158"/>
      <c r="E210" s="160"/>
      <c r="F210" s="161"/>
      <c r="G210" s="161"/>
      <c r="H210" s="161"/>
      <c r="I210" s="154"/>
      <c r="J210" s="418"/>
      <c r="K210" s="419"/>
      <c r="L210" s="154"/>
      <c r="M210" s="418"/>
      <c r="N210" s="419"/>
      <c r="O210" s="150"/>
      <c r="P210" s="164"/>
      <c r="Q210" s="154"/>
      <c r="R210" s="174"/>
      <c r="S210" s="523"/>
      <c r="T210" s="523"/>
      <c r="U210" s="154"/>
      <c r="V210" s="155"/>
      <c r="W210" s="156"/>
      <c r="X210" s="154"/>
      <c r="Y210" s="155"/>
      <c r="Z210" s="155"/>
      <c r="AA210" s="157"/>
      <c r="AB210" s="217"/>
      <c r="AC210" s="150"/>
      <c r="AD210" s="151"/>
      <c r="AE210" s="152"/>
      <c r="AF210" s="506"/>
      <c r="AG210" s="463"/>
      <c r="AH210" s="150"/>
      <c r="AI210" s="152"/>
      <c r="AJ210" s="150"/>
      <c r="AK210" s="152"/>
      <c r="AL210" s="150"/>
      <c r="AM210" s="152"/>
      <c r="AN210" s="150"/>
      <c r="AO210" s="151"/>
      <c r="AP210" s="151"/>
      <c r="AQ210" s="169"/>
      <c r="AR210" s="169"/>
      <c r="AS210" s="149"/>
      <c r="AT210" s="324"/>
      <c r="AU210" s="324"/>
      <c r="AV210" s="324"/>
      <c r="AW210" s="324"/>
      <c r="AX210" s="324"/>
      <c r="AY210" s="324"/>
      <c r="AZ210" s="154"/>
      <c r="BA210" s="419"/>
      <c r="BB210" s="419"/>
      <c r="BC210" s="419"/>
      <c r="BD210" s="419"/>
      <c r="BE210" s="418"/>
      <c r="BF210" s="154"/>
      <c r="BG210" s="419"/>
      <c r="BH210" s="419"/>
      <c r="BI210" s="419"/>
      <c r="BJ210" s="419"/>
      <c r="BK210" s="418"/>
      <c r="BL210" s="36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561"/>
    </row>
    <row r="211" spans="1:74" s="2" customFormat="1" ht="24.9" customHeight="1">
      <c r="A211" s="147" t="s">
        <v>85</v>
      </c>
      <c r="B211" s="158"/>
      <c r="C211" s="179"/>
      <c r="D211" s="158"/>
      <c r="E211" s="160"/>
      <c r="F211" s="161"/>
      <c r="G211" s="161"/>
      <c r="H211" s="161"/>
      <c r="I211" s="154"/>
      <c r="J211" s="418"/>
      <c r="K211" s="419"/>
      <c r="L211" s="154"/>
      <c r="M211" s="418"/>
      <c r="N211" s="419"/>
      <c r="O211" s="150"/>
      <c r="P211" s="164"/>
      <c r="Q211" s="154"/>
      <c r="R211" s="174"/>
      <c r="S211" s="523"/>
      <c r="T211" s="523"/>
      <c r="U211" s="154"/>
      <c r="V211" s="155"/>
      <c r="W211" s="156"/>
      <c r="X211" s="154"/>
      <c r="Y211" s="155"/>
      <c r="Z211" s="155"/>
      <c r="AA211" s="157"/>
      <c r="AB211" s="217"/>
      <c r="AC211" s="150"/>
      <c r="AD211" s="151"/>
      <c r="AE211" s="152"/>
      <c r="AF211" s="506"/>
      <c r="AG211" s="463"/>
      <c r="AH211" s="150"/>
      <c r="AI211" s="152"/>
      <c r="AJ211" s="150"/>
      <c r="AK211" s="152"/>
      <c r="AL211" s="150"/>
      <c r="AM211" s="152"/>
      <c r="AN211" s="150"/>
      <c r="AO211" s="151"/>
      <c r="AP211" s="151"/>
      <c r="AQ211" s="169"/>
      <c r="AR211" s="169"/>
      <c r="AS211" s="149"/>
      <c r="AT211" s="324"/>
      <c r="AU211" s="324"/>
      <c r="AV211" s="324"/>
      <c r="AW211" s="324"/>
      <c r="AX211" s="324"/>
      <c r="AY211" s="324"/>
      <c r="AZ211" s="154"/>
      <c r="BA211" s="419"/>
      <c r="BB211" s="419"/>
      <c r="BC211" s="419"/>
      <c r="BD211" s="419"/>
      <c r="BE211" s="418"/>
      <c r="BF211" s="154"/>
      <c r="BG211" s="419"/>
      <c r="BH211" s="419"/>
      <c r="BI211" s="419"/>
      <c r="BJ211" s="419"/>
      <c r="BK211" s="418"/>
      <c r="BL211" s="36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431"/>
    </row>
    <row r="212" spans="1:74" s="2" customFormat="1" ht="24.9" customHeight="1">
      <c r="A212" s="147" t="s">
        <v>85</v>
      </c>
      <c r="B212" s="158"/>
      <c r="C212" s="179"/>
      <c r="D212" s="158"/>
      <c r="E212" s="160"/>
      <c r="F212" s="161"/>
      <c r="G212" s="161"/>
      <c r="H212" s="161"/>
      <c r="I212" s="154"/>
      <c r="J212" s="418"/>
      <c r="K212" s="419"/>
      <c r="L212" s="154"/>
      <c r="M212" s="418"/>
      <c r="N212" s="419"/>
      <c r="O212" s="150"/>
      <c r="P212" s="164"/>
      <c r="Q212" s="154"/>
      <c r="R212" s="174"/>
      <c r="S212" s="523"/>
      <c r="T212" s="523"/>
      <c r="U212" s="154"/>
      <c r="V212" s="155"/>
      <c r="W212" s="156"/>
      <c r="X212" s="154"/>
      <c r="Y212" s="155"/>
      <c r="Z212" s="155"/>
      <c r="AA212" s="157"/>
      <c r="AB212" s="217"/>
      <c r="AC212" s="150"/>
      <c r="AD212" s="151"/>
      <c r="AE212" s="152"/>
      <c r="AF212" s="506"/>
      <c r="AG212" s="463"/>
      <c r="AH212" s="150"/>
      <c r="AI212" s="152"/>
      <c r="AJ212" s="150"/>
      <c r="AK212" s="152"/>
      <c r="AL212" s="150"/>
      <c r="AM212" s="152"/>
      <c r="AN212" s="150"/>
      <c r="AO212" s="151"/>
      <c r="AP212" s="151"/>
      <c r="AQ212" s="169"/>
      <c r="AR212" s="169"/>
      <c r="AS212" s="149"/>
      <c r="AT212" s="324"/>
      <c r="AU212" s="324"/>
      <c r="AV212" s="324"/>
      <c r="AW212" s="324"/>
      <c r="AX212" s="324"/>
      <c r="AY212" s="324"/>
      <c r="AZ212" s="154"/>
      <c r="BA212" s="419"/>
      <c r="BB212" s="419"/>
      <c r="BC212" s="419"/>
      <c r="BD212" s="419"/>
      <c r="BE212" s="418"/>
      <c r="BF212" s="154"/>
      <c r="BG212" s="419"/>
      <c r="BH212" s="419"/>
      <c r="BI212" s="419"/>
      <c r="BJ212" s="419"/>
      <c r="BK212" s="418"/>
      <c r="BL212" s="36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561"/>
    </row>
    <row r="213" spans="1:74" s="2" customFormat="1" ht="24.9" customHeight="1">
      <c r="A213" s="147" t="s">
        <v>85</v>
      </c>
      <c r="B213" s="158"/>
      <c r="C213" s="179"/>
      <c r="D213" s="158"/>
      <c r="E213" s="160"/>
      <c r="F213" s="161"/>
      <c r="G213" s="161"/>
      <c r="H213" s="161"/>
      <c r="I213" s="154"/>
      <c r="J213" s="418"/>
      <c r="K213" s="419"/>
      <c r="L213" s="154"/>
      <c r="M213" s="418"/>
      <c r="N213" s="419"/>
      <c r="O213" s="150"/>
      <c r="P213" s="164"/>
      <c r="Q213" s="154"/>
      <c r="R213" s="174"/>
      <c r="S213" s="523"/>
      <c r="T213" s="523"/>
      <c r="U213" s="154"/>
      <c r="V213" s="155"/>
      <c r="W213" s="156"/>
      <c r="X213" s="154"/>
      <c r="Y213" s="155"/>
      <c r="Z213" s="155"/>
      <c r="AA213" s="157"/>
      <c r="AB213" s="217"/>
      <c r="AC213" s="150"/>
      <c r="AD213" s="151"/>
      <c r="AE213" s="152"/>
      <c r="AF213" s="506"/>
      <c r="AG213" s="463"/>
      <c r="AH213" s="150"/>
      <c r="AI213" s="152"/>
      <c r="AJ213" s="150"/>
      <c r="AK213" s="152"/>
      <c r="AL213" s="150"/>
      <c r="AM213" s="152"/>
      <c r="AN213" s="150"/>
      <c r="AO213" s="151"/>
      <c r="AP213" s="151"/>
      <c r="AQ213" s="169"/>
      <c r="AR213" s="169"/>
      <c r="AS213" s="149"/>
      <c r="AT213" s="324"/>
      <c r="AU213" s="324"/>
      <c r="AV213" s="324"/>
      <c r="AW213" s="324"/>
      <c r="AX213" s="324"/>
      <c r="AY213" s="324"/>
      <c r="AZ213" s="154"/>
      <c r="BA213" s="419"/>
      <c r="BB213" s="419"/>
      <c r="BC213" s="419"/>
      <c r="BD213" s="419"/>
      <c r="BE213" s="418"/>
      <c r="BF213" s="154"/>
      <c r="BG213" s="419"/>
      <c r="BH213" s="419"/>
      <c r="BI213" s="419"/>
      <c r="BJ213" s="419"/>
      <c r="BK213" s="418"/>
      <c r="BL213" s="36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431"/>
    </row>
    <row r="214" spans="1:74" s="2" customFormat="1" ht="24.9" customHeight="1">
      <c r="A214" s="147" t="s">
        <v>85</v>
      </c>
      <c r="B214" s="158"/>
      <c r="C214" s="179"/>
      <c r="D214" s="158"/>
      <c r="E214" s="160"/>
      <c r="F214" s="161"/>
      <c r="G214" s="161"/>
      <c r="H214" s="161"/>
      <c r="I214" s="154"/>
      <c r="J214" s="418"/>
      <c r="K214" s="419"/>
      <c r="L214" s="154"/>
      <c r="M214" s="418"/>
      <c r="N214" s="419"/>
      <c r="O214" s="150"/>
      <c r="P214" s="164"/>
      <c r="Q214" s="154"/>
      <c r="R214" s="174"/>
      <c r="S214" s="523"/>
      <c r="T214" s="523"/>
      <c r="U214" s="154"/>
      <c r="V214" s="155"/>
      <c r="W214" s="156"/>
      <c r="X214" s="154"/>
      <c r="Y214" s="155"/>
      <c r="Z214" s="155"/>
      <c r="AA214" s="157"/>
      <c r="AB214" s="217"/>
      <c r="AC214" s="150"/>
      <c r="AD214" s="151"/>
      <c r="AE214" s="152"/>
      <c r="AF214" s="506"/>
      <c r="AG214" s="463"/>
      <c r="AH214" s="150"/>
      <c r="AI214" s="152"/>
      <c r="AJ214" s="150"/>
      <c r="AK214" s="152"/>
      <c r="AL214" s="150"/>
      <c r="AM214" s="152"/>
      <c r="AN214" s="150"/>
      <c r="AO214" s="151"/>
      <c r="AP214" s="151"/>
      <c r="AQ214" s="169"/>
      <c r="AR214" s="169"/>
      <c r="AS214" s="149"/>
      <c r="AT214" s="324"/>
      <c r="AU214" s="324"/>
      <c r="AV214" s="324"/>
      <c r="AW214" s="324"/>
      <c r="AX214" s="324"/>
      <c r="AY214" s="324"/>
      <c r="AZ214" s="154"/>
      <c r="BA214" s="419"/>
      <c r="BB214" s="419"/>
      <c r="BC214" s="419"/>
      <c r="BD214" s="419"/>
      <c r="BE214" s="418"/>
      <c r="BF214" s="154"/>
      <c r="BG214" s="419"/>
      <c r="BH214" s="419"/>
      <c r="BI214" s="419"/>
      <c r="BJ214" s="419"/>
      <c r="BK214" s="418"/>
      <c r="BL214" s="36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561"/>
    </row>
    <row r="215" spans="1:74" s="2" customFormat="1" ht="24.9" customHeight="1">
      <c r="A215" s="147" t="s">
        <v>85</v>
      </c>
      <c r="B215" s="158"/>
      <c r="C215" s="179"/>
      <c r="D215" s="158"/>
      <c r="E215" s="160"/>
      <c r="F215" s="161"/>
      <c r="G215" s="161"/>
      <c r="H215" s="161"/>
      <c r="I215" s="154"/>
      <c r="J215" s="418"/>
      <c r="K215" s="419"/>
      <c r="L215" s="154"/>
      <c r="M215" s="418"/>
      <c r="N215" s="419"/>
      <c r="O215" s="150"/>
      <c r="P215" s="164"/>
      <c r="Q215" s="154"/>
      <c r="R215" s="174"/>
      <c r="S215" s="523"/>
      <c r="T215" s="523"/>
      <c r="U215" s="154"/>
      <c r="V215" s="155"/>
      <c r="W215" s="156"/>
      <c r="X215" s="154"/>
      <c r="Y215" s="155"/>
      <c r="Z215" s="155"/>
      <c r="AA215" s="157"/>
      <c r="AB215" s="217"/>
      <c r="AC215" s="150"/>
      <c r="AD215" s="151"/>
      <c r="AE215" s="152"/>
      <c r="AF215" s="506"/>
      <c r="AG215" s="463"/>
      <c r="AH215" s="150"/>
      <c r="AI215" s="152"/>
      <c r="AJ215" s="150"/>
      <c r="AK215" s="152"/>
      <c r="AL215" s="150"/>
      <c r="AM215" s="152"/>
      <c r="AN215" s="150"/>
      <c r="AO215" s="151"/>
      <c r="AP215" s="151"/>
      <c r="AQ215" s="169"/>
      <c r="AR215" s="169"/>
      <c r="AS215" s="149"/>
      <c r="AT215" s="324"/>
      <c r="AU215" s="324"/>
      <c r="AV215" s="324"/>
      <c r="AW215" s="324"/>
      <c r="AX215" s="324"/>
      <c r="AY215" s="324"/>
      <c r="AZ215" s="154"/>
      <c r="BA215" s="419"/>
      <c r="BB215" s="419"/>
      <c r="BC215" s="419"/>
      <c r="BD215" s="419"/>
      <c r="BE215" s="418"/>
      <c r="BF215" s="154"/>
      <c r="BG215" s="419"/>
      <c r="BH215" s="419"/>
      <c r="BI215" s="419"/>
      <c r="BJ215" s="419"/>
      <c r="BK215" s="418"/>
      <c r="BL215" s="36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431"/>
    </row>
    <row r="216" spans="1:74" s="2" customFormat="1" ht="24.9" customHeight="1">
      <c r="A216" s="147" t="s">
        <v>85</v>
      </c>
      <c r="B216" s="158"/>
      <c r="C216" s="179"/>
      <c r="D216" s="158"/>
      <c r="E216" s="160"/>
      <c r="F216" s="161"/>
      <c r="G216" s="161"/>
      <c r="H216" s="161"/>
      <c r="I216" s="154"/>
      <c r="J216" s="418"/>
      <c r="K216" s="419"/>
      <c r="L216" s="154"/>
      <c r="M216" s="418"/>
      <c r="N216" s="419"/>
      <c r="O216" s="150"/>
      <c r="P216" s="164"/>
      <c r="Q216" s="154"/>
      <c r="R216" s="151"/>
      <c r="S216" s="522"/>
      <c r="T216" s="522"/>
      <c r="U216" s="154"/>
      <c r="V216" s="155"/>
      <c r="W216" s="156"/>
      <c r="X216" s="154"/>
      <c r="Y216" s="155"/>
      <c r="Z216" s="155"/>
      <c r="AA216" s="157"/>
      <c r="AB216" s="217"/>
      <c r="AC216" s="150"/>
      <c r="AD216" s="151"/>
      <c r="AE216" s="152"/>
      <c r="AF216" s="506"/>
      <c r="AG216" s="463"/>
      <c r="AH216" s="150"/>
      <c r="AI216" s="152"/>
      <c r="AJ216" s="150"/>
      <c r="AK216" s="152"/>
      <c r="AL216" s="150"/>
      <c r="AM216" s="152"/>
      <c r="AN216" s="150"/>
      <c r="AO216" s="151"/>
      <c r="AP216" s="151"/>
      <c r="AQ216" s="169"/>
      <c r="AR216" s="169"/>
      <c r="AS216" s="149"/>
      <c r="AT216" s="324"/>
      <c r="AU216" s="324"/>
      <c r="AV216" s="324"/>
      <c r="AW216" s="324"/>
      <c r="AX216" s="324"/>
      <c r="AY216" s="324"/>
      <c r="AZ216" s="154"/>
      <c r="BA216" s="419"/>
      <c r="BB216" s="419"/>
      <c r="BC216" s="419"/>
      <c r="BD216" s="419"/>
      <c r="BE216" s="418"/>
      <c r="BF216" s="154"/>
      <c r="BG216" s="419"/>
      <c r="BH216" s="419"/>
      <c r="BI216" s="419"/>
      <c r="BJ216" s="419"/>
      <c r="BK216" s="418"/>
      <c r="BL216" s="36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432"/>
    </row>
    <row r="217" spans="1:74" s="2" customFormat="1" ht="24.9" customHeight="1">
      <c r="A217" s="147" t="s">
        <v>85</v>
      </c>
      <c r="B217" s="158"/>
      <c r="C217" s="179"/>
      <c r="D217" s="158"/>
      <c r="E217" s="160"/>
      <c r="F217" s="161"/>
      <c r="G217" s="161"/>
      <c r="H217" s="161"/>
      <c r="I217" s="154"/>
      <c r="J217" s="418"/>
      <c r="K217" s="419"/>
      <c r="L217" s="154"/>
      <c r="M217" s="418"/>
      <c r="N217" s="419"/>
      <c r="O217" s="150"/>
      <c r="P217" s="164"/>
      <c r="Q217" s="154"/>
      <c r="R217" s="174"/>
      <c r="S217" s="523"/>
      <c r="T217" s="523"/>
      <c r="U217" s="154"/>
      <c r="V217" s="155"/>
      <c r="W217" s="156"/>
      <c r="X217" s="154"/>
      <c r="Y217" s="155"/>
      <c r="Z217" s="155"/>
      <c r="AA217" s="157"/>
      <c r="AB217" s="217"/>
      <c r="AC217" s="150"/>
      <c r="AD217" s="151"/>
      <c r="AE217" s="152"/>
      <c r="AF217" s="506"/>
      <c r="AG217" s="463"/>
      <c r="AH217" s="150"/>
      <c r="AI217" s="152"/>
      <c r="AJ217" s="150"/>
      <c r="AK217" s="152"/>
      <c r="AL217" s="150"/>
      <c r="AM217" s="152"/>
      <c r="AN217" s="150"/>
      <c r="AO217" s="151"/>
      <c r="AP217" s="151"/>
      <c r="AQ217" s="169"/>
      <c r="AR217" s="169"/>
      <c r="AS217" s="149"/>
      <c r="AT217" s="324"/>
      <c r="AU217" s="324"/>
      <c r="AV217" s="324"/>
      <c r="AW217" s="324"/>
      <c r="AX217" s="324"/>
      <c r="AY217" s="324"/>
      <c r="AZ217" s="154"/>
      <c r="BA217" s="419"/>
      <c r="BB217" s="419"/>
      <c r="BC217" s="419"/>
      <c r="BD217" s="419"/>
      <c r="BE217" s="418"/>
      <c r="BF217" s="154"/>
      <c r="BG217" s="419"/>
      <c r="BH217" s="419"/>
      <c r="BI217" s="419"/>
      <c r="BJ217" s="419"/>
      <c r="BK217" s="418"/>
      <c r="BL217" s="36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432"/>
    </row>
    <row r="218" spans="1:74" s="2" customFormat="1" ht="24.9" customHeight="1">
      <c r="A218" s="147" t="s">
        <v>85</v>
      </c>
      <c r="B218" s="158"/>
      <c r="C218" s="179"/>
      <c r="D218" s="158"/>
      <c r="E218" s="160"/>
      <c r="F218" s="161"/>
      <c r="G218" s="161"/>
      <c r="H218" s="161"/>
      <c r="I218" s="154"/>
      <c r="J218" s="418"/>
      <c r="K218" s="419"/>
      <c r="L218" s="154"/>
      <c r="M218" s="418"/>
      <c r="N218" s="419"/>
      <c r="O218" s="150"/>
      <c r="P218" s="164"/>
      <c r="Q218" s="154"/>
      <c r="R218" s="151"/>
      <c r="S218" s="522"/>
      <c r="T218" s="522"/>
      <c r="U218" s="154"/>
      <c r="V218" s="155"/>
      <c r="W218" s="156"/>
      <c r="X218" s="154"/>
      <c r="Y218" s="155"/>
      <c r="Z218" s="155"/>
      <c r="AA218" s="157"/>
      <c r="AB218" s="217"/>
      <c r="AC218" s="150"/>
      <c r="AD218" s="151"/>
      <c r="AE218" s="152"/>
      <c r="AF218" s="506"/>
      <c r="AG218" s="463"/>
      <c r="AH218" s="150"/>
      <c r="AI218" s="152"/>
      <c r="AJ218" s="150"/>
      <c r="AK218" s="152"/>
      <c r="AL218" s="150"/>
      <c r="AM218" s="152"/>
      <c r="AN218" s="150"/>
      <c r="AO218" s="151"/>
      <c r="AP218" s="151"/>
      <c r="AQ218" s="169"/>
      <c r="AR218" s="169"/>
      <c r="AS218" s="149"/>
      <c r="AT218" s="324"/>
      <c r="AU218" s="324"/>
      <c r="AV218" s="324"/>
      <c r="AW218" s="324"/>
      <c r="AX218" s="324"/>
      <c r="AY218" s="324"/>
      <c r="AZ218" s="154"/>
      <c r="BA218" s="419"/>
      <c r="BB218" s="419"/>
      <c r="BC218" s="419"/>
      <c r="BD218" s="419"/>
      <c r="BE218" s="418"/>
      <c r="BF218" s="154"/>
      <c r="BG218" s="419"/>
      <c r="BH218" s="419"/>
      <c r="BI218" s="419"/>
      <c r="BJ218" s="419"/>
      <c r="BK218" s="418"/>
      <c r="BL218" s="36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561"/>
    </row>
    <row r="219" spans="1:74" s="2" customFormat="1" ht="24.9" customHeight="1">
      <c r="A219" s="147" t="s">
        <v>85</v>
      </c>
      <c r="B219" s="158"/>
      <c r="C219" s="179"/>
      <c r="D219" s="158"/>
      <c r="E219" s="160"/>
      <c r="F219" s="161"/>
      <c r="G219" s="161"/>
      <c r="H219" s="161"/>
      <c r="I219" s="154"/>
      <c r="J219" s="418"/>
      <c r="K219" s="419"/>
      <c r="L219" s="154"/>
      <c r="M219" s="418"/>
      <c r="N219" s="419"/>
      <c r="O219" s="150"/>
      <c r="P219" s="164"/>
      <c r="Q219" s="154"/>
      <c r="R219" s="174"/>
      <c r="S219" s="523"/>
      <c r="T219" s="523"/>
      <c r="U219" s="154"/>
      <c r="V219" s="155"/>
      <c r="W219" s="156"/>
      <c r="X219" s="154"/>
      <c r="Y219" s="155"/>
      <c r="Z219" s="155"/>
      <c r="AA219" s="157"/>
      <c r="AB219" s="217"/>
      <c r="AC219" s="150"/>
      <c r="AD219" s="151"/>
      <c r="AE219" s="152"/>
      <c r="AF219" s="506"/>
      <c r="AG219" s="463"/>
      <c r="AH219" s="150"/>
      <c r="AI219" s="152"/>
      <c r="AJ219" s="150"/>
      <c r="AK219" s="152"/>
      <c r="AL219" s="150"/>
      <c r="AM219" s="152"/>
      <c r="AN219" s="150"/>
      <c r="AO219" s="151"/>
      <c r="AP219" s="151"/>
      <c r="AQ219" s="169"/>
      <c r="AR219" s="169"/>
      <c r="AS219" s="149"/>
      <c r="AT219" s="324"/>
      <c r="AU219" s="324"/>
      <c r="AV219" s="324"/>
      <c r="AW219" s="324"/>
      <c r="AX219" s="324"/>
      <c r="AY219" s="324"/>
      <c r="AZ219" s="154"/>
      <c r="BA219" s="419"/>
      <c r="BB219" s="419"/>
      <c r="BC219" s="419"/>
      <c r="BD219" s="419"/>
      <c r="BE219" s="418"/>
      <c r="BF219" s="154"/>
      <c r="BG219" s="419"/>
      <c r="BH219" s="419"/>
      <c r="BI219" s="419"/>
      <c r="BJ219" s="419"/>
      <c r="BK219" s="418"/>
      <c r="BL219" s="36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431"/>
    </row>
    <row r="220" spans="1:74" s="2" customFormat="1" ht="24.9" customHeight="1">
      <c r="A220" s="147" t="s">
        <v>85</v>
      </c>
      <c r="B220" s="158"/>
      <c r="C220" s="179"/>
      <c r="D220" s="158"/>
      <c r="E220" s="160"/>
      <c r="F220" s="161"/>
      <c r="G220" s="161"/>
      <c r="H220" s="161"/>
      <c r="I220" s="154"/>
      <c r="J220" s="418"/>
      <c r="K220" s="419"/>
      <c r="L220" s="154"/>
      <c r="M220" s="418"/>
      <c r="N220" s="419"/>
      <c r="O220" s="150"/>
      <c r="P220" s="164"/>
      <c r="Q220" s="154"/>
      <c r="R220" s="174"/>
      <c r="S220" s="523"/>
      <c r="T220" s="523"/>
      <c r="U220" s="154"/>
      <c r="V220" s="155"/>
      <c r="W220" s="156"/>
      <c r="X220" s="154"/>
      <c r="Y220" s="155"/>
      <c r="Z220" s="155"/>
      <c r="AA220" s="157"/>
      <c r="AB220" s="217"/>
      <c r="AC220" s="150"/>
      <c r="AD220" s="151"/>
      <c r="AE220" s="152"/>
      <c r="AF220" s="506"/>
      <c r="AG220" s="463"/>
      <c r="AH220" s="150"/>
      <c r="AI220" s="152"/>
      <c r="AJ220" s="150"/>
      <c r="AK220" s="152"/>
      <c r="AL220" s="150"/>
      <c r="AM220" s="152"/>
      <c r="AN220" s="150"/>
      <c r="AO220" s="151"/>
      <c r="AP220" s="151"/>
      <c r="AQ220" s="169"/>
      <c r="AR220" s="169"/>
      <c r="AS220" s="149"/>
      <c r="AT220" s="324"/>
      <c r="AU220" s="324"/>
      <c r="AV220" s="324"/>
      <c r="AW220" s="324"/>
      <c r="AX220" s="324"/>
      <c r="AY220" s="324"/>
      <c r="AZ220" s="154"/>
      <c r="BA220" s="419"/>
      <c r="BB220" s="419"/>
      <c r="BC220" s="419"/>
      <c r="BD220" s="419"/>
      <c r="BE220" s="418"/>
      <c r="BF220" s="154"/>
      <c r="BG220" s="419"/>
      <c r="BH220" s="419"/>
      <c r="BI220" s="419"/>
      <c r="BJ220" s="419"/>
      <c r="BK220" s="418"/>
      <c r="BL220" s="36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561"/>
    </row>
    <row r="221" spans="1:74" s="2" customFormat="1" ht="24.9" customHeight="1">
      <c r="A221" s="147" t="s">
        <v>85</v>
      </c>
      <c r="B221" s="158"/>
      <c r="C221" s="179"/>
      <c r="D221" s="158"/>
      <c r="E221" s="160"/>
      <c r="F221" s="161"/>
      <c r="G221" s="161"/>
      <c r="H221" s="161"/>
      <c r="I221" s="154"/>
      <c r="J221" s="418"/>
      <c r="K221" s="419"/>
      <c r="L221" s="154"/>
      <c r="M221" s="418"/>
      <c r="N221" s="419"/>
      <c r="O221" s="150"/>
      <c r="P221" s="164"/>
      <c r="Q221" s="154"/>
      <c r="R221" s="174"/>
      <c r="S221" s="523"/>
      <c r="T221" s="523"/>
      <c r="U221" s="154"/>
      <c r="V221" s="155"/>
      <c r="W221" s="156"/>
      <c r="X221" s="154"/>
      <c r="Y221" s="155"/>
      <c r="Z221" s="155"/>
      <c r="AA221" s="157"/>
      <c r="AB221" s="217"/>
      <c r="AC221" s="150"/>
      <c r="AD221" s="151"/>
      <c r="AE221" s="152"/>
      <c r="AF221" s="506"/>
      <c r="AG221" s="463"/>
      <c r="AH221" s="150"/>
      <c r="AI221" s="152"/>
      <c r="AJ221" s="150"/>
      <c r="AK221" s="152"/>
      <c r="AL221" s="150"/>
      <c r="AM221" s="152"/>
      <c r="AN221" s="150"/>
      <c r="AO221" s="151"/>
      <c r="AP221" s="151"/>
      <c r="AQ221" s="169"/>
      <c r="AR221" s="169"/>
      <c r="AS221" s="149"/>
      <c r="AT221" s="324"/>
      <c r="AU221" s="324"/>
      <c r="AV221" s="324"/>
      <c r="AW221" s="324"/>
      <c r="AX221" s="324"/>
      <c r="AY221" s="324"/>
      <c r="AZ221" s="154"/>
      <c r="BA221" s="419"/>
      <c r="BB221" s="419"/>
      <c r="BC221" s="419"/>
      <c r="BD221" s="419"/>
      <c r="BE221" s="418"/>
      <c r="BF221" s="154"/>
      <c r="BG221" s="419"/>
      <c r="BH221" s="419"/>
      <c r="BI221" s="419"/>
      <c r="BJ221" s="419"/>
      <c r="BK221" s="418"/>
      <c r="BL221" s="36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431"/>
    </row>
    <row r="222" spans="1:74" s="2" customFormat="1" ht="24.9" customHeight="1">
      <c r="A222" s="147" t="s">
        <v>85</v>
      </c>
      <c r="B222" s="158"/>
      <c r="C222" s="179"/>
      <c r="D222" s="158"/>
      <c r="E222" s="160"/>
      <c r="F222" s="161"/>
      <c r="G222" s="161"/>
      <c r="H222" s="161"/>
      <c r="I222" s="154"/>
      <c r="J222" s="418"/>
      <c r="K222" s="419"/>
      <c r="L222" s="154"/>
      <c r="M222" s="418"/>
      <c r="N222" s="419"/>
      <c r="O222" s="150"/>
      <c r="P222" s="164"/>
      <c r="Q222" s="154"/>
      <c r="R222" s="174"/>
      <c r="S222" s="523"/>
      <c r="T222" s="523"/>
      <c r="U222" s="154"/>
      <c r="V222" s="155"/>
      <c r="W222" s="156"/>
      <c r="X222" s="154"/>
      <c r="Y222" s="155"/>
      <c r="Z222" s="155"/>
      <c r="AA222" s="157"/>
      <c r="AB222" s="217"/>
      <c r="AC222" s="150"/>
      <c r="AD222" s="151"/>
      <c r="AE222" s="152"/>
      <c r="AF222" s="506"/>
      <c r="AG222" s="463"/>
      <c r="AH222" s="150"/>
      <c r="AI222" s="152"/>
      <c r="AJ222" s="150"/>
      <c r="AK222" s="152"/>
      <c r="AL222" s="150"/>
      <c r="AM222" s="152"/>
      <c r="AN222" s="150"/>
      <c r="AO222" s="151"/>
      <c r="AP222" s="151"/>
      <c r="AQ222" s="169"/>
      <c r="AR222" s="169"/>
      <c r="AS222" s="149"/>
      <c r="AT222" s="324"/>
      <c r="AU222" s="324"/>
      <c r="AV222" s="324"/>
      <c r="AW222" s="324"/>
      <c r="AX222" s="324"/>
      <c r="AY222" s="324"/>
      <c r="AZ222" s="154"/>
      <c r="BA222" s="419"/>
      <c r="BB222" s="419"/>
      <c r="BC222" s="419"/>
      <c r="BD222" s="419"/>
      <c r="BE222" s="418"/>
      <c r="BF222" s="154"/>
      <c r="BG222" s="419"/>
      <c r="BH222" s="419"/>
      <c r="BI222" s="419"/>
      <c r="BJ222" s="419"/>
      <c r="BK222" s="418"/>
      <c r="BL222" s="36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561"/>
    </row>
    <row r="223" spans="1:74" s="2" customFormat="1" ht="24.9" customHeight="1">
      <c r="A223" s="147" t="s">
        <v>85</v>
      </c>
      <c r="B223" s="158"/>
      <c r="C223" s="179"/>
      <c r="D223" s="158"/>
      <c r="E223" s="160"/>
      <c r="F223" s="161"/>
      <c r="G223" s="161"/>
      <c r="H223" s="161"/>
      <c r="I223" s="154"/>
      <c r="J223" s="418"/>
      <c r="K223" s="419"/>
      <c r="L223" s="154"/>
      <c r="M223" s="418"/>
      <c r="N223" s="419"/>
      <c r="O223" s="150"/>
      <c r="P223" s="164"/>
      <c r="Q223" s="154"/>
      <c r="R223" s="174"/>
      <c r="S223" s="523"/>
      <c r="T223" s="523"/>
      <c r="U223" s="154"/>
      <c r="V223" s="155"/>
      <c r="W223" s="156"/>
      <c r="X223" s="154"/>
      <c r="Y223" s="155"/>
      <c r="Z223" s="155"/>
      <c r="AA223" s="157"/>
      <c r="AB223" s="217"/>
      <c r="AC223" s="150"/>
      <c r="AD223" s="151"/>
      <c r="AE223" s="152"/>
      <c r="AF223" s="506"/>
      <c r="AG223" s="463"/>
      <c r="AH223" s="150"/>
      <c r="AI223" s="152"/>
      <c r="AJ223" s="150"/>
      <c r="AK223" s="152"/>
      <c r="AL223" s="150"/>
      <c r="AM223" s="152"/>
      <c r="AN223" s="150"/>
      <c r="AO223" s="151"/>
      <c r="AP223" s="151"/>
      <c r="AQ223" s="169"/>
      <c r="AR223" s="169"/>
      <c r="AS223" s="149"/>
      <c r="AT223" s="324"/>
      <c r="AU223" s="324"/>
      <c r="AV223" s="324"/>
      <c r="AW223" s="324"/>
      <c r="AX223" s="324"/>
      <c r="AY223" s="324"/>
      <c r="AZ223" s="154"/>
      <c r="BA223" s="419"/>
      <c r="BB223" s="419"/>
      <c r="BC223" s="419"/>
      <c r="BD223" s="419"/>
      <c r="BE223" s="418"/>
      <c r="BF223" s="154"/>
      <c r="BG223" s="419"/>
      <c r="BH223" s="419"/>
      <c r="BI223" s="419"/>
      <c r="BJ223" s="419"/>
      <c r="BK223" s="418"/>
      <c r="BL223" s="36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431"/>
    </row>
    <row r="224" spans="1:74" s="2" customFormat="1" ht="24.9" customHeight="1">
      <c r="A224" s="147" t="s">
        <v>85</v>
      </c>
      <c r="B224" s="158"/>
      <c r="C224" s="179"/>
      <c r="D224" s="158"/>
      <c r="E224" s="160"/>
      <c r="F224" s="161"/>
      <c r="G224" s="161"/>
      <c r="H224" s="161"/>
      <c r="I224" s="154"/>
      <c r="J224" s="418"/>
      <c r="K224" s="419"/>
      <c r="L224" s="154"/>
      <c r="M224" s="418"/>
      <c r="N224" s="419"/>
      <c r="O224" s="150"/>
      <c r="P224" s="164"/>
      <c r="Q224" s="154"/>
      <c r="R224" s="151"/>
      <c r="S224" s="522"/>
      <c r="T224" s="522"/>
      <c r="U224" s="154"/>
      <c r="V224" s="155"/>
      <c r="W224" s="156"/>
      <c r="X224" s="154"/>
      <c r="Y224" s="155"/>
      <c r="Z224" s="155"/>
      <c r="AA224" s="157"/>
      <c r="AB224" s="217"/>
      <c r="AC224" s="150"/>
      <c r="AD224" s="151"/>
      <c r="AE224" s="152"/>
      <c r="AF224" s="506"/>
      <c r="AG224" s="463"/>
      <c r="AH224" s="150"/>
      <c r="AI224" s="152"/>
      <c r="AJ224" s="150"/>
      <c r="AK224" s="152"/>
      <c r="AL224" s="150"/>
      <c r="AM224" s="152"/>
      <c r="AN224" s="150"/>
      <c r="AO224" s="151"/>
      <c r="AP224" s="151"/>
      <c r="AQ224" s="169"/>
      <c r="AR224" s="169"/>
      <c r="AS224" s="149"/>
      <c r="AT224" s="324"/>
      <c r="AU224" s="324"/>
      <c r="AV224" s="324"/>
      <c r="AW224" s="324"/>
      <c r="AX224" s="324"/>
      <c r="AY224" s="324"/>
      <c r="AZ224" s="154"/>
      <c r="BA224" s="419"/>
      <c r="BB224" s="419"/>
      <c r="BC224" s="419"/>
      <c r="BD224" s="419"/>
      <c r="BE224" s="418"/>
      <c r="BF224" s="154"/>
      <c r="BG224" s="419"/>
      <c r="BH224" s="419"/>
      <c r="BI224" s="419"/>
      <c r="BJ224" s="419"/>
      <c r="BK224" s="418"/>
      <c r="BL224" s="36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432"/>
    </row>
    <row r="225" spans="1:74" s="2" customFormat="1" ht="24.9" customHeight="1">
      <c r="A225" s="147" t="s">
        <v>85</v>
      </c>
      <c r="B225" s="158"/>
      <c r="C225" s="179"/>
      <c r="D225" s="158"/>
      <c r="E225" s="160"/>
      <c r="F225" s="161"/>
      <c r="G225" s="161"/>
      <c r="H225" s="161"/>
      <c r="I225" s="154"/>
      <c r="J225" s="418"/>
      <c r="K225" s="419"/>
      <c r="L225" s="154"/>
      <c r="M225" s="418"/>
      <c r="N225" s="419"/>
      <c r="O225" s="150"/>
      <c r="P225" s="164"/>
      <c r="Q225" s="154"/>
      <c r="R225" s="174"/>
      <c r="S225" s="523"/>
      <c r="T225" s="523"/>
      <c r="U225" s="154"/>
      <c r="V225" s="155"/>
      <c r="W225" s="156"/>
      <c r="X225" s="154"/>
      <c r="Y225" s="155"/>
      <c r="Z225" s="155"/>
      <c r="AA225" s="157"/>
      <c r="AB225" s="217"/>
      <c r="AC225" s="150"/>
      <c r="AD225" s="151"/>
      <c r="AE225" s="152"/>
      <c r="AF225" s="506"/>
      <c r="AG225" s="463"/>
      <c r="AH225" s="150"/>
      <c r="AI225" s="152"/>
      <c r="AJ225" s="150"/>
      <c r="AK225" s="152"/>
      <c r="AL225" s="150"/>
      <c r="AM225" s="152"/>
      <c r="AN225" s="150"/>
      <c r="AO225" s="151"/>
      <c r="AP225" s="151"/>
      <c r="AQ225" s="169"/>
      <c r="AR225" s="169"/>
      <c r="AS225" s="149"/>
      <c r="AT225" s="324"/>
      <c r="AU225" s="324"/>
      <c r="AV225" s="324"/>
      <c r="AW225" s="324"/>
      <c r="AX225" s="324"/>
      <c r="AY225" s="324"/>
      <c r="AZ225" s="154"/>
      <c r="BA225" s="419"/>
      <c r="BB225" s="419"/>
      <c r="BC225" s="419"/>
      <c r="BD225" s="419"/>
      <c r="BE225" s="418"/>
      <c r="BF225" s="154"/>
      <c r="BG225" s="419"/>
      <c r="BH225" s="419"/>
      <c r="BI225" s="419"/>
      <c r="BJ225" s="419"/>
      <c r="BK225" s="418"/>
      <c r="BL225" s="36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561"/>
    </row>
    <row r="226" spans="1:74" s="2" customFormat="1" ht="24.9" customHeight="1">
      <c r="A226" s="147" t="s">
        <v>85</v>
      </c>
      <c r="B226" s="158"/>
      <c r="C226" s="179"/>
      <c r="D226" s="158"/>
      <c r="E226" s="160"/>
      <c r="F226" s="161"/>
      <c r="G226" s="161"/>
      <c r="H226" s="161"/>
      <c r="I226" s="154"/>
      <c r="J226" s="418"/>
      <c r="K226" s="419"/>
      <c r="L226" s="154"/>
      <c r="M226" s="418"/>
      <c r="N226" s="419"/>
      <c r="O226" s="150"/>
      <c r="P226" s="164"/>
      <c r="Q226" s="154"/>
      <c r="R226" s="174"/>
      <c r="S226" s="523"/>
      <c r="T226" s="523"/>
      <c r="U226" s="154"/>
      <c r="V226" s="155"/>
      <c r="W226" s="156"/>
      <c r="X226" s="154"/>
      <c r="Y226" s="155"/>
      <c r="Z226" s="155"/>
      <c r="AA226" s="157"/>
      <c r="AB226" s="217"/>
      <c r="AC226" s="150"/>
      <c r="AD226" s="151"/>
      <c r="AE226" s="152"/>
      <c r="AF226" s="506"/>
      <c r="AG226" s="463"/>
      <c r="AH226" s="150"/>
      <c r="AI226" s="152"/>
      <c r="AJ226" s="150"/>
      <c r="AK226" s="152"/>
      <c r="AL226" s="150"/>
      <c r="AM226" s="152"/>
      <c r="AN226" s="150"/>
      <c r="AO226" s="151"/>
      <c r="AP226" s="151"/>
      <c r="AQ226" s="169"/>
      <c r="AR226" s="169"/>
      <c r="AS226" s="149"/>
      <c r="AT226" s="324"/>
      <c r="AU226" s="324"/>
      <c r="AV226" s="324"/>
      <c r="AW226" s="324"/>
      <c r="AX226" s="324"/>
      <c r="AY226" s="324"/>
      <c r="AZ226" s="154"/>
      <c r="BA226" s="419"/>
      <c r="BB226" s="419"/>
      <c r="BC226" s="419"/>
      <c r="BD226" s="419"/>
      <c r="BE226" s="418"/>
      <c r="BF226" s="154"/>
      <c r="BG226" s="419"/>
      <c r="BH226" s="419"/>
      <c r="BI226" s="419"/>
      <c r="BJ226" s="419"/>
      <c r="BK226" s="418"/>
      <c r="BL226" s="36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563"/>
    </row>
    <row r="227" spans="1:74" s="2" customFormat="1" ht="24.9" customHeight="1">
      <c r="A227" s="147" t="s">
        <v>85</v>
      </c>
      <c r="B227" s="158"/>
      <c r="C227" s="179"/>
      <c r="D227" s="158"/>
      <c r="E227" s="160"/>
      <c r="F227" s="161"/>
      <c r="G227" s="161"/>
      <c r="H227" s="161"/>
      <c r="I227" s="154"/>
      <c r="J227" s="418"/>
      <c r="K227" s="419"/>
      <c r="L227" s="154"/>
      <c r="M227" s="418"/>
      <c r="N227" s="419"/>
      <c r="O227" s="150"/>
      <c r="P227" s="164"/>
      <c r="Q227" s="154"/>
      <c r="R227" s="174"/>
      <c r="S227" s="523"/>
      <c r="T227" s="523"/>
      <c r="U227" s="154"/>
      <c r="V227" s="155"/>
      <c r="W227" s="156"/>
      <c r="X227" s="154"/>
      <c r="Y227" s="155"/>
      <c r="Z227" s="155"/>
      <c r="AA227" s="157"/>
      <c r="AB227" s="217"/>
      <c r="AC227" s="150"/>
      <c r="AD227" s="151"/>
      <c r="AE227" s="152"/>
      <c r="AF227" s="506"/>
      <c r="AG227" s="463"/>
      <c r="AH227" s="150"/>
      <c r="AI227" s="152"/>
      <c r="AJ227" s="150"/>
      <c r="AK227" s="152"/>
      <c r="AL227" s="150"/>
      <c r="AM227" s="152"/>
      <c r="AN227" s="150"/>
      <c r="AO227" s="151"/>
      <c r="AP227" s="151"/>
      <c r="AQ227" s="169"/>
      <c r="AR227" s="169"/>
      <c r="AS227" s="149"/>
      <c r="AT227" s="324"/>
      <c r="AU227" s="324"/>
      <c r="AV227" s="324"/>
      <c r="AW227" s="324"/>
      <c r="AX227" s="324"/>
      <c r="AY227" s="324"/>
      <c r="AZ227" s="154"/>
      <c r="BA227" s="419"/>
      <c r="BB227" s="419"/>
      <c r="BC227" s="419"/>
      <c r="BD227" s="419"/>
      <c r="BE227" s="418"/>
      <c r="BF227" s="154"/>
      <c r="BG227" s="419"/>
      <c r="BH227" s="419"/>
      <c r="BI227" s="419"/>
      <c r="BJ227" s="419"/>
      <c r="BK227" s="418"/>
      <c r="BL227" s="36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564"/>
    </row>
    <row r="228" spans="1:74" s="2" customFormat="1" ht="24.9" customHeight="1">
      <c r="A228" s="147" t="s">
        <v>85</v>
      </c>
      <c r="B228" s="158"/>
      <c r="C228" s="179"/>
      <c r="D228" s="158"/>
      <c r="E228" s="160"/>
      <c r="F228" s="161"/>
      <c r="G228" s="161"/>
      <c r="H228" s="161"/>
      <c r="I228" s="154"/>
      <c r="J228" s="418"/>
      <c r="K228" s="419"/>
      <c r="L228" s="154"/>
      <c r="M228" s="418"/>
      <c r="N228" s="419"/>
      <c r="O228" s="150"/>
      <c r="P228" s="164"/>
      <c r="Q228" s="154"/>
      <c r="R228" s="174"/>
      <c r="S228" s="523"/>
      <c r="T228" s="523"/>
      <c r="U228" s="154"/>
      <c r="V228" s="155"/>
      <c r="W228" s="156"/>
      <c r="X228" s="154"/>
      <c r="Y228" s="155"/>
      <c r="Z228" s="155"/>
      <c r="AA228" s="157"/>
      <c r="AB228" s="217"/>
      <c r="AC228" s="150"/>
      <c r="AD228" s="151"/>
      <c r="AE228" s="152"/>
      <c r="AF228" s="506"/>
      <c r="AG228" s="463"/>
      <c r="AH228" s="150"/>
      <c r="AI228" s="152"/>
      <c r="AJ228" s="150"/>
      <c r="AK228" s="152"/>
      <c r="AL228" s="150"/>
      <c r="AM228" s="152"/>
      <c r="AN228" s="150"/>
      <c r="AO228" s="151"/>
      <c r="AP228" s="151"/>
      <c r="AQ228" s="169"/>
      <c r="AR228" s="169"/>
      <c r="AS228" s="149"/>
      <c r="AT228" s="324"/>
      <c r="AU228" s="324"/>
      <c r="AV228" s="324"/>
      <c r="AW228" s="324"/>
      <c r="AX228" s="324"/>
      <c r="AY228" s="324"/>
      <c r="AZ228" s="154"/>
      <c r="BA228" s="419"/>
      <c r="BB228" s="419"/>
      <c r="BC228" s="419"/>
      <c r="BD228" s="419"/>
      <c r="BE228" s="418"/>
      <c r="BF228" s="154"/>
      <c r="BG228" s="419"/>
      <c r="BH228" s="419"/>
      <c r="BI228" s="419"/>
      <c r="BJ228" s="419"/>
      <c r="BK228" s="418"/>
      <c r="BL228" s="36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431"/>
    </row>
    <row r="229" spans="1:74" s="2" customFormat="1" ht="24.9" customHeight="1">
      <c r="A229" s="147" t="s">
        <v>85</v>
      </c>
      <c r="B229" s="158"/>
      <c r="C229" s="179"/>
      <c r="D229" s="158"/>
      <c r="E229" s="160"/>
      <c r="F229" s="161"/>
      <c r="G229" s="161"/>
      <c r="H229" s="161"/>
      <c r="I229" s="154"/>
      <c r="J229" s="418"/>
      <c r="K229" s="419"/>
      <c r="L229" s="154"/>
      <c r="M229" s="418"/>
      <c r="N229" s="419"/>
      <c r="O229" s="150"/>
      <c r="P229" s="164"/>
      <c r="Q229" s="154"/>
      <c r="R229" s="174"/>
      <c r="S229" s="523"/>
      <c r="T229" s="523"/>
      <c r="U229" s="154"/>
      <c r="V229" s="155"/>
      <c r="W229" s="156"/>
      <c r="X229" s="154"/>
      <c r="Y229" s="155"/>
      <c r="Z229" s="155"/>
      <c r="AA229" s="157"/>
      <c r="AB229" s="217"/>
      <c r="AC229" s="150"/>
      <c r="AD229" s="151"/>
      <c r="AE229" s="152"/>
      <c r="AF229" s="506"/>
      <c r="AG229" s="463"/>
      <c r="AH229" s="150"/>
      <c r="AI229" s="152"/>
      <c r="AJ229" s="150"/>
      <c r="AK229" s="152"/>
      <c r="AL229" s="150"/>
      <c r="AM229" s="152"/>
      <c r="AN229" s="150"/>
      <c r="AO229" s="151"/>
      <c r="AP229" s="151"/>
      <c r="AQ229" s="169"/>
      <c r="AR229" s="169"/>
      <c r="AS229" s="149"/>
      <c r="AT229" s="324"/>
      <c r="AU229" s="324"/>
      <c r="AV229" s="324"/>
      <c r="AW229" s="324"/>
      <c r="AX229" s="324"/>
      <c r="AY229" s="324"/>
      <c r="AZ229" s="154"/>
      <c r="BA229" s="419"/>
      <c r="BB229" s="419"/>
      <c r="BC229" s="419"/>
      <c r="BD229" s="419"/>
      <c r="BE229" s="418"/>
      <c r="BF229" s="154"/>
      <c r="BG229" s="419"/>
      <c r="BH229" s="419"/>
      <c r="BI229" s="419"/>
      <c r="BJ229" s="419"/>
      <c r="BK229" s="418"/>
      <c r="BL229" s="36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561"/>
    </row>
    <row r="230" spans="1:74" s="2" customFormat="1" ht="24.9" customHeight="1">
      <c r="A230" s="147" t="s">
        <v>85</v>
      </c>
      <c r="B230" s="158"/>
      <c r="C230" s="179"/>
      <c r="D230" s="158"/>
      <c r="E230" s="160"/>
      <c r="F230" s="161"/>
      <c r="G230" s="161"/>
      <c r="H230" s="161"/>
      <c r="I230" s="154"/>
      <c r="J230" s="418"/>
      <c r="K230" s="419"/>
      <c r="L230" s="154"/>
      <c r="M230" s="418"/>
      <c r="N230" s="419"/>
      <c r="O230" s="150"/>
      <c r="P230" s="164"/>
      <c r="Q230" s="154"/>
      <c r="R230" s="174"/>
      <c r="S230" s="523"/>
      <c r="T230" s="523"/>
      <c r="U230" s="154"/>
      <c r="V230" s="155"/>
      <c r="W230" s="156"/>
      <c r="X230" s="154"/>
      <c r="Y230" s="155"/>
      <c r="Z230" s="155"/>
      <c r="AA230" s="157"/>
      <c r="AB230" s="217"/>
      <c r="AC230" s="150"/>
      <c r="AD230" s="151"/>
      <c r="AE230" s="152"/>
      <c r="AF230" s="506"/>
      <c r="AG230" s="463"/>
      <c r="AH230" s="150"/>
      <c r="AI230" s="152"/>
      <c r="AJ230" s="150"/>
      <c r="AK230" s="152"/>
      <c r="AL230" s="150"/>
      <c r="AM230" s="152"/>
      <c r="AN230" s="150"/>
      <c r="AO230" s="151"/>
      <c r="AP230" s="151"/>
      <c r="AQ230" s="169"/>
      <c r="AR230" s="169"/>
      <c r="AS230" s="149"/>
      <c r="AT230" s="324"/>
      <c r="AU230" s="324"/>
      <c r="AV230" s="324"/>
      <c r="AW230" s="324"/>
      <c r="AX230" s="324"/>
      <c r="AY230" s="324"/>
      <c r="AZ230" s="154"/>
      <c r="BA230" s="419"/>
      <c r="BB230" s="419"/>
      <c r="BC230" s="419"/>
      <c r="BD230" s="419"/>
      <c r="BE230" s="418"/>
      <c r="BF230" s="154"/>
      <c r="BG230" s="419"/>
      <c r="BH230" s="419"/>
      <c r="BI230" s="419"/>
      <c r="BJ230" s="419"/>
      <c r="BK230" s="418"/>
      <c r="BL230" s="36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431"/>
    </row>
    <row r="231" spans="1:74" s="2" customFormat="1" ht="24.9" customHeight="1">
      <c r="A231" s="147" t="s">
        <v>85</v>
      </c>
      <c r="B231" s="158"/>
      <c r="C231" s="179"/>
      <c r="D231" s="158"/>
      <c r="E231" s="160"/>
      <c r="F231" s="161"/>
      <c r="G231" s="161"/>
      <c r="H231" s="161"/>
      <c r="I231" s="154"/>
      <c r="J231" s="418"/>
      <c r="K231" s="419"/>
      <c r="L231" s="154"/>
      <c r="M231" s="418"/>
      <c r="N231" s="419"/>
      <c r="O231" s="150"/>
      <c r="P231" s="164"/>
      <c r="Q231" s="154"/>
      <c r="R231" s="151"/>
      <c r="S231" s="522"/>
      <c r="T231" s="522"/>
      <c r="U231" s="154"/>
      <c r="V231" s="155"/>
      <c r="W231" s="156"/>
      <c r="X231" s="154"/>
      <c r="Y231" s="155"/>
      <c r="Z231" s="155"/>
      <c r="AA231" s="157"/>
      <c r="AB231" s="217"/>
      <c r="AC231" s="150"/>
      <c r="AD231" s="151"/>
      <c r="AE231" s="152"/>
      <c r="AF231" s="506"/>
      <c r="AG231" s="463"/>
      <c r="AH231" s="150"/>
      <c r="AI231" s="152"/>
      <c r="AJ231" s="150"/>
      <c r="AK231" s="152"/>
      <c r="AL231" s="150"/>
      <c r="AM231" s="152"/>
      <c r="AN231" s="150"/>
      <c r="AO231" s="151"/>
      <c r="AP231" s="151"/>
      <c r="AQ231" s="169"/>
      <c r="AR231" s="169"/>
      <c r="AS231" s="149"/>
      <c r="AT231" s="324"/>
      <c r="AU231" s="324"/>
      <c r="AV231" s="324"/>
      <c r="AW231" s="324"/>
      <c r="AX231" s="324"/>
      <c r="AY231" s="324"/>
      <c r="AZ231" s="154"/>
      <c r="BA231" s="419"/>
      <c r="BB231" s="419"/>
      <c r="BC231" s="419"/>
      <c r="BD231" s="419"/>
      <c r="BE231" s="418"/>
      <c r="BF231" s="154"/>
      <c r="BG231" s="419"/>
      <c r="BH231" s="419"/>
      <c r="BI231" s="419"/>
      <c r="BJ231" s="419"/>
      <c r="BK231" s="418"/>
      <c r="BL231" s="36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432"/>
    </row>
    <row r="232" spans="1:74" s="2" customFormat="1" ht="24.9" customHeight="1">
      <c r="A232" s="147" t="s">
        <v>85</v>
      </c>
      <c r="B232" s="158"/>
      <c r="C232" s="179"/>
      <c r="D232" s="158"/>
      <c r="E232" s="160"/>
      <c r="F232" s="161"/>
      <c r="G232" s="161"/>
      <c r="H232" s="161"/>
      <c r="I232" s="154"/>
      <c r="J232" s="418"/>
      <c r="K232" s="419"/>
      <c r="L232" s="154"/>
      <c r="M232" s="418"/>
      <c r="N232" s="419"/>
      <c r="O232" s="150"/>
      <c r="P232" s="164"/>
      <c r="Q232" s="154"/>
      <c r="R232" s="174"/>
      <c r="S232" s="523"/>
      <c r="T232" s="523"/>
      <c r="U232" s="154"/>
      <c r="V232" s="155"/>
      <c r="W232" s="156"/>
      <c r="X232" s="154"/>
      <c r="Y232" s="155"/>
      <c r="Z232" s="155"/>
      <c r="AA232" s="157"/>
      <c r="AB232" s="217"/>
      <c r="AC232" s="150"/>
      <c r="AD232" s="151"/>
      <c r="AE232" s="152"/>
      <c r="AF232" s="506"/>
      <c r="AG232" s="463"/>
      <c r="AH232" s="150"/>
      <c r="AI232" s="152"/>
      <c r="AJ232" s="150"/>
      <c r="AK232" s="152"/>
      <c r="AL232" s="150"/>
      <c r="AM232" s="152"/>
      <c r="AN232" s="150"/>
      <c r="AO232" s="151"/>
      <c r="AP232" s="151"/>
      <c r="AQ232" s="169"/>
      <c r="AR232" s="169"/>
      <c r="AS232" s="149"/>
      <c r="AT232" s="324"/>
      <c r="AU232" s="324"/>
      <c r="AV232" s="324"/>
      <c r="AW232" s="324"/>
      <c r="AX232" s="324"/>
      <c r="AY232" s="324"/>
      <c r="AZ232" s="154"/>
      <c r="BA232" s="419"/>
      <c r="BB232" s="419"/>
      <c r="BC232" s="419"/>
      <c r="BD232" s="419"/>
      <c r="BE232" s="418"/>
      <c r="BF232" s="154"/>
      <c r="BG232" s="419"/>
      <c r="BH232" s="419"/>
      <c r="BI232" s="419"/>
      <c r="BJ232" s="419"/>
      <c r="BK232" s="418"/>
      <c r="BL232" s="36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561"/>
    </row>
    <row r="233" spans="1:74" s="2" customFormat="1" ht="24.9" customHeight="1">
      <c r="A233" s="147" t="s">
        <v>85</v>
      </c>
      <c r="B233" s="158"/>
      <c r="C233" s="179"/>
      <c r="D233" s="158"/>
      <c r="E233" s="160"/>
      <c r="F233" s="161"/>
      <c r="G233" s="161"/>
      <c r="H233" s="161"/>
      <c r="I233" s="154"/>
      <c r="J233" s="418"/>
      <c r="K233" s="419"/>
      <c r="L233" s="154"/>
      <c r="M233" s="418"/>
      <c r="N233" s="419"/>
      <c r="O233" s="150"/>
      <c r="P233" s="164"/>
      <c r="Q233" s="154"/>
      <c r="R233" s="174"/>
      <c r="S233" s="523"/>
      <c r="T233" s="523"/>
      <c r="U233" s="154"/>
      <c r="V233" s="155"/>
      <c r="W233" s="156"/>
      <c r="X233" s="154"/>
      <c r="Y233" s="155"/>
      <c r="Z233" s="155"/>
      <c r="AA233" s="157"/>
      <c r="AB233" s="217"/>
      <c r="AC233" s="150"/>
      <c r="AD233" s="151"/>
      <c r="AE233" s="152"/>
      <c r="AF233" s="506"/>
      <c r="AG233" s="463"/>
      <c r="AH233" s="150"/>
      <c r="AI233" s="152"/>
      <c r="AJ233" s="150"/>
      <c r="AK233" s="152"/>
      <c r="AL233" s="150"/>
      <c r="AM233" s="152"/>
      <c r="AN233" s="150"/>
      <c r="AO233" s="151"/>
      <c r="AP233" s="151"/>
      <c r="AQ233" s="169"/>
      <c r="AR233" s="169"/>
      <c r="AS233" s="149"/>
      <c r="AT233" s="324"/>
      <c r="AU233" s="324"/>
      <c r="AV233" s="324"/>
      <c r="AW233" s="324"/>
      <c r="AX233" s="324"/>
      <c r="AY233" s="324"/>
      <c r="AZ233" s="154"/>
      <c r="BA233" s="419"/>
      <c r="BB233" s="419"/>
      <c r="BC233" s="419"/>
      <c r="BD233" s="419"/>
      <c r="BE233" s="418"/>
      <c r="BF233" s="154"/>
      <c r="BG233" s="419"/>
      <c r="BH233" s="419"/>
      <c r="BI233" s="419"/>
      <c r="BJ233" s="419"/>
      <c r="BK233" s="418"/>
      <c r="BL233" s="36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431"/>
    </row>
    <row r="234" spans="1:74" s="2" customFormat="1" ht="24.9" customHeight="1">
      <c r="A234" s="147" t="s">
        <v>85</v>
      </c>
      <c r="B234" s="158"/>
      <c r="C234" s="179"/>
      <c r="D234" s="158"/>
      <c r="E234" s="160"/>
      <c r="F234" s="161"/>
      <c r="G234" s="161"/>
      <c r="H234" s="161"/>
      <c r="I234" s="154"/>
      <c r="J234" s="418"/>
      <c r="K234" s="419"/>
      <c r="L234" s="154"/>
      <c r="M234" s="418"/>
      <c r="N234" s="419"/>
      <c r="O234" s="150"/>
      <c r="P234" s="164"/>
      <c r="Q234" s="154"/>
      <c r="R234" s="174"/>
      <c r="S234" s="523"/>
      <c r="T234" s="523"/>
      <c r="U234" s="154"/>
      <c r="V234" s="155"/>
      <c r="W234" s="156"/>
      <c r="X234" s="154"/>
      <c r="Y234" s="155"/>
      <c r="Z234" s="155"/>
      <c r="AA234" s="157"/>
      <c r="AB234" s="217"/>
      <c r="AC234" s="150"/>
      <c r="AD234" s="151"/>
      <c r="AE234" s="152"/>
      <c r="AF234" s="506"/>
      <c r="AG234" s="463"/>
      <c r="AH234" s="150"/>
      <c r="AI234" s="152"/>
      <c r="AJ234" s="150"/>
      <c r="AK234" s="152"/>
      <c r="AL234" s="150"/>
      <c r="AM234" s="152"/>
      <c r="AN234" s="150"/>
      <c r="AO234" s="151"/>
      <c r="AP234" s="151"/>
      <c r="AQ234" s="169"/>
      <c r="AR234" s="169"/>
      <c r="AS234" s="149"/>
      <c r="AT234" s="324"/>
      <c r="AU234" s="324"/>
      <c r="AV234" s="324"/>
      <c r="AW234" s="324"/>
      <c r="AX234" s="324"/>
      <c r="AY234" s="324"/>
      <c r="AZ234" s="154"/>
      <c r="BA234" s="419"/>
      <c r="BB234" s="419"/>
      <c r="BC234" s="419"/>
      <c r="BD234" s="419"/>
      <c r="BE234" s="418"/>
      <c r="BF234" s="154"/>
      <c r="BG234" s="419"/>
      <c r="BH234" s="419"/>
      <c r="BI234" s="419"/>
      <c r="BJ234" s="419"/>
      <c r="BK234" s="418"/>
      <c r="BL234" s="36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561"/>
    </row>
    <row r="235" spans="1:74" s="2" customFormat="1" ht="24.9" customHeight="1">
      <c r="A235" s="147" t="s">
        <v>85</v>
      </c>
      <c r="B235" s="158"/>
      <c r="C235" s="179"/>
      <c r="D235" s="158"/>
      <c r="E235" s="160"/>
      <c r="F235" s="161"/>
      <c r="G235" s="161"/>
      <c r="H235" s="161"/>
      <c r="I235" s="154"/>
      <c r="J235" s="418"/>
      <c r="K235" s="419"/>
      <c r="L235" s="154"/>
      <c r="M235" s="418"/>
      <c r="N235" s="419"/>
      <c r="O235" s="150"/>
      <c r="P235" s="164"/>
      <c r="Q235" s="154"/>
      <c r="R235" s="174"/>
      <c r="S235" s="523"/>
      <c r="T235" s="523"/>
      <c r="U235" s="154"/>
      <c r="V235" s="155"/>
      <c r="W235" s="156"/>
      <c r="X235" s="154"/>
      <c r="Y235" s="155"/>
      <c r="Z235" s="155"/>
      <c r="AA235" s="157"/>
      <c r="AB235" s="217"/>
      <c r="AC235" s="150"/>
      <c r="AD235" s="151"/>
      <c r="AE235" s="152"/>
      <c r="AF235" s="506"/>
      <c r="AG235" s="463"/>
      <c r="AH235" s="150"/>
      <c r="AI235" s="152"/>
      <c r="AJ235" s="150"/>
      <c r="AK235" s="152"/>
      <c r="AL235" s="150"/>
      <c r="AM235" s="152"/>
      <c r="AN235" s="150"/>
      <c r="AO235" s="151"/>
      <c r="AP235" s="151"/>
      <c r="AQ235" s="169"/>
      <c r="AR235" s="169"/>
      <c r="AS235" s="149"/>
      <c r="AT235" s="324"/>
      <c r="AU235" s="324"/>
      <c r="AV235" s="324"/>
      <c r="AW235" s="324"/>
      <c r="AX235" s="324"/>
      <c r="AY235" s="324"/>
      <c r="AZ235" s="154"/>
      <c r="BA235" s="419"/>
      <c r="BB235" s="419"/>
      <c r="BC235" s="419"/>
      <c r="BD235" s="419"/>
      <c r="BE235" s="418"/>
      <c r="BF235" s="154"/>
      <c r="BG235" s="419"/>
      <c r="BH235" s="419"/>
      <c r="BI235" s="419"/>
      <c r="BJ235" s="419"/>
      <c r="BK235" s="418"/>
      <c r="BL235" s="36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431"/>
    </row>
    <row r="236" spans="1:74" s="2" customFormat="1" ht="24.9" customHeight="1">
      <c r="A236" s="147" t="s">
        <v>85</v>
      </c>
      <c r="B236" s="158"/>
      <c r="C236" s="179"/>
      <c r="D236" s="158"/>
      <c r="E236" s="160"/>
      <c r="F236" s="161"/>
      <c r="G236" s="161"/>
      <c r="H236" s="161"/>
      <c r="I236" s="154"/>
      <c r="J236" s="418"/>
      <c r="K236" s="419"/>
      <c r="L236" s="154"/>
      <c r="M236" s="418"/>
      <c r="N236" s="419"/>
      <c r="O236" s="150"/>
      <c r="P236" s="164"/>
      <c r="Q236" s="154"/>
      <c r="R236" s="174"/>
      <c r="S236" s="523"/>
      <c r="T236" s="523"/>
      <c r="U236" s="154"/>
      <c r="V236" s="155"/>
      <c r="W236" s="156"/>
      <c r="X236" s="154"/>
      <c r="Y236" s="155"/>
      <c r="Z236" s="155"/>
      <c r="AA236" s="157"/>
      <c r="AB236" s="217"/>
      <c r="AC236" s="150"/>
      <c r="AD236" s="151"/>
      <c r="AE236" s="152"/>
      <c r="AF236" s="506"/>
      <c r="AG236" s="463"/>
      <c r="AH236" s="150"/>
      <c r="AI236" s="152"/>
      <c r="AJ236" s="150"/>
      <c r="AK236" s="152"/>
      <c r="AL236" s="150"/>
      <c r="AM236" s="152"/>
      <c r="AN236" s="150"/>
      <c r="AO236" s="151"/>
      <c r="AP236" s="151"/>
      <c r="AQ236" s="169"/>
      <c r="AR236" s="169"/>
      <c r="AS236" s="149"/>
      <c r="AT236" s="324"/>
      <c r="AU236" s="324"/>
      <c r="AV236" s="324"/>
      <c r="AW236" s="324"/>
      <c r="AX236" s="324"/>
      <c r="AY236" s="324"/>
      <c r="AZ236" s="154"/>
      <c r="BA236" s="419"/>
      <c r="BB236" s="419"/>
      <c r="BC236" s="419"/>
      <c r="BD236" s="419"/>
      <c r="BE236" s="418"/>
      <c r="BF236" s="154"/>
      <c r="BG236" s="419"/>
      <c r="BH236" s="419"/>
      <c r="BI236" s="419"/>
      <c r="BJ236" s="419"/>
      <c r="BK236" s="418"/>
      <c r="BL236" s="36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561"/>
    </row>
    <row r="237" spans="1:74" s="2" customFormat="1" ht="24.9" customHeight="1">
      <c r="A237" s="147" t="s">
        <v>85</v>
      </c>
      <c r="B237" s="158"/>
      <c r="C237" s="179"/>
      <c r="D237" s="158"/>
      <c r="E237" s="160"/>
      <c r="F237" s="161"/>
      <c r="G237" s="161"/>
      <c r="H237" s="161"/>
      <c r="I237" s="154"/>
      <c r="J237" s="418"/>
      <c r="K237" s="419"/>
      <c r="L237" s="154"/>
      <c r="M237" s="418"/>
      <c r="N237" s="419"/>
      <c r="O237" s="150"/>
      <c r="P237" s="164"/>
      <c r="Q237" s="154"/>
      <c r="R237" s="174"/>
      <c r="S237" s="523"/>
      <c r="T237" s="523"/>
      <c r="U237" s="154"/>
      <c r="V237" s="155"/>
      <c r="W237" s="156"/>
      <c r="X237" s="154"/>
      <c r="Y237" s="155"/>
      <c r="Z237" s="155"/>
      <c r="AA237" s="157"/>
      <c r="AB237" s="217"/>
      <c r="AC237" s="150"/>
      <c r="AD237" s="151"/>
      <c r="AE237" s="152"/>
      <c r="AF237" s="506"/>
      <c r="AG237" s="463"/>
      <c r="AH237" s="150"/>
      <c r="AI237" s="152"/>
      <c r="AJ237" s="150"/>
      <c r="AK237" s="152"/>
      <c r="AL237" s="150"/>
      <c r="AM237" s="152"/>
      <c r="AN237" s="150"/>
      <c r="AO237" s="151"/>
      <c r="AP237" s="151"/>
      <c r="AQ237" s="169"/>
      <c r="AR237" s="169"/>
      <c r="AS237" s="149"/>
      <c r="AT237" s="324"/>
      <c r="AU237" s="324"/>
      <c r="AV237" s="324"/>
      <c r="AW237" s="324"/>
      <c r="AX237" s="324"/>
      <c r="AY237" s="324"/>
      <c r="AZ237" s="154"/>
      <c r="BA237" s="419"/>
      <c r="BB237" s="419"/>
      <c r="BC237" s="419"/>
      <c r="BD237" s="419"/>
      <c r="BE237" s="418"/>
      <c r="BF237" s="154"/>
      <c r="BG237" s="419"/>
      <c r="BH237" s="419"/>
      <c r="BI237" s="419"/>
      <c r="BJ237" s="419"/>
      <c r="BK237" s="418"/>
      <c r="BL237" s="36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431"/>
    </row>
    <row r="238" spans="1:74" s="2" customFormat="1" ht="24.9" customHeight="1">
      <c r="A238" s="147" t="s">
        <v>85</v>
      </c>
      <c r="B238" s="158"/>
      <c r="C238" s="179"/>
      <c r="D238" s="158"/>
      <c r="E238" s="160"/>
      <c r="F238" s="161"/>
      <c r="G238" s="161"/>
      <c r="H238" s="161"/>
      <c r="I238" s="154"/>
      <c r="J238" s="418"/>
      <c r="K238" s="419"/>
      <c r="L238" s="154"/>
      <c r="M238" s="418"/>
      <c r="N238" s="419"/>
      <c r="O238" s="150"/>
      <c r="P238" s="164"/>
      <c r="Q238" s="154"/>
      <c r="R238" s="151"/>
      <c r="S238" s="522"/>
      <c r="T238" s="522"/>
      <c r="U238" s="154"/>
      <c r="V238" s="155"/>
      <c r="W238" s="156"/>
      <c r="X238" s="154"/>
      <c r="Y238" s="155"/>
      <c r="Z238" s="155"/>
      <c r="AA238" s="157"/>
      <c r="AB238" s="217"/>
      <c r="AC238" s="150"/>
      <c r="AD238" s="151"/>
      <c r="AE238" s="152"/>
      <c r="AF238" s="506"/>
      <c r="AG238" s="463"/>
      <c r="AH238" s="150"/>
      <c r="AI238" s="152"/>
      <c r="AJ238" s="150"/>
      <c r="AK238" s="152"/>
      <c r="AL238" s="150"/>
      <c r="AM238" s="152"/>
      <c r="AN238" s="150"/>
      <c r="AO238" s="151"/>
      <c r="AP238" s="151"/>
      <c r="AQ238" s="169"/>
      <c r="AR238" s="169"/>
      <c r="AS238" s="149"/>
      <c r="AT238" s="324"/>
      <c r="AU238" s="324"/>
      <c r="AV238" s="324"/>
      <c r="AW238" s="324"/>
      <c r="AX238" s="324"/>
      <c r="AY238" s="324"/>
      <c r="AZ238" s="154"/>
      <c r="BA238" s="419"/>
      <c r="BB238" s="419"/>
      <c r="BC238" s="419"/>
      <c r="BD238" s="419"/>
      <c r="BE238" s="418"/>
      <c r="BF238" s="154"/>
      <c r="BG238" s="419"/>
      <c r="BH238" s="419"/>
      <c r="BI238" s="419"/>
      <c r="BJ238" s="419"/>
      <c r="BK238" s="418"/>
      <c r="BL238" s="36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432"/>
    </row>
    <row r="239" spans="1:74" s="2" customFormat="1" ht="24.9" customHeight="1">
      <c r="A239" s="147" t="s">
        <v>85</v>
      </c>
      <c r="B239" s="158"/>
      <c r="C239" s="179"/>
      <c r="D239" s="158"/>
      <c r="E239" s="160"/>
      <c r="F239" s="161"/>
      <c r="G239" s="161"/>
      <c r="H239" s="161"/>
      <c r="I239" s="154"/>
      <c r="J239" s="418"/>
      <c r="K239" s="419"/>
      <c r="L239" s="154"/>
      <c r="M239" s="418"/>
      <c r="N239" s="419"/>
      <c r="O239" s="150"/>
      <c r="P239" s="164"/>
      <c r="Q239" s="154"/>
      <c r="R239" s="174"/>
      <c r="S239" s="523"/>
      <c r="T239" s="523"/>
      <c r="U239" s="154"/>
      <c r="V239" s="155"/>
      <c r="W239" s="156"/>
      <c r="X239" s="154"/>
      <c r="Y239" s="155"/>
      <c r="Z239" s="155"/>
      <c r="AA239" s="157"/>
      <c r="AB239" s="217"/>
      <c r="AC239" s="150"/>
      <c r="AD239" s="151"/>
      <c r="AE239" s="152"/>
      <c r="AF239" s="506"/>
      <c r="AG239" s="463"/>
      <c r="AH239" s="150"/>
      <c r="AI239" s="152"/>
      <c r="AJ239" s="150"/>
      <c r="AK239" s="152"/>
      <c r="AL239" s="150"/>
      <c r="AM239" s="152"/>
      <c r="AN239" s="150"/>
      <c r="AO239" s="151"/>
      <c r="AP239" s="151"/>
      <c r="AQ239" s="169"/>
      <c r="AR239" s="169"/>
      <c r="AS239" s="149"/>
      <c r="AT239" s="324"/>
      <c r="AU239" s="324"/>
      <c r="AV239" s="324"/>
      <c r="AW239" s="324"/>
      <c r="AX239" s="324"/>
      <c r="AY239" s="324"/>
      <c r="AZ239" s="154"/>
      <c r="BA239" s="419"/>
      <c r="BB239" s="419"/>
      <c r="BC239" s="419"/>
      <c r="BD239" s="419"/>
      <c r="BE239" s="418"/>
      <c r="BF239" s="154"/>
      <c r="BG239" s="419"/>
      <c r="BH239" s="419"/>
      <c r="BI239" s="419"/>
      <c r="BJ239" s="419"/>
      <c r="BK239" s="418"/>
      <c r="BL239" s="36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561"/>
    </row>
    <row r="240" spans="1:74" s="2" customFormat="1" ht="24.9" customHeight="1">
      <c r="A240" s="147" t="s">
        <v>85</v>
      </c>
      <c r="B240" s="158"/>
      <c r="C240" s="179"/>
      <c r="D240" s="158"/>
      <c r="E240" s="160"/>
      <c r="F240" s="161"/>
      <c r="G240" s="161"/>
      <c r="H240" s="161"/>
      <c r="I240" s="154"/>
      <c r="J240" s="418"/>
      <c r="K240" s="419"/>
      <c r="L240" s="154"/>
      <c r="M240" s="418"/>
      <c r="N240" s="419"/>
      <c r="O240" s="150"/>
      <c r="P240" s="164"/>
      <c r="Q240" s="154"/>
      <c r="R240" s="174"/>
      <c r="S240" s="523"/>
      <c r="T240" s="523"/>
      <c r="U240" s="154"/>
      <c r="V240" s="155"/>
      <c r="W240" s="156"/>
      <c r="X240" s="154"/>
      <c r="Y240" s="155"/>
      <c r="Z240" s="155"/>
      <c r="AA240" s="157"/>
      <c r="AB240" s="217"/>
      <c r="AC240" s="150"/>
      <c r="AD240" s="151"/>
      <c r="AE240" s="152"/>
      <c r="AF240" s="506"/>
      <c r="AG240" s="463"/>
      <c r="AH240" s="150"/>
      <c r="AI240" s="152"/>
      <c r="AJ240" s="150"/>
      <c r="AK240" s="152"/>
      <c r="AL240" s="150"/>
      <c r="AM240" s="152"/>
      <c r="AN240" s="150"/>
      <c r="AO240" s="151"/>
      <c r="AP240" s="151"/>
      <c r="AQ240" s="169"/>
      <c r="AR240" s="169"/>
      <c r="AS240" s="149"/>
      <c r="AT240" s="324"/>
      <c r="AU240" s="324"/>
      <c r="AV240" s="324"/>
      <c r="AW240" s="324"/>
      <c r="AX240" s="324"/>
      <c r="AY240" s="324"/>
      <c r="AZ240" s="154"/>
      <c r="BA240" s="419"/>
      <c r="BB240" s="419"/>
      <c r="BC240" s="419"/>
      <c r="BD240" s="419"/>
      <c r="BE240" s="418"/>
      <c r="BF240" s="154"/>
      <c r="BG240" s="419"/>
      <c r="BH240" s="419"/>
      <c r="BI240" s="419"/>
      <c r="BJ240" s="419"/>
      <c r="BK240" s="418"/>
      <c r="BL240" s="36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431"/>
    </row>
    <row r="241" spans="1:74" s="2" customFormat="1" ht="24.9" customHeight="1">
      <c r="A241" s="147" t="s">
        <v>85</v>
      </c>
      <c r="B241" s="158"/>
      <c r="C241" s="179"/>
      <c r="D241" s="158"/>
      <c r="E241" s="160"/>
      <c r="F241" s="161"/>
      <c r="G241" s="161"/>
      <c r="H241" s="161"/>
      <c r="I241" s="154"/>
      <c r="J241" s="418"/>
      <c r="K241" s="419"/>
      <c r="L241" s="154"/>
      <c r="M241" s="418"/>
      <c r="N241" s="419"/>
      <c r="O241" s="150"/>
      <c r="P241" s="164"/>
      <c r="Q241" s="154"/>
      <c r="R241" s="174"/>
      <c r="S241" s="523"/>
      <c r="T241" s="523"/>
      <c r="U241" s="154"/>
      <c r="V241" s="155"/>
      <c r="W241" s="156"/>
      <c r="X241" s="154"/>
      <c r="Y241" s="155"/>
      <c r="Z241" s="155"/>
      <c r="AA241" s="157"/>
      <c r="AB241" s="217"/>
      <c r="AC241" s="150"/>
      <c r="AD241" s="151"/>
      <c r="AE241" s="152"/>
      <c r="AF241" s="506"/>
      <c r="AG241" s="463"/>
      <c r="AH241" s="150"/>
      <c r="AI241" s="152"/>
      <c r="AJ241" s="150"/>
      <c r="AK241" s="152"/>
      <c r="AL241" s="150"/>
      <c r="AM241" s="152"/>
      <c r="AN241" s="150"/>
      <c r="AO241" s="151"/>
      <c r="AP241" s="151"/>
      <c r="AQ241" s="169"/>
      <c r="AR241" s="169"/>
      <c r="AS241" s="149"/>
      <c r="AT241" s="324"/>
      <c r="AU241" s="324"/>
      <c r="AV241" s="324"/>
      <c r="AW241" s="324"/>
      <c r="AX241" s="324"/>
      <c r="AY241" s="324"/>
      <c r="AZ241" s="154"/>
      <c r="BA241" s="419"/>
      <c r="BB241" s="419"/>
      <c r="BC241" s="419"/>
      <c r="BD241" s="419"/>
      <c r="BE241" s="418"/>
      <c r="BF241" s="154"/>
      <c r="BG241" s="419"/>
      <c r="BH241" s="419"/>
      <c r="BI241" s="419"/>
      <c r="BJ241" s="419"/>
      <c r="BK241" s="418"/>
      <c r="BL241" s="36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432"/>
    </row>
    <row r="242" spans="1:74" s="2" customFormat="1" ht="24.9" customHeight="1">
      <c r="A242" s="147" t="s">
        <v>85</v>
      </c>
      <c r="B242" s="158"/>
      <c r="C242" s="179"/>
      <c r="D242" s="158"/>
      <c r="E242" s="160"/>
      <c r="F242" s="161"/>
      <c r="G242" s="161"/>
      <c r="H242" s="161"/>
      <c r="I242" s="154"/>
      <c r="J242" s="418"/>
      <c r="K242" s="419"/>
      <c r="L242" s="154"/>
      <c r="M242" s="418"/>
      <c r="N242" s="419"/>
      <c r="O242" s="150"/>
      <c r="P242" s="164"/>
      <c r="Q242" s="154"/>
      <c r="R242" s="174"/>
      <c r="S242" s="523"/>
      <c r="T242" s="523"/>
      <c r="U242" s="154"/>
      <c r="V242" s="155"/>
      <c r="W242" s="156"/>
      <c r="X242" s="154"/>
      <c r="Y242" s="155"/>
      <c r="Z242" s="155"/>
      <c r="AA242" s="157"/>
      <c r="AB242" s="217"/>
      <c r="AC242" s="150"/>
      <c r="AD242" s="151"/>
      <c r="AE242" s="152"/>
      <c r="AF242" s="506"/>
      <c r="AG242" s="463"/>
      <c r="AH242" s="150"/>
      <c r="AI242" s="152"/>
      <c r="AJ242" s="150"/>
      <c r="AK242" s="152"/>
      <c r="AL242" s="150"/>
      <c r="AM242" s="152"/>
      <c r="AN242" s="150"/>
      <c r="AO242" s="151"/>
      <c r="AP242" s="151"/>
      <c r="AQ242" s="169"/>
      <c r="AR242" s="169"/>
      <c r="AS242" s="149"/>
      <c r="AT242" s="324"/>
      <c r="AU242" s="324"/>
      <c r="AV242" s="324"/>
      <c r="AW242" s="324"/>
      <c r="AX242" s="324"/>
      <c r="AY242" s="324"/>
      <c r="AZ242" s="154"/>
      <c r="BA242" s="419"/>
      <c r="BB242" s="419"/>
      <c r="BC242" s="419"/>
      <c r="BD242" s="419"/>
      <c r="BE242" s="418"/>
      <c r="BF242" s="154"/>
      <c r="BG242" s="419"/>
      <c r="BH242" s="419"/>
      <c r="BI242" s="419"/>
      <c r="BJ242" s="419"/>
      <c r="BK242" s="418"/>
      <c r="BL242" s="36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432"/>
    </row>
    <row r="243" spans="1:74" s="2" customFormat="1" ht="24.9" customHeight="1">
      <c r="A243" s="147" t="s">
        <v>85</v>
      </c>
      <c r="B243" s="158"/>
      <c r="C243" s="179"/>
      <c r="D243" s="158"/>
      <c r="E243" s="160"/>
      <c r="F243" s="161"/>
      <c r="G243" s="161"/>
      <c r="H243" s="161"/>
      <c r="I243" s="154"/>
      <c r="J243" s="418"/>
      <c r="K243" s="419"/>
      <c r="L243" s="154"/>
      <c r="M243" s="418"/>
      <c r="N243" s="419"/>
      <c r="O243" s="150"/>
      <c r="P243" s="164"/>
      <c r="Q243" s="154"/>
      <c r="R243" s="174"/>
      <c r="S243" s="523"/>
      <c r="T243" s="523"/>
      <c r="U243" s="154"/>
      <c r="V243" s="155"/>
      <c r="W243" s="156"/>
      <c r="X243" s="154"/>
      <c r="Y243" s="155"/>
      <c r="Z243" s="155"/>
      <c r="AA243" s="157"/>
      <c r="AB243" s="217"/>
      <c r="AC243" s="150"/>
      <c r="AD243" s="151"/>
      <c r="AE243" s="152"/>
      <c r="AF243" s="506"/>
      <c r="AG243" s="463"/>
      <c r="AH243" s="150"/>
      <c r="AI243" s="152"/>
      <c r="AJ243" s="150"/>
      <c r="AK243" s="152"/>
      <c r="AL243" s="150"/>
      <c r="AM243" s="152"/>
      <c r="AN243" s="150"/>
      <c r="AO243" s="151"/>
      <c r="AP243" s="151"/>
      <c r="AQ243" s="169"/>
      <c r="AR243" s="169"/>
      <c r="AS243" s="149"/>
      <c r="AT243" s="324"/>
      <c r="AU243" s="324"/>
      <c r="AV243" s="324"/>
      <c r="AW243" s="324"/>
      <c r="AX243" s="324"/>
      <c r="AY243" s="324"/>
      <c r="AZ243" s="154"/>
      <c r="BA243" s="419"/>
      <c r="BB243" s="419"/>
      <c r="BC243" s="419"/>
      <c r="BD243" s="419"/>
      <c r="BE243" s="418"/>
      <c r="BF243" s="154"/>
      <c r="BG243" s="419"/>
      <c r="BH243" s="419"/>
      <c r="BI243" s="419"/>
      <c r="BJ243" s="419"/>
      <c r="BK243" s="418"/>
      <c r="BL243" s="36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561"/>
    </row>
    <row r="244" spans="1:74" s="2" customFormat="1" ht="24.9" customHeight="1">
      <c r="A244" s="147" t="s">
        <v>85</v>
      </c>
      <c r="B244" s="158"/>
      <c r="C244" s="179"/>
      <c r="D244" s="158"/>
      <c r="E244" s="160"/>
      <c r="F244" s="161"/>
      <c r="G244" s="161"/>
      <c r="H244" s="161"/>
      <c r="I244" s="154"/>
      <c r="J244" s="418"/>
      <c r="K244" s="419"/>
      <c r="L244" s="154"/>
      <c r="M244" s="418"/>
      <c r="N244" s="419"/>
      <c r="O244" s="150"/>
      <c r="P244" s="164"/>
      <c r="Q244" s="154"/>
      <c r="R244" s="174"/>
      <c r="S244" s="523"/>
      <c r="T244" s="523"/>
      <c r="U244" s="154"/>
      <c r="V244" s="155"/>
      <c r="W244" s="156"/>
      <c r="X244" s="154"/>
      <c r="Y244" s="155"/>
      <c r="Z244" s="155"/>
      <c r="AA244" s="157"/>
      <c r="AB244" s="217"/>
      <c r="AC244" s="150"/>
      <c r="AD244" s="151"/>
      <c r="AE244" s="152"/>
      <c r="AF244" s="506"/>
      <c r="AG244" s="463"/>
      <c r="AH244" s="150"/>
      <c r="AI244" s="152"/>
      <c r="AJ244" s="150"/>
      <c r="AK244" s="152"/>
      <c r="AL244" s="150"/>
      <c r="AM244" s="152"/>
      <c r="AN244" s="150"/>
      <c r="AO244" s="151"/>
      <c r="AP244" s="151"/>
      <c r="AQ244" s="169"/>
      <c r="AR244" s="169"/>
      <c r="AS244" s="149"/>
      <c r="AT244" s="324"/>
      <c r="AU244" s="324"/>
      <c r="AV244" s="324"/>
      <c r="AW244" s="324"/>
      <c r="AX244" s="324"/>
      <c r="AY244" s="324"/>
      <c r="AZ244" s="154"/>
      <c r="BA244" s="419"/>
      <c r="BB244" s="419"/>
      <c r="BC244" s="419"/>
      <c r="BD244" s="419"/>
      <c r="BE244" s="418"/>
      <c r="BF244" s="154"/>
      <c r="BG244" s="419"/>
      <c r="BH244" s="419"/>
      <c r="BI244" s="419"/>
      <c r="BJ244" s="419"/>
      <c r="BK244" s="418"/>
      <c r="BL244" s="36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431"/>
    </row>
    <row r="245" spans="1:74" s="2" customFormat="1" ht="24.9" customHeight="1">
      <c r="A245" s="147" t="s">
        <v>85</v>
      </c>
      <c r="B245" s="158"/>
      <c r="C245" s="179"/>
      <c r="D245" s="158"/>
      <c r="E245" s="160"/>
      <c r="F245" s="161"/>
      <c r="G245" s="161"/>
      <c r="H245" s="161"/>
      <c r="I245" s="154"/>
      <c r="J245" s="418"/>
      <c r="K245" s="419"/>
      <c r="L245" s="154"/>
      <c r="M245" s="418"/>
      <c r="N245" s="419"/>
      <c r="O245" s="150"/>
      <c r="P245" s="164"/>
      <c r="Q245" s="154"/>
      <c r="R245" s="174"/>
      <c r="S245" s="523"/>
      <c r="T245" s="523"/>
      <c r="U245" s="154"/>
      <c r="V245" s="155"/>
      <c r="W245" s="156"/>
      <c r="X245" s="154"/>
      <c r="Y245" s="155"/>
      <c r="Z245" s="155"/>
      <c r="AA245" s="157"/>
      <c r="AB245" s="217"/>
      <c r="AC245" s="150"/>
      <c r="AD245" s="151"/>
      <c r="AE245" s="152"/>
      <c r="AF245" s="506"/>
      <c r="AG245" s="463"/>
      <c r="AH245" s="150"/>
      <c r="AI245" s="152"/>
      <c r="AJ245" s="150"/>
      <c r="AK245" s="152"/>
      <c r="AL245" s="150"/>
      <c r="AM245" s="152"/>
      <c r="AN245" s="150"/>
      <c r="AO245" s="151"/>
      <c r="AP245" s="151"/>
      <c r="AQ245" s="169"/>
      <c r="AR245" s="169"/>
      <c r="AS245" s="149"/>
      <c r="AT245" s="324"/>
      <c r="AU245" s="324"/>
      <c r="AV245" s="324"/>
      <c r="AW245" s="324"/>
      <c r="AX245" s="324"/>
      <c r="AY245" s="324"/>
      <c r="AZ245" s="154"/>
      <c r="BA245" s="419"/>
      <c r="BB245" s="419"/>
      <c r="BC245" s="419"/>
      <c r="BD245" s="419"/>
      <c r="BE245" s="418"/>
      <c r="BF245" s="154"/>
      <c r="BG245" s="419"/>
      <c r="BH245" s="419"/>
      <c r="BI245" s="419"/>
      <c r="BJ245" s="419"/>
      <c r="BK245" s="418"/>
      <c r="BL245" s="36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561"/>
    </row>
    <row r="246" spans="1:74" s="2" customFormat="1" ht="24.9" customHeight="1">
      <c r="A246" s="147" t="s">
        <v>85</v>
      </c>
      <c r="B246" s="158"/>
      <c r="C246" s="179"/>
      <c r="D246" s="158"/>
      <c r="E246" s="160"/>
      <c r="F246" s="161"/>
      <c r="G246" s="161"/>
      <c r="H246" s="161"/>
      <c r="I246" s="154"/>
      <c r="J246" s="418"/>
      <c r="K246" s="419"/>
      <c r="L246" s="154"/>
      <c r="M246" s="418"/>
      <c r="N246" s="419"/>
      <c r="O246" s="150"/>
      <c r="P246" s="164"/>
      <c r="Q246" s="154"/>
      <c r="R246" s="174"/>
      <c r="S246" s="523"/>
      <c r="T246" s="523"/>
      <c r="U246" s="154"/>
      <c r="V246" s="155"/>
      <c r="W246" s="156"/>
      <c r="X246" s="154"/>
      <c r="Y246" s="155"/>
      <c r="Z246" s="155"/>
      <c r="AA246" s="157"/>
      <c r="AB246" s="217"/>
      <c r="AC246" s="150"/>
      <c r="AD246" s="151"/>
      <c r="AE246" s="152"/>
      <c r="AF246" s="506"/>
      <c r="AG246" s="463"/>
      <c r="AH246" s="150"/>
      <c r="AI246" s="152"/>
      <c r="AJ246" s="150"/>
      <c r="AK246" s="152"/>
      <c r="AL246" s="150"/>
      <c r="AM246" s="152"/>
      <c r="AN246" s="150"/>
      <c r="AO246" s="151"/>
      <c r="AP246" s="151"/>
      <c r="AQ246" s="169"/>
      <c r="AR246" s="169"/>
      <c r="AS246" s="149"/>
      <c r="AT246" s="324"/>
      <c r="AU246" s="324"/>
      <c r="AV246" s="324"/>
      <c r="AW246" s="324"/>
      <c r="AX246" s="324"/>
      <c r="AY246" s="324"/>
      <c r="AZ246" s="154"/>
      <c r="BA246" s="419"/>
      <c r="BB246" s="419"/>
      <c r="BC246" s="419"/>
      <c r="BD246" s="419"/>
      <c r="BE246" s="418"/>
      <c r="BF246" s="154"/>
      <c r="BG246" s="419"/>
      <c r="BH246" s="419"/>
      <c r="BI246" s="419"/>
      <c r="BJ246" s="419"/>
      <c r="BK246" s="418"/>
      <c r="BL246" s="36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431"/>
    </row>
    <row r="247" spans="1:74" s="2" customFormat="1" ht="24.9" customHeight="1">
      <c r="A247" s="147" t="s">
        <v>85</v>
      </c>
      <c r="B247" s="158"/>
      <c r="C247" s="179"/>
      <c r="D247" s="158"/>
      <c r="E247" s="160"/>
      <c r="F247" s="161"/>
      <c r="G247" s="161"/>
      <c r="H247" s="161"/>
      <c r="I247" s="154"/>
      <c r="J247" s="418"/>
      <c r="K247" s="419"/>
      <c r="L247" s="154"/>
      <c r="M247" s="418"/>
      <c r="N247" s="419"/>
      <c r="O247" s="150"/>
      <c r="P247" s="164"/>
      <c r="Q247" s="154"/>
      <c r="R247" s="151"/>
      <c r="S247" s="522"/>
      <c r="T247" s="522"/>
      <c r="U247" s="154"/>
      <c r="V247" s="155"/>
      <c r="W247" s="156"/>
      <c r="X247" s="154"/>
      <c r="Y247" s="155"/>
      <c r="Z247" s="155"/>
      <c r="AA247" s="157"/>
      <c r="AB247" s="217"/>
      <c r="AC247" s="150"/>
      <c r="AD247" s="151"/>
      <c r="AE247" s="152"/>
      <c r="AF247" s="506"/>
      <c r="AG247" s="463"/>
      <c r="AH247" s="150"/>
      <c r="AI247" s="152"/>
      <c r="AJ247" s="150"/>
      <c r="AK247" s="152"/>
      <c r="AL247" s="150"/>
      <c r="AM247" s="152"/>
      <c r="AN247" s="150"/>
      <c r="AO247" s="151"/>
      <c r="AP247" s="151"/>
      <c r="AQ247" s="169"/>
      <c r="AR247" s="169"/>
      <c r="AS247" s="149"/>
      <c r="AT247" s="324"/>
      <c r="AU247" s="324"/>
      <c r="AV247" s="324"/>
      <c r="AW247" s="324"/>
      <c r="AX247" s="324"/>
      <c r="AY247" s="324"/>
      <c r="AZ247" s="154"/>
      <c r="BA247" s="419"/>
      <c r="BB247" s="419"/>
      <c r="BC247" s="419"/>
      <c r="BD247" s="419"/>
      <c r="BE247" s="418"/>
      <c r="BF247" s="154"/>
      <c r="BG247" s="419"/>
      <c r="BH247" s="419"/>
      <c r="BI247" s="419"/>
      <c r="BJ247" s="419"/>
      <c r="BK247" s="418"/>
      <c r="BL247" s="36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432"/>
    </row>
    <row r="248" spans="1:74" s="2" customFormat="1" ht="24.9" customHeight="1">
      <c r="A248" s="147" t="s">
        <v>85</v>
      </c>
      <c r="B248" s="158"/>
      <c r="C248" s="179"/>
      <c r="D248" s="158"/>
      <c r="E248" s="160"/>
      <c r="F248" s="161"/>
      <c r="G248" s="161"/>
      <c r="H248" s="161"/>
      <c r="I248" s="154"/>
      <c r="J248" s="418"/>
      <c r="K248" s="419"/>
      <c r="L248" s="154"/>
      <c r="M248" s="418"/>
      <c r="N248" s="419"/>
      <c r="O248" s="150"/>
      <c r="P248" s="164"/>
      <c r="Q248" s="154"/>
      <c r="R248" s="174"/>
      <c r="S248" s="523"/>
      <c r="T248" s="523"/>
      <c r="U248" s="154"/>
      <c r="V248" s="155"/>
      <c r="W248" s="156"/>
      <c r="X248" s="154"/>
      <c r="Y248" s="155"/>
      <c r="Z248" s="155"/>
      <c r="AA248" s="157"/>
      <c r="AB248" s="217"/>
      <c r="AC248" s="150"/>
      <c r="AD248" s="151"/>
      <c r="AE248" s="152"/>
      <c r="AF248" s="506"/>
      <c r="AG248" s="463"/>
      <c r="AH248" s="150"/>
      <c r="AI248" s="152"/>
      <c r="AJ248" s="150"/>
      <c r="AK248" s="152"/>
      <c r="AL248" s="150"/>
      <c r="AM248" s="152"/>
      <c r="AN248" s="150"/>
      <c r="AO248" s="151"/>
      <c r="AP248" s="151"/>
      <c r="AQ248" s="169"/>
      <c r="AR248" s="169"/>
      <c r="AS248" s="149"/>
      <c r="AT248" s="324"/>
      <c r="AU248" s="324"/>
      <c r="AV248" s="324"/>
      <c r="AW248" s="324"/>
      <c r="AX248" s="324"/>
      <c r="AY248" s="324"/>
      <c r="AZ248" s="154"/>
      <c r="BA248" s="419"/>
      <c r="BB248" s="419"/>
      <c r="BC248" s="419"/>
      <c r="BD248" s="419"/>
      <c r="BE248" s="418"/>
      <c r="BF248" s="154"/>
      <c r="BG248" s="419"/>
      <c r="BH248" s="419"/>
      <c r="BI248" s="419"/>
      <c r="BJ248" s="419"/>
      <c r="BK248" s="418"/>
      <c r="BL248" s="36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432"/>
    </row>
    <row r="249" spans="1:74" s="2" customFormat="1" ht="24.9" customHeight="1">
      <c r="A249" s="147" t="s">
        <v>85</v>
      </c>
      <c r="B249" s="158"/>
      <c r="C249" s="179"/>
      <c r="D249" s="158"/>
      <c r="E249" s="160"/>
      <c r="F249" s="161"/>
      <c r="G249" s="161"/>
      <c r="H249" s="161"/>
      <c r="I249" s="154"/>
      <c r="J249" s="418"/>
      <c r="K249" s="419"/>
      <c r="L249" s="154"/>
      <c r="M249" s="418"/>
      <c r="N249" s="419"/>
      <c r="O249" s="150"/>
      <c r="P249" s="164"/>
      <c r="Q249" s="154"/>
      <c r="R249" s="174"/>
      <c r="S249" s="523"/>
      <c r="T249" s="523"/>
      <c r="U249" s="154"/>
      <c r="V249" s="155"/>
      <c r="W249" s="156"/>
      <c r="X249" s="154"/>
      <c r="Y249" s="155"/>
      <c r="Z249" s="155"/>
      <c r="AA249" s="157"/>
      <c r="AB249" s="217"/>
      <c r="AC249" s="150"/>
      <c r="AD249" s="151"/>
      <c r="AE249" s="152"/>
      <c r="AF249" s="506"/>
      <c r="AG249" s="463"/>
      <c r="AH249" s="150"/>
      <c r="AI249" s="152"/>
      <c r="AJ249" s="150"/>
      <c r="AK249" s="152"/>
      <c r="AL249" s="150"/>
      <c r="AM249" s="152"/>
      <c r="AN249" s="150"/>
      <c r="AO249" s="151"/>
      <c r="AP249" s="151"/>
      <c r="AQ249" s="169"/>
      <c r="AR249" s="169"/>
      <c r="AS249" s="149"/>
      <c r="AT249" s="324"/>
      <c r="AU249" s="324"/>
      <c r="AV249" s="324"/>
      <c r="AW249" s="324"/>
      <c r="AX249" s="324"/>
      <c r="AY249" s="324"/>
      <c r="AZ249" s="154"/>
      <c r="BA249" s="419"/>
      <c r="BB249" s="419"/>
      <c r="BC249" s="419"/>
      <c r="BD249" s="419"/>
      <c r="BE249" s="418"/>
      <c r="BF249" s="154"/>
      <c r="BG249" s="419"/>
      <c r="BH249" s="419"/>
      <c r="BI249" s="419"/>
      <c r="BJ249" s="419"/>
      <c r="BK249" s="418"/>
      <c r="BL249" s="36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561"/>
    </row>
    <row r="250" spans="1:74" s="2" customFormat="1" ht="24.9" customHeight="1">
      <c r="A250" s="147" t="s">
        <v>85</v>
      </c>
      <c r="B250" s="158"/>
      <c r="C250" s="179"/>
      <c r="D250" s="158"/>
      <c r="E250" s="160"/>
      <c r="F250" s="161"/>
      <c r="G250" s="161"/>
      <c r="H250" s="161"/>
      <c r="I250" s="154"/>
      <c r="J250" s="418"/>
      <c r="K250" s="419"/>
      <c r="L250" s="154"/>
      <c r="M250" s="418"/>
      <c r="N250" s="419"/>
      <c r="O250" s="150"/>
      <c r="P250" s="164"/>
      <c r="Q250" s="154"/>
      <c r="R250" s="174"/>
      <c r="S250" s="523"/>
      <c r="T250" s="523"/>
      <c r="U250" s="154"/>
      <c r="V250" s="155"/>
      <c r="W250" s="156"/>
      <c r="X250" s="154"/>
      <c r="Y250" s="155"/>
      <c r="Z250" s="155"/>
      <c r="AA250" s="157"/>
      <c r="AB250" s="217"/>
      <c r="AC250" s="150"/>
      <c r="AD250" s="151"/>
      <c r="AE250" s="152"/>
      <c r="AF250" s="506"/>
      <c r="AG250" s="463"/>
      <c r="AH250" s="150"/>
      <c r="AI250" s="152"/>
      <c r="AJ250" s="150"/>
      <c r="AK250" s="152"/>
      <c r="AL250" s="150"/>
      <c r="AM250" s="152"/>
      <c r="AN250" s="150"/>
      <c r="AO250" s="151"/>
      <c r="AP250" s="151"/>
      <c r="AQ250" s="169"/>
      <c r="AR250" s="169"/>
      <c r="AS250" s="149"/>
      <c r="AT250" s="324"/>
      <c r="AU250" s="324"/>
      <c r="AV250" s="324"/>
      <c r="AW250" s="324"/>
      <c r="AX250" s="324"/>
      <c r="AY250" s="324"/>
      <c r="AZ250" s="154"/>
      <c r="BA250" s="419"/>
      <c r="BB250" s="419"/>
      <c r="BC250" s="419"/>
      <c r="BD250" s="419"/>
      <c r="BE250" s="418"/>
      <c r="BF250" s="154"/>
      <c r="BG250" s="419"/>
      <c r="BH250" s="419"/>
      <c r="BI250" s="419"/>
      <c r="BJ250" s="419"/>
      <c r="BK250" s="418"/>
      <c r="BL250" s="36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431"/>
    </row>
    <row r="251" spans="1:74" s="2" customFormat="1" ht="24.9" customHeight="1">
      <c r="A251" s="147" t="s">
        <v>85</v>
      </c>
      <c r="B251" s="158"/>
      <c r="C251" s="179"/>
      <c r="D251" s="158"/>
      <c r="E251" s="160"/>
      <c r="F251" s="161"/>
      <c r="G251" s="161"/>
      <c r="H251" s="161"/>
      <c r="I251" s="154"/>
      <c r="J251" s="418"/>
      <c r="K251" s="419"/>
      <c r="L251" s="154"/>
      <c r="M251" s="418"/>
      <c r="N251" s="419"/>
      <c r="O251" s="150"/>
      <c r="P251" s="164"/>
      <c r="Q251" s="154"/>
      <c r="R251" s="174"/>
      <c r="S251" s="523"/>
      <c r="T251" s="523"/>
      <c r="U251" s="154"/>
      <c r="V251" s="155"/>
      <c r="W251" s="156"/>
      <c r="X251" s="154"/>
      <c r="Y251" s="155"/>
      <c r="Z251" s="155"/>
      <c r="AA251" s="157"/>
      <c r="AB251" s="217"/>
      <c r="AC251" s="150"/>
      <c r="AD251" s="151"/>
      <c r="AE251" s="152"/>
      <c r="AF251" s="506"/>
      <c r="AG251" s="463"/>
      <c r="AH251" s="150"/>
      <c r="AI251" s="152"/>
      <c r="AJ251" s="150"/>
      <c r="AK251" s="152"/>
      <c r="AL251" s="150"/>
      <c r="AM251" s="152"/>
      <c r="AN251" s="150"/>
      <c r="AO251" s="151"/>
      <c r="AP251" s="151"/>
      <c r="AQ251" s="169"/>
      <c r="AR251" s="169"/>
      <c r="AS251" s="149"/>
      <c r="AT251" s="324"/>
      <c r="AU251" s="324"/>
      <c r="AV251" s="324"/>
      <c r="AW251" s="324"/>
      <c r="AX251" s="324"/>
      <c r="AY251" s="324"/>
      <c r="AZ251" s="154"/>
      <c r="BA251" s="419"/>
      <c r="BB251" s="419"/>
      <c r="BC251" s="419"/>
      <c r="BD251" s="419"/>
      <c r="BE251" s="418"/>
      <c r="BF251" s="154"/>
      <c r="BG251" s="419"/>
      <c r="BH251" s="419"/>
      <c r="BI251" s="419"/>
      <c r="BJ251" s="419"/>
      <c r="BK251" s="418"/>
      <c r="BL251" s="36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561"/>
    </row>
    <row r="252" spans="1:74" s="2" customFormat="1" ht="24.9" customHeight="1">
      <c r="A252" s="147" t="s">
        <v>85</v>
      </c>
      <c r="B252" s="158"/>
      <c r="C252" s="179"/>
      <c r="D252" s="158"/>
      <c r="E252" s="160"/>
      <c r="F252" s="161"/>
      <c r="G252" s="161"/>
      <c r="H252" s="161"/>
      <c r="I252" s="154"/>
      <c r="J252" s="418"/>
      <c r="K252" s="419"/>
      <c r="L252" s="154"/>
      <c r="M252" s="418"/>
      <c r="N252" s="419"/>
      <c r="O252" s="150"/>
      <c r="P252" s="164"/>
      <c r="Q252" s="154"/>
      <c r="R252" s="174"/>
      <c r="S252" s="523"/>
      <c r="T252" s="523"/>
      <c r="U252" s="154"/>
      <c r="V252" s="155"/>
      <c r="W252" s="156"/>
      <c r="X252" s="154"/>
      <c r="Y252" s="155"/>
      <c r="Z252" s="155"/>
      <c r="AA252" s="157"/>
      <c r="AB252" s="217"/>
      <c r="AC252" s="150"/>
      <c r="AD252" s="151"/>
      <c r="AE252" s="152"/>
      <c r="AF252" s="506"/>
      <c r="AG252" s="463"/>
      <c r="AH252" s="150"/>
      <c r="AI252" s="152"/>
      <c r="AJ252" s="150"/>
      <c r="AK252" s="152"/>
      <c r="AL252" s="150"/>
      <c r="AM252" s="152"/>
      <c r="AN252" s="150"/>
      <c r="AO252" s="151"/>
      <c r="AP252" s="151"/>
      <c r="AQ252" s="169"/>
      <c r="AR252" s="169"/>
      <c r="AS252" s="149"/>
      <c r="AT252" s="324"/>
      <c r="AU252" s="324"/>
      <c r="AV252" s="324"/>
      <c r="AW252" s="324"/>
      <c r="AX252" s="324"/>
      <c r="AY252" s="324"/>
      <c r="AZ252" s="154"/>
      <c r="BA252" s="419"/>
      <c r="BB252" s="419"/>
      <c r="BC252" s="419"/>
      <c r="BD252" s="419"/>
      <c r="BE252" s="418"/>
      <c r="BF252" s="154"/>
      <c r="BG252" s="419"/>
      <c r="BH252" s="419"/>
      <c r="BI252" s="419"/>
      <c r="BJ252" s="419"/>
      <c r="BK252" s="418"/>
      <c r="BL252" s="36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431"/>
    </row>
    <row r="253" spans="1:74" s="2" customFormat="1" ht="24.9" customHeight="1">
      <c r="A253" s="147" t="s">
        <v>85</v>
      </c>
      <c r="B253" s="158"/>
      <c r="C253" s="179"/>
      <c r="D253" s="158"/>
      <c r="E253" s="160"/>
      <c r="F253" s="161"/>
      <c r="G253" s="161"/>
      <c r="H253" s="161"/>
      <c r="I253" s="154"/>
      <c r="J253" s="418"/>
      <c r="K253" s="419"/>
      <c r="L253" s="154"/>
      <c r="M253" s="418"/>
      <c r="N253" s="419"/>
      <c r="O253" s="150"/>
      <c r="P253" s="164"/>
      <c r="Q253" s="154"/>
      <c r="R253" s="174"/>
      <c r="S253" s="523"/>
      <c r="T253" s="523"/>
      <c r="U253" s="154"/>
      <c r="V253" s="155"/>
      <c r="W253" s="156"/>
      <c r="X253" s="154"/>
      <c r="Y253" s="155"/>
      <c r="Z253" s="155"/>
      <c r="AA253" s="157"/>
      <c r="AB253" s="217"/>
      <c r="AC253" s="150"/>
      <c r="AD253" s="151"/>
      <c r="AE253" s="152"/>
      <c r="AF253" s="506"/>
      <c r="AG253" s="463"/>
      <c r="AH253" s="150"/>
      <c r="AI253" s="152"/>
      <c r="AJ253" s="150"/>
      <c r="AK253" s="152"/>
      <c r="AL253" s="150"/>
      <c r="AM253" s="152"/>
      <c r="AN253" s="150"/>
      <c r="AO253" s="151"/>
      <c r="AP253" s="151"/>
      <c r="AQ253" s="169"/>
      <c r="AR253" s="169"/>
      <c r="AS253" s="149"/>
      <c r="AT253" s="324"/>
      <c r="AU253" s="324"/>
      <c r="AV253" s="324"/>
      <c r="AW253" s="324"/>
      <c r="AX253" s="324"/>
      <c r="AY253" s="324"/>
      <c r="AZ253" s="154"/>
      <c r="BA253" s="419"/>
      <c r="BB253" s="419"/>
      <c r="BC253" s="419"/>
      <c r="BD253" s="419"/>
      <c r="BE253" s="418"/>
      <c r="BF253" s="154"/>
      <c r="BG253" s="419"/>
      <c r="BH253" s="419"/>
      <c r="BI253" s="419"/>
      <c r="BJ253" s="419"/>
      <c r="BK253" s="418"/>
      <c r="BL253" s="36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432"/>
    </row>
    <row r="254" spans="1:74" s="2" customFormat="1" ht="24.9" customHeight="1">
      <c r="A254" s="147" t="s">
        <v>85</v>
      </c>
      <c r="B254" s="158"/>
      <c r="C254" s="179"/>
      <c r="D254" s="158"/>
      <c r="E254" s="160"/>
      <c r="F254" s="161"/>
      <c r="G254" s="161"/>
      <c r="H254" s="161"/>
      <c r="I254" s="154"/>
      <c r="J254" s="418"/>
      <c r="K254" s="419"/>
      <c r="L254" s="154"/>
      <c r="M254" s="418"/>
      <c r="N254" s="419"/>
      <c r="O254" s="150"/>
      <c r="P254" s="164"/>
      <c r="Q254" s="154"/>
      <c r="R254" s="174"/>
      <c r="S254" s="523"/>
      <c r="T254" s="523"/>
      <c r="U254" s="154"/>
      <c r="V254" s="155"/>
      <c r="W254" s="156"/>
      <c r="X254" s="154"/>
      <c r="Y254" s="155"/>
      <c r="Z254" s="155"/>
      <c r="AA254" s="157"/>
      <c r="AB254" s="217"/>
      <c r="AC254" s="150"/>
      <c r="AD254" s="151"/>
      <c r="AE254" s="152"/>
      <c r="AF254" s="506"/>
      <c r="AG254" s="463"/>
      <c r="AH254" s="150"/>
      <c r="AI254" s="152"/>
      <c r="AJ254" s="150"/>
      <c r="AK254" s="152"/>
      <c r="AL254" s="150"/>
      <c r="AM254" s="152"/>
      <c r="AN254" s="150"/>
      <c r="AO254" s="151"/>
      <c r="AP254" s="151"/>
      <c r="AQ254" s="169"/>
      <c r="AR254" s="169"/>
      <c r="AS254" s="149"/>
      <c r="AT254" s="324"/>
      <c r="AU254" s="324"/>
      <c r="AV254" s="324"/>
      <c r="AW254" s="324"/>
      <c r="AX254" s="324"/>
      <c r="AY254" s="324"/>
      <c r="AZ254" s="154"/>
      <c r="BA254" s="419"/>
      <c r="BB254" s="419"/>
      <c r="BC254" s="419"/>
      <c r="BD254" s="419"/>
      <c r="BE254" s="418"/>
      <c r="BF254" s="154"/>
      <c r="BG254" s="419"/>
      <c r="BH254" s="419"/>
      <c r="BI254" s="419"/>
      <c r="BJ254" s="419"/>
      <c r="BK254" s="418"/>
      <c r="BL254" s="36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561"/>
    </row>
    <row r="255" spans="1:74" s="2" customFormat="1" ht="24.9" customHeight="1">
      <c r="A255" s="147" t="s">
        <v>85</v>
      </c>
      <c r="B255" s="158"/>
      <c r="C255" s="179"/>
      <c r="D255" s="158"/>
      <c r="E255" s="160"/>
      <c r="F255" s="161"/>
      <c r="G255" s="161"/>
      <c r="H255" s="161"/>
      <c r="I255" s="154"/>
      <c r="J255" s="418"/>
      <c r="K255" s="419"/>
      <c r="L255" s="154"/>
      <c r="M255" s="418"/>
      <c r="N255" s="419"/>
      <c r="O255" s="150"/>
      <c r="P255" s="164"/>
      <c r="Q255" s="154"/>
      <c r="R255" s="174"/>
      <c r="S255" s="523"/>
      <c r="T255" s="523"/>
      <c r="U255" s="154"/>
      <c r="V255" s="155"/>
      <c r="W255" s="156"/>
      <c r="X255" s="154"/>
      <c r="Y255" s="155"/>
      <c r="Z255" s="155"/>
      <c r="AA255" s="157"/>
      <c r="AB255" s="217"/>
      <c r="AC255" s="150"/>
      <c r="AD255" s="151"/>
      <c r="AE255" s="152"/>
      <c r="AF255" s="506"/>
      <c r="AG255" s="463"/>
      <c r="AH255" s="150"/>
      <c r="AI255" s="152"/>
      <c r="AJ255" s="150"/>
      <c r="AK255" s="152"/>
      <c r="AL255" s="150"/>
      <c r="AM255" s="152"/>
      <c r="AN255" s="150"/>
      <c r="AO255" s="151"/>
      <c r="AP255" s="151"/>
      <c r="AQ255" s="169"/>
      <c r="AR255" s="169"/>
      <c r="AS255" s="149"/>
      <c r="AT255" s="324"/>
      <c r="AU255" s="324"/>
      <c r="AV255" s="324"/>
      <c r="AW255" s="324"/>
      <c r="AX255" s="324"/>
      <c r="AY255" s="324"/>
      <c r="AZ255" s="154"/>
      <c r="BA255" s="419"/>
      <c r="BB255" s="419"/>
      <c r="BC255" s="419"/>
      <c r="BD255" s="419"/>
      <c r="BE255" s="418"/>
      <c r="BF255" s="154"/>
      <c r="BG255" s="419"/>
      <c r="BH255" s="419"/>
      <c r="BI255" s="419"/>
      <c r="BJ255" s="419"/>
      <c r="BK255" s="418"/>
      <c r="BL255" s="36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431"/>
    </row>
    <row r="256" spans="1:74" s="2" customFormat="1" ht="24.9" customHeight="1">
      <c r="A256" s="147" t="s">
        <v>85</v>
      </c>
      <c r="B256" s="158"/>
      <c r="C256" s="179"/>
      <c r="D256" s="158"/>
      <c r="E256" s="160"/>
      <c r="F256" s="161"/>
      <c r="G256" s="161"/>
      <c r="H256" s="161"/>
      <c r="I256" s="154"/>
      <c r="J256" s="418"/>
      <c r="K256" s="419"/>
      <c r="L256" s="154"/>
      <c r="M256" s="418"/>
      <c r="N256" s="419"/>
      <c r="O256" s="150"/>
      <c r="P256" s="164"/>
      <c r="Q256" s="154"/>
      <c r="R256" s="151"/>
      <c r="S256" s="522"/>
      <c r="T256" s="522"/>
      <c r="U256" s="154"/>
      <c r="V256" s="155"/>
      <c r="W256" s="156"/>
      <c r="X256" s="154"/>
      <c r="Y256" s="155"/>
      <c r="Z256" s="155"/>
      <c r="AA256" s="157"/>
      <c r="AB256" s="217"/>
      <c r="AC256" s="150"/>
      <c r="AD256" s="151"/>
      <c r="AE256" s="152"/>
      <c r="AF256" s="506"/>
      <c r="AG256" s="463"/>
      <c r="AH256" s="150"/>
      <c r="AI256" s="152"/>
      <c r="AJ256" s="150"/>
      <c r="AK256" s="152"/>
      <c r="AL256" s="150"/>
      <c r="AM256" s="152"/>
      <c r="AN256" s="150"/>
      <c r="AO256" s="151"/>
      <c r="AP256" s="151"/>
      <c r="AQ256" s="169"/>
      <c r="AR256" s="169"/>
      <c r="AS256" s="149"/>
      <c r="AT256" s="324"/>
      <c r="AU256" s="324"/>
      <c r="AV256" s="324"/>
      <c r="AW256" s="324"/>
      <c r="AX256" s="324"/>
      <c r="AY256" s="324"/>
      <c r="AZ256" s="154"/>
      <c r="BA256" s="419"/>
      <c r="BB256" s="419"/>
      <c r="BC256" s="419"/>
      <c r="BD256" s="419"/>
      <c r="BE256" s="418"/>
      <c r="BF256" s="154"/>
      <c r="BG256" s="419"/>
      <c r="BH256" s="419"/>
      <c r="BI256" s="419"/>
      <c r="BJ256" s="419"/>
      <c r="BK256" s="418"/>
      <c r="BL256" s="36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432"/>
    </row>
    <row r="257" spans="1:74" s="2" customFormat="1" ht="24.9" customHeight="1">
      <c r="A257" s="147" t="s">
        <v>85</v>
      </c>
      <c r="B257" s="158"/>
      <c r="C257" s="179"/>
      <c r="D257" s="158"/>
      <c r="E257" s="160"/>
      <c r="F257" s="161"/>
      <c r="G257" s="161"/>
      <c r="H257" s="161"/>
      <c r="I257" s="154"/>
      <c r="J257" s="418"/>
      <c r="K257" s="419"/>
      <c r="L257" s="154"/>
      <c r="M257" s="418"/>
      <c r="N257" s="419"/>
      <c r="O257" s="150"/>
      <c r="P257" s="164"/>
      <c r="Q257" s="154"/>
      <c r="R257" s="174"/>
      <c r="S257" s="523"/>
      <c r="T257" s="523"/>
      <c r="U257" s="154"/>
      <c r="V257" s="155"/>
      <c r="W257" s="156"/>
      <c r="X257" s="154"/>
      <c r="Y257" s="155"/>
      <c r="Z257" s="155"/>
      <c r="AA257" s="157"/>
      <c r="AB257" s="217"/>
      <c r="AC257" s="150"/>
      <c r="AD257" s="151"/>
      <c r="AE257" s="152"/>
      <c r="AF257" s="506"/>
      <c r="AG257" s="463"/>
      <c r="AH257" s="150"/>
      <c r="AI257" s="152"/>
      <c r="AJ257" s="150"/>
      <c r="AK257" s="152"/>
      <c r="AL257" s="150"/>
      <c r="AM257" s="152"/>
      <c r="AN257" s="150"/>
      <c r="AO257" s="151"/>
      <c r="AP257" s="151"/>
      <c r="AQ257" s="169"/>
      <c r="AR257" s="169"/>
      <c r="AS257" s="149"/>
      <c r="AT257" s="324"/>
      <c r="AU257" s="324"/>
      <c r="AV257" s="324"/>
      <c r="AW257" s="324"/>
      <c r="AX257" s="324"/>
      <c r="AY257" s="324"/>
      <c r="AZ257" s="154"/>
      <c r="BA257" s="419"/>
      <c r="BB257" s="419"/>
      <c r="BC257" s="419"/>
      <c r="BD257" s="419"/>
      <c r="BE257" s="418"/>
      <c r="BF257" s="154"/>
      <c r="BG257" s="419"/>
      <c r="BH257" s="419"/>
      <c r="BI257" s="419"/>
      <c r="BJ257" s="419"/>
      <c r="BK257" s="418"/>
      <c r="BL257" s="36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561"/>
    </row>
    <row r="258" spans="1:74" s="2" customFormat="1" ht="24.9" customHeight="1">
      <c r="A258" s="147" t="s">
        <v>85</v>
      </c>
      <c r="B258" s="158"/>
      <c r="C258" s="179"/>
      <c r="D258" s="158"/>
      <c r="E258" s="160"/>
      <c r="F258" s="161"/>
      <c r="G258" s="161"/>
      <c r="H258" s="161"/>
      <c r="I258" s="154"/>
      <c r="J258" s="418"/>
      <c r="K258" s="419"/>
      <c r="L258" s="154"/>
      <c r="M258" s="418"/>
      <c r="N258" s="419"/>
      <c r="O258" s="150"/>
      <c r="P258" s="164"/>
      <c r="Q258" s="154"/>
      <c r="R258" s="174"/>
      <c r="S258" s="523"/>
      <c r="T258" s="523"/>
      <c r="U258" s="154"/>
      <c r="V258" s="155"/>
      <c r="W258" s="156"/>
      <c r="X258" s="154"/>
      <c r="Y258" s="155"/>
      <c r="Z258" s="155"/>
      <c r="AA258" s="157"/>
      <c r="AB258" s="217"/>
      <c r="AC258" s="150"/>
      <c r="AD258" s="151"/>
      <c r="AE258" s="152"/>
      <c r="AF258" s="506"/>
      <c r="AG258" s="463"/>
      <c r="AH258" s="150"/>
      <c r="AI258" s="152"/>
      <c r="AJ258" s="150"/>
      <c r="AK258" s="152"/>
      <c r="AL258" s="150"/>
      <c r="AM258" s="152"/>
      <c r="AN258" s="150"/>
      <c r="AO258" s="151"/>
      <c r="AP258" s="151"/>
      <c r="AQ258" s="169"/>
      <c r="AR258" s="169"/>
      <c r="AS258" s="149"/>
      <c r="AT258" s="324"/>
      <c r="AU258" s="324"/>
      <c r="AV258" s="324"/>
      <c r="AW258" s="324"/>
      <c r="AX258" s="324"/>
      <c r="AY258" s="324"/>
      <c r="AZ258" s="154"/>
      <c r="BA258" s="419"/>
      <c r="BB258" s="419"/>
      <c r="BC258" s="419"/>
      <c r="BD258" s="419"/>
      <c r="BE258" s="418"/>
      <c r="BF258" s="154"/>
      <c r="BG258" s="419"/>
      <c r="BH258" s="419"/>
      <c r="BI258" s="419"/>
      <c r="BJ258" s="419"/>
      <c r="BK258" s="418"/>
      <c r="BL258" s="36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431"/>
    </row>
    <row r="259" spans="1:74" s="2" customFormat="1" ht="24.9" customHeight="1">
      <c r="A259" s="147" t="s">
        <v>85</v>
      </c>
      <c r="B259" s="158"/>
      <c r="C259" s="179"/>
      <c r="D259" s="158"/>
      <c r="E259" s="160"/>
      <c r="F259" s="161"/>
      <c r="G259" s="161"/>
      <c r="H259" s="161"/>
      <c r="I259" s="154"/>
      <c r="J259" s="418"/>
      <c r="K259" s="419"/>
      <c r="L259" s="154"/>
      <c r="M259" s="418"/>
      <c r="N259" s="419"/>
      <c r="O259" s="150"/>
      <c r="P259" s="164"/>
      <c r="Q259" s="154"/>
      <c r="R259" s="174"/>
      <c r="S259" s="523"/>
      <c r="T259" s="523"/>
      <c r="U259" s="154"/>
      <c r="V259" s="155"/>
      <c r="W259" s="156"/>
      <c r="X259" s="154"/>
      <c r="Y259" s="155"/>
      <c r="Z259" s="155"/>
      <c r="AA259" s="157"/>
      <c r="AB259" s="217"/>
      <c r="AC259" s="150"/>
      <c r="AD259" s="151"/>
      <c r="AE259" s="152"/>
      <c r="AF259" s="506"/>
      <c r="AG259" s="463"/>
      <c r="AH259" s="150"/>
      <c r="AI259" s="152"/>
      <c r="AJ259" s="150"/>
      <c r="AK259" s="152"/>
      <c r="AL259" s="150"/>
      <c r="AM259" s="152"/>
      <c r="AN259" s="150"/>
      <c r="AO259" s="151"/>
      <c r="AP259" s="151"/>
      <c r="AQ259" s="169"/>
      <c r="AR259" s="169"/>
      <c r="AS259" s="149"/>
      <c r="AT259" s="324"/>
      <c r="AU259" s="324"/>
      <c r="AV259" s="324"/>
      <c r="AW259" s="324"/>
      <c r="AX259" s="324"/>
      <c r="AY259" s="324"/>
      <c r="AZ259" s="154"/>
      <c r="BA259" s="419"/>
      <c r="BB259" s="419"/>
      <c r="BC259" s="419"/>
      <c r="BD259" s="419"/>
      <c r="BE259" s="418"/>
      <c r="BF259" s="154"/>
      <c r="BG259" s="419"/>
      <c r="BH259" s="419"/>
      <c r="BI259" s="419"/>
      <c r="BJ259" s="419"/>
      <c r="BK259" s="418"/>
      <c r="BL259" s="36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561"/>
    </row>
    <row r="260" spans="1:74" s="2" customFormat="1" ht="24.9" customHeight="1">
      <c r="A260" s="147" t="s">
        <v>85</v>
      </c>
      <c r="B260" s="158"/>
      <c r="C260" s="179"/>
      <c r="D260" s="158"/>
      <c r="E260" s="160"/>
      <c r="F260" s="161"/>
      <c r="G260" s="161"/>
      <c r="H260" s="161"/>
      <c r="I260" s="154"/>
      <c r="J260" s="418"/>
      <c r="K260" s="419"/>
      <c r="L260" s="154"/>
      <c r="M260" s="418"/>
      <c r="N260" s="419"/>
      <c r="O260" s="150"/>
      <c r="P260" s="164"/>
      <c r="Q260" s="154"/>
      <c r="R260" s="174"/>
      <c r="S260" s="523"/>
      <c r="T260" s="523"/>
      <c r="U260" s="154"/>
      <c r="V260" s="155"/>
      <c r="W260" s="156"/>
      <c r="X260" s="154"/>
      <c r="Y260" s="155"/>
      <c r="Z260" s="155"/>
      <c r="AA260" s="157"/>
      <c r="AB260" s="217"/>
      <c r="AC260" s="150"/>
      <c r="AD260" s="151"/>
      <c r="AE260" s="152"/>
      <c r="AF260" s="506"/>
      <c r="AG260" s="463"/>
      <c r="AH260" s="150"/>
      <c r="AI260" s="152"/>
      <c r="AJ260" s="150"/>
      <c r="AK260" s="152"/>
      <c r="AL260" s="150"/>
      <c r="AM260" s="152"/>
      <c r="AN260" s="150"/>
      <c r="AO260" s="151"/>
      <c r="AP260" s="151"/>
      <c r="AQ260" s="169"/>
      <c r="AR260" s="169"/>
      <c r="AS260" s="149"/>
      <c r="AT260" s="324"/>
      <c r="AU260" s="324"/>
      <c r="AV260" s="324"/>
      <c r="AW260" s="324"/>
      <c r="AX260" s="324"/>
      <c r="AY260" s="324"/>
      <c r="AZ260" s="154"/>
      <c r="BA260" s="419"/>
      <c r="BB260" s="419"/>
      <c r="BC260" s="419"/>
      <c r="BD260" s="419"/>
      <c r="BE260" s="418"/>
      <c r="BF260" s="154"/>
      <c r="BG260" s="419"/>
      <c r="BH260" s="419"/>
      <c r="BI260" s="419"/>
      <c r="BJ260" s="419"/>
      <c r="BK260" s="418"/>
      <c r="BL260" s="36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431"/>
    </row>
    <row r="261" spans="1:74" s="2" customFormat="1" ht="24.9" customHeight="1">
      <c r="A261" s="147" t="s">
        <v>85</v>
      </c>
      <c r="B261" s="158"/>
      <c r="C261" s="179"/>
      <c r="D261" s="158"/>
      <c r="E261" s="160"/>
      <c r="F261" s="161"/>
      <c r="G261" s="161"/>
      <c r="H261" s="161"/>
      <c r="I261" s="154"/>
      <c r="J261" s="418"/>
      <c r="K261" s="419"/>
      <c r="L261" s="154"/>
      <c r="M261" s="418"/>
      <c r="N261" s="419"/>
      <c r="O261" s="150"/>
      <c r="P261" s="164"/>
      <c r="Q261" s="154"/>
      <c r="R261" s="174"/>
      <c r="S261" s="523"/>
      <c r="T261" s="523"/>
      <c r="U261" s="154"/>
      <c r="V261" s="155"/>
      <c r="W261" s="156"/>
      <c r="X261" s="154"/>
      <c r="Y261" s="155"/>
      <c r="Z261" s="155"/>
      <c r="AA261" s="157"/>
      <c r="AB261" s="217"/>
      <c r="AC261" s="150"/>
      <c r="AD261" s="151"/>
      <c r="AE261" s="152"/>
      <c r="AF261" s="506"/>
      <c r="AG261" s="463"/>
      <c r="AH261" s="150"/>
      <c r="AI261" s="152"/>
      <c r="AJ261" s="150"/>
      <c r="AK261" s="152"/>
      <c r="AL261" s="150"/>
      <c r="AM261" s="152"/>
      <c r="AN261" s="150"/>
      <c r="AO261" s="151"/>
      <c r="AP261" s="151"/>
      <c r="AQ261" s="169"/>
      <c r="AR261" s="169"/>
      <c r="AS261" s="149"/>
      <c r="AT261" s="324"/>
      <c r="AU261" s="324"/>
      <c r="AV261" s="324"/>
      <c r="AW261" s="324"/>
      <c r="AX261" s="324"/>
      <c r="AY261" s="324"/>
      <c r="AZ261" s="154"/>
      <c r="BA261" s="419"/>
      <c r="BB261" s="419"/>
      <c r="BC261" s="419"/>
      <c r="BD261" s="419"/>
      <c r="BE261" s="418"/>
      <c r="BF261" s="154"/>
      <c r="BG261" s="419"/>
      <c r="BH261" s="419"/>
      <c r="BI261" s="419"/>
      <c r="BJ261" s="419"/>
      <c r="BK261" s="418"/>
      <c r="BL261" s="36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561"/>
    </row>
    <row r="262" spans="1:74" s="2" customFormat="1" ht="24.9" customHeight="1">
      <c r="A262" s="147" t="s">
        <v>85</v>
      </c>
      <c r="B262" s="158"/>
      <c r="C262" s="179"/>
      <c r="D262" s="158"/>
      <c r="E262" s="160"/>
      <c r="F262" s="161"/>
      <c r="G262" s="161"/>
      <c r="H262" s="161"/>
      <c r="I262" s="154"/>
      <c r="J262" s="418"/>
      <c r="K262" s="419"/>
      <c r="L262" s="154"/>
      <c r="M262" s="418"/>
      <c r="N262" s="419"/>
      <c r="O262" s="150"/>
      <c r="P262" s="164"/>
      <c r="Q262" s="154"/>
      <c r="R262" s="174"/>
      <c r="S262" s="523"/>
      <c r="T262" s="523"/>
      <c r="U262" s="154"/>
      <c r="V262" s="155"/>
      <c r="W262" s="156"/>
      <c r="X262" s="154"/>
      <c r="Y262" s="155"/>
      <c r="Z262" s="155"/>
      <c r="AA262" s="157"/>
      <c r="AB262" s="217"/>
      <c r="AC262" s="150"/>
      <c r="AD262" s="151"/>
      <c r="AE262" s="152"/>
      <c r="AF262" s="506"/>
      <c r="AG262" s="463"/>
      <c r="AH262" s="150"/>
      <c r="AI262" s="152"/>
      <c r="AJ262" s="150"/>
      <c r="AK262" s="152"/>
      <c r="AL262" s="150"/>
      <c r="AM262" s="152"/>
      <c r="AN262" s="150"/>
      <c r="AO262" s="151"/>
      <c r="AP262" s="151"/>
      <c r="AQ262" s="169"/>
      <c r="AR262" s="169"/>
      <c r="AS262" s="149"/>
      <c r="AT262" s="324"/>
      <c r="AU262" s="324"/>
      <c r="AV262" s="324"/>
      <c r="AW262" s="324"/>
      <c r="AX262" s="324"/>
      <c r="AY262" s="324"/>
      <c r="AZ262" s="154"/>
      <c r="BA262" s="419"/>
      <c r="BB262" s="419"/>
      <c r="BC262" s="419"/>
      <c r="BD262" s="419"/>
      <c r="BE262" s="418"/>
      <c r="BF262" s="154"/>
      <c r="BG262" s="419"/>
      <c r="BH262" s="419"/>
      <c r="BI262" s="419"/>
      <c r="BJ262" s="419"/>
      <c r="BK262" s="418"/>
      <c r="BL262" s="36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431"/>
    </row>
    <row r="263" spans="1:74" s="2" customFormat="1" ht="24.9" customHeight="1">
      <c r="A263" s="147" t="s">
        <v>85</v>
      </c>
      <c r="B263" s="158"/>
      <c r="C263" s="179"/>
      <c r="D263" s="158"/>
      <c r="E263" s="160"/>
      <c r="F263" s="161"/>
      <c r="G263" s="161"/>
      <c r="H263" s="161"/>
      <c r="I263" s="154"/>
      <c r="J263" s="418"/>
      <c r="K263" s="419"/>
      <c r="L263" s="154"/>
      <c r="M263" s="418"/>
      <c r="N263" s="419"/>
      <c r="O263" s="150"/>
      <c r="P263" s="164"/>
      <c r="Q263" s="154"/>
      <c r="R263" s="151"/>
      <c r="S263" s="522"/>
      <c r="T263" s="522"/>
      <c r="U263" s="154"/>
      <c r="V263" s="155"/>
      <c r="W263" s="156"/>
      <c r="X263" s="154"/>
      <c r="Y263" s="155"/>
      <c r="Z263" s="155"/>
      <c r="AA263" s="157"/>
      <c r="AB263" s="217"/>
      <c r="AC263" s="150"/>
      <c r="AD263" s="151"/>
      <c r="AE263" s="152"/>
      <c r="AF263" s="506"/>
      <c r="AG263" s="463"/>
      <c r="AH263" s="150"/>
      <c r="AI263" s="152"/>
      <c r="AJ263" s="150"/>
      <c r="AK263" s="152"/>
      <c r="AL263" s="150"/>
      <c r="AM263" s="152"/>
      <c r="AN263" s="150"/>
      <c r="AO263" s="151"/>
      <c r="AP263" s="151"/>
      <c r="AQ263" s="169"/>
      <c r="AR263" s="169"/>
      <c r="AS263" s="149"/>
      <c r="AT263" s="324"/>
      <c r="AU263" s="324"/>
      <c r="AV263" s="324"/>
      <c r="AW263" s="324"/>
      <c r="AX263" s="324"/>
      <c r="AY263" s="324"/>
      <c r="AZ263" s="154"/>
      <c r="BA263" s="419"/>
      <c r="BB263" s="419"/>
      <c r="BC263" s="419"/>
      <c r="BD263" s="419"/>
      <c r="BE263" s="418"/>
      <c r="BF263" s="154"/>
      <c r="BG263" s="419"/>
      <c r="BH263" s="419"/>
      <c r="BI263" s="419"/>
      <c r="BJ263" s="419"/>
      <c r="BK263" s="418"/>
      <c r="BL263" s="36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432"/>
    </row>
    <row r="264" spans="1:74" s="2" customFormat="1" ht="24.9" customHeight="1">
      <c r="A264" s="147" t="s">
        <v>85</v>
      </c>
      <c r="B264" s="158"/>
      <c r="C264" s="179"/>
      <c r="D264" s="158"/>
      <c r="E264" s="160"/>
      <c r="F264" s="161"/>
      <c r="G264" s="161"/>
      <c r="H264" s="161"/>
      <c r="I264" s="154"/>
      <c r="J264" s="418"/>
      <c r="K264" s="419"/>
      <c r="L264" s="154"/>
      <c r="M264" s="418"/>
      <c r="N264" s="419"/>
      <c r="O264" s="150"/>
      <c r="P264" s="164"/>
      <c r="Q264" s="154"/>
      <c r="R264" s="174"/>
      <c r="S264" s="523"/>
      <c r="T264" s="523"/>
      <c r="U264" s="154"/>
      <c r="V264" s="155"/>
      <c r="W264" s="156"/>
      <c r="X264" s="154"/>
      <c r="Y264" s="155"/>
      <c r="Z264" s="155"/>
      <c r="AA264" s="157"/>
      <c r="AB264" s="217"/>
      <c r="AC264" s="150"/>
      <c r="AD264" s="151"/>
      <c r="AE264" s="152"/>
      <c r="AF264" s="506"/>
      <c r="AG264" s="463"/>
      <c r="AH264" s="150"/>
      <c r="AI264" s="152"/>
      <c r="AJ264" s="150"/>
      <c r="AK264" s="152"/>
      <c r="AL264" s="150"/>
      <c r="AM264" s="152"/>
      <c r="AN264" s="150"/>
      <c r="AO264" s="151"/>
      <c r="AP264" s="151"/>
      <c r="AQ264" s="169"/>
      <c r="AR264" s="169"/>
      <c r="AS264" s="149"/>
      <c r="AT264" s="324"/>
      <c r="AU264" s="324"/>
      <c r="AV264" s="324"/>
      <c r="AW264" s="324"/>
      <c r="AX264" s="324"/>
      <c r="AY264" s="324"/>
      <c r="AZ264" s="154"/>
      <c r="BA264" s="419"/>
      <c r="BB264" s="419"/>
      <c r="BC264" s="419"/>
      <c r="BD264" s="419"/>
      <c r="BE264" s="418"/>
      <c r="BF264" s="154"/>
      <c r="BG264" s="419"/>
      <c r="BH264" s="419"/>
      <c r="BI264" s="419"/>
      <c r="BJ264" s="419"/>
      <c r="BK264" s="418"/>
      <c r="BL264" s="36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432"/>
    </row>
    <row r="265" spans="1:74" s="2" customFormat="1" ht="24.9" customHeight="1">
      <c r="A265" s="147" t="s">
        <v>85</v>
      </c>
      <c r="B265" s="158"/>
      <c r="C265" s="179"/>
      <c r="D265" s="158"/>
      <c r="E265" s="160"/>
      <c r="F265" s="161"/>
      <c r="G265" s="161"/>
      <c r="H265" s="161"/>
      <c r="I265" s="154"/>
      <c r="J265" s="418"/>
      <c r="K265" s="419"/>
      <c r="L265" s="154"/>
      <c r="M265" s="418"/>
      <c r="N265" s="419"/>
      <c r="O265" s="150"/>
      <c r="P265" s="164"/>
      <c r="Q265" s="154"/>
      <c r="R265" s="151"/>
      <c r="S265" s="522"/>
      <c r="T265" s="522"/>
      <c r="U265" s="154"/>
      <c r="V265" s="155"/>
      <c r="W265" s="156"/>
      <c r="X265" s="154"/>
      <c r="Y265" s="155"/>
      <c r="Z265" s="155"/>
      <c r="AA265" s="157"/>
      <c r="AB265" s="217"/>
      <c r="AC265" s="150"/>
      <c r="AD265" s="151"/>
      <c r="AE265" s="152"/>
      <c r="AF265" s="506"/>
      <c r="AG265" s="463"/>
      <c r="AH265" s="150"/>
      <c r="AI265" s="152"/>
      <c r="AJ265" s="150"/>
      <c r="AK265" s="152"/>
      <c r="AL265" s="150"/>
      <c r="AM265" s="152"/>
      <c r="AN265" s="150"/>
      <c r="AO265" s="151"/>
      <c r="AP265" s="151"/>
      <c r="AQ265" s="169"/>
      <c r="AR265" s="169"/>
      <c r="AS265" s="149"/>
      <c r="AT265" s="324"/>
      <c r="AU265" s="324"/>
      <c r="AV265" s="324"/>
      <c r="AW265" s="324"/>
      <c r="AX265" s="324"/>
      <c r="AY265" s="324"/>
      <c r="AZ265" s="154"/>
      <c r="BA265" s="419"/>
      <c r="BB265" s="419"/>
      <c r="BC265" s="419"/>
      <c r="BD265" s="419"/>
      <c r="BE265" s="418"/>
      <c r="BF265" s="154"/>
      <c r="BG265" s="419"/>
      <c r="BH265" s="419"/>
      <c r="BI265" s="419"/>
      <c r="BJ265" s="419"/>
      <c r="BK265" s="418"/>
      <c r="BL265" s="36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561"/>
    </row>
    <row r="266" spans="1:74" s="2" customFormat="1" ht="24.9" customHeight="1">
      <c r="A266" s="147" t="s">
        <v>85</v>
      </c>
      <c r="B266" s="158"/>
      <c r="C266" s="179"/>
      <c r="D266" s="158"/>
      <c r="E266" s="160"/>
      <c r="F266" s="161"/>
      <c r="G266" s="161"/>
      <c r="H266" s="161"/>
      <c r="I266" s="154"/>
      <c r="J266" s="418"/>
      <c r="K266" s="419"/>
      <c r="L266" s="154"/>
      <c r="M266" s="418"/>
      <c r="N266" s="419"/>
      <c r="O266" s="150"/>
      <c r="P266" s="164"/>
      <c r="Q266" s="154"/>
      <c r="R266" s="174"/>
      <c r="S266" s="523"/>
      <c r="T266" s="523"/>
      <c r="U266" s="154"/>
      <c r="V266" s="155"/>
      <c r="W266" s="156"/>
      <c r="X266" s="154"/>
      <c r="Y266" s="155"/>
      <c r="Z266" s="155"/>
      <c r="AA266" s="157"/>
      <c r="AB266" s="217"/>
      <c r="AC266" s="150"/>
      <c r="AD266" s="151"/>
      <c r="AE266" s="152"/>
      <c r="AF266" s="506"/>
      <c r="AG266" s="463"/>
      <c r="AH266" s="150"/>
      <c r="AI266" s="152"/>
      <c r="AJ266" s="150"/>
      <c r="AK266" s="152"/>
      <c r="AL266" s="150"/>
      <c r="AM266" s="152"/>
      <c r="AN266" s="150"/>
      <c r="AO266" s="151"/>
      <c r="AP266" s="151"/>
      <c r="AQ266" s="169"/>
      <c r="AR266" s="169"/>
      <c r="AS266" s="149"/>
      <c r="AT266" s="324"/>
      <c r="AU266" s="324"/>
      <c r="AV266" s="324"/>
      <c r="AW266" s="324"/>
      <c r="AX266" s="324"/>
      <c r="AY266" s="324"/>
      <c r="AZ266" s="154"/>
      <c r="BA266" s="419"/>
      <c r="BB266" s="419"/>
      <c r="BC266" s="419"/>
      <c r="BD266" s="419"/>
      <c r="BE266" s="418"/>
      <c r="BF266" s="154"/>
      <c r="BG266" s="419"/>
      <c r="BH266" s="419"/>
      <c r="BI266" s="419"/>
      <c r="BJ266" s="419"/>
      <c r="BK266" s="418"/>
      <c r="BL266" s="36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431"/>
    </row>
    <row r="267" spans="1:74" s="2" customFormat="1" ht="24.9" customHeight="1">
      <c r="A267" s="147" t="s">
        <v>85</v>
      </c>
      <c r="B267" s="158"/>
      <c r="C267" s="179"/>
      <c r="D267" s="158"/>
      <c r="E267" s="160"/>
      <c r="F267" s="161"/>
      <c r="G267" s="161"/>
      <c r="H267" s="161"/>
      <c r="I267" s="154"/>
      <c r="J267" s="418"/>
      <c r="K267" s="419"/>
      <c r="L267" s="154"/>
      <c r="M267" s="418"/>
      <c r="N267" s="419"/>
      <c r="O267" s="150"/>
      <c r="P267" s="164"/>
      <c r="Q267" s="154"/>
      <c r="R267" s="174"/>
      <c r="S267" s="523"/>
      <c r="T267" s="523"/>
      <c r="U267" s="154"/>
      <c r="V267" s="155"/>
      <c r="W267" s="156"/>
      <c r="X267" s="154"/>
      <c r="Y267" s="155"/>
      <c r="Z267" s="155"/>
      <c r="AA267" s="157"/>
      <c r="AB267" s="217"/>
      <c r="AC267" s="150"/>
      <c r="AD267" s="151"/>
      <c r="AE267" s="152"/>
      <c r="AF267" s="506"/>
      <c r="AG267" s="463"/>
      <c r="AH267" s="150"/>
      <c r="AI267" s="152"/>
      <c r="AJ267" s="150"/>
      <c r="AK267" s="152"/>
      <c r="AL267" s="150"/>
      <c r="AM267" s="152"/>
      <c r="AN267" s="150"/>
      <c r="AO267" s="151"/>
      <c r="AP267" s="151"/>
      <c r="AQ267" s="169"/>
      <c r="AR267" s="169"/>
      <c r="AS267" s="149"/>
      <c r="AT267" s="324"/>
      <c r="AU267" s="324"/>
      <c r="AV267" s="324"/>
      <c r="AW267" s="324"/>
      <c r="AX267" s="324"/>
      <c r="AY267" s="324"/>
      <c r="AZ267" s="154"/>
      <c r="BA267" s="419"/>
      <c r="BB267" s="419"/>
      <c r="BC267" s="419"/>
      <c r="BD267" s="419"/>
      <c r="BE267" s="418"/>
      <c r="BF267" s="154"/>
      <c r="BG267" s="419"/>
      <c r="BH267" s="419"/>
      <c r="BI267" s="419"/>
      <c r="BJ267" s="419"/>
      <c r="BK267" s="418"/>
      <c r="BL267" s="36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561"/>
    </row>
    <row r="268" spans="1:74" s="2" customFormat="1" ht="24.9" customHeight="1">
      <c r="A268" s="147" t="s">
        <v>85</v>
      </c>
      <c r="B268" s="158"/>
      <c r="C268" s="179"/>
      <c r="D268" s="158"/>
      <c r="E268" s="160"/>
      <c r="F268" s="161"/>
      <c r="G268" s="161"/>
      <c r="H268" s="161"/>
      <c r="I268" s="154"/>
      <c r="J268" s="418"/>
      <c r="K268" s="419"/>
      <c r="L268" s="154"/>
      <c r="M268" s="418"/>
      <c r="N268" s="419"/>
      <c r="O268" s="150"/>
      <c r="P268" s="164"/>
      <c r="Q268" s="154"/>
      <c r="R268" s="174"/>
      <c r="S268" s="523"/>
      <c r="T268" s="523"/>
      <c r="U268" s="154"/>
      <c r="V268" s="155"/>
      <c r="W268" s="156"/>
      <c r="X268" s="154"/>
      <c r="Y268" s="155"/>
      <c r="Z268" s="155"/>
      <c r="AA268" s="157"/>
      <c r="AB268" s="217"/>
      <c r="AC268" s="150"/>
      <c r="AD268" s="151"/>
      <c r="AE268" s="152"/>
      <c r="AF268" s="506"/>
      <c r="AG268" s="463"/>
      <c r="AH268" s="150"/>
      <c r="AI268" s="152"/>
      <c r="AJ268" s="150"/>
      <c r="AK268" s="152"/>
      <c r="AL268" s="150"/>
      <c r="AM268" s="152"/>
      <c r="AN268" s="150"/>
      <c r="AO268" s="151"/>
      <c r="AP268" s="151"/>
      <c r="AQ268" s="169"/>
      <c r="AR268" s="169"/>
      <c r="AS268" s="149"/>
      <c r="AT268" s="324"/>
      <c r="AU268" s="324"/>
      <c r="AV268" s="324"/>
      <c r="AW268" s="324"/>
      <c r="AX268" s="324"/>
      <c r="AY268" s="324"/>
      <c r="AZ268" s="154"/>
      <c r="BA268" s="419"/>
      <c r="BB268" s="419"/>
      <c r="BC268" s="419"/>
      <c r="BD268" s="419"/>
      <c r="BE268" s="418"/>
      <c r="BF268" s="154"/>
      <c r="BG268" s="419"/>
      <c r="BH268" s="419"/>
      <c r="BI268" s="419"/>
      <c r="BJ268" s="419"/>
      <c r="BK268" s="418"/>
      <c r="BL268" s="36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431"/>
    </row>
    <row r="269" spans="1:74" s="2" customFormat="1" ht="24.9" customHeight="1">
      <c r="A269" s="147" t="s">
        <v>85</v>
      </c>
      <c r="B269" s="158"/>
      <c r="C269" s="179"/>
      <c r="D269" s="158"/>
      <c r="E269" s="160"/>
      <c r="F269" s="161"/>
      <c r="G269" s="161"/>
      <c r="H269" s="161"/>
      <c r="I269" s="154"/>
      <c r="J269" s="418"/>
      <c r="K269" s="419"/>
      <c r="L269" s="154"/>
      <c r="M269" s="418"/>
      <c r="N269" s="419"/>
      <c r="O269" s="150"/>
      <c r="P269" s="164"/>
      <c r="Q269" s="154"/>
      <c r="R269" s="174"/>
      <c r="S269" s="523"/>
      <c r="T269" s="523"/>
      <c r="U269" s="154"/>
      <c r="V269" s="155"/>
      <c r="W269" s="156"/>
      <c r="X269" s="154"/>
      <c r="Y269" s="155"/>
      <c r="Z269" s="155"/>
      <c r="AA269" s="157"/>
      <c r="AB269" s="217"/>
      <c r="AC269" s="150"/>
      <c r="AD269" s="151"/>
      <c r="AE269" s="152"/>
      <c r="AF269" s="506"/>
      <c r="AG269" s="463"/>
      <c r="AH269" s="150"/>
      <c r="AI269" s="152"/>
      <c r="AJ269" s="150"/>
      <c r="AK269" s="152"/>
      <c r="AL269" s="150"/>
      <c r="AM269" s="152"/>
      <c r="AN269" s="150"/>
      <c r="AO269" s="151"/>
      <c r="AP269" s="151"/>
      <c r="AQ269" s="169"/>
      <c r="AR269" s="169"/>
      <c r="AS269" s="149"/>
      <c r="AT269" s="324"/>
      <c r="AU269" s="324"/>
      <c r="AV269" s="324"/>
      <c r="AW269" s="324"/>
      <c r="AX269" s="324"/>
      <c r="AY269" s="324"/>
      <c r="AZ269" s="154"/>
      <c r="BA269" s="419"/>
      <c r="BB269" s="419"/>
      <c r="BC269" s="419"/>
      <c r="BD269" s="419"/>
      <c r="BE269" s="418"/>
      <c r="BF269" s="154"/>
      <c r="BG269" s="419"/>
      <c r="BH269" s="419"/>
      <c r="BI269" s="419"/>
      <c r="BJ269" s="419"/>
      <c r="BK269" s="418"/>
      <c r="BL269" s="36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561"/>
    </row>
    <row r="270" spans="1:74" s="2" customFormat="1" ht="24.9" customHeight="1">
      <c r="A270" s="147" t="s">
        <v>85</v>
      </c>
      <c r="B270" s="158"/>
      <c r="C270" s="179"/>
      <c r="D270" s="158"/>
      <c r="E270" s="160"/>
      <c r="F270" s="161"/>
      <c r="G270" s="161"/>
      <c r="H270" s="161"/>
      <c r="I270" s="154"/>
      <c r="J270" s="418"/>
      <c r="K270" s="419"/>
      <c r="L270" s="154"/>
      <c r="M270" s="418"/>
      <c r="N270" s="419"/>
      <c r="O270" s="150"/>
      <c r="P270" s="164"/>
      <c r="Q270" s="154"/>
      <c r="R270" s="174"/>
      <c r="S270" s="523"/>
      <c r="T270" s="523"/>
      <c r="U270" s="154"/>
      <c r="V270" s="155"/>
      <c r="W270" s="156"/>
      <c r="X270" s="154"/>
      <c r="Y270" s="155"/>
      <c r="Z270" s="155"/>
      <c r="AA270" s="157"/>
      <c r="AB270" s="217"/>
      <c r="AC270" s="150"/>
      <c r="AD270" s="151"/>
      <c r="AE270" s="152"/>
      <c r="AF270" s="506"/>
      <c r="AG270" s="463"/>
      <c r="AH270" s="150"/>
      <c r="AI270" s="152"/>
      <c r="AJ270" s="150"/>
      <c r="AK270" s="152"/>
      <c r="AL270" s="150"/>
      <c r="AM270" s="152"/>
      <c r="AN270" s="150"/>
      <c r="AO270" s="151"/>
      <c r="AP270" s="151"/>
      <c r="AQ270" s="169"/>
      <c r="AR270" s="169"/>
      <c r="AS270" s="149"/>
      <c r="AT270" s="324"/>
      <c r="AU270" s="324"/>
      <c r="AV270" s="324"/>
      <c r="AW270" s="324"/>
      <c r="AX270" s="324"/>
      <c r="AY270" s="324"/>
      <c r="AZ270" s="154"/>
      <c r="BA270" s="419"/>
      <c r="BB270" s="419"/>
      <c r="BC270" s="419"/>
      <c r="BD270" s="419"/>
      <c r="BE270" s="418"/>
      <c r="BF270" s="154"/>
      <c r="BG270" s="419"/>
      <c r="BH270" s="419"/>
      <c r="BI270" s="419"/>
      <c r="BJ270" s="419"/>
      <c r="BK270" s="418"/>
      <c r="BL270" s="36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431"/>
    </row>
    <row r="271" spans="1:74" s="2" customFormat="1" ht="24.9" customHeight="1">
      <c r="A271" s="147" t="s">
        <v>85</v>
      </c>
      <c r="B271" s="158"/>
      <c r="C271" s="179"/>
      <c r="D271" s="158"/>
      <c r="E271" s="160"/>
      <c r="F271" s="161"/>
      <c r="G271" s="161"/>
      <c r="H271" s="161"/>
      <c r="I271" s="154"/>
      <c r="J271" s="418"/>
      <c r="K271" s="419"/>
      <c r="L271" s="154"/>
      <c r="M271" s="418"/>
      <c r="N271" s="419"/>
      <c r="O271" s="150"/>
      <c r="P271" s="164"/>
      <c r="Q271" s="154"/>
      <c r="R271" s="151"/>
      <c r="S271" s="522"/>
      <c r="T271" s="522"/>
      <c r="U271" s="154"/>
      <c r="V271" s="155"/>
      <c r="W271" s="156"/>
      <c r="X271" s="154"/>
      <c r="Y271" s="155"/>
      <c r="Z271" s="155"/>
      <c r="AA271" s="157"/>
      <c r="AB271" s="217"/>
      <c r="AC271" s="150"/>
      <c r="AD271" s="151"/>
      <c r="AE271" s="152"/>
      <c r="AF271" s="506"/>
      <c r="AG271" s="463"/>
      <c r="AH271" s="150"/>
      <c r="AI271" s="152"/>
      <c r="AJ271" s="150"/>
      <c r="AK271" s="152"/>
      <c r="AL271" s="150"/>
      <c r="AM271" s="152"/>
      <c r="AN271" s="150"/>
      <c r="AO271" s="151"/>
      <c r="AP271" s="151"/>
      <c r="AQ271" s="169"/>
      <c r="AR271" s="169"/>
      <c r="AS271" s="149"/>
      <c r="AT271" s="324"/>
      <c r="AU271" s="324"/>
      <c r="AV271" s="324"/>
      <c r="AW271" s="324"/>
      <c r="AX271" s="324"/>
      <c r="AY271" s="324"/>
      <c r="AZ271" s="154"/>
      <c r="BA271" s="419"/>
      <c r="BB271" s="419"/>
      <c r="BC271" s="419"/>
      <c r="BD271" s="419"/>
      <c r="BE271" s="418"/>
      <c r="BF271" s="154"/>
      <c r="BG271" s="419"/>
      <c r="BH271" s="419"/>
      <c r="BI271" s="419"/>
      <c r="BJ271" s="419"/>
      <c r="BK271" s="418"/>
      <c r="BL271" s="36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432"/>
    </row>
    <row r="272" spans="1:74" s="2" customFormat="1" ht="24.9" customHeight="1">
      <c r="A272" s="147" t="s">
        <v>85</v>
      </c>
      <c r="B272" s="158"/>
      <c r="C272" s="179"/>
      <c r="D272" s="158"/>
      <c r="E272" s="160"/>
      <c r="F272" s="161"/>
      <c r="G272" s="161"/>
      <c r="H272" s="161"/>
      <c r="I272" s="154"/>
      <c r="J272" s="418"/>
      <c r="K272" s="419"/>
      <c r="L272" s="154"/>
      <c r="M272" s="418"/>
      <c r="N272" s="419"/>
      <c r="O272" s="150"/>
      <c r="P272" s="164"/>
      <c r="Q272" s="154"/>
      <c r="R272" s="174"/>
      <c r="S272" s="523"/>
      <c r="T272" s="523"/>
      <c r="U272" s="154"/>
      <c r="V272" s="155"/>
      <c r="W272" s="156"/>
      <c r="X272" s="154"/>
      <c r="Y272" s="155"/>
      <c r="Z272" s="155"/>
      <c r="AA272" s="157"/>
      <c r="AB272" s="217"/>
      <c r="AC272" s="150"/>
      <c r="AD272" s="151"/>
      <c r="AE272" s="152"/>
      <c r="AF272" s="506"/>
      <c r="AG272" s="463"/>
      <c r="AH272" s="150"/>
      <c r="AI272" s="152"/>
      <c r="AJ272" s="150"/>
      <c r="AK272" s="152"/>
      <c r="AL272" s="150"/>
      <c r="AM272" s="152"/>
      <c r="AN272" s="150"/>
      <c r="AO272" s="151"/>
      <c r="AP272" s="151"/>
      <c r="AQ272" s="169"/>
      <c r="AR272" s="169"/>
      <c r="AS272" s="149"/>
      <c r="AT272" s="324"/>
      <c r="AU272" s="324"/>
      <c r="AV272" s="324"/>
      <c r="AW272" s="324"/>
      <c r="AX272" s="324"/>
      <c r="AY272" s="324"/>
      <c r="AZ272" s="154"/>
      <c r="BA272" s="419"/>
      <c r="BB272" s="419"/>
      <c r="BC272" s="419"/>
      <c r="BD272" s="419"/>
      <c r="BE272" s="418"/>
      <c r="BF272" s="154"/>
      <c r="BG272" s="419"/>
      <c r="BH272" s="419"/>
      <c r="BI272" s="419"/>
      <c r="BJ272" s="419"/>
      <c r="BK272" s="418"/>
      <c r="BL272" s="36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561"/>
    </row>
    <row r="273" spans="1:74" s="2" customFormat="1" ht="24.9" customHeight="1">
      <c r="A273" s="147" t="s">
        <v>85</v>
      </c>
      <c r="B273" s="158"/>
      <c r="C273" s="179"/>
      <c r="D273" s="158"/>
      <c r="E273" s="160"/>
      <c r="F273" s="161"/>
      <c r="G273" s="161"/>
      <c r="H273" s="161"/>
      <c r="I273" s="154"/>
      <c r="J273" s="418"/>
      <c r="K273" s="419"/>
      <c r="L273" s="154"/>
      <c r="M273" s="418"/>
      <c r="N273" s="419"/>
      <c r="O273" s="150"/>
      <c r="P273" s="164"/>
      <c r="Q273" s="154"/>
      <c r="R273" s="174"/>
      <c r="S273" s="523"/>
      <c r="T273" s="523"/>
      <c r="U273" s="154"/>
      <c r="V273" s="155"/>
      <c r="W273" s="156"/>
      <c r="X273" s="154"/>
      <c r="Y273" s="155"/>
      <c r="Z273" s="155"/>
      <c r="AA273" s="157"/>
      <c r="AB273" s="217"/>
      <c r="AC273" s="150"/>
      <c r="AD273" s="151"/>
      <c r="AE273" s="152"/>
      <c r="AF273" s="506"/>
      <c r="AG273" s="463"/>
      <c r="AH273" s="150"/>
      <c r="AI273" s="152"/>
      <c r="AJ273" s="150"/>
      <c r="AK273" s="152"/>
      <c r="AL273" s="150"/>
      <c r="AM273" s="152"/>
      <c r="AN273" s="150"/>
      <c r="AO273" s="151"/>
      <c r="AP273" s="151"/>
      <c r="AQ273" s="169"/>
      <c r="AR273" s="169"/>
      <c r="AS273" s="149"/>
      <c r="AT273" s="324"/>
      <c r="AU273" s="324"/>
      <c r="AV273" s="324"/>
      <c r="AW273" s="324"/>
      <c r="AX273" s="324"/>
      <c r="AY273" s="324"/>
      <c r="AZ273" s="154"/>
      <c r="BA273" s="419"/>
      <c r="BB273" s="419"/>
      <c r="BC273" s="419"/>
      <c r="BD273" s="419"/>
      <c r="BE273" s="418"/>
      <c r="BF273" s="154"/>
      <c r="BG273" s="419"/>
      <c r="BH273" s="419"/>
      <c r="BI273" s="419"/>
      <c r="BJ273" s="419"/>
      <c r="BK273" s="418"/>
      <c r="BL273" s="36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431"/>
    </row>
    <row r="274" spans="1:74" s="2" customFormat="1" ht="24.9" customHeight="1">
      <c r="A274" s="147" t="s">
        <v>85</v>
      </c>
      <c r="B274" s="158"/>
      <c r="C274" s="179"/>
      <c r="D274" s="158"/>
      <c r="E274" s="160"/>
      <c r="F274" s="161"/>
      <c r="G274" s="161"/>
      <c r="H274" s="161"/>
      <c r="I274" s="154"/>
      <c r="J274" s="418"/>
      <c r="K274" s="419"/>
      <c r="L274" s="154"/>
      <c r="M274" s="418"/>
      <c r="N274" s="419"/>
      <c r="O274" s="150"/>
      <c r="P274" s="164"/>
      <c r="Q274" s="154"/>
      <c r="R274" s="174"/>
      <c r="S274" s="523"/>
      <c r="T274" s="523"/>
      <c r="U274" s="154"/>
      <c r="V274" s="155"/>
      <c r="W274" s="156"/>
      <c r="X274" s="154"/>
      <c r="Y274" s="155"/>
      <c r="Z274" s="155"/>
      <c r="AA274" s="157"/>
      <c r="AB274" s="217"/>
      <c r="AC274" s="150"/>
      <c r="AD274" s="151"/>
      <c r="AE274" s="152"/>
      <c r="AF274" s="506"/>
      <c r="AG274" s="463"/>
      <c r="AH274" s="150"/>
      <c r="AI274" s="152"/>
      <c r="AJ274" s="150"/>
      <c r="AK274" s="152"/>
      <c r="AL274" s="150"/>
      <c r="AM274" s="152"/>
      <c r="AN274" s="150"/>
      <c r="AO274" s="151"/>
      <c r="AP274" s="151"/>
      <c r="AQ274" s="169"/>
      <c r="AR274" s="169"/>
      <c r="AS274" s="149"/>
      <c r="AT274" s="324"/>
      <c r="AU274" s="324"/>
      <c r="AV274" s="324"/>
      <c r="AW274" s="324"/>
      <c r="AX274" s="324"/>
      <c r="AY274" s="324"/>
      <c r="AZ274" s="154"/>
      <c r="BA274" s="419"/>
      <c r="BB274" s="419"/>
      <c r="BC274" s="419"/>
      <c r="BD274" s="419"/>
      <c r="BE274" s="418"/>
      <c r="BF274" s="154"/>
      <c r="BG274" s="419"/>
      <c r="BH274" s="419"/>
      <c r="BI274" s="419"/>
      <c r="BJ274" s="419"/>
      <c r="BK274" s="418"/>
      <c r="BL274" s="36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561"/>
    </row>
    <row r="275" spans="1:74" s="2" customFormat="1" ht="24.9" customHeight="1">
      <c r="A275" s="147" t="s">
        <v>85</v>
      </c>
      <c r="B275" s="158"/>
      <c r="C275" s="179"/>
      <c r="D275" s="158"/>
      <c r="E275" s="160"/>
      <c r="F275" s="161"/>
      <c r="G275" s="161"/>
      <c r="H275" s="161"/>
      <c r="I275" s="154"/>
      <c r="J275" s="418"/>
      <c r="K275" s="419"/>
      <c r="L275" s="154"/>
      <c r="M275" s="418"/>
      <c r="N275" s="419"/>
      <c r="O275" s="150"/>
      <c r="P275" s="164"/>
      <c r="Q275" s="154"/>
      <c r="R275" s="174"/>
      <c r="S275" s="523"/>
      <c r="T275" s="523"/>
      <c r="U275" s="154"/>
      <c r="V275" s="155"/>
      <c r="W275" s="156"/>
      <c r="X275" s="154"/>
      <c r="Y275" s="155"/>
      <c r="Z275" s="155"/>
      <c r="AA275" s="157"/>
      <c r="AB275" s="217"/>
      <c r="AC275" s="150"/>
      <c r="AD275" s="151"/>
      <c r="AE275" s="152"/>
      <c r="AF275" s="506"/>
      <c r="AG275" s="463"/>
      <c r="AH275" s="150"/>
      <c r="AI275" s="152"/>
      <c r="AJ275" s="150"/>
      <c r="AK275" s="152"/>
      <c r="AL275" s="150"/>
      <c r="AM275" s="152"/>
      <c r="AN275" s="150"/>
      <c r="AO275" s="151"/>
      <c r="AP275" s="151"/>
      <c r="AQ275" s="169"/>
      <c r="AR275" s="169"/>
      <c r="AS275" s="149"/>
      <c r="AT275" s="324"/>
      <c r="AU275" s="324"/>
      <c r="AV275" s="324"/>
      <c r="AW275" s="324"/>
      <c r="AX275" s="324"/>
      <c r="AY275" s="324"/>
      <c r="AZ275" s="154"/>
      <c r="BA275" s="419"/>
      <c r="BB275" s="419"/>
      <c r="BC275" s="419"/>
      <c r="BD275" s="419"/>
      <c r="BE275" s="418"/>
      <c r="BF275" s="154"/>
      <c r="BG275" s="419"/>
      <c r="BH275" s="419"/>
      <c r="BI275" s="419"/>
      <c r="BJ275" s="419"/>
      <c r="BK275" s="418"/>
      <c r="BL275" s="36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431"/>
    </row>
    <row r="276" spans="1:74" s="2" customFormat="1" ht="24.9" customHeight="1">
      <c r="A276" s="147" t="s">
        <v>85</v>
      </c>
      <c r="B276" s="158"/>
      <c r="C276" s="179"/>
      <c r="D276" s="158"/>
      <c r="E276" s="160"/>
      <c r="F276" s="161"/>
      <c r="G276" s="161"/>
      <c r="H276" s="161"/>
      <c r="I276" s="154"/>
      <c r="J276" s="418"/>
      <c r="K276" s="419"/>
      <c r="L276" s="154"/>
      <c r="M276" s="418"/>
      <c r="N276" s="419"/>
      <c r="O276" s="150"/>
      <c r="P276" s="164"/>
      <c r="Q276" s="154"/>
      <c r="R276" s="174"/>
      <c r="S276" s="523"/>
      <c r="T276" s="523"/>
      <c r="U276" s="154"/>
      <c r="V276" s="155"/>
      <c r="W276" s="156"/>
      <c r="X276" s="154"/>
      <c r="Y276" s="155"/>
      <c r="Z276" s="155"/>
      <c r="AA276" s="157"/>
      <c r="AB276" s="217"/>
      <c r="AC276" s="150"/>
      <c r="AD276" s="151"/>
      <c r="AE276" s="152"/>
      <c r="AF276" s="506"/>
      <c r="AG276" s="463"/>
      <c r="AH276" s="150"/>
      <c r="AI276" s="152"/>
      <c r="AJ276" s="150"/>
      <c r="AK276" s="152"/>
      <c r="AL276" s="150"/>
      <c r="AM276" s="152"/>
      <c r="AN276" s="150"/>
      <c r="AO276" s="151"/>
      <c r="AP276" s="151"/>
      <c r="AQ276" s="169"/>
      <c r="AR276" s="169"/>
      <c r="AS276" s="149"/>
      <c r="AT276" s="324"/>
      <c r="AU276" s="324"/>
      <c r="AV276" s="324"/>
      <c r="AW276" s="324"/>
      <c r="AX276" s="324"/>
      <c r="AY276" s="324"/>
      <c r="AZ276" s="154"/>
      <c r="BA276" s="419"/>
      <c r="BB276" s="419"/>
      <c r="BC276" s="419"/>
      <c r="BD276" s="419"/>
      <c r="BE276" s="418"/>
      <c r="BF276" s="154"/>
      <c r="BG276" s="419"/>
      <c r="BH276" s="419"/>
      <c r="BI276" s="419"/>
      <c r="BJ276" s="419"/>
      <c r="BK276" s="418"/>
      <c r="BL276" s="36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561"/>
    </row>
    <row r="277" spans="1:74" s="2" customFormat="1" ht="24.9" customHeight="1">
      <c r="A277" s="147" t="s">
        <v>85</v>
      </c>
      <c r="B277" s="158"/>
      <c r="C277" s="179"/>
      <c r="D277" s="158"/>
      <c r="E277" s="160"/>
      <c r="F277" s="161"/>
      <c r="G277" s="161"/>
      <c r="H277" s="161"/>
      <c r="I277" s="154"/>
      <c r="J277" s="418"/>
      <c r="K277" s="419"/>
      <c r="L277" s="154"/>
      <c r="M277" s="418"/>
      <c r="N277" s="419"/>
      <c r="O277" s="150"/>
      <c r="P277" s="164"/>
      <c r="Q277" s="154"/>
      <c r="R277" s="174"/>
      <c r="S277" s="523"/>
      <c r="T277" s="523"/>
      <c r="U277" s="154"/>
      <c r="V277" s="155"/>
      <c r="W277" s="156"/>
      <c r="X277" s="154"/>
      <c r="Y277" s="155"/>
      <c r="Z277" s="155"/>
      <c r="AA277" s="157"/>
      <c r="AB277" s="217"/>
      <c r="AC277" s="150"/>
      <c r="AD277" s="151"/>
      <c r="AE277" s="152"/>
      <c r="AF277" s="506"/>
      <c r="AG277" s="463"/>
      <c r="AH277" s="150"/>
      <c r="AI277" s="152"/>
      <c r="AJ277" s="150"/>
      <c r="AK277" s="152"/>
      <c r="AL277" s="150"/>
      <c r="AM277" s="152"/>
      <c r="AN277" s="150"/>
      <c r="AO277" s="151"/>
      <c r="AP277" s="151"/>
      <c r="AQ277" s="169"/>
      <c r="AR277" s="169"/>
      <c r="AS277" s="149"/>
      <c r="AT277" s="324"/>
      <c r="AU277" s="324"/>
      <c r="AV277" s="324"/>
      <c r="AW277" s="324"/>
      <c r="AX277" s="324"/>
      <c r="AY277" s="324"/>
      <c r="AZ277" s="154"/>
      <c r="BA277" s="419"/>
      <c r="BB277" s="419"/>
      <c r="BC277" s="419"/>
      <c r="BD277" s="419"/>
      <c r="BE277" s="418"/>
      <c r="BF277" s="154"/>
      <c r="BG277" s="419"/>
      <c r="BH277" s="419"/>
      <c r="BI277" s="419"/>
      <c r="BJ277" s="419"/>
      <c r="BK277" s="418"/>
      <c r="BL277" s="36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431"/>
    </row>
    <row r="278" spans="1:74" s="2" customFormat="1" ht="24.9" customHeight="1">
      <c r="A278" s="147" t="s">
        <v>85</v>
      </c>
      <c r="B278" s="158"/>
      <c r="C278" s="179"/>
      <c r="D278" s="158"/>
      <c r="E278" s="160"/>
      <c r="F278" s="161"/>
      <c r="G278" s="161"/>
      <c r="H278" s="161"/>
      <c r="I278" s="154"/>
      <c r="J278" s="418"/>
      <c r="K278" s="419"/>
      <c r="L278" s="154"/>
      <c r="M278" s="418"/>
      <c r="N278" s="419"/>
      <c r="O278" s="150"/>
      <c r="P278" s="164"/>
      <c r="Q278" s="154"/>
      <c r="R278" s="151"/>
      <c r="S278" s="522"/>
      <c r="T278" s="522"/>
      <c r="U278" s="154"/>
      <c r="V278" s="155"/>
      <c r="W278" s="156"/>
      <c r="X278" s="154"/>
      <c r="Y278" s="155"/>
      <c r="Z278" s="155"/>
      <c r="AA278" s="157"/>
      <c r="AB278" s="217"/>
      <c r="AC278" s="150"/>
      <c r="AD278" s="151"/>
      <c r="AE278" s="152"/>
      <c r="AF278" s="506"/>
      <c r="AG278" s="463"/>
      <c r="AH278" s="150"/>
      <c r="AI278" s="152"/>
      <c r="AJ278" s="150"/>
      <c r="AK278" s="152"/>
      <c r="AL278" s="150"/>
      <c r="AM278" s="152"/>
      <c r="AN278" s="150"/>
      <c r="AO278" s="151"/>
      <c r="AP278" s="151"/>
      <c r="AQ278" s="169"/>
      <c r="AR278" s="169"/>
      <c r="AS278" s="149"/>
      <c r="AT278" s="324"/>
      <c r="AU278" s="324"/>
      <c r="AV278" s="324"/>
      <c r="AW278" s="324"/>
      <c r="AX278" s="324"/>
      <c r="AY278" s="324"/>
      <c r="AZ278" s="154"/>
      <c r="BA278" s="419"/>
      <c r="BB278" s="419"/>
      <c r="BC278" s="419"/>
      <c r="BD278" s="419"/>
      <c r="BE278" s="418"/>
      <c r="BF278" s="154"/>
      <c r="BG278" s="419"/>
      <c r="BH278" s="419"/>
      <c r="BI278" s="419"/>
      <c r="BJ278" s="419"/>
      <c r="BK278" s="418"/>
      <c r="BL278" s="36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432"/>
    </row>
    <row r="279" spans="1:74" s="2" customFormat="1" ht="24.9" customHeight="1">
      <c r="A279" s="147" t="s">
        <v>85</v>
      </c>
      <c r="B279" s="158"/>
      <c r="C279" s="179"/>
      <c r="D279" s="158"/>
      <c r="E279" s="160"/>
      <c r="F279" s="161"/>
      <c r="G279" s="161"/>
      <c r="H279" s="161"/>
      <c r="I279" s="154"/>
      <c r="J279" s="418"/>
      <c r="K279" s="419"/>
      <c r="L279" s="154"/>
      <c r="M279" s="418"/>
      <c r="N279" s="419"/>
      <c r="O279" s="150"/>
      <c r="P279" s="164"/>
      <c r="Q279" s="154"/>
      <c r="R279" s="174"/>
      <c r="S279" s="523"/>
      <c r="T279" s="523"/>
      <c r="U279" s="154"/>
      <c r="V279" s="155"/>
      <c r="W279" s="156"/>
      <c r="X279" s="154"/>
      <c r="Y279" s="155"/>
      <c r="Z279" s="155"/>
      <c r="AA279" s="157"/>
      <c r="AB279" s="217"/>
      <c r="AC279" s="150"/>
      <c r="AD279" s="151"/>
      <c r="AE279" s="152"/>
      <c r="AF279" s="506"/>
      <c r="AG279" s="463"/>
      <c r="AH279" s="150"/>
      <c r="AI279" s="152"/>
      <c r="AJ279" s="150"/>
      <c r="AK279" s="152"/>
      <c r="AL279" s="150"/>
      <c r="AM279" s="152"/>
      <c r="AN279" s="150"/>
      <c r="AO279" s="151"/>
      <c r="AP279" s="151"/>
      <c r="AQ279" s="169"/>
      <c r="AR279" s="169"/>
      <c r="AS279" s="149"/>
      <c r="AT279" s="324"/>
      <c r="AU279" s="324"/>
      <c r="AV279" s="324"/>
      <c r="AW279" s="324"/>
      <c r="AX279" s="324"/>
      <c r="AY279" s="324"/>
      <c r="AZ279" s="154"/>
      <c r="BA279" s="419"/>
      <c r="BB279" s="419"/>
      <c r="BC279" s="419"/>
      <c r="BD279" s="419"/>
      <c r="BE279" s="418"/>
      <c r="BF279" s="154"/>
      <c r="BG279" s="419"/>
      <c r="BH279" s="419"/>
      <c r="BI279" s="419"/>
      <c r="BJ279" s="419"/>
      <c r="BK279" s="418"/>
      <c r="BL279" s="36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561"/>
    </row>
    <row r="280" spans="1:74" s="2" customFormat="1" ht="24.9" customHeight="1">
      <c r="A280" s="147" t="s">
        <v>85</v>
      </c>
      <c r="B280" s="158"/>
      <c r="C280" s="179"/>
      <c r="D280" s="158"/>
      <c r="E280" s="160"/>
      <c r="F280" s="161"/>
      <c r="G280" s="161"/>
      <c r="H280" s="161"/>
      <c r="I280" s="154"/>
      <c r="J280" s="418"/>
      <c r="K280" s="419"/>
      <c r="L280" s="154"/>
      <c r="M280" s="418"/>
      <c r="N280" s="419"/>
      <c r="O280" s="150"/>
      <c r="P280" s="164"/>
      <c r="Q280" s="154"/>
      <c r="R280" s="174"/>
      <c r="S280" s="523"/>
      <c r="T280" s="523"/>
      <c r="U280" s="154"/>
      <c r="V280" s="155"/>
      <c r="W280" s="156"/>
      <c r="X280" s="154"/>
      <c r="Y280" s="155"/>
      <c r="Z280" s="155"/>
      <c r="AA280" s="157"/>
      <c r="AB280" s="217"/>
      <c r="AC280" s="150"/>
      <c r="AD280" s="151"/>
      <c r="AE280" s="152"/>
      <c r="AF280" s="506"/>
      <c r="AG280" s="463"/>
      <c r="AH280" s="150"/>
      <c r="AI280" s="152"/>
      <c r="AJ280" s="150"/>
      <c r="AK280" s="152"/>
      <c r="AL280" s="150"/>
      <c r="AM280" s="152"/>
      <c r="AN280" s="150"/>
      <c r="AO280" s="151"/>
      <c r="AP280" s="151"/>
      <c r="AQ280" s="169"/>
      <c r="AR280" s="169"/>
      <c r="AS280" s="149"/>
      <c r="AT280" s="324"/>
      <c r="AU280" s="324"/>
      <c r="AV280" s="324"/>
      <c r="AW280" s="324"/>
      <c r="AX280" s="324"/>
      <c r="AY280" s="324"/>
      <c r="AZ280" s="154"/>
      <c r="BA280" s="419"/>
      <c r="BB280" s="419"/>
      <c r="BC280" s="419"/>
      <c r="BD280" s="419"/>
      <c r="BE280" s="418"/>
      <c r="BF280" s="154"/>
      <c r="BG280" s="419"/>
      <c r="BH280" s="419"/>
      <c r="BI280" s="419"/>
      <c r="BJ280" s="419"/>
      <c r="BK280" s="418"/>
      <c r="BL280" s="36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431"/>
    </row>
    <row r="281" spans="1:74" s="2" customFormat="1" ht="24.9" customHeight="1">
      <c r="A281" s="147" t="s">
        <v>85</v>
      </c>
      <c r="B281" s="158"/>
      <c r="C281" s="179"/>
      <c r="D281" s="158"/>
      <c r="E281" s="160"/>
      <c r="F281" s="161"/>
      <c r="G281" s="161"/>
      <c r="H281" s="161"/>
      <c r="I281" s="154"/>
      <c r="J281" s="418"/>
      <c r="K281" s="419"/>
      <c r="L281" s="154"/>
      <c r="M281" s="418"/>
      <c r="N281" s="419"/>
      <c r="O281" s="150"/>
      <c r="P281" s="164"/>
      <c r="Q281" s="154"/>
      <c r="R281" s="174"/>
      <c r="S281" s="523"/>
      <c r="T281" s="523"/>
      <c r="U281" s="154"/>
      <c r="V281" s="155"/>
      <c r="W281" s="156"/>
      <c r="X281" s="154"/>
      <c r="Y281" s="155"/>
      <c r="Z281" s="155"/>
      <c r="AA281" s="157"/>
      <c r="AB281" s="217"/>
      <c r="AC281" s="150"/>
      <c r="AD281" s="151"/>
      <c r="AE281" s="152"/>
      <c r="AF281" s="506"/>
      <c r="AG281" s="463"/>
      <c r="AH281" s="150"/>
      <c r="AI281" s="152"/>
      <c r="AJ281" s="150"/>
      <c r="AK281" s="152"/>
      <c r="AL281" s="150"/>
      <c r="AM281" s="152"/>
      <c r="AN281" s="150"/>
      <c r="AO281" s="151"/>
      <c r="AP281" s="151"/>
      <c r="AQ281" s="169"/>
      <c r="AR281" s="169"/>
      <c r="AS281" s="149"/>
      <c r="AT281" s="324"/>
      <c r="AU281" s="324"/>
      <c r="AV281" s="324"/>
      <c r="AW281" s="324"/>
      <c r="AX281" s="324"/>
      <c r="AY281" s="324"/>
      <c r="AZ281" s="154"/>
      <c r="BA281" s="419"/>
      <c r="BB281" s="419"/>
      <c r="BC281" s="419"/>
      <c r="BD281" s="419"/>
      <c r="BE281" s="418"/>
      <c r="BF281" s="154"/>
      <c r="BG281" s="419"/>
      <c r="BH281" s="419"/>
      <c r="BI281" s="419"/>
      <c r="BJ281" s="419"/>
      <c r="BK281" s="418"/>
      <c r="BL281" s="36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561"/>
    </row>
    <row r="282" spans="1:74" s="2" customFormat="1" ht="24.9" customHeight="1">
      <c r="A282" s="147" t="s">
        <v>85</v>
      </c>
      <c r="B282" s="158"/>
      <c r="C282" s="179"/>
      <c r="D282" s="158"/>
      <c r="E282" s="160"/>
      <c r="F282" s="161"/>
      <c r="G282" s="161"/>
      <c r="H282" s="161"/>
      <c r="I282" s="154"/>
      <c r="J282" s="418"/>
      <c r="K282" s="419"/>
      <c r="L282" s="154"/>
      <c r="M282" s="418"/>
      <c r="N282" s="419"/>
      <c r="O282" s="150"/>
      <c r="P282" s="164"/>
      <c r="Q282" s="154"/>
      <c r="R282" s="174"/>
      <c r="S282" s="523"/>
      <c r="T282" s="523"/>
      <c r="U282" s="154"/>
      <c r="V282" s="155"/>
      <c r="W282" s="156"/>
      <c r="X282" s="154"/>
      <c r="Y282" s="155"/>
      <c r="Z282" s="155"/>
      <c r="AA282" s="157"/>
      <c r="AB282" s="217"/>
      <c r="AC282" s="150"/>
      <c r="AD282" s="151"/>
      <c r="AE282" s="152"/>
      <c r="AF282" s="506"/>
      <c r="AG282" s="463"/>
      <c r="AH282" s="150"/>
      <c r="AI282" s="152"/>
      <c r="AJ282" s="150"/>
      <c r="AK282" s="152"/>
      <c r="AL282" s="150"/>
      <c r="AM282" s="152"/>
      <c r="AN282" s="150"/>
      <c r="AO282" s="151"/>
      <c r="AP282" s="151"/>
      <c r="AQ282" s="169"/>
      <c r="AR282" s="169"/>
      <c r="AS282" s="149"/>
      <c r="AT282" s="324"/>
      <c r="AU282" s="324"/>
      <c r="AV282" s="324"/>
      <c r="AW282" s="324"/>
      <c r="AX282" s="324"/>
      <c r="AY282" s="324"/>
      <c r="AZ282" s="154"/>
      <c r="BA282" s="419"/>
      <c r="BB282" s="419"/>
      <c r="BC282" s="419"/>
      <c r="BD282" s="419"/>
      <c r="BE282" s="418"/>
      <c r="BF282" s="154"/>
      <c r="BG282" s="419"/>
      <c r="BH282" s="419"/>
      <c r="BI282" s="419"/>
      <c r="BJ282" s="419"/>
      <c r="BK282" s="418"/>
      <c r="BL282" s="36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431"/>
    </row>
    <row r="283" spans="1:74" s="2" customFormat="1" ht="24.9" customHeight="1">
      <c r="A283" s="147" t="s">
        <v>85</v>
      </c>
      <c r="B283" s="158"/>
      <c r="C283" s="179"/>
      <c r="D283" s="158"/>
      <c r="E283" s="160"/>
      <c r="F283" s="161"/>
      <c r="G283" s="161"/>
      <c r="H283" s="161"/>
      <c r="I283" s="154"/>
      <c r="J283" s="418"/>
      <c r="K283" s="419"/>
      <c r="L283" s="154"/>
      <c r="M283" s="418"/>
      <c r="N283" s="419"/>
      <c r="O283" s="150"/>
      <c r="P283" s="164"/>
      <c r="Q283" s="154"/>
      <c r="R283" s="174"/>
      <c r="S283" s="523"/>
      <c r="T283" s="523"/>
      <c r="U283" s="154"/>
      <c r="V283" s="155"/>
      <c r="W283" s="156"/>
      <c r="X283" s="154"/>
      <c r="Y283" s="155"/>
      <c r="Z283" s="155"/>
      <c r="AA283" s="157"/>
      <c r="AB283" s="217"/>
      <c r="AC283" s="150"/>
      <c r="AD283" s="151"/>
      <c r="AE283" s="152"/>
      <c r="AF283" s="506"/>
      <c r="AG283" s="463"/>
      <c r="AH283" s="150"/>
      <c r="AI283" s="152"/>
      <c r="AJ283" s="150"/>
      <c r="AK283" s="152"/>
      <c r="AL283" s="150"/>
      <c r="AM283" s="152"/>
      <c r="AN283" s="150"/>
      <c r="AO283" s="151"/>
      <c r="AP283" s="151"/>
      <c r="AQ283" s="169"/>
      <c r="AR283" s="169"/>
      <c r="AS283" s="149"/>
      <c r="AT283" s="324"/>
      <c r="AU283" s="324"/>
      <c r="AV283" s="324"/>
      <c r="AW283" s="324"/>
      <c r="AX283" s="324"/>
      <c r="AY283" s="324"/>
      <c r="AZ283" s="154"/>
      <c r="BA283" s="419"/>
      <c r="BB283" s="419"/>
      <c r="BC283" s="419"/>
      <c r="BD283" s="419"/>
      <c r="BE283" s="418"/>
      <c r="BF283" s="154"/>
      <c r="BG283" s="419"/>
      <c r="BH283" s="419"/>
      <c r="BI283" s="419"/>
      <c r="BJ283" s="419"/>
      <c r="BK283" s="418"/>
      <c r="BL283" s="36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432"/>
    </row>
    <row r="284" spans="1:74" s="2" customFormat="1" ht="24.9" customHeight="1">
      <c r="A284" s="147" t="s">
        <v>85</v>
      </c>
      <c r="B284" s="158"/>
      <c r="C284" s="179"/>
      <c r="D284" s="158"/>
      <c r="E284" s="160"/>
      <c r="F284" s="161"/>
      <c r="G284" s="161"/>
      <c r="H284" s="161"/>
      <c r="I284" s="154"/>
      <c r="J284" s="418"/>
      <c r="K284" s="419"/>
      <c r="L284" s="154"/>
      <c r="M284" s="418"/>
      <c r="N284" s="419"/>
      <c r="O284" s="150"/>
      <c r="P284" s="164"/>
      <c r="Q284" s="154"/>
      <c r="R284" s="151"/>
      <c r="S284" s="522"/>
      <c r="T284" s="522"/>
      <c r="U284" s="154"/>
      <c r="V284" s="155"/>
      <c r="W284" s="156"/>
      <c r="X284" s="154"/>
      <c r="Y284" s="155"/>
      <c r="Z284" s="155"/>
      <c r="AA284" s="157"/>
      <c r="AB284" s="217"/>
      <c r="AC284" s="150"/>
      <c r="AD284" s="151"/>
      <c r="AE284" s="152"/>
      <c r="AF284" s="506"/>
      <c r="AG284" s="463"/>
      <c r="AH284" s="150"/>
      <c r="AI284" s="152"/>
      <c r="AJ284" s="150"/>
      <c r="AK284" s="152"/>
      <c r="AL284" s="150"/>
      <c r="AM284" s="152"/>
      <c r="AN284" s="150"/>
      <c r="AO284" s="151"/>
      <c r="AP284" s="151"/>
      <c r="AQ284" s="169"/>
      <c r="AR284" s="169"/>
      <c r="AS284" s="149"/>
      <c r="AT284" s="324"/>
      <c r="AU284" s="324"/>
      <c r="AV284" s="324"/>
      <c r="AW284" s="324"/>
      <c r="AX284" s="324"/>
      <c r="AY284" s="324"/>
      <c r="AZ284" s="154"/>
      <c r="BA284" s="419"/>
      <c r="BB284" s="419"/>
      <c r="BC284" s="419"/>
      <c r="BD284" s="419"/>
      <c r="BE284" s="418"/>
      <c r="BF284" s="154"/>
      <c r="BG284" s="419"/>
      <c r="BH284" s="419"/>
      <c r="BI284" s="419"/>
      <c r="BJ284" s="419"/>
      <c r="BK284" s="418"/>
      <c r="BL284" s="36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561"/>
    </row>
    <row r="285" spans="1:74" s="2" customFormat="1" ht="24.9" customHeight="1">
      <c r="A285" s="147" t="s">
        <v>85</v>
      </c>
      <c r="B285" s="158"/>
      <c r="C285" s="179"/>
      <c r="D285" s="158"/>
      <c r="E285" s="160"/>
      <c r="F285" s="161"/>
      <c r="G285" s="161"/>
      <c r="H285" s="161"/>
      <c r="I285" s="154"/>
      <c r="J285" s="418"/>
      <c r="K285" s="419"/>
      <c r="L285" s="154"/>
      <c r="M285" s="418"/>
      <c r="N285" s="419"/>
      <c r="O285" s="150"/>
      <c r="P285" s="164"/>
      <c r="Q285" s="154"/>
      <c r="R285" s="174"/>
      <c r="S285" s="523"/>
      <c r="T285" s="523"/>
      <c r="U285" s="154"/>
      <c r="V285" s="155"/>
      <c r="W285" s="156"/>
      <c r="X285" s="154"/>
      <c r="Y285" s="155"/>
      <c r="Z285" s="155"/>
      <c r="AA285" s="157"/>
      <c r="AB285" s="217"/>
      <c r="AC285" s="150"/>
      <c r="AD285" s="151"/>
      <c r="AE285" s="152"/>
      <c r="AF285" s="506"/>
      <c r="AG285" s="463"/>
      <c r="AH285" s="150"/>
      <c r="AI285" s="152"/>
      <c r="AJ285" s="150"/>
      <c r="AK285" s="152"/>
      <c r="AL285" s="150"/>
      <c r="AM285" s="152"/>
      <c r="AN285" s="150"/>
      <c r="AO285" s="151"/>
      <c r="AP285" s="151"/>
      <c r="AQ285" s="169"/>
      <c r="AR285" s="169"/>
      <c r="AS285" s="149"/>
      <c r="AT285" s="324"/>
      <c r="AU285" s="324"/>
      <c r="AV285" s="324"/>
      <c r="AW285" s="324"/>
      <c r="AX285" s="324"/>
      <c r="AY285" s="324"/>
      <c r="AZ285" s="154"/>
      <c r="BA285" s="419"/>
      <c r="BB285" s="419"/>
      <c r="BC285" s="419"/>
      <c r="BD285" s="419"/>
      <c r="BE285" s="418"/>
      <c r="BF285" s="154"/>
      <c r="BG285" s="419"/>
      <c r="BH285" s="419"/>
      <c r="BI285" s="419"/>
      <c r="BJ285" s="419"/>
      <c r="BK285" s="418"/>
      <c r="BL285" s="36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431"/>
    </row>
    <row r="286" spans="1:74" s="2" customFormat="1" ht="24.9" customHeight="1">
      <c r="A286" s="147" t="s">
        <v>85</v>
      </c>
      <c r="B286" s="158"/>
      <c r="C286" s="179"/>
      <c r="D286" s="158"/>
      <c r="E286" s="160"/>
      <c r="F286" s="161"/>
      <c r="G286" s="161"/>
      <c r="H286" s="161"/>
      <c r="I286" s="154"/>
      <c r="J286" s="418"/>
      <c r="K286" s="419"/>
      <c r="L286" s="154"/>
      <c r="M286" s="418"/>
      <c r="N286" s="419"/>
      <c r="O286" s="150"/>
      <c r="P286" s="164"/>
      <c r="Q286" s="154"/>
      <c r="R286" s="151"/>
      <c r="S286" s="522"/>
      <c r="T286" s="522"/>
      <c r="U286" s="154"/>
      <c r="V286" s="155"/>
      <c r="W286" s="156"/>
      <c r="X286" s="154"/>
      <c r="Y286" s="155"/>
      <c r="Z286" s="155"/>
      <c r="AA286" s="157"/>
      <c r="AB286" s="217"/>
      <c r="AC286" s="150"/>
      <c r="AD286" s="151"/>
      <c r="AE286" s="152"/>
      <c r="AF286" s="506"/>
      <c r="AG286" s="463"/>
      <c r="AH286" s="150"/>
      <c r="AI286" s="152"/>
      <c r="AJ286" s="150"/>
      <c r="AK286" s="152"/>
      <c r="AL286" s="150"/>
      <c r="AM286" s="152"/>
      <c r="AN286" s="150"/>
      <c r="AO286" s="151"/>
      <c r="AP286" s="151"/>
      <c r="AQ286" s="169"/>
      <c r="AR286" s="169"/>
      <c r="AS286" s="149"/>
      <c r="AT286" s="324"/>
      <c r="AU286" s="324"/>
      <c r="AV286" s="324"/>
      <c r="AW286" s="324"/>
      <c r="AX286" s="324"/>
      <c r="AY286" s="324"/>
      <c r="AZ286" s="154"/>
      <c r="BA286" s="419"/>
      <c r="BB286" s="419"/>
      <c r="BC286" s="419"/>
      <c r="BD286" s="419"/>
      <c r="BE286" s="418"/>
      <c r="BF286" s="154"/>
      <c r="BG286" s="419"/>
      <c r="BH286" s="419"/>
      <c r="BI286" s="419"/>
      <c r="BJ286" s="419"/>
      <c r="BK286" s="418"/>
      <c r="BL286" s="36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432"/>
    </row>
    <row r="287" spans="1:74" s="2" customFormat="1" ht="24.9" customHeight="1">
      <c r="A287" s="147" t="s">
        <v>85</v>
      </c>
      <c r="B287" s="158"/>
      <c r="C287" s="179"/>
      <c r="D287" s="158"/>
      <c r="E287" s="160"/>
      <c r="F287" s="161"/>
      <c r="G287" s="161"/>
      <c r="H287" s="161"/>
      <c r="I287" s="154"/>
      <c r="J287" s="418"/>
      <c r="K287" s="419"/>
      <c r="L287" s="154"/>
      <c r="M287" s="418"/>
      <c r="N287" s="419"/>
      <c r="O287" s="150"/>
      <c r="P287" s="164"/>
      <c r="Q287" s="154"/>
      <c r="R287" s="174"/>
      <c r="S287" s="523"/>
      <c r="T287" s="523"/>
      <c r="U287" s="154"/>
      <c r="V287" s="155"/>
      <c r="W287" s="156"/>
      <c r="X287" s="154"/>
      <c r="Y287" s="155"/>
      <c r="Z287" s="155"/>
      <c r="AA287" s="157"/>
      <c r="AB287" s="217"/>
      <c r="AC287" s="150"/>
      <c r="AD287" s="151"/>
      <c r="AE287" s="152"/>
      <c r="AF287" s="506"/>
      <c r="AG287" s="463"/>
      <c r="AH287" s="150"/>
      <c r="AI287" s="152"/>
      <c r="AJ287" s="150"/>
      <c r="AK287" s="152"/>
      <c r="AL287" s="150"/>
      <c r="AM287" s="152"/>
      <c r="AN287" s="150"/>
      <c r="AO287" s="151"/>
      <c r="AP287" s="151"/>
      <c r="AQ287" s="169"/>
      <c r="AR287" s="169"/>
      <c r="AS287" s="149"/>
      <c r="AT287" s="324"/>
      <c r="AU287" s="324"/>
      <c r="AV287" s="324"/>
      <c r="AW287" s="324"/>
      <c r="AX287" s="324"/>
      <c r="AY287" s="324"/>
      <c r="AZ287" s="154"/>
      <c r="BA287" s="419"/>
      <c r="BB287" s="419"/>
      <c r="BC287" s="419"/>
      <c r="BD287" s="419"/>
      <c r="BE287" s="418"/>
      <c r="BF287" s="154"/>
      <c r="BG287" s="419"/>
      <c r="BH287" s="419"/>
      <c r="BI287" s="419"/>
      <c r="BJ287" s="419"/>
      <c r="BK287" s="418"/>
      <c r="BL287" s="36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561"/>
    </row>
    <row r="288" spans="1:74" s="2" customFormat="1" ht="24.9" customHeight="1">
      <c r="A288" s="147" t="s">
        <v>85</v>
      </c>
      <c r="B288" s="158"/>
      <c r="C288" s="179"/>
      <c r="D288" s="158"/>
      <c r="E288" s="160"/>
      <c r="F288" s="161"/>
      <c r="G288" s="161"/>
      <c r="H288" s="161"/>
      <c r="I288" s="154"/>
      <c r="J288" s="418"/>
      <c r="K288" s="419"/>
      <c r="L288" s="154"/>
      <c r="M288" s="418"/>
      <c r="N288" s="419"/>
      <c r="O288" s="150"/>
      <c r="P288" s="164"/>
      <c r="Q288" s="154"/>
      <c r="R288" s="174"/>
      <c r="S288" s="523"/>
      <c r="T288" s="523"/>
      <c r="U288" s="154"/>
      <c r="V288" s="155"/>
      <c r="W288" s="156"/>
      <c r="X288" s="154"/>
      <c r="Y288" s="155"/>
      <c r="Z288" s="155"/>
      <c r="AA288" s="157"/>
      <c r="AB288" s="217"/>
      <c r="AC288" s="150"/>
      <c r="AD288" s="151"/>
      <c r="AE288" s="152"/>
      <c r="AF288" s="506"/>
      <c r="AG288" s="463"/>
      <c r="AH288" s="150"/>
      <c r="AI288" s="152"/>
      <c r="AJ288" s="150"/>
      <c r="AK288" s="152"/>
      <c r="AL288" s="150"/>
      <c r="AM288" s="152"/>
      <c r="AN288" s="150"/>
      <c r="AO288" s="151"/>
      <c r="AP288" s="151"/>
      <c r="AQ288" s="169"/>
      <c r="AR288" s="169"/>
      <c r="AS288" s="149"/>
      <c r="AT288" s="324"/>
      <c r="AU288" s="324"/>
      <c r="AV288" s="324"/>
      <c r="AW288" s="324"/>
      <c r="AX288" s="324"/>
      <c r="AY288" s="324"/>
      <c r="AZ288" s="154"/>
      <c r="BA288" s="419"/>
      <c r="BB288" s="419"/>
      <c r="BC288" s="419"/>
      <c r="BD288" s="419"/>
      <c r="BE288" s="418"/>
      <c r="BF288" s="154"/>
      <c r="BG288" s="419"/>
      <c r="BH288" s="419"/>
      <c r="BI288" s="419"/>
      <c r="BJ288" s="419"/>
      <c r="BK288" s="418"/>
      <c r="BL288" s="36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431"/>
    </row>
    <row r="289" spans="1:74" s="2" customFormat="1" ht="24.9" customHeight="1">
      <c r="A289" s="147" t="s">
        <v>85</v>
      </c>
      <c r="B289" s="158"/>
      <c r="C289" s="179"/>
      <c r="D289" s="158"/>
      <c r="E289" s="160"/>
      <c r="F289" s="161"/>
      <c r="G289" s="161"/>
      <c r="H289" s="161"/>
      <c r="I289" s="154"/>
      <c r="J289" s="418"/>
      <c r="K289" s="419"/>
      <c r="L289" s="154"/>
      <c r="M289" s="418"/>
      <c r="N289" s="419"/>
      <c r="O289" s="150"/>
      <c r="P289" s="164"/>
      <c r="Q289" s="154"/>
      <c r="R289" s="174"/>
      <c r="S289" s="523"/>
      <c r="T289" s="523"/>
      <c r="U289" s="154"/>
      <c r="V289" s="155"/>
      <c r="W289" s="156"/>
      <c r="X289" s="154"/>
      <c r="Y289" s="155"/>
      <c r="Z289" s="155"/>
      <c r="AA289" s="157"/>
      <c r="AB289" s="217"/>
      <c r="AC289" s="150"/>
      <c r="AD289" s="151"/>
      <c r="AE289" s="152"/>
      <c r="AF289" s="506"/>
      <c r="AG289" s="463"/>
      <c r="AH289" s="150"/>
      <c r="AI289" s="152"/>
      <c r="AJ289" s="150"/>
      <c r="AK289" s="152"/>
      <c r="AL289" s="150"/>
      <c r="AM289" s="152"/>
      <c r="AN289" s="150"/>
      <c r="AO289" s="151"/>
      <c r="AP289" s="151"/>
      <c r="AQ289" s="169"/>
      <c r="AR289" s="169"/>
      <c r="AS289" s="149"/>
      <c r="AT289" s="324"/>
      <c r="AU289" s="324"/>
      <c r="AV289" s="324"/>
      <c r="AW289" s="324"/>
      <c r="AX289" s="324"/>
      <c r="AY289" s="324"/>
      <c r="AZ289" s="154"/>
      <c r="BA289" s="419"/>
      <c r="BB289" s="419"/>
      <c r="BC289" s="419"/>
      <c r="BD289" s="419"/>
      <c r="BE289" s="418"/>
      <c r="BF289" s="154"/>
      <c r="BG289" s="419"/>
      <c r="BH289" s="419"/>
      <c r="BI289" s="419"/>
      <c r="BJ289" s="419"/>
      <c r="BK289" s="418"/>
      <c r="BL289" s="36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432"/>
    </row>
    <row r="290" spans="1:74" s="2" customFormat="1" ht="24.9" customHeight="1">
      <c r="A290" s="147" t="s">
        <v>85</v>
      </c>
      <c r="B290" s="158"/>
      <c r="C290" s="179"/>
      <c r="D290" s="158"/>
      <c r="E290" s="160"/>
      <c r="F290" s="161"/>
      <c r="G290" s="161"/>
      <c r="H290" s="161"/>
      <c r="I290" s="154"/>
      <c r="J290" s="418"/>
      <c r="K290" s="419"/>
      <c r="L290" s="154"/>
      <c r="M290" s="418"/>
      <c r="N290" s="419"/>
      <c r="O290" s="150"/>
      <c r="P290" s="164"/>
      <c r="Q290" s="154"/>
      <c r="R290" s="151"/>
      <c r="S290" s="522"/>
      <c r="T290" s="522"/>
      <c r="U290" s="154"/>
      <c r="V290" s="155"/>
      <c r="W290" s="156"/>
      <c r="X290" s="154"/>
      <c r="Y290" s="155"/>
      <c r="Z290" s="155"/>
      <c r="AA290" s="157"/>
      <c r="AB290" s="217"/>
      <c r="AC290" s="150"/>
      <c r="AD290" s="151"/>
      <c r="AE290" s="152"/>
      <c r="AF290" s="506"/>
      <c r="AG290" s="463"/>
      <c r="AH290" s="150"/>
      <c r="AI290" s="152"/>
      <c r="AJ290" s="150"/>
      <c r="AK290" s="152"/>
      <c r="AL290" s="150"/>
      <c r="AM290" s="152"/>
      <c r="AN290" s="150"/>
      <c r="AO290" s="151"/>
      <c r="AP290" s="151"/>
      <c r="AQ290" s="169"/>
      <c r="AR290" s="169"/>
      <c r="AS290" s="149"/>
      <c r="AT290" s="324"/>
      <c r="AU290" s="324"/>
      <c r="AV290" s="324"/>
      <c r="AW290" s="324"/>
      <c r="AX290" s="324"/>
      <c r="AY290" s="324"/>
      <c r="AZ290" s="154"/>
      <c r="BA290" s="419"/>
      <c r="BB290" s="419"/>
      <c r="BC290" s="419"/>
      <c r="BD290" s="419"/>
      <c r="BE290" s="418"/>
      <c r="BF290" s="154"/>
      <c r="BG290" s="419"/>
      <c r="BH290" s="419"/>
      <c r="BI290" s="419"/>
      <c r="BJ290" s="419"/>
      <c r="BK290" s="418"/>
      <c r="BL290" s="36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561"/>
    </row>
    <row r="291" spans="1:74" s="2" customFormat="1" ht="24.9" customHeight="1">
      <c r="A291" s="147" t="s">
        <v>85</v>
      </c>
      <c r="B291" s="158"/>
      <c r="C291" s="179"/>
      <c r="D291" s="158"/>
      <c r="E291" s="160"/>
      <c r="F291" s="161"/>
      <c r="G291" s="161"/>
      <c r="H291" s="161"/>
      <c r="I291" s="154"/>
      <c r="J291" s="418"/>
      <c r="K291" s="419"/>
      <c r="L291" s="154"/>
      <c r="M291" s="418"/>
      <c r="N291" s="419"/>
      <c r="O291" s="150"/>
      <c r="P291" s="164"/>
      <c r="Q291" s="154"/>
      <c r="R291" s="174"/>
      <c r="S291" s="523"/>
      <c r="T291" s="523"/>
      <c r="U291" s="154"/>
      <c r="V291" s="155"/>
      <c r="W291" s="156"/>
      <c r="X291" s="154"/>
      <c r="Y291" s="155"/>
      <c r="Z291" s="155"/>
      <c r="AA291" s="157"/>
      <c r="AB291" s="217"/>
      <c r="AC291" s="150"/>
      <c r="AD291" s="151"/>
      <c r="AE291" s="152"/>
      <c r="AF291" s="506"/>
      <c r="AG291" s="463"/>
      <c r="AH291" s="150"/>
      <c r="AI291" s="152"/>
      <c r="AJ291" s="150"/>
      <c r="AK291" s="152"/>
      <c r="AL291" s="150"/>
      <c r="AM291" s="152"/>
      <c r="AN291" s="150"/>
      <c r="AO291" s="151"/>
      <c r="AP291" s="151"/>
      <c r="AQ291" s="169"/>
      <c r="AR291" s="169"/>
      <c r="AS291" s="149"/>
      <c r="AT291" s="324"/>
      <c r="AU291" s="324"/>
      <c r="AV291" s="324"/>
      <c r="AW291" s="324"/>
      <c r="AX291" s="324"/>
      <c r="AY291" s="324"/>
      <c r="AZ291" s="154"/>
      <c r="BA291" s="419"/>
      <c r="BB291" s="419"/>
      <c r="BC291" s="419"/>
      <c r="BD291" s="419"/>
      <c r="BE291" s="418"/>
      <c r="BF291" s="154"/>
      <c r="BG291" s="419"/>
      <c r="BH291" s="419"/>
      <c r="BI291" s="419"/>
      <c r="BJ291" s="419"/>
      <c r="BK291" s="418"/>
      <c r="BL291" s="36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431"/>
    </row>
    <row r="292" spans="1:74" s="2" customFormat="1" ht="24.9" customHeight="1">
      <c r="A292" s="147" t="s">
        <v>85</v>
      </c>
      <c r="B292" s="158"/>
      <c r="C292" s="179"/>
      <c r="D292" s="158"/>
      <c r="E292" s="160"/>
      <c r="F292" s="161"/>
      <c r="G292" s="161"/>
      <c r="H292" s="161"/>
      <c r="I292" s="154"/>
      <c r="J292" s="418"/>
      <c r="K292" s="419"/>
      <c r="L292" s="154"/>
      <c r="M292" s="418"/>
      <c r="N292" s="419"/>
      <c r="O292" s="150"/>
      <c r="P292" s="164"/>
      <c r="Q292" s="154"/>
      <c r="R292" s="151"/>
      <c r="S292" s="522"/>
      <c r="T292" s="522"/>
      <c r="U292" s="154"/>
      <c r="V292" s="155"/>
      <c r="W292" s="156"/>
      <c r="X292" s="154"/>
      <c r="Y292" s="155"/>
      <c r="Z292" s="155"/>
      <c r="AA292" s="157"/>
      <c r="AB292" s="217"/>
      <c r="AC292" s="150"/>
      <c r="AD292" s="151"/>
      <c r="AE292" s="152"/>
      <c r="AF292" s="506"/>
      <c r="AG292" s="463"/>
      <c r="AH292" s="150"/>
      <c r="AI292" s="152"/>
      <c r="AJ292" s="150"/>
      <c r="AK292" s="152"/>
      <c r="AL292" s="150"/>
      <c r="AM292" s="152"/>
      <c r="AN292" s="150"/>
      <c r="AO292" s="151"/>
      <c r="AP292" s="151"/>
      <c r="AQ292" s="169"/>
      <c r="AR292" s="169"/>
      <c r="AS292" s="149"/>
      <c r="AT292" s="324"/>
      <c r="AU292" s="324"/>
      <c r="AV292" s="324"/>
      <c r="AW292" s="324"/>
      <c r="AX292" s="324"/>
      <c r="AY292" s="324"/>
      <c r="AZ292" s="154"/>
      <c r="BA292" s="419"/>
      <c r="BB292" s="419"/>
      <c r="BC292" s="419"/>
      <c r="BD292" s="419"/>
      <c r="BE292" s="418"/>
      <c r="BF292" s="154"/>
      <c r="BG292" s="419"/>
      <c r="BH292" s="419"/>
      <c r="BI292" s="419"/>
      <c r="BJ292" s="419"/>
      <c r="BK292" s="418"/>
      <c r="BL292" s="36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432"/>
    </row>
    <row r="293" spans="1:74" s="2" customFormat="1" ht="24.9" customHeight="1">
      <c r="A293" s="147" t="s">
        <v>85</v>
      </c>
      <c r="B293" s="158"/>
      <c r="C293" s="179"/>
      <c r="D293" s="158"/>
      <c r="E293" s="160"/>
      <c r="F293" s="161"/>
      <c r="G293" s="161"/>
      <c r="H293" s="161"/>
      <c r="I293" s="154"/>
      <c r="J293" s="418"/>
      <c r="K293" s="419"/>
      <c r="L293" s="154"/>
      <c r="M293" s="418"/>
      <c r="N293" s="419"/>
      <c r="O293" s="150"/>
      <c r="P293" s="164"/>
      <c r="Q293" s="154"/>
      <c r="R293" s="174"/>
      <c r="S293" s="523"/>
      <c r="T293" s="523"/>
      <c r="U293" s="154"/>
      <c r="V293" s="155"/>
      <c r="W293" s="156"/>
      <c r="X293" s="154"/>
      <c r="Y293" s="155"/>
      <c r="Z293" s="155"/>
      <c r="AA293" s="157"/>
      <c r="AB293" s="217"/>
      <c r="AC293" s="150"/>
      <c r="AD293" s="151"/>
      <c r="AE293" s="152"/>
      <c r="AF293" s="506"/>
      <c r="AG293" s="463"/>
      <c r="AH293" s="150"/>
      <c r="AI293" s="152"/>
      <c r="AJ293" s="150"/>
      <c r="AK293" s="152"/>
      <c r="AL293" s="150"/>
      <c r="AM293" s="152"/>
      <c r="AN293" s="150"/>
      <c r="AO293" s="151"/>
      <c r="AP293" s="151"/>
      <c r="AQ293" s="169"/>
      <c r="AR293" s="169"/>
      <c r="AS293" s="149"/>
      <c r="AT293" s="324"/>
      <c r="AU293" s="324"/>
      <c r="AV293" s="324"/>
      <c r="AW293" s="324"/>
      <c r="AX293" s="324"/>
      <c r="AY293" s="324"/>
      <c r="AZ293" s="154"/>
      <c r="BA293" s="419"/>
      <c r="BB293" s="419"/>
      <c r="BC293" s="419"/>
      <c r="BD293" s="419"/>
      <c r="BE293" s="418"/>
      <c r="BF293" s="154"/>
      <c r="BG293" s="419"/>
      <c r="BH293" s="419"/>
      <c r="BI293" s="419"/>
      <c r="BJ293" s="419"/>
      <c r="BK293" s="418"/>
      <c r="BL293" s="36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561"/>
    </row>
    <row r="294" spans="1:74" s="2" customFormat="1" ht="24.9" customHeight="1">
      <c r="A294" s="147" t="s">
        <v>85</v>
      </c>
      <c r="B294" s="158"/>
      <c r="C294" s="179"/>
      <c r="D294" s="158"/>
      <c r="E294" s="160"/>
      <c r="F294" s="161"/>
      <c r="G294" s="161"/>
      <c r="H294" s="161"/>
      <c r="I294" s="154"/>
      <c r="J294" s="418"/>
      <c r="K294" s="419"/>
      <c r="L294" s="154"/>
      <c r="M294" s="418"/>
      <c r="N294" s="419"/>
      <c r="O294" s="150"/>
      <c r="P294" s="164"/>
      <c r="Q294" s="154"/>
      <c r="R294" s="174"/>
      <c r="S294" s="523"/>
      <c r="T294" s="523"/>
      <c r="U294" s="154"/>
      <c r="V294" s="155"/>
      <c r="W294" s="156"/>
      <c r="X294" s="154"/>
      <c r="Y294" s="155"/>
      <c r="Z294" s="155"/>
      <c r="AA294" s="157"/>
      <c r="AB294" s="217"/>
      <c r="AC294" s="150"/>
      <c r="AD294" s="151"/>
      <c r="AE294" s="152"/>
      <c r="AF294" s="506"/>
      <c r="AG294" s="463"/>
      <c r="AH294" s="150"/>
      <c r="AI294" s="152"/>
      <c r="AJ294" s="150"/>
      <c r="AK294" s="152"/>
      <c r="AL294" s="150"/>
      <c r="AM294" s="152"/>
      <c r="AN294" s="150"/>
      <c r="AO294" s="151"/>
      <c r="AP294" s="151"/>
      <c r="AQ294" s="169"/>
      <c r="AR294" s="169"/>
      <c r="AS294" s="149"/>
      <c r="AT294" s="324"/>
      <c r="AU294" s="324"/>
      <c r="AV294" s="324"/>
      <c r="AW294" s="324"/>
      <c r="AX294" s="324"/>
      <c r="AY294" s="324"/>
      <c r="AZ294" s="154"/>
      <c r="BA294" s="419"/>
      <c r="BB294" s="419"/>
      <c r="BC294" s="419"/>
      <c r="BD294" s="419"/>
      <c r="BE294" s="418"/>
      <c r="BF294" s="154"/>
      <c r="BG294" s="419"/>
      <c r="BH294" s="419"/>
      <c r="BI294" s="419"/>
      <c r="BJ294" s="419"/>
      <c r="BK294" s="418"/>
      <c r="BL294" s="36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431"/>
    </row>
    <row r="295" spans="1:74" s="2" customFormat="1" ht="24.9" customHeight="1">
      <c r="A295" s="147" t="s">
        <v>85</v>
      </c>
      <c r="B295" s="158"/>
      <c r="C295" s="179"/>
      <c r="D295" s="158"/>
      <c r="E295" s="160"/>
      <c r="F295" s="161"/>
      <c r="G295" s="161"/>
      <c r="H295" s="161"/>
      <c r="I295" s="154"/>
      <c r="J295" s="418"/>
      <c r="K295" s="419"/>
      <c r="L295" s="154"/>
      <c r="M295" s="418"/>
      <c r="N295" s="419"/>
      <c r="O295" s="150"/>
      <c r="P295" s="164"/>
      <c r="Q295" s="154"/>
      <c r="R295" s="151"/>
      <c r="S295" s="522"/>
      <c r="T295" s="522"/>
      <c r="U295" s="154"/>
      <c r="V295" s="155"/>
      <c r="W295" s="156"/>
      <c r="X295" s="154"/>
      <c r="Y295" s="155"/>
      <c r="Z295" s="155"/>
      <c r="AA295" s="157"/>
      <c r="AB295" s="217"/>
      <c r="AC295" s="150"/>
      <c r="AD295" s="151"/>
      <c r="AE295" s="152"/>
      <c r="AF295" s="506"/>
      <c r="AG295" s="463"/>
      <c r="AH295" s="150"/>
      <c r="AI295" s="152"/>
      <c r="AJ295" s="150"/>
      <c r="AK295" s="152"/>
      <c r="AL295" s="150"/>
      <c r="AM295" s="152"/>
      <c r="AN295" s="150"/>
      <c r="AO295" s="151"/>
      <c r="AP295" s="151"/>
      <c r="AQ295" s="169"/>
      <c r="AR295" s="169"/>
      <c r="AS295" s="149"/>
      <c r="AT295" s="324"/>
      <c r="AU295" s="324"/>
      <c r="AV295" s="324"/>
      <c r="AW295" s="324"/>
      <c r="AX295" s="324"/>
      <c r="AY295" s="324"/>
      <c r="AZ295" s="154"/>
      <c r="BA295" s="419"/>
      <c r="BB295" s="419"/>
      <c r="BC295" s="419"/>
      <c r="BD295" s="419"/>
      <c r="BE295" s="418"/>
      <c r="BF295" s="154"/>
      <c r="BG295" s="419"/>
      <c r="BH295" s="419"/>
      <c r="BI295" s="419"/>
      <c r="BJ295" s="419"/>
      <c r="BK295" s="418"/>
      <c r="BL295" s="36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432"/>
    </row>
    <row r="296" spans="1:74" s="2" customFormat="1" ht="24.9" customHeight="1">
      <c r="A296" s="147" t="s">
        <v>85</v>
      </c>
      <c r="B296" s="158"/>
      <c r="C296" s="179"/>
      <c r="D296" s="158"/>
      <c r="E296" s="160"/>
      <c r="F296" s="161"/>
      <c r="G296" s="161"/>
      <c r="H296" s="161"/>
      <c r="I296" s="154"/>
      <c r="J296" s="418"/>
      <c r="K296" s="419"/>
      <c r="L296" s="154"/>
      <c r="M296" s="418"/>
      <c r="N296" s="419"/>
      <c r="O296" s="150"/>
      <c r="P296" s="164"/>
      <c r="Q296" s="154"/>
      <c r="R296" s="174"/>
      <c r="S296" s="523"/>
      <c r="T296" s="523"/>
      <c r="U296" s="154"/>
      <c r="V296" s="155"/>
      <c r="W296" s="156"/>
      <c r="X296" s="154"/>
      <c r="Y296" s="155"/>
      <c r="Z296" s="155"/>
      <c r="AA296" s="157"/>
      <c r="AB296" s="217"/>
      <c r="AC296" s="150"/>
      <c r="AD296" s="151"/>
      <c r="AE296" s="152"/>
      <c r="AF296" s="506"/>
      <c r="AG296" s="463"/>
      <c r="AH296" s="150"/>
      <c r="AI296" s="152"/>
      <c r="AJ296" s="150"/>
      <c r="AK296" s="152"/>
      <c r="AL296" s="150"/>
      <c r="AM296" s="152"/>
      <c r="AN296" s="150"/>
      <c r="AO296" s="151"/>
      <c r="AP296" s="151"/>
      <c r="AQ296" s="169"/>
      <c r="AR296" s="169"/>
      <c r="AS296" s="149"/>
      <c r="AT296" s="324"/>
      <c r="AU296" s="324"/>
      <c r="AV296" s="324"/>
      <c r="AW296" s="324"/>
      <c r="AX296" s="324"/>
      <c r="AY296" s="324"/>
      <c r="AZ296" s="154"/>
      <c r="BA296" s="419"/>
      <c r="BB296" s="419"/>
      <c r="BC296" s="419"/>
      <c r="BD296" s="419"/>
      <c r="BE296" s="418"/>
      <c r="BF296" s="154"/>
      <c r="BG296" s="419"/>
      <c r="BH296" s="419"/>
      <c r="BI296" s="419"/>
      <c r="BJ296" s="419"/>
      <c r="BK296" s="418"/>
      <c r="BL296" s="36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561"/>
    </row>
    <row r="297" spans="1:74" s="2" customFormat="1" ht="24.9" customHeight="1">
      <c r="A297" s="147" t="s">
        <v>85</v>
      </c>
      <c r="B297" s="158"/>
      <c r="C297" s="179"/>
      <c r="D297" s="158"/>
      <c r="E297" s="160"/>
      <c r="F297" s="161"/>
      <c r="G297" s="161"/>
      <c r="H297" s="161"/>
      <c r="I297" s="154"/>
      <c r="J297" s="418"/>
      <c r="K297" s="419"/>
      <c r="L297" s="154"/>
      <c r="M297" s="418"/>
      <c r="N297" s="419"/>
      <c r="O297" s="150"/>
      <c r="P297" s="164"/>
      <c r="Q297" s="154"/>
      <c r="R297" s="174"/>
      <c r="S297" s="523"/>
      <c r="T297" s="523"/>
      <c r="U297" s="154"/>
      <c r="V297" s="155"/>
      <c r="W297" s="156"/>
      <c r="X297" s="154"/>
      <c r="Y297" s="155"/>
      <c r="Z297" s="155"/>
      <c r="AA297" s="157"/>
      <c r="AB297" s="217"/>
      <c r="AC297" s="150"/>
      <c r="AD297" s="151"/>
      <c r="AE297" s="152"/>
      <c r="AF297" s="506"/>
      <c r="AG297" s="463"/>
      <c r="AH297" s="150"/>
      <c r="AI297" s="152"/>
      <c r="AJ297" s="150"/>
      <c r="AK297" s="152"/>
      <c r="AL297" s="150"/>
      <c r="AM297" s="152"/>
      <c r="AN297" s="150"/>
      <c r="AO297" s="151"/>
      <c r="AP297" s="151"/>
      <c r="AQ297" s="169"/>
      <c r="AR297" s="169"/>
      <c r="AS297" s="149"/>
      <c r="AT297" s="324"/>
      <c r="AU297" s="324"/>
      <c r="AV297" s="324"/>
      <c r="AW297" s="324"/>
      <c r="AX297" s="324"/>
      <c r="AY297" s="324"/>
      <c r="AZ297" s="154"/>
      <c r="BA297" s="419"/>
      <c r="BB297" s="419"/>
      <c r="BC297" s="419"/>
      <c r="BD297" s="419"/>
      <c r="BE297" s="418"/>
      <c r="BF297" s="154"/>
      <c r="BG297" s="419"/>
      <c r="BH297" s="419"/>
      <c r="BI297" s="419"/>
      <c r="BJ297" s="419"/>
      <c r="BK297" s="418"/>
      <c r="BL297" s="36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432"/>
    </row>
    <row r="298" spans="1:74" s="2" customFormat="1" ht="24.9" customHeight="1">
      <c r="A298" s="147" t="s">
        <v>85</v>
      </c>
      <c r="B298" s="158"/>
      <c r="C298" s="179"/>
      <c r="D298" s="158"/>
      <c r="E298" s="160"/>
      <c r="F298" s="161"/>
      <c r="G298" s="161"/>
      <c r="H298" s="161"/>
      <c r="I298" s="154"/>
      <c r="J298" s="418"/>
      <c r="K298" s="419"/>
      <c r="L298" s="154"/>
      <c r="M298" s="418"/>
      <c r="N298" s="419"/>
      <c r="O298" s="150"/>
      <c r="P298" s="164"/>
      <c r="Q298" s="154"/>
      <c r="R298" s="174"/>
      <c r="S298" s="523"/>
      <c r="T298" s="523"/>
      <c r="U298" s="154"/>
      <c r="V298" s="155"/>
      <c r="W298" s="156"/>
      <c r="X298" s="154"/>
      <c r="Y298" s="155"/>
      <c r="Z298" s="155"/>
      <c r="AA298" s="157"/>
      <c r="AB298" s="217"/>
      <c r="AC298" s="150"/>
      <c r="AD298" s="151"/>
      <c r="AE298" s="152"/>
      <c r="AF298" s="506"/>
      <c r="AG298" s="463"/>
      <c r="AH298" s="150"/>
      <c r="AI298" s="152"/>
      <c r="AJ298" s="150"/>
      <c r="AK298" s="152"/>
      <c r="AL298" s="150"/>
      <c r="AM298" s="152"/>
      <c r="AN298" s="150"/>
      <c r="AO298" s="151"/>
      <c r="AP298" s="151"/>
      <c r="AQ298" s="169"/>
      <c r="AR298" s="169"/>
      <c r="AS298" s="149"/>
      <c r="AT298" s="324"/>
      <c r="AU298" s="324"/>
      <c r="AV298" s="324"/>
      <c r="AW298" s="324"/>
      <c r="AX298" s="324"/>
      <c r="AY298" s="324"/>
      <c r="AZ298" s="154"/>
      <c r="BA298" s="419"/>
      <c r="BB298" s="419"/>
      <c r="BC298" s="419"/>
      <c r="BD298" s="419"/>
      <c r="BE298" s="418"/>
      <c r="BF298" s="154"/>
      <c r="BG298" s="419"/>
      <c r="BH298" s="419"/>
      <c r="BI298" s="419"/>
      <c r="BJ298" s="419"/>
      <c r="BK298" s="418"/>
      <c r="BL298" s="36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561"/>
    </row>
    <row r="299" spans="1:74" s="2" customFormat="1" ht="24.9" customHeight="1">
      <c r="A299" s="147" t="s">
        <v>85</v>
      </c>
      <c r="B299" s="158"/>
      <c r="C299" s="179"/>
      <c r="D299" s="158"/>
      <c r="E299" s="160"/>
      <c r="F299" s="161"/>
      <c r="G299" s="161"/>
      <c r="H299" s="161"/>
      <c r="I299" s="154"/>
      <c r="J299" s="418"/>
      <c r="K299" s="419"/>
      <c r="L299" s="154"/>
      <c r="M299" s="418"/>
      <c r="N299" s="419"/>
      <c r="O299" s="150"/>
      <c r="P299" s="164"/>
      <c r="Q299" s="154"/>
      <c r="R299" s="174"/>
      <c r="S299" s="523"/>
      <c r="T299" s="523"/>
      <c r="U299" s="154"/>
      <c r="V299" s="155"/>
      <c r="W299" s="156"/>
      <c r="X299" s="154"/>
      <c r="Y299" s="155"/>
      <c r="Z299" s="155"/>
      <c r="AA299" s="157"/>
      <c r="AB299" s="217"/>
      <c r="AC299" s="150"/>
      <c r="AD299" s="151"/>
      <c r="AE299" s="152"/>
      <c r="AF299" s="506"/>
      <c r="AG299" s="463"/>
      <c r="AH299" s="150"/>
      <c r="AI299" s="152"/>
      <c r="AJ299" s="150"/>
      <c r="AK299" s="152"/>
      <c r="AL299" s="150"/>
      <c r="AM299" s="152"/>
      <c r="AN299" s="150"/>
      <c r="AO299" s="151"/>
      <c r="AP299" s="151"/>
      <c r="AQ299" s="169"/>
      <c r="AR299" s="169"/>
      <c r="AS299" s="149"/>
      <c r="AT299" s="324"/>
      <c r="AU299" s="324"/>
      <c r="AV299" s="324"/>
      <c r="AW299" s="324"/>
      <c r="AX299" s="324"/>
      <c r="AY299" s="324"/>
      <c r="AZ299" s="154"/>
      <c r="BA299" s="419"/>
      <c r="BB299" s="419"/>
      <c r="BC299" s="419"/>
      <c r="BD299" s="419"/>
      <c r="BE299" s="418"/>
      <c r="BF299" s="154"/>
      <c r="BG299" s="419"/>
      <c r="BH299" s="419"/>
      <c r="BI299" s="419"/>
      <c r="BJ299" s="419"/>
      <c r="BK299" s="418"/>
      <c r="BL299" s="36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431"/>
    </row>
    <row r="300" spans="1:74" s="2" customFormat="1" ht="24.9" customHeight="1">
      <c r="A300" s="147" t="s">
        <v>85</v>
      </c>
      <c r="B300" s="158"/>
      <c r="C300" s="179"/>
      <c r="D300" s="158"/>
      <c r="E300" s="160"/>
      <c r="F300" s="161"/>
      <c r="G300" s="161"/>
      <c r="H300" s="161"/>
      <c r="I300" s="154"/>
      <c r="J300" s="418"/>
      <c r="K300" s="419"/>
      <c r="L300" s="154"/>
      <c r="M300" s="418"/>
      <c r="N300" s="419"/>
      <c r="O300" s="150"/>
      <c r="P300" s="164"/>
      <c r="Q300" s="154"/>
      <c r="R300" s="151"/>
      <c r="S300" s="522"/>
      <c r="T300" s="522"/>
      <c r="U300" s="154"/>
      <c r="V300" s="155"/>
      <c r="W300" s="156"/>
      <c r="X300" s="154"/>
      <c r="Y300" s="155"/>
      <c r="Z300" s="155"/>
      <c r="AA300" s="157"/>
      <c r="AB300" s="217"/>
      <c r="AC300" s="150"/>
      <c r="AD300" s="151"/>
      <c r="AE300" s="152"/>
      <c r="AF300" s="506"/>
      <c r="AG300" s="463"/>
      <c r="AH300" s="150"/>
      <c r="AI300" s="152"/>
      <c r="AJ300" s="150"/>
      <c r="AK300" s="152"/>
      <c r="AL300" s="150"/>
      <c r="AM300" s="152"/>
      <c r="AN300" s="150"/>
      <c r="AO300" s="151"/>
      <c r="AP300" s="151"/>
      <c r="AQ300" s="169"/>
      <c r="AR300" s="169"/>
      <c r="AS300" s="149"/>
      <c r="AT300" s="324"/>
      <c r="AU300" s="324"/>
      <c r="AV300" s="324"/>
      <c r="AW300" s="324"/>
      <c r="AX300" s="324"/>
      <c r="AY300" s="324"/>
      <c r="AZ300" s="154"/>
      <c r="BA300" s="419"/>
      <c r="BB300" s="419"/>
      <c r="BC300" s="419"/>
      <c r="BD300" s="419"/>
      <c r="BE300" s="418"/>
      <c r="BF300" s="154"/>
      <c r="BG300" s="419"/>
      <c r="BH300" s="419"/>
      <c r="BI300" s="419"/>
      <c r="BJ300" s="419"/>
      <c r="BK300" s="418"/>
      <c r="BL300" s="36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432"/>
    </row>
    <row r="301" spans="1:74" s="2" customFormat="1" ht="24.9" customHeight="1">
      <c r="A301" s="147" t="s">
        <v>85</v>
      </c>
      <c r="B301" s="158"/>
      <c r="C301" s="179"/>
      <c r="D301" s="158"/>
      <c r="E301" s="160"/>
      <c r="F301" s="161"/>
      <c r="G301" s="161"/>
      <c r="H301" s="161"/>
      <c r="I301" s="154"/>
      <c r="J301" s="418"/>
      <c r="K301" s="419"/>
      <c r="L301" s="154"/>
      <c r="M301" s="418"/>
      <c r="N301" s="419"/>
      <c r="O301" s="150"/>
      <c r="P301" s="164"/>
      <c r="Q301" s="154"/>
      <c r="R301" s="174"/>
      <c r="S301" s="523"/>
      <c r="T301" s="523"/>
      <c r="U301" s="154"/>
      <c r="V301" s="155"/>
      <c r="W301" s="156"/>
      <c r="X301" s="154"/>
      <c r="Y301" s="155"/>
      <c r="Z301" s="155"/>
      <c r="AA301" s="157"/>
      <c r="AB301" s="217"/>
      <c r="AC301" s="150"/>
      <c r="AD301" s="151"/>
      <c r="AE301" s="152"/>
      <c r="AF301" s="506"/>
      <c r="AG301" s="463"/>
      <c r="AH301" s="150"/>
      <c r="AI301" s="152"/>
      <c r="AJ301" s="150"/>
      <c r="AK301" s="152"/>
      <c r="AL301" s="150"/>
      <c r="AM301" s="152"/>
      <c r="AN301" s="150"/>
      <c r="AO301" s="151"/>
      <c r="AP301" s="151"/>
      <c r="AQ301" s="169"/>
      <c r="AR301" s="169"/>
      <c r="AS301" s="149"/>
      <c r="AT301" s="324"/>
      <c r="AU301" s="324"/>
      <c r="AV301" s="324"/>
      <c r="AW301" s="324"/>
      <c r="AX301" s="324"/>
      <c r="AY301" s="324"/>
      <c r="AZ301" s="154"/>
      <c r="BA301" s="419"/>
      <c r="BB301" s="419"/>
      <c r="BC301" s="419"/>
      <c r="BD301" s="419"/>
      <c r="BE301" s="418"/>
      <c r="BF301" s="154"/>
      <c r="BG301" s="419"/>
      <c r="BH301" s="419"/>
      <c r="BI301" s="419"/>
      <c r="BJ301" s="419"/>
      <c r="BK301" s="418"/>
      <c r="BL301" s="36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561"/>
    </row>
    <row r="302" spans="1:74" s="2" customFormat="1" ht="24.9" customHeight="1">
      <c r="A302" s="147" t="s">
        <v>85</v>
      </c>
      <c r="B302" s="158"/>
      <c r="C302" s="179"/>
      <c r="D302" s="158"/>
      <c r="E302" s="160"/>
      <c r="F302" s="161"/>
      <c r="G302" s="161"/>
      <c r="H302" s="161"/>
      <c r="I302" s="154"/>
      <c r="J302" s="418"/>
      <c r="K302" s="419"/>
      <c r="L302" s="154"/>
      <c r="M302" s="418"/>
      <c r="N302" s="419"/>
      <c r="O302" s="150"/>
      <c r="P302" s="164"/>
      <c r="Q302" s="154"/>
      <c r="R302" s="174"/>
      <c r="S302" s="523"/>
      <c r="T302" s="523"/>
      <c r="U302" s="154"/>
      <c r="V302" s="155"/>
      <c r="W302" s="156"/>
      <c r="X302" s="154"/>
      <c r="Y302" s="155"/>
      <c r="Z302" s="155"/>
      <c r="AA302" s="157"/>
      <c r="AB302" s="217"/>
      <c r="AC302" s="150"/>
      <c r="AD302" s="151"/>
      <c r="AE302" s="152"/>
      <c r="AF302" s="506"/>
      <c r="AG302" s="463"/>
      <c r="AH302" s="150"/>
      <c r="AI302" s="152"/>
      <c r="AJ302" s="150"/>
      <c r="AK302" s="152"/>
      <c r="AL302" s="150"/>
      <c r="AM302" s="152"/>
      <c r="AN302" s="150"/>
      <c r="AO302" s="151"/>
      <c r="AP302" s="151"/>
      <c r="AQ302" s="169"/>
      <c r="AR302" s="169"/>
      <c r="AS302" s="149"/>
      <c r="AT302" s="324"/>
      <c r="AU302" s="324"/>
      <c r="AV302" s="324"/>
      <c r="AW302" s="324"/>
      <c r="AX302" s="324"/>
      <c r="AY302" s="324"/>
      <c r="AZ302" s="154"/>
      <c r="BA302" s="419"/>
      <c r="BB302" s="419"/>
      <c r="BC302" s="419"/>
      <c r="BD302" s="419"/>
      <c r="BE302" s="418"/>
      <c r="BF302" s="154"/>
      <c r="BG302" s="419"/>
      <c r="BH302" s="419"/>
      <c r="BI302" s="419"/>
      <c r="BJ302" s="419"/>
      <c r="BK302" s="418"/>
      <c r="BL302" s="36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431"/>
    </row>
    <row r="303" spans="1:74" s="2" customFormat="1" ht="24.9" customHeight="1">
      <c r="A303" s="147" t="s">
        <v>85</v>
      </c>
      <c r="B303" s="158"/>
      <c r="C303" s="179"/>
      <c r="D303" s="158"/>
      <c r="E303" s="160"/>
      <c r="F303" s="161"/>
      <c r="G303" s="161"/>
      <c r="H303" s="161"/>
      <c r="I303" s="154"/>
      <c r="J303" s="418"/>
      <c r="K303" s="419"/>
      <c r="L303" s="154"/>
      <c r="M303" s="418"/>
      <c r="N303" s="419"/>
      <c r="O303" s="150"/>
      <c r="P303" s="164"/>
      <c r="Q303" s="154"/>
      <c r="R303" s="174"/>
      <c r="S303" s="523"/>
      <c r="T303" s="523"/>
      <c r="U303" s="154"/>
      <c r="V303" s="155"/>
      <c r="W303" s="156"/>
      <c r="X303" s="154"/>
      <c r="Y303" s="155"/>
      <c r="Z303" s="155"/>
      <c r="AA303" s="157"/>
      <c r="AB303" s="217"/>
      <c r="AC303" s="150"/>
      <c r="AD303" s="151"/>
      <c r="AE303" s="152"/>
      <c r="AF303" s="506"/>
      <c r="AG303" s="463"/>
      <c r="AH303" s="150"/>
      <c r="AI303" s="152"/>
      <c r="AJ303" s="150"/>
      <c r="AK303" s="152"/>
      <c r="AL303" s="150"/>
      <c r="AM303" s="152"/>
      <c r="AN303" s="150"/>
      <c r="AO303" s="151"/>
      <c r="AP303" s="151"/>
      <c r="AQ303" s="169"/>
      <c r="AR303" s="169"/>
      <c r="AS303" s="149"/>
      <c r="AT303" s="324"/>
      <c r="AU303" s="324"/>
      <c r="AV303" s="324"/>
      <c r="AW303" s="324"/>
      <c r="AX303" s="324"/>
      <c r="AY303" s="324"/>
      <c r="AZ303" s="154"/>
      <c r="BA303" s="419"/>
      <c r="BB303" s="419"/>
      <c r="BC303" s="419"/>
      <c r="BD303" s="419"/>
      <c r="BE303" s="418"/>
      <c r="BF303" s="154"/>
      <c r="BG303" s="419"/>
      <c r="BH303" s="419"/>
      <c r="BI303" s="419"/>
      <c r="BJ303" s="419"/>
      <c r="BK303" s="418"/>
      <c r="BL303" s="36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561"/>
    </row>
    <row r="304" spans="1:74" s="2" customFormat="1" ht="24.9" customHeight="1">
      <c r="A304" s="147" t="s">
        <v>85</v>
      </c>
      <c r="B304" s="158"/>
      <c r="C304" s="179"/>
      <c r="D304" s="158"/>
      <c r="E304" s="160"/>
      <c r="F304" s="161"/>
      <c r="G304" s="161"/>
      <c r="H304" s="161"/>
      <c r="I304" s="154"/>
      <c r="J304" s="418"/>
      <c r="K304" s="419"/>
      <c r="L304" s="154"/>
      <c r="M304" s="418"/>
      <c r="N304" s="419"/>
      <c r="O304" s="150"/>
      <c r="P304" s="164"/>
      <c r="Q304" s="154"/>
      <c r="R304" s="174"/>
      <c r="S304" s="523"/>
      <c r="T304" s="523"/>
      <c r="U304" s="154"/>
      <c r="V304" s="155"/>
      <c r="W304" s="156"/>
      <c r="X304" s="154"/>
      <c r="Y304" s="155"/>
      <c r="Z304" s="155"/>
      <c r="AA304" s="157"/>
      <c r="AB304" s="217"/>
      <c r="AC304" s="150"/>
      <c r="AD304" s="151"/>
      <c r="AE304" s="152"/>
      <c r="AF304" s="506"/>
      <c r="AG304" s="463"/>
      <c r="AH304" s="150"/>
      <c r="AI304" s="152"/>
      <c r="AJ304" s="150"/>
      <c r="AK304" s="152"/>
      <c r="AL304" s="150"/>
      <c r="AM304" s="152"/>
      <c r="AN304" s="150"/>
      <c r="AO304" s="151"/>
      <c r="AP304" s="151"/>
      <c r="AQ304" s="169"/>
      <c r="AR304" s="169"/>
      <c r="AS304" s="149"/>
      <c r="AT304" s="324"/>
      <c r="AU304" s="324"/>
      <c r="AV304" s="324"/>
      <c r="AW304" s="324"/>
      <c r="AX304" s="324"/>
      <c r="AY304" s="324"/>
      <c r="AZ304" s="154"/>
      <c r="BA304" s="419"/>
      <c r="BB304" s="419"/>
      <c r="BC304" s="419"/>
      <c r="BD304" s="419"/>
      <c r="BE304" s="418"/>
      <c r="BF304" s="154"/>
      <c r="BG304" s="419"/>
      <c r="BH304" s="419"/>
      <c r="BI304" s="419"/>
      <c r="BJ304" s="419"/>
      <c r="BK304" s="418"/>
      <c r="BL304" s="36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431"/>
    </row>
    <row r="305" spans="1:74" s="2" customFormat="1" ht="24.9" customHeight="1">
      <c r="A305" s="147" t="s">
        <v>85</v>
      </c>
      <c r="B305" s="158"/>
      <c r="C305" s="179"/>
      <c r="D305" s="158"/>
      <c r="E305" s="160"/>
      <c r="F305" s="161"/>
      <c r="G305" s="161"/>
      <c r="H305" s="161"/>
      <c r="I305" s="154"/>
      <c r="J305" s="418"/>
      <c r="K305" s="419"/>
      <c r="L305" s="154"/>
      <c r="M305" s="418"/>
      <c r="N305" s="419"/>
      <c r="O305" s="150"/>
      <c r="P305" s="164"/>
      <c r="Q305" s="154"/>
      <c r="R305" s="174"/>
      <c r="S305" s="523"/>
      <c r="T305" s="523"/>
      <c r="U305" s="154"/>
      <c r="V305" s="155"/>
      <c r="W305" s="156"/>
      <c r="X305" s="154"/>
      <c r="Y305" s="155"/>
      <c r="Z305" s="155"/>
      <c r="AA305" s="157"/>
      <c r="AB305" s="217"/>
      <c r="AC305" s="150"/>
      <c r="AD305" s="151"/>
      <c r="AE305" s="152"/>
      <c r="AF305" s="506"/>
      <c r="AG305" s="463"/>
      <c r="AH305" s="150"/>
      <c r="AI305" s="152"/>
      <c r="AJ305" s="150"/>
      <c r="AK305" s="152"/>
      <c r="AL305" s="150"/>
      <c r="AM305" s="152"/>
      <c r="AN305" s="150"/>
      <c r="AO305" s="151"/>
      <c r="AP305" s="151"/>
      <c r="AQ305" s="169"/>
      <c r="AR305" s="169"/>
      <c r="AS305" s="149"/>
      <c r="AT305" s="324"/>
      <c r="AU305" s="324"/>
      <c r="AV305" s="324"/>
      <c r="AW305" s="324"/>
      <c r="AX305" s="324"/>
      <c r="AY305" s="324"/>
      <c r="AZ305" s="154"/>
      <c r="BA305" s="419"/>
      <c r="BB305" s="419"/>
      <c r="BC305" s="419"/>
      <c r="BD305" s="419"/>
      <c r="BE305" s="418"/>
      <c r="BF305" s="154"/>
      <c r="BG305" s="419"/>
      <c r="BH305" s="419"/>
      <c r="BI305" s="419"/>
      <c r="BJ305" s="419"/>
      <c r="BK305" s="418"/>
      <c r="BL305" s="36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561"/>
    </row>
    <row r="306" spans="1:74" s="2" customFormat="1" ht="24.9" customHeight="1">
      <c r="A306" s="147" t="s">
        <v>85</v>
      </c>
      <c r="B306" s="158"/>
      <c r="C306" s="179"/>
      <c r="D306" s="158"/>
      <c r="E306" s="160"/>
      <c r="F306" s="161"/>
      <c r="G306" s="161"/>
      <c r="H306" s="161"/>
      <c r="I306" s="154"/>
      <c r="J306" s="418"/>
      <c r="K306" s="419"/>
      <c r="L306" s="154"/>
      <c r="M306" s="418"/>
      <c r="N306" s="419"/>
      <c r="O306" s="150"/>
      <c r="P306" s="164"/>
      <c r="Q306" s="154"/>
      <c r="R306" s="174"/>
      <c r="S306" s="523"/>
      <c r="T306" s="523"/>
      <c r="U306" s="154"/>
      <c r="V306" s="155"/>
      <c r="W306" s="156"/>
      <c r="X306" s="154"/>
      <c r="Y306" s="155"/>
      <c r="Z306" s="155"/>
      <c r="AA306" s="157"/>
      <c r="AB306" s="217"/>
      <c r="AC306" s="150"/>
      <c r="AD306" s="151"/>
      <c r="AE306" s="152"/>
      <c r="AF306" s="506"/>
      <c r="AG306" s="463"/>
      <c r="AH306" s="150"/>
      <c r="AI306" s="152"/>
      <c r="AJ306" s="150"/>
      <c r="AK306" s="152"/>
      <c r="AL306" s="150"/>
      <c r="AM306" s="152"/>
      <c r="AN306" s="150"/>
      <c r="AO306" s="151"/>
      <c r="AP306" s="151"/>
      <c r="AQ306" s="169"/>
      <c r="AR306" s="169"/>
      <c r="AS306" s="149"/>
      <c r="AT306" s="324"/>
      <c r="AU306" s="324"/>
      <c r="AV306" s="324"/>
      <c r="AW306" s="324"/>
      <c r="AX306" s="324"/>
      <c r="AY306" s="324"/>
      <c r="AZ306" s="154"/>
      <c r="BA306" s="419"/>
      <c r="BB306" s="419"/>
      <c r="BC306" s="419"/>
      <c r="BD306" s="419"/>
      <c r="BE306" s="418"/>
      <c r="BF306" s="154"/>
      <c r="BG306" s="419"/>
      <c r="BH306" s="419"/>
      <c r="BI306" s="419"/>
      <c r="BJ306" s="419"/>
      <c r="BK306" s="418"/>
      <c r="BL306" s="36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431"/>
    </row>
    <row r="307" spans="1:74" s="2" customFormat="1" ht="24.9" customHeight="1">
      <c r="A307" s="147" t="s">
        <v>85</v>
      </c>
      <c r="B307" s="158"/>
      <c r="C307" s="179"/>
      <c r="D307" s="158"/>
      <c r="E307" s="160"/>
      <c r="F307" s="161"/>
      <c r="G307" s="161"/>
      <c r="H307" s="161"/>
      <c r="I307" s="154"/>
      <c r="J307" s="418"/>
      <c r="K307" s="419"/>
      <c r="L307" s="154"/>
      <c r="M307" s="418"/>
      <c r="N307" s="419"/>
      <c r="O307" s="150"/>
      <c r="P307" s="164"/>
      <c r="Q307" s="154"/>
      <c r="R307" s="151"/>
      <c r="S307" s="522"/>
      <c r="T307" s="522"/>
      <c r="U307" s="154"/>
      <c r="V307" s="155"/>
      <c r="W307" s="156"/>
      <c r="X307" s="154"/>
      <c r="Y307" s="155"/>
      <c r="Z307" s="155"/>
      <c r="AA307" s="157"/>
      <c r="AB307" s="217"/>
      <c r="AC307" s="150"/>
      <c r="AD307" s="151"/>
      <c r="AE307" s="152"/>
      <c r="AF307" s="506"/>
      <c r="AG307" s="463"/>
      <c r="AH307" s="150"/>
      <c r="AI307" s="152"/>
      <c r="AJ307" s="150"/>
      <c r="AK307" s="152"/>
      <c r="AL307" s="150"/>
      <c r="AM307" s="152"/>
      <c r="AN307" s="150"/>
      <c r="AO307" s="151"/>
      <c r="AP307" s="151"/>
      <c r="AQ307" s="169"/>
      <c r="AR307" s="169"/>
      <c r="AS307" s="149"/>
      <c r="AT307" s="324"/>
      <c r="AU307" s="324"/>
      <c r="AV307" s="324"/>
      <c r="AW307" s="324"/>
      <c r="AX307" s="324"/>
      <c r="AY307" s="324"/>
      <c r="AZ307" s="154"/>
      <c r="BA307" s="419"/>
      <c r="BB307" s="419"/>
      <c r="BC307" s="419"/>
      <c r="BD307" s="419"/>
      <c r="BE307" s="418"/>
      <c r="BF307" s="154"/>
      <c r="BG307" s="419"/>
      <c r="BH307" s="419"/>
      <c r="BI307" s="419"/>
      <c r="BJ307" s="419"/>
      <c r="BK307" s="418"/>
      <c r="BL307" s="36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432"/>
    </row>
    <row r="308" spans="1:74" s="2" customFormat="1" ht="24.9" customHeight="1">
      <c r="A308" s="147" t="s">
        <v>85</v>
      </c>
      <c r="B308" s="158"/>
      <c r="C308" s="179"/>
      <c r="D308" s="158"/>
      <c r="E308" s="160"/>
      <c r="F308" s="161"/>
      <c r="G308" s="161"/>
      <c r="H308" s="161"/>
      <c r="I308" s="154"/>
      <c r="J308" s="418"/>
      <c r="K308" s="419"/>
      <c r="L308" s="154"/>
      <c r="M308" s="418"/>
      <c r="N308" s="419"/>
      <c r="O308" s="150"/>
      <c r="P308" s="164"/>
      <c r="Q308" s="154"/>
      <c r="R308" s="174"/>
      <c r="S308" s="523"/>
      <c r="T308" s="523"/>
      <c r="U308" s="154"/>
      <c r="V308" s="155"/>
      <c r="W308" s="156"/>
      <c r="X308" s="154"/>
      <c r="Y308" s="155"/>
      <c r="Z308" s="155"/>
      <c r="AA308" s="157"/>
      <c r="AB308" s="217"/>
      <c r="AC308" s="150"/>
      <c r="AD308" s="151"/>
      <c r="AE308" s="152"/>
      <c r="AF308" s="506"/>
      <c r="AG308" s="463"/>
      <c r="AH308" s="150"/>
      <c r="AI308" s="152"/>
      <c r="AJ308" s="150"/>
      <c r="AK308" s="152"/>
      <c r="AL308" s="150"/>
      <c r="AM308" s="152"/>
      <c r="AN308" s="150"/>
      <c r="AO308" s="151"/>
      <c r="AP308" s="151"/>
      <c r="AQ308" s="169"/>
      <c r="AR308" s="169"/>
      <c r="AS308" s="149"/>
      <c r="AT308" s="324"/>
      <c r="AU308" s="324"/>
      <c r="AV308" s="324"/>
      <c r="AW308" s="324"/>
      <c r="AX308" s="324"/>
      <c r="AY308" s="324"/>
      <c r="AZ308" s="154"/>
      <c r="BA308" s="419"/>
      <c r="BB308" s="419"/>
      <c r="BC308" s="419"/>
      <c r="BD308" s="419"/>
      <c r="BE308" s="418"/>
      <c r="BF308" s="154"/>
      <c r="BG308" s="419"/>
      <c r="BH308" s="419"/>
      <c r="BI308" s="419"/>
      <c r="BJ308" s="419"/>
      <c r="BK308" s="418"/>
      <c r="BL308" s="36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561"/>
    </row>
    <row r="309" spans="1:74" s="2" customFormat="1" ht="24.9" customHeight="1">
      <c r="A309" s="147" t="s">
        <v>85</v>
      </c>
      <c r="B309" s="158"/>
      <c r="C309" s="179"/>
      <c r="D309" s="158"/>
      <c r="E309" s="160"/>
      <c r="F309" s="161"/>
      <c r="G309" s="161"/>
      <c r="H309" s="161"/>
      <c r="I309" s="154"/>
      <c r="J309" s="418"/>
      <c r="K309" s="419"/>
      <c r="L309" s="154"/>
      <c r="M309" s="418"/>
      <c r="N309" s="419"/>
      <c r="O309" s="150"/>
      <c r="P309" s="164"/>
      <c r="Q309" s="154"/>
      <c r="R309" s="174"/>
      <c r="S309" s="523"/>
      <c r="T309" s="523"/>
      <c r="U309" s="154"/>
      <c r="V309" s="155"/>
      <c r="W309" s="156"/>
      <c r="X309" s="154"/>
      <c r="Y309" s="155"/>
      <c r="Z309" s="155"/>
      <c r="AA309" s="157"/>
      <c r="AB309" s="217"/>
      <c r="AC309" s="150"/>
      <c r="AD309" s="151"/>
      <c r="AE309" s="152"/>
      <c r="AF309" s="506"/>
      <c r="AG309" s="463"/>
      <c r="AH309" s="150"/>
      <c r="AI309" s="152"/>
      <c r="AJ309" s="150"/>
      <c r="AK309" s="152"/>
      <c r="AL309" s="150"/>
      <c r="AM309" s="152"/>
      <c r="AN309" s="150"/>
      <c r="AO309" s="151"/>
      <c r="AP309" s="151"/>
      <c r="AQ309" s="169"/>
      <c r="AR309" s="169"/>
      <c r="AS309" s="149"/>
      <c r="AT309" s="324"/>
      <c r="AU309" s="324"/>
      <c r="AV309" s="324"/>
      <c r="AW309" s="324"/>
      <c r="AX309" s="324"/>
      <c r="AY309" s="324"/>
      <c r="AZ309" s="154"/>
      <c r="BA309" s="419"/>
      <c r="BB309" s="419"/>
      <c r="BC309" s="419"/>
      <c r="BD309" s="419"/>
      <c r="BE309" s="418"/>
      <c r="BF309" s="154"/>
      <c r="BG309" s="419"/>
      <c r="BH309" s="419"/>
      <c r="BI309" s="419"/>
      <c r="BJ309" s="419"/>
      <c r="BK309" s="418"/>
      <c r="BL309" s="36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431"/>
    </row>
    <row r="310" spans="1:74" s="2" customFormat="1" ht="24.9" customHeight="1">
      <c r="A310" s="147" t="s">
        <v>85</v>
      </c>
      <c r="B310" s="158"/>
      <c r="C310" s="179"/>
      <c r="D310" s="158"/>
      <c r="E310" s="160"/>
      <c r="F310" s="161"/>
      <c r="G310" s="161"/>
      <c r="H310" s="161"/>
      <c r="I310" s="154"/>
      <c r="J310" s="418"/>
      <c r="K310" s="419"/>
      <c r="L310" s="154"/>
      <c r="M310" s="418"/>
      <c r="N310" s="419"/>
      <c r="O310" s="150"/>
      <c r="P310" s="164"/>
      <c r="Q310" s="154"/>
      <c r="R310" s="174"/>
      <c r="S310" s="523"/>
      <c r="T310" s="523"/>
      <c r="U310" s="154"/>
      <c r="V310" s="155"/>
      <c r="W310" s="156"/>
      <c r="X310" s="154"/>
      <c r="Y310" s="155"/>
      <c r="Z310" s="155"/>
      <c r="AA310" s="157"/>
      <c r="AB310" s="217"/>
      <c r="AC310" s="150"/>
      <c r="AD310" s="151"/>
      <c r="AE310" s="152"/>
      <c r="AF310" s="506"/>
      <c r="AG310" s="463"/>
      <c r="AH310" s="150"/>
      <c r="AI310" s="152"/>
      <c r="AJ310" s="150"/>
      <c r="AK310" s="152"/>
      <c r="AL310" s="150"/>
      <c r="AM310" s="152"/>
      <c r="AN310" s="150"/>
      <c r="AO310" s="151"/>
      <c r="AP310" s="151"/>
      <c r="AQ310" s="169"/>
      <c r="AR310" s="169"/>
      <c r="AS310" s="149"/>
      <c r="AT310" s="324"/>
      <c r="AU310" s="324"/>
      <c r="AV310" s="324"/>
      <c r="AW310" s="324"/>
      <c r="AX310" s="324"/>
      <c r="AY310" s="324"/>
      <c r="AZ310" s="154"/>
      <c r="BA310" s="419"/>
      <c r="BB310" s="419"/>
      <c r="BC310" s="419"/>
      <c r="BD310" s="419"/>
      <c r="BE310" s="418"/>
      <c r="BF310" s="154"/>
      <c r="BG310" s="419"/>
      <c r="BH310" s="419"/>
      <c r="BI310" s="419"/>
      <c r="BJ310" s="419"/>
      <c r="BK310" s="418"/>
      <c r="BL310" s="36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561"/>
    </row>
    <row r="311" spans="1:74" s="2" customFormat="1" ht="24.9" customHeight="1">
      <c r="A311" s="147" t="s">
        <v>85</v>
      </c>
      <c r="B311" s="158"/>
      <c r="C311" s="179"/>
      <c r="D311" s="158"/>
      <c r="E311" s="160"/>
      <c r="F311" s="161"/>
      <c r="G311" s="161"/>
      <c r="H311" s="161"/>
      <c r="I311" s="154"/>
      <c r="J311" s="418"/>
      <c r="K311" s="419"/>
      <c r="L311" s="154"/>
      <c r="M311" s="418"/>
      <c r="N311" s="419"/>
      <c r="O311" s="150"/>
      <c r="P311" s="164"/>
      <c r="Q311" s="154"/>
      <c r="R311" s="174"/>
      <c r="S311" s="523"/>
      <c r="T311" s="523"/>
      <c r="U311" s="154"/>
      <c r="V311" s="155"/>
      <c r="W311" s="156"/>
      <c r="X311" s="154"/>
      <c r="Y311" s="155"/>
      <c r="Z311" s="155"/>
      <c r="AA311" s="157"/>
      <c r="AB311" s="217"/>
      <c r="AC311" s="150"/>
      <c r="AD311" s="151"/>
      <c r="AE311" s="152"/>
      <c r="AF311" s="506"/>
      <c r="AG311" s="463"/>
      <c r="AH311" s="150"/>
      <c r="AI311" s="152"/>
      <c r="AJ311" s="150"/>
      <c r="AK311" s="152"/>
      <c r="AL311" s="150"/>
      <c r="AM311" s="152"/>
      <c r="AN311" s="150"/>
      <c r="AO311" s="151"/>
      <c r="AP311" s="151"/>
      <c r="AQ311" s="169"/>
      <c r="AR311" s="169"/>
      <c r="AS311" s="149"/>
      <c r="AT311" s="324"/>
      <c r="AU311" s="324"/>
      <c r="AV311" s="324"/>
      <c r="AW311" s="324"/>
      <c r="AX311" s="324"/>
      <c r="AY311" s="324"/>
      <c r="AZ311" s="154"/>
      <c r="BA311" s="419"/>
      <c r="BB311" s="419"/>
      <c r="BC311" s="419"/>
      <c r="BD311" s="419"/>
      <c r="BE311" s="418"/>
      <c r="BF311" s="154"/>
      <c r="BG311" s="419"/>
      <c r="BH311" s="419"/>
      <c r="BI311" s="419"/>
      <c r="BJ311" s="419"/>
      <c r="BK311" s="418"/>
      <c r="BL311" s="36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431"/>
    </row>
    <row r="312" spans="1:74" s="2" customFormat="1" ht="24.9" customHeight="1">
      <c r="A312" s="147" t="s">
        <v>85</v>
      </c>
      <c r="B312" s="158"/>
      <c r="C312" s="179"/>
      <c r="D312" s="158"/>
      <c r="E312" s="160"/>
      <c r="F312" s="161"/>
      <c r="G312" s="161"/>
      <c r="H312" s="161"/>
      <c r="I312" s="154"/>
      <c r="J312" s="418"/>
      <c r="K312" s="419"/>
      <c r="L312" s="154"/>
      <c r="M312" s="418"/>
      <c r="N312" s="419"/>
      <c r="O312" s="150"/>
      <c r="P312" s="164"/>
      <c r="Q312" s="154"/>
      <c r="R312" s="174"/>
      <c r="S312" s="523"/>
      <c r="T312" s="523"/>
      <c r="U312" s="154"/>
      <c r="V312" s="155"/>
      <c r="W312" s="156"/>
      <c r="X312" s="154"/>
      <c r="Y312" s="155"/>
      <c r="Z312" s="155"/>
      <c r="AA312" s="157"/>
      <c r="AB312" s="217"/>
      <c r="AC312" s="150"/>
      <c r="AD312" s="151"/>
      <c r="AE312" s="152"/>
      <c r="AF312" s="506"/>
      <c r="AG312" s="463"/>
      <c r="AH312" s="150"/>
      <c r="AI312" s="152"/>
      <c r="AJ312" s="150"/>
      <c r="AK312" s="152"/>
      <c r="AL312" s="150"/>
      <c r="AM312" s="152"/>
      <c r="AN312" s="150"/>
      <c r="AO312" s="151"/>
      <c r="AP312" s="151"/>
      <c r="AQ312" s="169"/>
      <c r="AR312" s="169"/>
      <c r="AS312" s="149"/>
      <c r="AT312" s="324"/>
      <c r="AU312" s="324"/>
      <c r="AV312" s="324"/>
      <c r="AW312" s="324"/>
      <c r="AX312" s="324"/>
      <c r="AY312" s="324"/>
      <c r="AZ312" s="154"/>
      <c r="BA312" s="419"/>
      <c r="BB312" s="419"/>
      <c r="BC312" s="419"/>
      <c r="BD312" s="419"/>
      <c r="BE312" s="418"/>
      <c r="BF312" s="154"/>
      <c r="BG312" s="419"/>
      <c r="BH312" s="419"/>
      <c r="BI312" s="419"/>
      <c r="BJ312" s="419"/>
      <c r="BK312" s="418"/>
      <c r="BL312" s="36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432"/>
    </row>
    <row r="313" spans="1:74" s="2" customFormat="1" ht="24.9" customHeight="1">
      <c r="A313" s="147" t="s">
        <v>85</v>
      </c>
      <c r="B313" s="158"/>
      <c r="C313" s="179"/>
      <c r="D313" s="158"/>
      <c r="E313" s="160"/>
      <c r="F313" s="161"/>
      <c r="G313" s="161"/>
      <c r="H313" s="161"/>
      <c r="I313" s="154"/>
      <c r="J313" s="418"/>
      <c r="K313" s="419"/>
      <c r="L313" s="154"/>
      <c r="M313" s="418"/>
      <c r="N313" s="419"/>
      <c r="O313" s="150"/>
      <c r="P313" s="164"/>
      <c r="Q313" s="154"/>
      <c r="R313" s="151"/>
      <c r="S313" s="522"/>
      <c r="T313" s="522"/>
      <c r="U313" s="154"/>
      <c r="V313" s="155"/>
      <c r="W313" s="156"/>
      <c r="X313" s="154"/>
      <c r="Y313" s="155"/>
      <c r="Z313" s="155"/>
      <c r="AA313" s="157"/>
      <c r="AB313" s="217"/>
      <c r="AC313" s="150"/>
      <c r="AD313" s="151"/>
      <c r="AE313" s="152"/>
      <c r="AF313" s="506"/>
      <c r="AG313" s="463"/>
      <c r="AH313" s="150"/>
      <c r="AI313" s="152"/>
      <c r="AJ313" s="150"/>
      <c r="AK313" s="152"/>
      <c r="AL313" s="150"/>
      <c r="AM313" s="152"/>
      <c r="AN313" s="150"/>
      <c r="AO313" s="151"/>
      <c r="AP313" s="151"/>
      <c r="AQ313" s="169"/>
      <c r="AR313" s="169"/>
      <c r="AS313" s="149"/>
      <c r="AT313" s="324"/>
      <c r="AU313" s="324"/>
      <c r="AV313" s="324"/>
      <c r="AW313" s="324"/>
      <c r="AX313" s="324"/>
      <c r="AY313" s="324"/>
      <c r="AZ313" s="154"/>
      <c r="BA313" s="419"/>
      <c r="BB313" s="419"/>
      <c r="BC313" s="419"/>
      <c r="BD313" s="419"/>
      <c r="BE313" s="418"/>
      <c r="BF313" s="154"/>
      <c r="BG313" s="419"/>
      <c r="BH313" s="419"/>
      <c r="BI313" s="419"/>
      <c r="BJ313" s="419"/>
      <c r="BK313" s="418"/>
      <c r="BL313" s="36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561"/>
    </row>
    <row r="314" spans="1:74" s="2" customFormat="1" ht="24.9" customHeight="1">
      <c r="A314" s="147" t="s">
        <v>85</v>
      </c>
      <c r="B314" s="158"/>
      <c r="C314" s="179"/>
      <c r="D314" s="158"/>
      <c r="E314" s="160"/>
      <c r="F314" s="161"/>
      <c r="G314" s="161"/>
      <c r="H314" s="161"/>
      <c r="I314" s="154"/>
      <c r="J314" s="418"/>
      <c r="K314" s="419"/>
      <c r="L314" s="154"/>
      <c r="M314" s="418"/>
      <c r="N314" s="419"/>
      <c r="O314" s="150"/>
      <c r="P314" s="164"/>
      <c r="Q314" s="154"/>
      <c r="R314" s="174"/>
      <c r="S314" s="523"/>
      <c r="T314" s="523"/>
      <c r="U314" s="154"/>
      <c r="V314" s="155"/>
      <c r="W314" s="156"/>
      <c r="X314" s="154"/>
      <c r="Y314" s="155"/>
      <c r="Z314" s="155"/>
      <c r="AA314" s="157"/>
      <c r="AB314" s="217"/>
      <c r="AC314" s="150"/>
      <c r="AD314" s="151"/>
      <c r="AE314" s="152"/>
      <c r="AF314" s="506"/>
      <c r="AG314" s="463"/>
      <c r="AH314" s="150"/>
      <c r="AI314" s="152"/>
      <c r="AJ314" s="150"/>
      <c r="AK314" s="152"/>
      <c r="AL314" s="150"/>
      <c r="AM314" s="152"/>
      <c r="AN314" s="150"/>
      <c r="AO314" s="151"/>
      <c r="AP314" s="151"/>
      <c r="AQ314" s="169"/>
      <c r="AR314" s="169"/>
      <c r="AS314" s="149"/>
      <c r="AT314" s="324"/>
      <c r="AU314" s="324"/>
      <c r="AV314" s="324"/>
      <c r="AW314" s="324"/>
      <c r="AX314" s="324"/>
      <c r="AY314" s="324"/>
      <c r="AZ314" s="154"/>
      <c r="BA314" s="419"/>
      <c r="BB314" s="419"/>
      <c r="BC314" s="419"/>
      <c r="BD314" s="419"/>
      <c r="BE314" s="418"/>
      <c r="BF314" s="154"/>
      <c r="BG314" s="419"/>
      <c r="BH314" s="419"/>
      <c r="BI314" s="419"/>
      <c r="BJ314" s="419"/>
      <c r="BK314" s="418"/>
      <c r="BL314" s="36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431"/>
    </row>
    <row r="315" spans="1:74" s="2" customFormat="1" ht="24.9" customHeight="1">
      <c r="A315" s="147" t="s">
        <v>85</v>
      </c>
      <c r="B315" s="158"/>
      <c r="C315" s="179"/>
      <c r="D315" s="158"/>
      <c r="E315" s="160"/>
      <c r="F315" s="161"/>
      <c r="G315" s="161"/>
      <c r="H315" s="161"/>
      <c r="I315" s="154"/>
      <c r="J315" s="418"/>
      <c r="K315" s="419"/>
      <c r="L315" s="154"/>
      <c r="M315" s="418"/>
      <c r="N315" s="419"/>
      <c r="O315" s="150"/>
      <c r="P315" s="164"/>
      <c r="Q315" s="154"/>
      <c r="R315" s="151"/>
      <c r="S315" s="522"/>
      <c r="T315" s="522"/>
      <c r="U315" s="154"/>
      <c r="V315" s="155"/>
      <c r="W315" s="156"/>
      <c r="X315" s="154"/>
      <c r="Y315" s="155"/>
      <c r="Z315" s="155"/>
      <c r="AA315" s="157"/>
      <c r="AB315" s="217"/>
      <c r="AC315" s="150"/>
      <c r="AD315" s="151"/>
      <c r="AE315" s="152"/>
      <c r="AF315" s="506"/>
      <c r="AG315" s="463"/>
      <c r="AH315" s="150"/>
      <c r="AI315" s="152"/>
      <c r="AJ315" s="150"/>
      <c r="AK315" s="152"/>
      <c r="AL315" s="150"/>
      <c r="AM315" s="152"/>
      <c r="AN315" s="150"/>
      <c r="AO315" s="151"/>
      <c r="AP315" s="151"/>
      <c r="AQ315" s="169"/>
      <c r="AR315" s="169"/>
      <c r="AS315" s="149"/>
      <c r="AT315" s="324"/>
      <c r="AU315" s="324"/>
      <c r="AV315" s="324"/>
      <c r="AW315" s="324"/>
      <c r="AX315" s="324"/>
      <c r="AY315" s="324"/>
      <c r="AZ315" s="154"/>
      <c r="BA315" s="419"/>
      <c r="BB315" s="419"/>
      <c r="BC315" s="419"/>
      <c r="BD315" s="419"/>
      <c r="BE315" s="418"/>
      <c r="BF315" s="154"/>
      <c r="BG315" s="419"/>
      <c r="BH315" s="419"/>
      <c r="BI315" s="419"/>
      <c r="BJ315" s="419"/>
      <c r="BK315" s="418"/>
      <c r="BL315" s="36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432"/>
    </row>
    <row r="316" spans="1:74" s="2" customFormat="1" ht="24.9" customHeight="1">
      <c r="A316" s="147" t="s">
        <v>85</v>
      </c>
      <c r="B316" s="158"/>
      <c r="C316" s="179"/>
      <c r="D316" s="158"/>
      <c r="E316" s="160"/>
      <c r="F316" s="161"/>
      <c r="G316" s="161"/>
      <c r="H316" s="161"/>
      <c r="I316" s="154"/>
      <c r="J316" s="418"/>
      <c r="K316" s="419"/>
      <c r="L316" s="154"/>
      <c r="M316" s="418"/>
      <c r="N316" s="419"/>
      <c r="O316" s="150"/>
      <c r="P316" s="164"/>
      <c r="Q316" s="154"/>
      <c r="R316" s="174"/>
      <c r="S316" s="523"/>
      <c r="T316" s="523"/>
      <c r="U316" s="154"/>
      <c r="V316" s="155"/>
      <c r="W316" s="156"/>
      <c r="X316" s="154"/>
      <c r="Y316" s="155"/>
      <c r="Z316" s="155"/>
      <c r="AA316" s="157"/>
      <c r="AB316" s="217"/>
      <c r="AC316" s="150"/>
      <c r="AD316" s="151"/>
      <c r="AE316" s="152"/>
      <c r="AF316" s="506"/>
      <c r="AG316" s="463"/>
      <c r="AH316" s="150"/>
      <c r="AI316" s="152"/>
      <c r="AJ316" s="150"/>
      <c r="AK316" s="152"/>
      <c r="AL316" s="150"/>
      <c r="AM316" s="152"/>
      <c r="AN316" s="150"/>
      <c r="AO316" s="151"/>
      <c r="AP316" s="151"/>
      <c r="AQ316" s="169"/>
      <c r="AR316" s="169"/>
      <c r="AS316" s="149"/>
      <c r="AT316" s="324"/>
      <c r="AU316" s="324"/>
      <c r="AV316" s="324"/>
      <c r="AW316" s="324"/>
      <c r="AX316" s="324"/>
      <c r="AY316" s="324"/>
      <c r="AZ316" s="154"/>
      <c r="BA316" s="419"/>
      <c r="BB316" s="419"/>
      <c r="BC316" s="419"/>
      <c r="BD316" s="419"/>
      <c r="BE316" s="418"/>
      <c r="BF316" s="154"/>
      <c r="BG316" s="419"/>
      <c r="BH316" s="419"/>
      <c r="BI316" s="419"/>
      <c r="BJ316" s="419"/>
      <c r="BK316" s="418"/>
      <c r="BL316" s="36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432"/>
    </row>
    <row r="317" spans="1:74" s="2" customFormat="1" ht="24.9" customHeight="1">
      <c r="A317" s="147" t="s">
        <v>85</v>
      </c>
      <c r="B317" s="158"/>
      <c r="C317" s="179"/>
      <c r="D317" s="158"/>
      <c r="E317" s="160"/>
      <c r="F317" s="161"/>
      <c r="G317" s="161"/>
      <c r="H317" s="161"/>
      <c r="I317" s="154"/>
      <c r="J317" s="418"/>
      <c r="K317" s="419"/>
      <c r="L317" s="154"/>
      <c r="M317" s="418"/>
      <c r="N317" s="419"/>
      <c r="O317" s="150"/>
      <c r="P317" s="164"/>
      <c r="Q317" s="154"/>
      <c r="R317" s="151"/>
      <c r="S317" s="522"/>
      <c r="T317" s="522"/>
      <c r="U317" s="154"/>
      <c r="V317" s="155"/>
      <c r="W317" s="156"/>
      <c r="X317" s="154"/>
      <c r="Y317" s="155"/>
      <c r="Z317" s="155"/>
      <c r="AA317" s="157"/>
      <c r="AB317" s="217"/>
      <c r="AC317" s="150"/>
      <c r="AD317" s="151"/>
      <c r="AE317" s="152"/>
      <c r="AF317" s="506"/>
      <c r="AG317" s="463"/>
      <c r="AH317" s="150"/>
      <c r="AI317" s="152"/>
      <c r="AJ317" s="150"/>
      <c r="AK317" s="152"/>
      <c r="AL317" s="150"/>
      <c r="AM317" s="152"/>
      <c r="AN317" s="150"/>
      <c r="AO317" s="151"/>
      <c r="AP317" s="151"/>
      <c r="AQ317" s="169"/>
      <c r="AR317" s="169"/>
      <c r="AS317" s="149"/>
      <c r="AT317" s="324"/>
      <c r="AU317" s="324"/>
      <c r="AV317" s="324"/>
      <c r="AW317" s="324"/>
      <c r="AX317" s="324"/>
      <c r="AY317" s="324"/>
      <c r="AZ317" s="154"/>
      <c r="BA317" s="419"/>
      <c r="BB317" s="419"/>
      <c r="BC317" s="419"/>
      <c r="BD317" s="419"/>
      <c r="BE317" s="418"/>
      <c r="BF317" s="154"/>
      <c r="BG317" s="419"/>
      <c r="BH317" s="419"/>
      <c r="BI317" s="419"/>
      <c r="BJ317" s="419"/>
      <c r="BK317" s="418"/>
      <c r="BL317" s="36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561"/>
    </row>
    <row r="318" spans="1:74" s="2" customFormat="1" ht="24.9" customHeight="1">
      <c r="A318" s="147" t="s">
        <v>85</v>
      </c>
      <c r="B318" s="158"/>
      <c r="C318" s="179"/>
      <c r="D318" s="158"/>
      <c r="E318" s="160"/>
      <c r="F318" s="161"/>
      <c r="G318" s="161"/>
      <c r="H318" s="161"/>
      <c r="I318" s="154"/>
      <c r="J318" s="418"/>
      <c r="K318" s="419"/>
      <c r="L318" s="154"/>
      <c r="M318" s="418"/>
      <c r="N318" s="419"/>
      <c r="O318" s="150"/>
      <c r="P318" s="164"/>
      <c r="Q318" s="154"/>
      <c r="R318" s="174"/>
      <c r="S318" s="523"/>
      <c r="T318" s="523"/>
      <c r="U318" s="154"/>
      <c r="V318" s="155"/>
      <c r="W318" s="156"/>
      <c r="X318" s="154"/>
      <c r="Y318" s="155"/>
      <c r="Z318" s="155"/>
      <c r="AA318" s="157"/>
      <c r="AB318" s="217"/>
      <c r="AC318" s="150"/>
      <c r="AD318" s="151"/>
      <c r="AE318" s="152"/>
      <c r="AF318" s="506"/>
      <c r="AG318" s="463"/>
      <c r="AH318" s="150"/>
      <c r="AI318" s="152"/>
      <c r="AJ318" s="150"/>
      <c r="AK318" s="152"/>
      <c r="AL318" s="150"/>
      <c r="AM318" s="152"/>
      <c r="AN318" s="150"/>
      <c r="AO318" s="151"/>
      <c r="AP318" s="151"/>
      <c r="AQ318" s="169"/>
      <c r="AR318" s="169"/>
      <c r="AS318" s="149"/>
      <c r="AT318" s="324"/>
      <c r="AU318" s="324"/>
      <c r="AV318" s="324"/>
      <c r="AW318" s="324"/>
      <c r="AX318" s="324"/>
      <c r="AY318" s="324"/>
      <c r="AZ318" s="154"/>
      <c r="BA318" s="419"/>
      <c r="BB318" s="419"/>
      <c r="BC318" s="419"/>
      <c r="BD318" s="419"/>
      <c r="BE318" s="418"/>
      <c r="BF318" s="154"/>
      <c r="BG318" s="419"/>
      <c r="BH318" s="419"/>
      <c r="BI318" s="419"/>
      <c r="BJ318" s="419"/>
      <c r="BK318" s="418"/>
      <c r="BL318" s="36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431"/>
    </row>
    <row r="319" spans="1:74" s="2" customFormat="1" ht="24.9" customHeight="1">
      <c r="A319" s="147" t="s">
        <v>85</v>
      </c>
      <c r="B319" s="158"/>
      <c r="C319" s="179"/>
      <c r="D319" s="158"/>
      <c r="E319" s="160"/>
      <c r="F319" s="161"/>
      <c r="G319" s="161"/>
      <c r="H319" s="161"/>
      <c r="I319" s="154"/>
      <c r="J319" s="418"/>
      <c r="K319" s="419"/>
      <c r="L319" s="154"/>
      <c r="M319" s="418"/>
      <c r="N319" s="419"/>
      <c r="O319" s="150"/>
      <c r="P319" s="164"/>
      <c r="Q319" s="154"/>
      <c r="R319" s="174"/>
      <c r="S319" s="523"/>
      <c r="T319" s="523"/>
      <c r="U319" s="154"/>
      <c r="V319" s="155"/>
      <c r="W319" s="156"/>
      <c r="X319" s="154"/>
      <c r="Y319" s="155"/>
      <c r="Z319" s="155"/>
      <c r="AA319" s="157"/>
      <c r="AB319" s="217"/>
      <c r="AC319" s="150"/>
      <c r="AD319" s="151"/>
      <c r="AE319" s="152"/>
      <c r="AF319" s="506"/>
      <c r="AG319" s="463"/>
      <c r="AH319" s="150"/>
      <c r="AI319" s="152"/>
      <c r="AJ319" s="150"/>
      <c r="AK319" s="152"/>
      <c r="AL319" s="150"/>
      <c r="AM319" s="152"/>
      <c r="AN319" s="150"/>
      <c r="AO319" s="151"/>
      <c r="AP319" s="151"/>
      <c r="AQ319" s="169"/>
      <c r="AR319" s="169"/>
      <c r="AS319" s="149"/>
      <c r="AT319" s="324"/>
      <c r="AU319" s="324"/>
      <c r="AV319" s="324"/>
      <c r="AW319" s="324"/>
      <c r="AX319" s="324"/>
      <c r="AY319" s="324"/>
      <c r="AZ319" s="154"/>
      <c r="BA319" s="419"/>
      <c r="BB319" s="419"/>
      <c r="BC319" s="419"/>
      <c r="BD319" s="419"/>
      <c r="BE319" s="418"/>
      <c r="BF319" s="154"/>
      <c r="BG319" s="419"/>
      <c r="BH319" s="419"/>
      <c r="BI319" s="419"/>
      <c r="BJ319" s="419"/>
      <c r="BK319" s="418"/>
      <c r="BL319" s="36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432"/>
    </row>
    <row r="320" spans="1:74" s="2" customFormat="1" ht="24.9" customHeight="1">
      <c r="A320" s="147" t="s">
        <v>85</v>
      </c>
      <c r="B320" s="158"/>
      <c r="C320" s="179"/>
      <c r="D320" s="158"/>
      <c r="E320" s="160"/>
      <c r="F320" s="161"/>
      <c r="G320" s="161"/>
      <c r="H320" s="161"/>
      <c r="I320" s="154"/>
      <c r="J320" s="418"/>
      <c r="K320" s="419"/>
      <c r="L320" s="154"/>
      <c r="M320" s="418"/>
      <c r="N320" s="419"/>
      <c r="O320" s="150"/>
      <c r="P320" s="164"/>
      <c r="Q320" s="154"/>
      <c r="R320" s="151"/>
      <c r="S320" s="522"/>
      <c r="T320" s="522"/>
      <c r="U320" s="154"/>
      <c r="V320" s="155"/>
      <c r="W320" s="156"/>
      <c r="X320" s="154"/>
      <c r="Y320" s="155"/>
      <c r="Z320" s="155"/>
      <c r="AA320" s="157"/>
      <c r="AB320" s="217"/>
      <c r="AC320" s="150"/>
      <c r="AD320" s="151"/>
      <c r="AE320" s="152"/>
      <c r="AF320" s="506"/>
      <c r="AG320" s="463"/>
      <c r="AH320" s="150"/>
      <c r="AI320" s="152"/>
      <c r="AJ320" s="150"/>
      <c r="AK320" s="152"/>
      <c r="AL320" s="150"/>
      <c r="AM320" s="152"/>
      <c r="AN320" s="150"/>
      <c r="AO320" s="151"/>
      <c r="AP320" s="151"/>
      <c r="AQ320" s="169"/>
      <c r="AR320" s="169"/>
      <c r="AS320" s="149"/>
      <c r="AT320" s="324"/>
      <c r="AU320" s="324"/>
      <c r="AV320" s="324"/>
      <c r="AW320" s="324"/>
      <c r="AX320" s="324"/>
      <c r="AY320" s="324"/>
      <c r="AZ320" s="154"/>
      <c r="BA320" s="419"/>
      <c r="BB320" s="419"/>
      <c r="BC320" s="419"/>
      <c r="BD320" s="419"/>
      <c r="BE320" s="418"/>
      <c r="BF320" s="154"/>
      <c r="BG320" s="419"/>
      <c r="BH320" s="419"/>
      <c r="BI320" s="419"/>
      <c r="BJ320" s="419"/>
      <c r="BK320" s="418"/>
      <c r="BL320" s="36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561"/>
    </row>
    <row r="321" spans="1:74" s="2" customFormat="1" ht="24.9" customHeight="1">
      <c r="A321" s="147" t="s">
        <v>85</v>
      </c>
      <c r="B321" s="158"/>
      <c r="C321" s="179"/>
      <c r="D321" s="158"/>
      <c r="E321" s="160"/>
      <c r="F321" s="161"/>
      <c r="G321" s="161"/>
      <c r="H321" s="161"/>
      <c r="I321" s="154"/>
      <c r="J321" s="418"/>
      <c r="K321" s="419"/>
      <c r="L321" s="154"/>
      <c r="M321" s="418"/>
      <c r="N321" s="419"/>
      <c r="O321" s="150"/>
      <c r="P321" s="164"/>
      <c r="Q321" s="154"/>
      <c r="R321" s="174"/>
      <c r="S321" s="523"/>
      <c r="T321" s="523"/>
      <c r="U321" s="154"/>
      <c r="V321" s="155"/>
      <c r="W321" s="156"/>
      <c r="X321" s="154"/>
      <c r="Y321" s="155"/>
      <c r="Z321" s="155"/>
      <c r="AA321" s="157"/>
      <c r="AB321" s="217"/>
      <c r="AC321" s="150"/>
      <c r="AD321" s="151"/>
      <c r="AE321" s="152"/>
      <c r="AF321" s="506"/>
      <c r="AG321" s="463"/>
      <c r="AH321" s="150"/>
      <c r="AI321" s="152"/>
      <c r="AJ321" s="150"/>
      <c r="AK321" s="152"/>
      <c r="AL321" s="150"/>
      <c r="AM321" s="152"/>
      <c r="AN321" s="150"/>
      <c r="AO321" s="151"/>
      <c r="AP321" s="151"/>
      <c r="AQ321" s="169"/>
      <c r="AR321" s="169"/>
      <c r="AS321" s="149"/>
      <c r="AT321" s="324"/>
      <c r="AU321" s="324"/>
      <c r="AV321" s="324"/>
      <c r="AW321" s="324"/>
      <c r="AX321" s="324"/>
      <c r="AY321" s="324"/>
      <c r="AZ321" s="154"/>
      <c r="BA321" s="419"/>
      <c r="BB321" s="419"/>
      <c r="BC321" s="419"/>
      <c r="BD321" s="419"/>
      <c r="BE321" s="418"/>
      <c r="BF321" s="154"/>
      <c r="BG321" s="419"/>
      <c r="BH321" s="419"/>
      <c r="BI321" s="419"/>
      <c r="BJ321" s="419"/>
      <c r="BK321" s="418"/>
      <c r="BL321" s="36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431"/>
    </row>
    <row r="322" spans="1:74" s="2" customFormat="1" ht="24.9" customHeight="1">
      <c r="A322" s="147" t="s">
        <v>85</v>
      </c>
      <c r="B322" s="158"/>
      <c r="C322" s="179"/>
      <c r="D322" s="158"/>
      <c r="E322" s="160"/>
      <c r="F322" s="161"/>
      <c r="G322" s="161"/>
      <c r="H322" s="161"/>
      <c r="I322" s="154"/>
      <c r="J322" s="418"/>
      <c r="K322" s="419"/>
      <c r="L322" s="154"/>
      <c r="M322" s="418"/>
      <c r="N322" s="419"/>
      <c r="O322" s="150"/>
      <c r="P322" s="164"/>
      <c r="Q322" s="154"/>
      <c r="R322" s="174"/>
      <c r="S322" s="523"/>
      <c r="T322" s="523"/>
      <c r="U322" s="154"/>
      <c r="V322" s="155"/>
      <c r="W322" s="156"/>
      <c r="X322" s="154"/>
      <c r="Y322" s="155"/>
      <c r="Z322" s="155"/>
      <c r="AA322" s="157"/>
      <c r="AB322" s="217"/>
      <c r="AC322" s="150"/>
      <c r="AD322" s="151"/>
      <c r="AE322" s="152"/>
      <c r="AF322" s="506"/>
      <c r="AG322" s="463"/>
      <c r="AH322" s="150"/>
      <c r="AI322" s="152"/>
      <c r="AJ322" s="150"/>
      <c r="AK322" s="152"/>
      <c r="AL322" s="150"/>
      <c r="AM322" s="152"/>
      <c r="AN322" s="150"/>
      <c r="AO322" s="151"/>
      <c r="AP322" s="151"/>
      <c r="AQ322" s="169"/>
      <c r="AR322" s="169"/>
      <c r="AS322" s="149"/>
      <c r="AT322" s="324"/>
      <c r="AU322" s="324"/>
      <c r="AV322" s="324"/>
      <c r="AW322" s="324"/>
      <c r="AX322" s="324"/>
      <c r="AY322" s="324"/>
      <c r="AZ322" s="154"/>
      <c r="BA322" s="419"/>
      <c r="BB322" s="419"/>
      <c r="BC322" s="419"/>
      <c r="BD322" s="419"/>
      <c r="BE322" s="418"/>
      <c r="BF322" s="154"/>
      <c r="BG322" s="419"/>
      <c r="BH322" s="419"/>
      <c r="BI322" s="419"/>
      <c r="BJ322" s="419"/>
      <c r="BK322" s="418"/>
      <c r="BL322" s="36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432"/>
    </row>
    <row r="323" spans="1:74" s="2" customFormat="1" ht="24.9" customHeight="1">
      <c r="A323" s="147" t="s">
        <v>85</v>
      </c>
      <c r="B323" s="158"/>
      <c r="C323" s="179"/>
      <c r="D323" s="158"/>
      <c r="E323" s="160"/>
      <c r="F323" s="161"/>
      <c r="G323" s="161"/>
      <c r="H323" s="161"/>
      <c r="I323" s="154"/>
      <c r="J323" s="418"/>
      <c r="K323" s="419"/>
      <c r="L323" s="154"/>
      <c r="M323" s="418"/>
      <c r="N323" s="419"/>
      <c r="O323" s="150"/>
      <c r="P323" s="164"/>
      <c r="Q323" s="154"/>
      <c r="R323" s="151"/>
      <c r="S323" s="522"/>
      <c r="T323" s="522"/>
      <c r="U323" s="154"/>
      <c r="V323" s="155"/>
      <c r="W323" s="156"/>
      <c r="X323" s="154"/>
      <c r="Y323" s="155"/>
      <c r="Z323" s="155"/>
      <c r="AA323" s="157"/>
      <c r="AB323" s="217"/>
      <c r="AC323" s="150"/>
      <c r="AD323" s="151"/>
      <c r="AE323" s="152"/>
      <c r="AF323" s="506"/>
      <c r="AG323" s="463"/>
      <c r="AH323" s="150"/>
      <c r="AI323" s="152"/>
      <c r="AJ323" s="150"/>
      <c r="AK323" s="152"/>
      <c r="AL323" s="150"/>
      <c r="AM323" s="152"/>
      <c r="AN323" s="150"/>
      <c r="AO323" s="151"/>
      <c r="AP323" s="151"/>
      <c r="AQ323" s="169"/>
      <c r="AR323" s="169"/>
      <c r="AS323" s="149"/>
      <c r="AT323" s="324"/>
      <c r="AU323" s="324"/>
      <c r="AV323" s="324"/>
      <c r="AW323" s="324"/>
      <c r="AX323" s="324"/>
      <c r="AY323" s="324"/>
      <c r="AZ323" s="154"/>
      <c r="BA323" s="419"/>
      <c r="BB323" s="419"/>
      <c r="BC323" s="419"/>
      <c r="BD323" s="419"/>
      <c r="BE323" s="418"/>
      <c r="BF323" s="154"/>
      <c r="BG323" s="419"/>
      <c r="BH323" s="419"/>
      <c r="BI323" s="419"/>
      <c r="BJ323" s="419"/>
      <c r="BK323" s="418"/>
      <c r="BL323" s="36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561"/>
    </row>
    <row r="324" spans="1:74" s="2" customFormat="1" ht="24.9" customHeight="1">
      <c r="A324" s="147" t="s">
        <v>85</v>
      </c>
      <c r="B324" s="158"/>
      <c r="C324" s="179"/>
      <c r="D324" s="158"/>
      <c r="E324" s="160"/>
      <c r="F324" s="161"/>
      <c r="G324" s="161"/>
      <c r="H324" s="161"/>
      <c r="I324" s="154"/>
      <c r="J324" s="418"/>
      <c r="K324" s="419"/>
      <c r="L324" s="154"/>
      <c r="M324" s="418"/>
      <c r="N324" s="419"/>
      <c r="O324" s="150"/>
      <c r="P324" s="164"/>
      <c r="Q324" s="154"/>
      <c r="R324" s="174"/>
      <c r="S324" s="523"/>
      <c r="T324" s="523"/>
      <c r="U324" s="154"/>
      <c r="V324" s="155"/>
      <c r="W324" s="156"/>
      <c r="X324" s="154"/>
      <c r="Y324" s="155"/>
      <c r="Z324" s="155"/>
      <c r="AA324" s="157"/>
      <c r="AB324" s="217"/>
      <c r="AC324" s="150"/>
      <c r="AD324" s="151"/>
      <c r="AE324" s="152"/>
      <c r="AF324" s="506"/>
      <c r="AG324" s="463"/>
      <c r="AH324" s="150"/>
      <c r="AI324" s="152"/>
      <c r="AJ324" s="150"/>
      <c r="AK324" s="152"/>
      <c r="AL324" s="150"/>
      <c r="AM324" s="152"/>
      <c r="AN324" s="150"/>
      <c r="AO324" s="151"/>
      <c r="AP324" s="151"/>
      <c r="AQ324" s="169"/>
      <c r="AR324" s="169"/>
      <c r="AS324" s="149"/>
      <c r="AT324" s="324"/>
      <c r="AU324" s="324"/>
      <c r="AV324" s="324"/>
      <c r="AW324" s="324"/>
      <c r="AX324" s="324"/>
      <c r="AY324" s="324"/>
      <c r="AZ324" s="154"/>
      <c r="BA324" s="419"/>
      <c r="BB324" s="419"/>
      <c r="BC324" s="419"/>
      <c r="BD324" s="419"/>
      <c r="BE324" s="418"/>
      <c r="BF324" s="154"/>
      <c r="BG324" s="419"/>
      <c r="BH324" s="419"/>
      <c r="BI324" s="419"/>
      <c r="BJ324" s="419"/>
      <c r="BK324" s="418"/>
      <c r="BL324" s="36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431"/>
    </row>
    <row r="325" spans="1:74" s="2" customFormat="1" ht="24.9" customHeight="1">
      <c r="A325" s="147" t="s">
        <v>85</v>
      </c>
      <c r="B325" s="158"/>
      <c r="C325" s="179"/>
      <c r="D325" s="158"/>
      <c r="E325" s="160"/>
      <c r="F325" s="161"/>
      <c r="G325" s="161"/>
      <c r="H325" s="161"/>
      <c r="I325" s="154"/>
      <c r="J325" s="418"/>
      <c r="K325" s="419"/>
      <c r="L325" s="154"/>
      <c r="M325" s="418"/>
      <c r="N325" s="419"/>
      <c r="O325" s="150"/>
      <c r="P325" s="164"/>
      <c r="Q325" s="154"/>
      <c r="R325" s="151"/>
      <c r="S325" s="522"/>
      <c r="T325" s="522"/>
      <c r="U325" s="154"/>
      <c r="V325" s="155"/>
      <c r="W325" s="156"/>
      <c r="X325" s="154"/>
      <c r="Y325" s="155"/>
      <c r="Z325" s="155"/>
      <c r="AA325" s="157"/>
      <c r="AB325" s="217"/>
      <c r="AC325" s="150"/>
      <c r="AD325" s="151"/>
      <c r="AE325" s="152"/>
      <c r="AF325" s="506"/>
      <c r="AG325" s="463"/>
      <c r="AH325" s="150"/>
      <c r="AI325" s="152"/>
      <c r="AJ325" s="150"/>
      <c r="AK325" s="152"/>
      <c r="AL325" s="150"/>
      <c r="AM325" s="152"/>
      <c r="AN325" s="150"/>
      <c r="AO325" s="151"/>
      <c r="AP325" s="151"/>
      <c r="AQ325" s="169"/>
      <c r="AR325" s="169"/>
      <c r="AS325" s="149"/>
      <c r="AT325" s="324"/>
      <c r="AU325" s="324"/>
      <c r="AV325" s="324"/>
      <c r="AW325" s="324"/>
      <c r="AX325" s="324"/>
      <c r="AY325" s="324"/>
      <c r="AZ325" s="154"/>
      <c r="BA325" s="419"/>
      <c r="BB325" s="419"/>
      <c r="BC325" s="419"/>
      <c r="BD325" s="419"/>
      <c r="BE325" s="418"/>
      <c r="BF325" s="154"/>
      <c r="BG325" s="419"/>
      <c r="BH325" s="419"/>
      <c r="BI325" s="419"/>
      <c r="BJ325" s="419"/>
      <c r="BK325" s="418"/>
      <c r="BL325" s="36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432"/>
    </row>
    <row r="326" spans="1:74" s="2" customFormat="1" ht="24.9" customHeight="1">
      <c r="A326" s="147" t="s">
        <v>85</v>
      </c>
      <c r="B326" s="158"/>
      <c r="C326" s="179"/>
      <c r="D326" s="158"/>
      <c r="E326" s="160"/>
      <c r="F326" s="161"/>
      <c r="G326" s="161"/>
      <c r="H326" s="161"/>
      <c r="I326" s="154"/>
      <c r="J326" s="418"/>
      <c r="K326" s="419"/>
      <c r="L326" s="154"/>
      <c r="M326" s="418"/>
      <c r="N326" s="419"/>
      <c r="O326" s="150"/>
      <c r="P326" s="164"/>
      <c r="Q326" s="154"/>
      <c r="R326" s="174"/>
      <c r="S326" s="523"/>
      <c r="T326" s="523"/>
      <c r="U326" s="154"/>
      <c r="V326" s="155"/>
      <c r="W326" s="156"/>
      <c r="X326" s="154"/>
      <c r="Y326" s="155"/>
      <c r="Z326" s="155"/>
      <c r="AA326" s="157"/>
      <c r="AB326" s="217"/>
      <c r="AC326" s="150"/>
      <c r="AD326" s="151"/>
      <c r="AE326" s="152"/>
      <c r="AF326" s="506"/>
      <c r="AG326" s="463"/>
      <c r="AH326" s="150"/>
      <c r="AI326" s="152"/>
      <c r="AJ326" s="150"/>
      <c r="AK326" s="152"/>
      <c r="AL326" s="150"/>
      <c r="AM326" s="152"/>
      <c r="AN326" s="150"/>
      <c r="AO326" s="151"/>
      <c r="AP326" s="151"/>
      <c r="AQ326" s="169"/>
      <c r="AR326" s="169"/>
      <c r="AS326" s="149"/>
      <c r="AT326" s="324"/>
      <c r="AU326" s="324"/>
      <c r="AV326" s="324"/>
      <c r="AW326" s="324"/>
      <c r="AX326" s="324"/>
      <c r="AY326" s="324"/>
      <c r="AZ326" s="154"/>
      <c r="BA326" s="419"/>
      <c r="BB326" s="419"/>
      <c r="BC326" s="419"/>
      <c r="BD326" s="419"/>
      <c r="BE326" s="418"/>
      <c r="BF326" s="154"/>
      <c r="BG326" s="419"/>
      <c r="BH326" s="419"/>
      <c r="BI326" s="419"/>
      <c r="BJ326" s="419"/>
      <c r="BK326" s="418"/>
      <c r="BL326" s="36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561"/>
    </row>
    <row r="327" spans="1:74" s="2" customFormat="1" ht="24.9" customHeight="1">
      <c r="A327" s="147" t="s">
        <v>85</v>
      </c>
      <c r="B327" s="158"/>
      <c r="C327" s="179"/>
      <c r="D327" s="158"/>
      <c r="E327" s="160"/>
      <c r="F327" s="161"/>
      <c r="G327" s="161"/>
      <c r="H327" s="161"/>
      <c r="I327" s="154"/>
      <c r="J327" s="418"/>
      <c r="K327" s="419"/>
      <c r="L327" s="154"/>
      <c r="M327" s="418"/>
      <c r="N327" s="419"/>
      <c r="O327" s="150"/>
      <c r="P327" s="164"/>
      <c r="Q327" s="154"/>
      <c r="R327" s="174"/>
      <c r="S327" s="523"/>
      <c r="T327" s="523"/>
      <c r="U327" s="154"/>
      <c r="V327" s="155"/>
      <c r="W327" s="156"/>
      <c r="X327" s="154"/>
      <c r="Y327" s="155"/>
      <c r="Z327" s="155"/>
      <c r="AA327" s="157"/>
      <c r="AB327" s="217"/>
      <c r="AC327" s="150"/>
      <c r="AD327" s="151"/>
      <c r="AE327" s="152"/>
      <c r="AF327" s="506"/>
      <c r="AG327" s="463"/>
      <c r="AH327" s="150"/>
      <c r="AI327" s="152"/>
      <c r="AJ327" s="150"/>
      <c r="AK327" s="152"/>
      <c r="AL327" s="150"/>
      <c r="AM327" s="152"/>
      <c r="AN327" s="150"/>
      <c r="AO327" s="151"/>
      <c r="AP327" s="151"/>
      <c r="AQ327" s="169"/>
      <c r="AR327" s="169"/>
      <c r="AS327" s="149"/>
      <c r="AT327" s="324"/>
      <c r="AU327" s="324"/>
      <c r="AV327" s="324"/>
      <c r="AW327" s="324"/>
      <c r="AX327" s="324"/>
      <c r="AY327" s="324"/>
      <c r="AZ327" s="154"/>
      <c r="BA327" s="419"/>
      <c r="BB327" s="419"/>
      <c r="BC327" s="419"/>
      <c r="BD327" s="419"/>
      <c r="BE327" s="418"/>
      <c r="BF327" s="154"/>
      <c r="BG327" s="419"/>
      <c r="BH327" s="419"/>
      <c r="BI327" s="419"/>
      <c r="BJ327" s="419"/>
      <c r="BK327" s="418"/>
      <c r="BL327" s="36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431"/>
    </row>
    <row r="328" spans="1:74" s="2" customFormat="1" ht="24.9" customHeight="1">
      <c r="A328" s="147" t="s">
        <v>85</v>
      </c>
      <c r="B328" s="158"/>
      <c r="C328" s="179"/>
      <c r="D328" s="158"/>
      <c r="E328" s="160"/>
      <c r="F328" s="161"/>
      <c r="G328" s="161"/>
      <c r="H328" s="161"/>
      <c r="I328" s="154"/>
      <c r="J328" s="418"/>
      <c r="K328" s="419"/>
      <c r="L328" s="154"/>
      <c r="M328" s="418"/>
      <c r="N328" s="419"/>
      <c r="O328" s="150"/>
      <c r="P328" s="164"/>
      <c r="Q328" s="154"/>
      <c r="R328" s="174"/>
      <c r="S328" s="523"/>
      <c r="T328" s="523"/>
      <c r="U328" s="154"/>
      <c r="V328" s="155"/>
      <c r="W328" s="156"/>
      <c r="X328" s="154"/>
      <c r="Y328" s="155"/>
      <c r="Z328" s="155"/>
      <c r="AA328" s="157"/>
      <c r="AB328" s="217"/>
      <c r="AC328" s="150"/>
      <c r="AD328" s="151"/>
      <c r="AE328" s="152"/>
      <c r="AF328" s="506"/>
      <c r="AG328" s="463"/>
      <c r="AH328" s="150"/>
      <c r="AI328" s="152"/>
      <c r="AJ328" s="150"/>
      <c r="AK328" s="152"/>
      <c r="AL328" s="150"/>
      <c r="AM328" s="152"/>
      <c r="AN328" s="150"/>
      <c r="AO328" s="151"/>
      <c r="AP328" s="151"/>
      <c r="AQ328" s="169"/>
      <c r="AR328" s="169"/>
      <c r="AS328" s="149"/>
      <c r="AT328" s="324"/>
      <c r="AU328" s="324"/>
      <c r="AV328" s="324"/>
      <c r="AW328" s="324"/>
      <c r="AX328" s="324"/>
      <c r="AY328" s="324"/>
      <c r="AZ328" s="154"/>
      <c r="BA328" s="419"/>
      <c r="BB328" s="419"/>
      <c r="BC328" s="419"/>
      <c r="BD328" s="419"/>
      <c r="BE328" s="418"/>
      <c r="BF328" s="154"/>
      <c r="BG328" s="419"/>
      <c r="BH328" s="419"/>
      <c r="BI328" s="419"/>
      <c r="BJ328" s="419"/>
      <c r="BK328" s="418"/>
      <c r="BL328" s="36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561"/>
    </row>
    <row r="329" spans="1:74" s="2" customFormat="1" ht="24.9" customHeight="1">
      <c r="A329" s="147" t="s">
        <v>85</v>
      </c>
      <c r="B329" s="158"/>
      <c r="C329" s="179"/>
      <c r="D329" s="158"/>
      <c r="E329" s="160"/>
      <c r="F329" s="161"/>
      <c r="G329" s="161"/>
      <c r="H329" s="161"/>
      <c r="I329" s="154"/>
      <c r="J329" s="418"/>
      <c r="K329" s="419"/>
      <c r="L329" s="154"/>
      <c r="M329" s="418"/>
      <c r="N329" s="419"/>
      <c r="O329" s="150"/>
      <c r="P329" s="164"/>
      <c r="Q329" s="154"/>
      <c r="R329" s="174"/>
      <c r="S329" s="523"/>
      <c r="T329" s="523"/>
      <c r="U329" s="154"/>
      <c r="V329" s="155"/>
      <c r="W329" s="156"/>
      <c r="X329" s="154"/>
      <c r="Y329" s="155"/>
      <c r="Z329" s="155"/>
      <c r="AA329" s="157"/>
      <c r="AB329" s="217"/>
      <c r="AC329" s="150"/>
      <c r="AD329" s="151"/>
      <c r="AE329" s="152"/>
      <c r="AF329" s="506"/>
      <c r="AG329" s="463"/>
      <c r="AH329" s="150"/>
      <c r="AI329" s="152"/>
      <c r="AJ329" s="150"/>
      <c r="AK329" s="152"/>
      <c r="AL329" s="150"/>
      <c r="AM329" s="152"/>
      <c r="AN329" s="150"/>
      <c r="AO329" s="151"/>
      <c r="AP329" s="151"/>
      <c r="AQ329" s="169"/>
      <c r="AR329" s="169"/>
      <c r="AS329" s="149"/>
      <c r="AT329" s="324"/>
      <c r="AU329" s="324"/>
      <c r="AV329" s="324"/>
      <c r="AW329" s="324"/>
      <c r="AX329" s="324"/>
      <c r="AY329" s="324"/>
      <c r="AZ329" s="154"/>
      <c r="BA329" s="419"/>
      <c r="BB329" s="419"/>
      <c r="BC329" s="419"/>
      <c r="BD329" s="419"/>
      <c r="BE329" s="418"/>
      <c r="BF329" s="154"/>
      <c r="BG329" s="419"/>
      <c r="BH329" s="419"/>
      <c r="BI329" s="419"/>
      <c r="BJ329" s="419"/>
      <c r="BK329" s="418"/>
      <c r="BL329" s="36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431"/>
    </row>
    <row r="330" spans="1:74" s="2" customFormat="1" ht="24.9" customHeight="1">
      <c r="A330" s="147" t="s">
        <v>85</v>
      </c>
      <c r="B330" s="158"/>
      <c r="C330" s="179"/>
      <c r="D330" s="158"/>
      <c r="E330" s="160"/>
      <c r="F330" s="161"/>
      <c r="G330" s="161"/>
      <c r="H330" s="161"/>
      <c r="I330" s="154"/>
      <c r="J330" s="418"/>
      <c r="K330" s="419"/>
      <c r="L330" s="154"/>
      <c r="M330" s="418"/>
      <c r="N330" s="419"/>
      <c r="O330" s="150"/>
      <c r="P330" s="164"/>
      <c r="Q330" s="154"/>
      <c r="R330" s="174"/>
      <c r="S330" s="523"/>
      <c r="T330" s="523"/>
      <c r="U330" s="154"/>
      <c r="V330" s="155"/>
      <c r="W330" s="156"/>
      <c r="X330" s="154"/>
      <c r="Y330" s="155"/>
      <c r="Z330" s="155"/>
      <c r="AA330" s="157"/>
      <c r="AB330" s="217"/>
      <c r="AC330" s="150"/>
      <c r="AD330" s="151"/>
      <c r="AE330" s="152"/>
      <c r="AF330" s="506"/>
      <c r="AG330" s="463"/>
      <c r="AH330" s="150"/>
      <c r="AI330" s="152"/>
      <c r="AJ330" s="150"/>
      <c r="AK330" s="152"/>
      <c r="AL330" s="150"/>
      <c r="AM330" s="152"/>
      <c r="AN330" s="150"/>
      <c r="AO330" s="151"/>
      <c r="AP330" s="151"/>
      <c r="AQ330" s="169"/>
      <c r="AR330" s="169"/>
      <c r="AS330" s="149"/>
      <c r="AT330" s="324"/>
      <c r="AU330" s="324"/>
      <c r="AV330" s="324"/>
      <c r="AW330" s="324"/>
      <c r="AX330" s="324"/>
      <c r="AY330" s="324"/>
      <c r="AZ330" s="154"/>
      <c r="BA330" s="419"/>
      <c r="BB330" s="419"/>
      <c r="BC330" s="419"/>
      <c r="BD330" s="419"/>
      <c r="BE330" s="418"/>
      <c r="BF330" s="154"/>
      <c r="BG330" s="419"/>
      <c r="BH330" s="419"/>
      <c r="BI330" s="419"/>
      <c r="BJ330" s="419"/>
      <c r="BK330" s="418"/>
      <c r="BL330" s="36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561"/>
    </row>
    <row r="331" spans="1:74" s="2" customFormat="1" ht="24.9" customHeight="1">
      <c r="A331" s="147" t="s">
        <v>85</v>
      </c>
      <c r="B331" s="158"/>
      <c r="C331" s="179"/>
      <c r="D331" s="158"/>
      <c r="E331" s="160"/>
      <c r="F331" s="161"/>
      <c r="G331" s="161"/>
      <c r="H331" s="161"/>
      <c r="I331" s="154"/>
      <c r="J331" s="418"/>
      <c r="K331" s="419"/>
      <c r="L331" s="154"/>
      <c r="M331" s="418"/>
      <c r="N331" s="419"/>
      <c r="O331" s="150"/>
      <c r="P331" s="164"/>
      <c r="Q331" s="154"/>
      <c r="R331" s="174"/>
      <c r="S331" s="523"/>
      <c r="T331" s="523"/>
      <c r="U331" s="154"/>
      <c r="V331" s="155"/>
      <c r="W331" s="156"/>
      <c r="X331" s="154"/>
      <c r="Y331" s="155"/>
      <c r="Z331" s="155"/>
      <c r="AA331" s="157"/>
      <c r="AB331" s="217"/>
      <c r="AC331" s="150"/>
      <c r="AD331" s="151"/>
      <c r="AE331" s="152"/>
      <c r="AF331" s="506"/>
      <c r="AG331" s="463"/>
      <c r="AH331" s="150"/>
      <c r="AI331" s="152"/>
      <c r="AJ331" s="150"/>
      <c r="AK331" s="152"/>
      <c r="AL331" s="150"/>
      <c r="AM331" s="152"/>
      <c r="AN331" s="150"/>
      <c r="AO331" s="151"/>
      <c r="AP331" s="151"/>
      <c r="AQ331" s="169"/>
      <c r="AR331" s="169"/>
      <c r="AS331" s="149"/>
      <c r="AT331" s="324"/>
      <c r="AU331" s="324"/>
      <c r="AV331" s="324"/>
      <c r="AW331" s="324"/>
      <c r="AX331" s="324"/>
      <c r="AY331" s="324"/>
      <c r="AZ331" s="154"/>
      <c r="BA331" s="419"/>
      <c r="BB331" s="419"/>
      <c r="BC331" s="419"/>
      <c r="BD331" s="419"/>
      <c r="BE331" s="418"/>
      <c r="BF331" s="154"/>
      <c r="BG331" s="419"/>
      <c r="BH331" s="419"/>
      <c r="BI331" s="419"/>
      <c r="BJ331" s="419"/>
      <c r="BK331" s="418"/>
      <c r="BL331" s="36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431"/>
    </row>
    <row r="332" spans="1:74" s="2" customFormat="1" ht="24.9" customHeight="1">
      <c r="A332" s="147" t="s">
        <v>85</v>
      </c>
      <c r="B332" s="158"/>
      <c r="C332" s="179"/>
      <c r="D332" s="158"/>
      <c r="E332" s="160"/>
      <c r="F332" s="161"/>
      <c r="G332" s="161"/>
      <c r="H332" s="161"/>
      <c r="I332" s="154"/>
      <c r="J332" s="418"/>
      <c r="K332" s="419"/>
      <c r="L332" s="154"/>
      <c r="M332" s="418"/>
      <c r="N332" s="419"/>
      <c r="O332" s="150"/>
      <c r="P332" s="164"/>
      <c r="Q332" s="154"/>
      <c r="R332" s="151"/>
      <c r="S332" s="522"/>
      <c r="T332" s="522"/>
      <c r="U332" s="154"/>
      <c r="V332" s="155"/>
      <c r="W332" s="156"/>
      <c r="X332" s="154"/>
      <c r="Y332" s="155"/>
      <c r="Z332" s="155"/>
      <c r="AA332" s="157"/>
      <c r="AB332" s="217"/>
      <c r="AC332" s="150"/>
      <c r="AD332" s="151"/>
      <c r="AE332" s="152"/>
      <c r="AF332" s="506"/>
      <c r="AG332" s="463"/>
      <c r="AH332" s="150"/>
      <c r="AI332" s="152"/>
      <c r="AJ332" s="150"/>
      <c r="AK332" s="152"/>
      <c r="AL332" s="150"/>
      <c r="AM332" s="152"/>
      <c r="AN332" s="150"/>
      <c r="AO332" s="151"/>
      <c r="AP332" s="151"/>
      <c r="AQ332" s="169"/>
      <c r="AR332" s="169"/>
      <c r="AS332" s="149"/>
      <c r="AT332" s="324"/>
      <c r="AU332" s="324"/>
      <c r="AV332" s="324"/>
      <c r="AW332" s="324"/>
      <c r="AX332" s="324"/>
      <c r="AY332" s="324"/>
      <c r="AZ332" s="154"/>
      <c r="BA332" s="419"/>
      <c r="BB332" s="419"/>
      <c r="BC332" s="419"/>
      <c r="BD332" s="419"/>
      <c r="BE332" s="418"/>
      <c r="BF332" s="154"/>
      <c r="BG332" s="419"/>
      <c r="BH332" s="419"/>
      <c r="BI332" s="419"/>
      <c r="BJ332" s="419"/>
      <c r="BK332" s="418"/>
      <c r="BL332" s="36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432"/>
    </row>
    <row r="333" spans="1:74" s="2" customFormat="1" ht="24.9" customHeight="1">
      <c r="A333" s="147" t="s">
        <v>85</v>
      </c>
      <c r="B333" s="158"/>
      <c r="C333" s="179"/>
      <c r="D333" s="158"/>
      <c r="E333" s="160"/>
      <c r="F333" s="161"/>
      <c r="G333" s="161"/>
      <c r="H333" s="161"/>
      <c r="I333" s="154"/>
      <c r="J333" s="418"/>
      <c r="K333" s="419"/>
      <c r="L333" s="154"/>
      <c r="M333" s="418"/>
      <c r="N333" s="419"/>
      <c r="O333" s="150"/>
      <c r="P333" s="164"/>
      <c r="Q333" s="154"/>
      <c r="R333" s="174"/>
      <c r="S333" s="523"/>
      <c r="T333" s="523"/>
      <c r="U333" s="154"/>
      <c r="V333" s="155"/>
      <c r="W333" s="156"/>
      <c r="X333" s="154"/>
      <c r="Y333" s="155"/>
      <c r="Z333" s="155"/>
      <c r="AA333" s="157"/>
      <c r="AB333" s="217"/>
      <c r="AC333" s="150"/>
      <c r="AD333" s="151"/>
      <c r="AE333" s="152"/>
      <c r="AF333" s="506"/>
      <c r="AG333" s="463"/>
      <c r="AH333" s="150"/>
      <c r="AI333" s="152"/>
      <c r="AJ333" s="150"/>
      <c r="AK333" s="152"/>
      <c r="AL333" s="150"/>
      <c r="AM333" s="152"/>
      <c r="AN333" s="150"/>
      <c r="AO333" s="151"/>
      <c r="AP333" s="151"/>
      <c r="AQ333" s="169"/>
      <c r="AR333" s="169"/>
      <c r="AS333" s="149"/>
      <c r="AT333" s="324"/>
      <c r="AU333" s="324"/>
      <c r="AV333" s="324"/>
      <c r="AW333" s="324"/>
      <c r="AX333" s="324"/>
      <c r="AY333" s="324"/>
      <c r="AZ333" s="154"/>
      <c r="BA333" s="419"/>
      <c r="BB333" s="419"/>
      <c r="BC333" s="419"/>
      <c r="BD333" s="419"/>
      <c r="BE333" s="418"/>
      <c r="BF333" s="154"/>
      <c r="BG333" s="419"/>
      <c r="BH333" s="419"/>
      <c r="BI333" s="419"/>
      <c r="BJ333" s="419"/>
      <c r="BK333" s="418"/>
      <c r="BL333" s="36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561"/>
    </row>
    <row r="334" spans="1:74" s="2" customFormat="1" ht="24.9" customHeight="1">
      <c r="A334" s="147" t="s">
        <v>85</v>
      </c>
      <c r="B334" s="158"/>
      <c r="C334" s="179"/>
      <c r="D334" s="158"/>
      <c r="E334" s="160"/>
      <c r="F334" s="161"/>
      <c r="G334" s="161"/>
      <c r="H334" s="161"/>
      <c r="I334" s="154"/>
      <c r="J334" s="418"/>
      <c r="K334" s="419"/>
      <c r="L334" s="154"/>
      <c r="M334" s="418"/>
      <c r="N334" s="419"/>
      <c r="O334" s="150"/>
      <c r="P334" s="164"/>
      <c r="Q334" s="154"/>
      <c r="R334" s="174"/>
      <c r="S334" s="523"/>
      <c r="T334" s="523"/>
      <c r="U334" s="154"/>
      <c r="V334" s="155"/>
      <c r="W334" s="156"/>
      <c r="X334" s="154"/>
      <c r="Y334" s="155"/>
      <c r="Z334" s="155"/>
      <c r="AA334" s="157"/>
      <c r="AB334" s="217"/>
      <c r="AC334" s="150"/>
      <c r="AD334" s="151"/>
      <c r="AE334" s="152"/>
      <c r="AF334" s="506"/>
      <c r="AG334" s="463"/>
      <c r="AH334" s="150"/>
      <c r="AI334" s="152"/>
      <c r="AJ334" s="150"/>
      <c r="AK334" s="152"/>
      <c r="AL334" s="150"/>
      <c r="AM334" s="152"/>
      <c r="AN334" s="150"/>
      <c r="AO334" s="151"/>
      <c r="AP334" s="151"/>
      <c r="AQ334" s="169"/>
      <c r="AR334" s="169"/>
      <c r="AS334" s="149"/>
      <c r="AT334" s="324"/>
      <c r="AU334" s="324"/>
      <c r="AV334" s="324"/>
      <c r="AW334" s="324"/>
      <c r="AX334" s="324"/>
      <c r="AY334" s="324"/>
      <c r="AZ334" s="154"/>
      <c r="BA334" s="419"/>
      <c r="BB334" s="419"/>
      <c r="BC334" s="419"/>
      <c r="BD334" s="419"/>
      <c r="BE334" s="418"/>
      <c r="BF334" s="154"/>
      <c r="BG334" s="419"/>
      <c r="BH334" s="419"/>
      <c r="BI334" s="419"/>
      <c r="BJ334" s="419"/>
      <c r="BK334" s="418"/>
      <c r="BL334" s="36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431"/>
    </row>
    <row r="335" spans="1:74" s="2" customFormat="1" ht="24.9" customHeight="1">
      <c r="A335" s="147" t="s">
        <v>85</v>
      </c>
      <c r="B335" s="158"/>
      <c r="C335" s="179"/>
      <c r="D335" s="158"/>
      <c r="E335" s="160"/>
      <c r="F335" s="161"/>
      <c r="G335" s="161"/>
      <c r="H335" s="161"/>
      <c r="I335" s="154"/>
      <c r="J335" s="418"/>
      <c r="K335" s="419"/>
      <c r="L335" s="154"/>
      <c r="M335" s="418"/>
      <c r="N335" s="419"/>
      <c r="O335" s="150"/>
      <c r="P335" s="164"/>
      <c r="Q335" s="154"/>
      <c r="R335" s="151"/>
      <c r="S335" s="522"/>
      <c r="T335" s="522"/>
      <c r="U335" s="154"/>
      <c r="V335" s="155"/>
      <c r="W335" s="156"/>
      <c r="X335" s="154"/>
      <c r="Y335" s="155"/>
      <c r="Z335" s="155"/>
      <c r="AA335" s="157"/>
      <c r="AB335" s="217"/>
      <c r="AC335" s="150"/>
      <c r="AD335" s="151"/>
      <c r="AE335" s="152"/>
      <c r="AF335" s="506"/>
      <c r="AG335" s="463"/>
      <c r="AH335" s="150"/>
      <c r="AI335" s="152"/>
      <c r="AJ335" s="150"/>
      <c r="AK335" s="152"/>
      <c r="AL335" s="150"/>
      <c r="AM335" s="152"/>
      <c r="AN335" s="150"/>
      <c r="AO335" s="151"/>
      <c r="AP335" s="151"/>
      <c r="AQ335" s="169"/>
      <c r="AR335" s="169"/>
      <c r="AS335" s="149"/>
      <c r="AT335" s="324"/>
      <c r="AU335" s="324"/>
      <c r="AV335" s="324"/>
      <c r="AW335" s="324"/>
      <c r="AX335" s="324"/>
      <c r="AY335" s="324"/>
      <c r="AZ335" s="154"/>
      <c r="BA335" s="419"/>
      <c r="BB335" s="419"/>
      <c r="BC335" s="419"/>
      <c r="BD335" s="419"/>
      <c r="BE335" s="418"/>
      <c r="BF335" s="154"/>
      <c r="BG335" s="419"/>
      <c r="BH335" s="419"/>
      <c r="BI335" s="419"/>
      <c r="BJ335" s="419"/>
      <c r="BK335" s="418"/>
      <c r="BL335" s="36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432"/>
    </row>
    <row r="336" spans="1:74" s="2" customFormat="1" ht="24.9" customHeight="1">
      <c r="A336" s="147" t="s">
        <v>85</v>
      </c>
      <c r="B336" s="158"/>
      <c r="C336" s="179"/>
      <c r="D336" s="158"/>
      <c r="E336" s="160"/>
      <c r="F336" s="161"/>
      <c r="G336" s="161"/>
      <c r="H336" s="161"/>
      <c r="I336" s="154"/>
      <c r="J336" s="418"/>
      <c r="K336" s="419"/>
      <c r="L336" s="154"/>
      <c r="M336" s="418"/>
      <c r="N336" s="419"/>
      <c r="O336" s="150"/>
      <c r="P336" s="164"/>
      <c r="Q336" s="154"/>
      <c r="R336" s="174"/>
      <c r="S336" s="523"/>
      <c r="T336" s="523"/>
      <c r="U336" s="154"/>
      <c r="V336" s="155"/>
      <c r="W336" s="156"/>
      <c r="X336" s="154"/>
      <c r="Y336" s="155"/>
      <c r="Z336" s="155"/>
      <c r="AA336" s="157"/>
      <c r="AB336" s="217"/>
      <c r="AC336" s="150"/>
      <c r="AD336" s="151"/>
      <c r="AE336" s="152"/>
      <c r="AF336" s="506"/>
      <c r="AG336" s="463"/>
      <c r="AH336" s="150"/>
      <c r="AI336" s="152"/>
      <c r="AJ336" s="150"/>
      <c r="AK336" s="152"/>
      <c r="AL336" s="150"/>
      <c r="AM336" s="152"/>
      <c r="AN336" s="150"/>
      <c r="AO336" s="151"/>
      <c r="AP336" s="151"/>
      <c r="AQ336" s="169"/>
      <c r="AR336" s="169"/>
      <c r="AS336" s="149"/>
      <c r="AT336" s="324"/>
      <c r="AU336" s="324"/>
      <c r="AV336" s="324"/>
      <c r="AW336" s="324"/>
      <c r="AX336" s="324"/>
      <c r="AY336" s="324"/>
      <c r="AZ336" s="154"/>
      <c r="BA336" s="419"/>
      <c r="BB336" s="419"/>
      <c r="BC336" s="419"/>
      <c r="BD336" s="419"/>
      <c r="BE336" s="418"/>
      <c r="BF336" s="154"/>
      <c r="BG336" s="419"/>
      <c r="BH336" s="419"/>
      <c r="BI336" s="419"/>
      <c r="BJ336" s="419"/>
      <c r="BK336" s="418"/>
      <c r="BL336" s="36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432"/>
    </row>
    <row r="337" spans="1:74" s="2" customFormat="1" ht="24.9" customHeight="1">
      <c r="A337" s="147" t="s">
        <v>85</v>
      </c>
      <c r="B337" s="158"/>
      <c r="C337" s="179"/>
      <c r="D337" s="158"/>
      <c r="E337" s="160"/>
      <c r="F337" s="161"/>
      <c r="G337" s="161"/>
      <c r="H337" s="161"/>
      <c r="I337" s="154"/>
      <c r="J337" s="418"/>
      <c r="K337" s="419"/>
      <c r="L337" s="154"/>
      <c r="M337" s="418"/>
      <c r="N337" s="419"/>
      <c r="O337" s="150"/>
      <c r="P337" s="164"/>
      <c r="Q337" s="154"/>
      <c r="R337" s="151"/>
      <c r="S337" s="522"/>
      <c r="T337" s="522"/>
      <c r="U337" s="154"/>
      <c r="V337" s="155"/>
      <c r="W337" s="156"/>
      <c r="X337" s="154"/>
      <c r="Y337" s="155"/>
      <c r="Z337" s="155"/>
      <c r="AA337" s="157"/>
      <c r="AB337" s="217"/>
      <c r="AC337" s="150"/>
      <c r="AD337" s="151"/>
      <c r="AE337" s="152"/>
      <c r="AF337" s="506"/>
      <c r="AG337" s="463"/>
      <c r="AH337" s="150"/>
      <c r="AI337" s="152"/>
      <c r="AJ337" s="150"/>
      <c r="AK337" s="152"/>
      <c r="AL337" s="150"/>
      <c r="AM337" s="152"/>
      <c r="AN337" s="150"/>
      <c r="AO337" s="151"/>
      <c r="AP337" s="151"/>
      <c r="AQ337" s="169"/>
      <c r="AR337" s="169"/>
      <c r="AS337" s="149"/>
      <c r="AT337" s="324"/>
      <c r="AU337" s="324"/>
      <c r="AV337" s="324"/>
      <c r="AW337" s="324"/>
      <c r="AX337" s="324"/>
      <c r="AY337" s="324"/>
      <c r="AZ337" s="154"/>
      <c r="BA337" s="419"/>
      <c r="BB337" s="419"/>
      <c r="BC337" s="419"/>
      <c r="BD337" s="419"/>
      <c r="BE337" s="418"/>
      <c r="BF337" s="154"/>
      <c r="BG337" s="419"/>
      <c r="BH337" s="419"/>
      <c r="BI337" s="419"/>
      <c r="BJ337" s="419"/>
      <c r="BK337" s="418"/>
      <c r="BL337" s="36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561"/>
    </row>
    <row r="338" spans="1:74" s="2" customFormat="1" ht="24.9" customHeight="1">
      <c r="A338" s="147" t="s">
        <v>85</v>
      </c>
      <c r="B338" s="158"/>
      <c r="C338" s="179"/>
      <c r="D338" s="158"/>
      <c r="E338" s="160"/>
      <c r="F338" s="161"/>
      <c r="G338" s="161"/>
      <c r="H338" s="161"/>
      <c r="I338" s="154"/>
      <c r="J338" s="418"/>
      <c r="K338" s="419"/>
      <c r="L338" s="154"/>
      <c r="M338" s="418"/>
      <c r="N338" s="419"/>
      <c r="O338" s="150"/>
      <c r="P338" s="164"/>
      <c r="Q338" s="154"/>
      <c r="R338" s="174"/>
      <c r="S338" s="523"/>
      <c r="T338" s="523"/>
      <c r="U338" s="154"/>
      <c r="V338" s="155"/>
      <c r="W338" s="156"/>
      <c r="X338" s="154"/>
      <c r="Y338" s="155"/>
      <c r="Z338" s="155"/>
      <c r="AA338" s="157"/>
      <c r="AB338" s="217"/>
      <c r="AC338" s="150"/>
      <c r="AD338" s="151"/>
      <c r="AE338" s="152"/>
      <c r="AF338" s="506"/>
      <c r="AG338" s="463"/>
      <c r="AH338" s="150"/>
      <c r="AI338" s="152"/>
      <c r="AJ338" s="150"/>
      <c r="AK338" s="152"/>
      <c r="AL338" s="150"/>
      <c r="AM338" s="152"/>
      <c r="AN338" s="150"/>
      <c r="AO338" s="151"/>
      <c r="AP338" s="151"/>
      <c r="AQ338" s="169"/>
      <c r="AR338" s="169"/>
      <c r="AS338" s="149"/>
      <c r="AT338" s="324"/>
      <c r="AU338" s="324"/>
      <c r="AV338" s="324"/>
      <c r="AW338" s="324"/>
      <c r="AX338" s="324"/>
      <c r="AY338" s="324"/>
      <c r="AZ338" s="154"/>
      <c r="BA338" s="419"/>
      <c r="BB338" s="419"/>
      <c r="BC338" s="419"/>
      <c r="BD338" s="419"/>
      <c r="BE338" s="418"/>
      <c r="BF338" s="154"/>
      <c r="BG338" s="419"/>
      <c r="BH338" s="419"/>
      <c r="BI338" s="419"/>
      <c r="BJ338" s="419"/>
      <c r="BK338" s="418"/>
      <c r="BL338" s="36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431"/>
    </row>
    <row r="339" spans="1:74" s="2" customFormat="1" ht="24.9" customHeight="1">
      <c r="A339" s="147" t="s">
        <v>85</v>
      </c>
      <c r="B339" s="158"/>
      <c r="C339" s="179"/>
      <c r="D339" s="158"/>
      <c r="E339" s="160"/>
      <c r="F339" s="161"/>
      <c r="G339" s="161"/>
      <c r="H339" s="161"/>
      <c r="I339" s="154"/>
      <c r="J339" s="418"/>
      <c r="K339" s="419"/>
      <c r="L339" s="154"/>
      <c r="M339" s="418"/>
      <c r="N339" s="419"/>
      <c r="O339" s="150"/>
      <c r="P339" s="164"/>
      <c r="Q339" s="154"/>
      <c r="R339" s="174"/>
      <c r="S339" s="523"/>
      <c r="T339" s="523"/>
      <c r="U339" s="154"/>
      <c r="V339" s="155"/>
      <c r="W339" s="156"/>
      <c r="X339" s="154"/>
      <c r="Y339" s="155"/>
      <c r="Z339" s="155"/>
      <c r="AA339" s="157"/>
      <c r="AB339" s="217"/>
      <c r="AC339" s="150"/>
      <c r="AD339" s="151"/>
      <c r="AE339" s="152"/>
      <c r="AF339" s="506"/>
      <c r="AG339" s="463"/>
      <c r="AH339" s="150"/>
      <c r="AI339" s="152"/>
      <c r="AJ339" s="150"/>
      <c r="AK339" s="152"/>
      <c r="AL339" s="150"/>
      <c r="AM339" s="152"/>
      <c r="AN339" s="150"/>
      <c r="AO339" s="151"/>
      <c r="AP339" s="151"/>
      <c r="AQ339" s="169"/>
      <c r="AR339" s="169"/>
      <c r="AS339" s="149"/>
      <c r="AT339" s="324"/>
      <c r="AU339" s="324"/>
      <c r="AV339" s="324"/>
      <c r="AW339" s="324"/>
      <c r="AX339" s="324"/>
      <c r="AY339" s="324"/>
      <c r="AZ339" s="154"/>
      <c r="BA339" s="419"/>
      <c r="BB339" s="419"/>
      <c r="BC339" s="419"/>
      <c r="BD339" s="419"/>
      <c r="BE339" s="418"/>
      <c r="BF339" s="154"/>
      <c r="BG339" s="419"/>
      <c r="BH339" s="419"/>
      <c r="BI339" s="419"/>
      <c r="BJ339" s="419"/>
      <c r="BK339" s="418"/>
      <c r="BL339" s="36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561"/>
    </row>
    <row r="340" spans="1:74" s="2" customFormat="1" ht="24.9" customHeight="1">
      <c r="A340" s="147" t="s">
        <v>85</v>
      </c>
      <c r="B340" s="158"/>
      <c r="C340" s="179"/>
      <c r="D340" s="158"/>
      <c r="E340" s="160"/>
      <c r="F340" s="161"/>
      <c r="G340" s="161"/>
      <c r="H340" s="161"/>
      <c r="I340" s="154"/>
      <c r="J340" s="418"/>
      <c r="K340" s="419"/>
      <c r="L340" s="154"/>
      <c r="M340" s="418"/>
      <c r="N340" s="419"/>
      <c r="O340" s="150"/>
      <c r="P340" s="164"/>
      <c r="Q340" s="154"/>
      <c r="R340" s="174"/>
      <c r="S340" s="523"/>
      <c r="T340" s="523"/>
      <c r="U340" s="154"/>
      <c r="V340" s="155"/>
      <c r="W340" s="156"/>
      <c r="X340" s="154"/>
      <c r="Y340" s="155"/>
      <c r="Z340" s="155"/>
      <c r="AA340" s="157"/>
      <c r="AB340" s="217"/>
      <c r="AC340" s="150"/>
      <c r="AD340" s="151"/>
      <c r="AE340" s="152"/>
      <c r="AF340" s="506"/>
      <c r="AG340" s="463"/>
      <c r="AH340" s="150"/>
      <c r="AI340" s="152"/>
      <c r="AJ340" s="150"/>
      <c r="AK340" s="152"/>
      <c r="AL340" s="150"/>
      <c r="AM340" s="152"/>
      <c r="AN340" s="150"/>
      <c r="AO340" s="151"/>
      <c r="AP340" s="151"/>
      <c r="AQ340" s="169"/>
      <c r="AR340" s="169"/>
      <c r="AS340" s="149"/>
      <c r="AT340" s="324"/>
      <c r="AU340" s="324"/>
      <c r="AV340" s="324"/>
      <c r="AW340" s="324"/>
      <c r="AX340" s="324"/>
      <c r="AY340" s="324"/>
      <c r="AZ340" s="154"/>
      <c r="BA340" s="419"/>
      <c r="BB340" s="419"/>
      <c r="BC340" s="419"/>
      <c r="BD340" s="419"/>
      <c r="BE340" s="418"/>
      <c r="BF340" s="154"/>
      <c r="BG340" s="419"/>
      <c r="BH340" s="419"/>
      <c r="BI340" s="419"/>
      <c r="BJ340" s="419"/>
      <c r="BK340" s="418"/>
      <c r="BL340" s="36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431"/>
    </row>
    <row r="341" spans="1:74" s="2" customFormat="1" ht="24.9" customHeight="1">
      <c r="A341" s="147" t="s">
        <v>85</v>
      </c>
      <c r="B341" s="158"/>
      <c r="C341" s="179"/>
      <c r="D341" s="158"/>
      <c r="E341" s="160"/>
      <c r="F341" s="161"/>
      <c r="G341" s="161"/>
      <c r="H341" s="161"/>
      <c r="I341" s="154"/>
      <c r="J341" s="418"/>
      <c r="K341" s="419"/>
      <c r="L341" s="154"/>
      <c r="M341" s="418"/>
      <c r="N341" s="419"/>
      <c r="O341" s="150"/>
      <c r="P341" s="164"/>
      <c r="Q341" s="154"/>
      <c r="R341" s="151"/>
      <c r="S341" s="522"/>
      <c r="T341" s="522"/>
      <c r="U341" s="154"/>
      <c r="V341" s="155"/>
      <c r="W341" s="156"/>
      <c r="X341" s="154"/>
      <c r="Y341" s="155"/>
      <c r="Z341" s="155"/>
      <c r="AA341" s="157"/>
      <c r="AB341" s="217"/>
      <c r="AC341" s="150"/>
      <c r="AD341" s="151"/>
      <c r="AE341" s="152"/>
      <c r="AF341" s="506"/>
      <c r="AG341" s="463"/>
      <c r="AH341" s="150"/>
      <c r="AI341" s="152"/>
      <c r="AJ341" s="150"/>
      <c r="AK341" s="152"/>
      <c r="AL341" s="150"/>
      <c r="AM341" s="152"/>
      <c r="AN341" s="150"/>
      <c r="AO341" s="151"/>
      <c r="AP341" s="151"/>
      <c r="AQ341" s="169"/>
      <c r="AR341" s="169"/>
      <c r="AS341" s="149"/>
      <c r="AT341" s="324"/>
      <c r="AU341" s="324"/>
      <c r="AV341" s="324"/>
      <c r="AW341" s="324"/>
      <c r="AX341" s="324"/>
      <c r="AY341" s="324"/>
      <c r="AZ341" s="154"/>
      <c r="BA341" s="419"/>
      <c r="BB341" s="419"/>
      <c r="BC341" s="419"/>
      <c r="BD341" s="419"/>
      <c r="BE341" s="418"/>
      <c r="BF341" s="154"/>
      <c r="BG341" s="419"/>
      <c r="BH341" s="419"/>
      <c r="BI341" s="419"/>
      <c r="BJ341" s="419"/>
      <c r="BK341" s="418"/>
      <c r="BL341" s="36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432"/>
    </row>
    <row r="342" spans="1:74" s="2" customFormat="1" ht="24.9" customHeight="1">
      <c r="A342" s="147" t="s">
        <v>85</v>
      </c>
      <c r="B342" s="158"/>
      <c r="C342" s="179"/>
      <c r="D342" s="158"/>
      <c r="E342" s="160"/>
      <c r="F342" s="161"/>
      <c r="G342" s="161"/>
      <c r="H342" s="161"/>
      <c r="I342" s="154"/>
      <c r="J342" s="418"/>
      <c r="K342" s="419"/>
      <c r="L342" s="154"/>
      <c r="M342" s="418"/>
      <c r="N342" s="419"/>
      <c r="O342" s="150"/>
      <c r="P342" s="164"/>
      <c r="Q342" s="154"/>
      <c r="R342" s="174"/>
      <c r="S342" s="523"/>
      <c r="T342" s="523"/>
      <c r="U342" s="154"/>
      <c r="V342" s="155"/>
      <c r="W342" s="156"/>
      <c r="X342" s="154"/>
      <c r="Y342" s="155"/>
      <c r="Z342" s="155"/>
      <c r="AA342" s="157"/>
      <c r="AB342" s="217"/>
      <c r="AC342" s="150"/>
      <c r="AD342" s="151"/>
      <c r="AE342" s="152"/>
      <c r="AF342" s="506"/>
      <c r="AG342" s="463"/>
      <c r="AH342" s="150"/>
      <c r="AI342" s="152"/>
      <c r="AJ342" s="150"/>
      <c r="AK342" s="152"/>
      <c r="AL342" s="150"/>
      <c r="AM342" s="152"/>
      <c r="AN342" s="150"/>
      <c r="AO342" s="151"/>
      <c r="AP342" s="151"/>
      <c r="AQ342" s="169"/>
      <c r="AR342" s="169"/>
      <c r="AS342" s="149"/>
      <c r="AT342" s="324"/>
      <c r="AU342" s="324"/>
      <c r="AV342" s="324"/>
      <c r="AW342" s="324"/>
      <c r="AX342" s="324"/>
      <c r="AY342" s="324"/>
      <c r="AZ342" s="154"/>
      <c r="BA342" s="419"/>
      <c r="BB342" s="419"/>
      <c r="BC342" s="419"/>
      <c r="BD342" s="419"/>
      <c r="BE342" s="418"/>
      <c r="BF342" s="154"/>
      <c r="BG342" s="419"/>
      <c r="BH342" s="419"/>
      <c r="BI342" s="419"/>
      <c r="BJ342" s="419"/>
      <c r="BK342" s="418"/>
      <c r="BL342" s="36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561"/>
    </row>
    <row r="343" spans="1:74" s="2" customFormat="1" ht="24.9" customHeight="1">
      <c r="A343" s="147" t="s">
        <v>85</v>
      </c>
      <c r="B343" s="158"/>
      <c r="C343" s="179"/>
      <c r="D343" s="158"/>
      <c r="E343" s="160"/>
      <c r="F343" s="161"/>
      <c r="G343" s="161"/>
      <c r="H343" s="161"/>
      <c r="I343" s="154"/>
      <c r="J343" s="418"/>
      <c r="K343" s="419"/>
      <c r="L343" s="154"/>
      <c r="M343" s="418"/>
      <c r="N343" s="419"/>
      <c r="O343" s="150"/>
      <c r="P343" s="164"/>
      <c r="Q343" s="154"/>
      <c r="R343" s="174"/>
      <c r="S343" s="523"/>
      <c r="T343" s="523"/>
      <c r="U343" s="154"/>
      <c r="V343" s="155"/>
      <c r="W343" s="156"/>
      <c r="X343" s="154"/>
      <c r="Y343" s="155"/>
      <c r="Z343" s="155"/>
      <c r="AA343" s="157"/>
      <c r="AB343" s="217"/>
      <c r="AC343" s="150"/>
      <c r="AD343" s="151"/>
      <c r="AE343" s="152"/>
      <c r="AF343" s="506"/>
      <c r="AG343" s="463"/>
      <c r="AH343" s="150"/>
      <c r="AI343" s="152"/>
      <c r="AJ343" s="150"/>
      <c r="AK343" s="152"/>
      <c r="AL343" s="150"/>
      <c r="AM343" s="152"/>
      <c r="AN343" s="150"/>
      <c r="AO343" s="151"/>
      <c r="AP343" s="151"/>
      <c r="AQ343" s="169"/>
      <c r="AR343" s="169"/>
      <c r="AS343" s="149"/>
      <c r="AT343" s="324"/>
      <c r="AU343" s="324"/>
      <c r="AV343" s="324"/>
      <c r="AW343" s="324"/>
      <c r="AX343" s="324"/>
      <c r="AY343" s="324"/>
      <c r="AZ343" s="154"/>
      <c r="BA343" s="419"/>
      <c r="BB343" s="419"/>
      <c r="BC343" s="419"/>
      <c r="BD343" s="419"/>
      <c r="BE343" s="418"/>
      <c r="BF343" s="154"/>
      <c r="BG343" s="419"/>
      <c r="BH343" s="419"/>
      <c r="BI343" s="419"/>
      <c r="BJ343" s="419"/>
      <c r="BK343" s="418"/>
      <c r="BL343" s="36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431"/>
    </row>
    <row r="344" spans="1:74" s="2" customFormat="1" ht="24.9" customHeight="1">
      <c r="A344" s="147" t="s">
        <v>85</v>
      </c>
      <c r="B344" s="158"/>
      <c r="C344" s="179"/>
      <c r="D344" s="158"/>
      <c r="E344" s="160"/>
      <c r="F344" s="161"/>
      <c r="G344" s="161"/>
      <c r="H344" s="161"/>
      <c r="I344" s="154"/>
      <c r="J344" s="418"/>
      <c r="K344" s="419"/>
      <c r="L344" s="154"/>
      <c r="M344" s="418"/>
      <c r="N344" s="419"/>
      <c r="O344" s="150"/>
      <c r="P344" s="164"/>
      <c r="Q344" s="154"/>
      <c r="R344" s="174"/>
      <c r="S344" s="523"/>
      <c r="T344" s="523"/>
      <c r="U344" s="154"/>
      <c r="V344" s="155"/>
      <c r="W344" s="156"/>
      <c r="X344" s="154"/>
      <c r="Y344" s="155"/>
      <c r="Z344" s="155"/>
      <c r="AA344" s="157"/>
      <c r="AB344" s="217"/>
      <c r="AC344" s="150"/>
      <c r="AD344" s="151"/>
      <c r="AE344" s="152"/>
      <c r="AF344" s="506"/>
      <c r="AG344" s="463"/>
      <c r="AH344" s="150"/>
      <c r="AI344" s="152"/>
      <c r="AJ344" s="150"/>
      <c r="AK344" s="152"/>
      <c r="AL344" s="150"/>
      <c r="AM344" s="152"/>
      <c r="AN344" s="150"/>
      <c r="AO344" s="151"/>
      <c r="AP344" s="151"/>
      <c r="AQ344" s="169"/>
      <c r="AR344" s="169"/>
      <c r="AS344" s="149"/>
      <c r="AT344" s="324"/>
      <c r="AU344" s="324"/>
      <c r="AV344" s="324"/>
      <c r="AW344" s="324"/>
      <c r="AX344" s="324"/>
      <c r="AY344" s="324"/>
      <c r="AZ344" s="154"/>
      <c r="BA344" s="419"/>
      <c r="BB344" s="419"/>
      <c r="BC344" s="419"/>
      <c r="BD344" s="419"/>
      <c r="BE344" s="418"/>
      <c r="BF344" s="154"/>
      <c r="BG344" s="419"/>
      <c r="BH344" s="419"/>
      <c r="BI344" s="419"/>
      <c r="BJ344" s="419"/>
      <c r="BK344" s="418"/>
      <c r="BL344" s="36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561"/>
    </row>
    <row r="345" spans="1:74" s="2" customFormat="1" ht="24.9" customHeight="1">
      <c r="A345" s="147" t="s">
        <v>85</v>
      </c>
      <c r="B345" s="158"/>
      <c r="C345" s="179"/>
      <c r="D345" s="158"/>
      <c r="E345" s="160"/>
      <c r="F345" s="161"/>
      <c r="G345" s="161"/>
      <c r="H345" s="161"/>
      <c r="I345" s="154"/>
      <c r="J345" s="418"/>
      <c r="K345" s="419"/>
      <c r="L345" s="154"/>
      <c r="M345" s="418"/>
      <c r="N345" s="419"/>
      <c r="O345" s="150"/>
      <c r="P345" s="164"/>
      <c r="Q345" s="154"/>
      <c r="R345" s="174"/>
      <c r="S345" s="523"/>
      <c r="T345" s="523"/>
      <c r="U345" s="154"/>
      <c r="V345" s="155"/>
      <c r="W345" s="156"/>
      <c r="X345" s="154"/>
      <c r="Y345" s="155"/>
      <c r="Z345" s="155"/>
      <c r="AA345" s="157"/>
      <c r="AB345" s="217"/>
      <c r="AC345" s="150"/>
      <c r="AD345" s="151"/>
      <c r="AE345" s="152"/>
      <c r="AF345" s="506"/>
      <c r="AG345" s="463"/>
      <c r="AH345" s="150"/>
      <c r="AI345" s="152"/>
      <c r="AJ345" s="150"/>
      <c r="AK345" s="152"/>
      <c r="AL345" s="150"/>
      <c r="AM345" s="152"/>
      <c r="AN345" s="150"/>
      <c r="AO345" s="151"/>
      <c r="AP345" s="151"/>
      <c r="AQ345" s="169"/>
      <c r="AR345" s="169"/>
      <c r="AS345" s="149"/>
      <c r="AT345" s="324"/>
      <c r="AU345" s="324"/>
      <c r="AV345" s="324"/>
      <c r="AW345" s="324"/>
      <c r="AX345" s="324"/>
      <c r="AY345" s="324"/>
      <c r="AZ345" s="154"/>
      <c r="BA345" s="419"/>
      <c r="BB345" s="419"/>
      <c r="BC345" s="419"/>
      <c r="BD345" s="419"/>
      <c r="BE345" s="418"/>
      <c r="BF345" s="154"/>
      <c r="BG345" s="419"/>
      <c r="BH345" s="419"/>
      <c r="BI345" s="419"/>
      <c r="BJ345" s="419"/>
      <c r="BK345" s="418"/>
      <c r="BL345" s="36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431"/>
    </row>
    <row r="346" spans="1:74" s="2" customFormat="1" ht="24.9" customHeight="1">
      <c r="A346" s="147" t="s">
        <v>85</v>
      </c>
      <c r="B346" s="158"/>
      <c r="C346" s="179"/>
      <c r="D346" s="158"/>
      <c r="E346" s="160"/>
      <c r="F346" s="161"/>
      <c r="G346" s="161"/>
      <c r="H346" s="161"/>
      <c r="I346" s="154"/>
      <c r="J346" s="418"/>
      <c r="K346" s="419"/>
      <c r="L346" s="154"/>
      <c r="M346" s="418"/>
      <c r="N346" s="419"/>
      <c r="O346" s="150"/>
      <c r="P346" s="164"/>
      <c r="Q346" s="154"/>
      <c r="R346" s="174"/>
      <c r="S346" s="523"/>
      <c r="T346" s="523"/>
      <c r="U346" s="154"/>
      <c r="V346" s="155"/>
      <c r="W346" s="156"/>
      <c r="X346" s="154"/>
      <c r="Y346" s="155"/>
      <c r="Z346" s="155"/>
      <c r="AA346" s="157"/>
      <c r="AB346" s="217"/>
      <c r="AC346" s="150"/>
      <c r="AD346" s="151"/>
      <c r="AE346" s="152"/>
      <c r="AF346" s="506"/>
      <c r="AG346" s="463"/>
      <c r="AH346" s="150"/>
      <c r="AI346" s="152"/>
      <c r="AJ346" s="150"/>
      <c r="AK346" s="152"/>
      <c r="AL346" s="150"/>
      <c r="AM346" s="152"/>
      <c r="AN346" s="150"/>
      <c r="AO346" s="151"/>
      <c r="AP346" s="151"/>
      <c r="AQ346" s="169"/>
      <c r="AR346" s="169"/>
      <c r="AS346" s="149"/>
      <c r="AT346" s="324"/>
      <c r="AU346" s="324"/>
      <c r="AV346" s="324"/>
      <c r="AW346" s="324"/>
      <c r="AX346" s="324"/>
      <c r="AY346" s="324"/>
      <c r="AZ346" s="154"/>
      <c r="BA346" s="419"/>
      <c r="BB346" s="419"/>
      <c r="BC346" s="419"/>
      <c r="BD346" s="419"/>
      <c r="BE346" s="418"/>
      <c r="BF346" s="154"/>
      <c r="BG346" s="419"/>
      <c r="BH346" s="419"/>
      <c r="BI346" s="419"/>
      <c r="BJ346" s="419"/>
      <c r="BK346" s="418"/>
      <c r="BL346" s="36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561"/>
    </row>
    <row r="347" spans="1:74" s="2" customFormat="1" ht="24.9" customHeight="1">
      <c r="A347" s="147" t="s">
        <v>85</v>
      </c>
      <c r="B347" s="158"/>
      <c r="C347" s="179"/>
      <c r="D347" s="158"/>
      <c r="E347" s="160"/>
      <c r="F347" s="161"/>
      <c r="G347" s="161"/>
      <c r="H347" s="161"/>
      <c r="I347" s="154"/>
      <c r="J347" s="418"/>
      <c r="K347" s="419"/>
      <c r="L347" s="154"/>
      <c r="M347" s="418"/>
      <c r="N347" s="419"/>
      <c r="O347" s="150"/>
      <c r="P347" s="164"/>
      <c r="Q347" s="154"/>
      <c r="R347" s="174"/>
      <c r="S347" s="523"/>
      <c r="T347" s="523"/>
      <c r="U347" s="154"/>
      <c r="V347" s="155"/>
      <c r="W347" s="156"/>
      <c r="X347" s="154"/>
      <c r="Y347" s="155"/>
      <c r="Z347" s="155"/>
      <c r="AA347" s="157"/>
      <c r="AB347" s="217"/>
      <c r="AC347" s="150"/>
      <c r="AD347" s="151"/>
      <c r="AE347" s="152"/>
      <c r="AF347" s="506"/>
      <c r="AG347" s="463"/>
      <c r="AH347" s="150"/>
      <c r="AI347" s="152"/>
      <c r="AJ347" s="150"/>
      <c r="AK347" s="152"/>
      <c r="AL347" s="150"/>
      <c r="AM347" s="152"/>
      <c r="AN347" s="150"/>
      <c r="AO347" s="151"/>
      <c r="AP347" s="151"/>
      <c r="AQ347" s="169"/>
      <c r="AR347" s="169"/>
      <c r="AS347" s="149"/>
      <c r="AT347" s="324"/>
      <c r="AU347" s="324"/>
      <c r="AV347" s="324"/>
      <c r="AW347" s="324"/>
      <c r="AX347" s="324"/>
      <c r="AY347" s="324"/>
      <c r="AZ347" s="154"/>
      <c r="BA347" s="419"/>
      <c r="BB347" s="419"/>
      <c r="BC347" s="419"/>
      <c r="BD347" s="419"/>
      <c r="BE347" s="418"/>
      <c r="BF347" s="154"/>
      <c r="BG347" s="419"/>
      <c r="BH347" s="419"/>
      <c r="BI347" s="419"/>
      <c r="BJ347" s="419"/>
      <c r="BK347" s="418"/>
      <c r="BL347" s="36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431"/>
    </row>
    <row r="348" spans="1:74" s="2" customFormat="1" ht="24.9" customHeight="1">
      <c r="A348" s="147" t="s">
        <v>85</v>
      </c>
      <c r="B348" s="158"/>
      <c r="C348" s="179"/>
      <c r="D348" s="158"/>
      <c r="E348" s="160"/>
      <c r="F348" s="161"/>
      <c r="G348" s="161"/>
      <c r="H348" s="161"/>
      <c r="I348" s="154"/>
      <c r="J348" s="418"/>
      <c r="K348" s="419"/>
      <c r="L348" s="154"/>
      <c r="M348" s="418"/>
      <c r="N348" s="419"/>
      <c r="O348" s="150"/>
      <c r="P348" s="164"/>
      <c r="Q348" s="154"/>
      <c r="R348" s="151"/>
      <c r="S348" s="522"/>
      <c r="T348" s="522"/>
      <c r="U348" s="154"/>
      <c r="V348" s="155"/>
      <c r="W348" s="156"/>
      <c r="X348" s="154"/>
      <c r="Y348" s="155"/>
      <c r="Z348" s="155"/>
      <c r="AA348" s="157"/>
      <c r="AB348" s="217"/>
      <c r="AC348" s="150"/>
      <c r="AD348" s="151"/>
      <c r="AE348" s="152"/>
      <c r="AF348" s="506"/>
      <c r="AG348" s="463"/>
      <c r="AH348" s="150"/>
      <c r="AI348" s="152"/>
      <c r="AJ348" s="150"/>
      <c r="AK348" s="152"/>
      <c r="AL348" s="150"/>
      <c r="AM348" s="152"/>
      <c r="AN348" s="150"/>
      <c r="AO348" s="151"/>
      <c r="AP348" s="151"/>
      <c r="AQ348" s="169"/>
      <c r="AR348" s="169"/>
      <c r="AS348" s="149"/>
      <c r="AT348" s="324"/>
      <c r="AU348" s="324"/>
      <c r="AV348" s="324"/>
      <c r="AW348" s="324"/>
      <c r="AX348" s="324"/>
      <c r="AY348" s="324"/>
      <c r="AZ348" s="154"/>
      <c r="BA348" s="419"/>
      <c r="BB348" s="419"/>
      <c r="BC348" s="419"/>
      <c r="BD348" s="419"/>
      <c r="BE348" s="418"/>
      <c r="BF348" s="154"/>
      <c r="BG348" s="419"/>
      <c r="BH348" s="419"/>
      <c r="BI348" s="419"/>
      <c r="BJ348" s="419"/>
      <c r="BK348" s="418"/>
      <c r="BL348" s="36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432"/>
    </row>
    <row r="349" spans="1:74" s="2" customFormat="1" ht="24.9" customHeight="1">
      <c r="A349" s="147" t="s">
        <v>85</v>
      </c>
      <c r="B349" s="158"/>
      <c r="C349" s="179"/>
      <c r="D349" s="158"/>
      <c r="E349" s="160"/>
      <c r="F349" s="161"/>
      <c r="G349" s="161"/>
      <c r="H349" s="161"/>
      <c r="I349" s="154"/>
      <c r="J349" s="418"/>
      <c r="K349" s="419"/>
      <c r="L349" s="154"/>
      <c r="M349" s="418"/>
      <c r="N349" s="419"/>
      <c r="O349" s="150"/>
      <c r="P349" s="164"/>
      <c r="Q349" s="154"/>
      <c r="R349" s="174"/>
      <c r="S349" s="523"/>
      <c r="T349" s="523"/>
      <c r="U349" s="154"/>
      <c r="V349" s="155"/>
      <c r="W349" s="156"/>
      <c r="X349" s="154"/>
      <c r="Y349" s="155"/>
      <c r="Z349" s="155"/>
      <c r="AA349" s="157"/>
      <c r="AB349" s="217"/>
      <c r="AC349" s="150"/>
      <c r="AD349" s="151"/>
      <c r="AE349" s="152"/>
      <c r="AF349" s="506"/>
      <c r="AG349" s="463"/>
      <c r="AH349" s="150"/>
      <c r="AI349" s="152"/>
      <c r="AJ349" s="150"/>
      <c r="AK349" s="152"/>
      <c r="AL349" s="150"/>
      <c r="AM349" s="152"/>
      <c r="AN349" s="150"/>
      <c r="AO349" s="151"/>
      <c r="AP349" s="151"/>
      <c r="AQ349" s="169"/>
      <c r="AR349" s="169"/>
      <c r="AS349" s="149"/>
      <c r="AT349" s="324"/>
      <c r="AU349" s="324"/>
      <c r="AV349" s="324"/>
      <c r="AW349" s="324"/>
      <c r="AX349" s="324"/>
      <c r="AY349" s="324"/>
      <c r="AZ349" s="154"/>
      <c r="BA349" s="419"/>
      <c r="BB349" s="419"/>
      <c r="BC349" s="419"/>
      <c r="BD349" s="419"/>
      <c r="BE349" s="418"/>
      <c r="BF349" s="154"/>
      <c r="BG349" s="419"/>
      <c r="BH349" s="419"/>
      <c r="BI349" s="419"/>
      <c r="BJ349" s="419"/>
      <c r="BK349" s="418"/>
      <c r="BL349" s="36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561"/>
    </row>
    <row r="350" spans="1:74" s="2" customFormat="1" ht="24.9" customHeight="1">
      <c r="A350" s="147" t="s">
        <v>85</v>
      </c>
      <c r="B350" s="158"/>
      <c r="C350" s="179"/>
      <c r="D350" s="158"/>
      <c r="E350" s="160"/>
      <c r="F350" s="161"/>
      <c r="G350" s="161"/>
      <c r="H350" s="161"/>
      <c r="I350" s="154"/>
      <c r="J350" s="418"/>
      <c r="K350" s="419"/>
      <c r="L350" s="154"/>
      <c r="M350" s="418"/>
      <c r="N350" s="419"/>
      <c r="O350" s="150"/>
      <c r="P350" s="164"/>
      <c r="Q350" s="154"/>
      <c r="R350" s="174"/>
      <c r="S350" s="523"/>
      <c r="T350" s="523"/>
      <c r="U350" s="154"/>
      <c r="V350" s="155"/>
      <c r="W350" s="156"/>
      <c r="X350" s="154"/>
      <c r="Y350" s="155"/>
      <c r="Z350" s="155"/>
      <c r="AA350" s="157"/>
      <c r="AB350" s="217"/>
      <c r="AC350" s="150"/>
      <c r="AD350" s="151"/>
      <c r="AE350" s="152"/>
      <c r="AF350" s="506"/>
      <c r="AG350" s="463"/>
      <c r="AH350" s="150"/>
      <c r="AI350" s="152"/>
      <c r="AJ350" s="150"/>
      <c r="AK350" s="152"/>
      <c r="AL350" s="150"/>
      <c r="AM350" s="152"/>
      <c r="AN350" s="150"/>
      <c r="AO350" s="151"/>
      <c r="AP350" s="151"/>
      <c r="AQ350" s="169"/>
      <c r="AR350" s="169"/>
      <c r="AS350" s="149"/>
      <c r="AT350" s="324"/>
      <c r="AU350" s="324"/>
      <c r="AV350" s="324"/>
      <c r="AW350" s="324"/>
      <c r="AX350" s="324"/>
      <c r="AY350" s="324"/>
      <c r="AZ350" s="154"/>
      <c r="BA350" s="419"/>
      <c r="BB350" s="419"/>
      <c r="BC350" s="419"/>
      <c r="BD350" s="419"/>
      <c r="BE350" s="418"/>
      <c r="BF350" s="154"/>
      <c r="BG350" s="419"/>
      <c r="BH350" s="419"/>
      <c r="BI350" s="419"/>
      <c r="BJ350" s="419"/>
      <c r="BK350" s="418"/>
      <c r="BL350" s="36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431"/>
    </row>
    <row r="351" spans="1:74" s="2" customFormat="1" ht="24.9" customHeight="1">
      <c r="A351" s="147" t="s">
        <v>85</v>
      </c>
      <c r="B351" s="158"/>
      <c r="C351" s="179"/>
      <c r="D351" s="158"/>
      <c r="E351" s="160"/>
      <c r="F351" s="161"/>
      <c r="G351" s="161"/>
      <c r="H351" s="161"/>
      <c r="I351" s="154"/>
      <c r="J351" s="418"/>
      <c r="K351" s="419"/>
      <c r="L351" s="154"/>
      <c r="M351" s="418"/>
      <c r="N351" s="419"/>
      <c r="O351" s="150"/>
      <c r="P351" s="164"/>
      <c r="Q351" s="154"/>
      <c r="R351" s="174"/>
      <c r="S351" s="523"/>
      <c r="T351" s="523"/>
      <c r="U351" s="154"/>
      <c r="V351" s="155"/>
      <c r="W351" s="156"/>
      <c r="X351" s="154"/>
      <c r="Y351" s="155"/>
      <c r="Z351" s="155"/>
      <c r="AA351" s="157"/>
      <c r="AB351" s="217"/>
      <c r="AC351" s="150"/>
      <c r="AD351" s="151"/>
      <c r="AE351" s="152"/>
      <c r="AF351" s="506"/>
      <c r="AG351" s="463"/>
      <c r="AH351" s="150"/>
      <c r="AI351" s="152"/>
      <c r="AJ351" s="150"/>
      <c r="AK351" s="152"/>
      <c r="AL351" s="150"/>
      <c r="AM351" s="152"/>
      <c r="AN351" s="150"/>
      <c r="AO351" s="151"/>
      <c r="AP351" s="151"/>
      <c r="AQ351" s="169"/>
      <c r="AR351" s="169"/>
      <c r="AS351" s="149"/>
      <c r="AT351" s="324"/>
      <c r="AU351" s="324"/>
      <c r="AV351" s="324"/>
      <c r="AW351" s="324"/>
      <c r="AX351" s="324"/>
      <c r="AY351" s="324"/>
      <c r="AZ351" s="154"/>
      <c r="BA351" s="419"/>
      <c r="BB351" s="419"/>
      <c r="BC351" s="419"/>
      <c r="BD351" s="419"/>
      <c r="BE351" s="418"/>
      <c r="BF351" s="154"/>
      <c r="BG351" s="419"/>
      <c r="BH351" s="419"/>
      <c r="BI351" s="419"/>
      <c r="BJ351" s="419"/>
      <c r="BK351" s="418"/>
      <c r="BL351" s="36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432"/>
    </row>
    <row r="352" spans="1:74" s="2" customFormat="1" ht="24.9" customHeight="1">
      <c r="A352" s="147" t="s">
        <v>85</v>
      </c>
      <c r="B352" s="158"/>
      <c r="C352" s="179"/>
      <c r="D352" s="158"/>
      <c r="E352" s="160"/>
      <c r="F352" s="161"/>
      <c r="G352" s="161"/>
      <c r="H352" s="161"/>
      <c r="I352" s="154"/>
      <c r="J352" s="418"/>
      <c r="K352" s="419"/>
      <c r="L352" s="154"/>
      <c r="M352" s="418"/>
      <c r="N352" s="419"/>
      <c r="O352" s="150"/>
      <c r="P352" s="164"/>
      <c r="Q352" s="154"/>
      <c r="R352" s="174"/>
      <c r="S352" s="523"/>
      <c r="T352" s="523"/>
      <c r="U352" s="154"/>
      <c r="V352" s="155"/>
      <c r="W352" s="156"/>
      <c r="X352" s="154"/>
      <c r="Y352" s="155"/>
      <c r="Z352" s="155"/>
      <c r="AA352" s="157"/>
      <c r="AB352" s="217"/>
      <c r="AC352" s="150"/>
      <c r="AD352" s="151"/>
      <c r="AE352" s="152"/>
      <c r="AF352" s="506"/>
      <c r="AG352" s="463"/>
      <c r="AH352" s="150"/>
      <c r="AI352" s="152"/>
      <c r="AJ352" s="150"/>
      <c r="AK352" s="152"/>
      <c r="AL352" s="150"/>
      <c r="AM352" s="152"/>
      <c r="AN352" s="150"/>
      <c r="AO352" s="151"/>
      <c r="AP352" s="151"/>
      <c r="AQ352" s="169"/>
      <c r="AR352" s="169"/>
      <c r="AS352" s="149"/>
      <c r="AT352" s="324"/>
      <c r="AU352" s="324"/>
      <c r="AV352" s="324"/>
      <c r="AW352" s="324"/>
      <c r="AX352" s="324"/>
      <c r="AY352" s="324"/>
      <c r="AZ352" s="421"/>
      <c r="BA352" s="422"/>
      <c r="BB352" s="422"/>
      <c r="BC352" s="422"/>
      <c r="BD352" s="422"/>
      <c r="BE352" s="418"/>
      <c r="BF352" s="154"/>
      <c r="BG352" s="419"/>
      <c r="BH352" s="419"/>
      <c r="BI352" s="419"/>
      <c r="BJ352" s="419"/>
      <c r="BK352" s="418"/>
      <c r="BL352" s="36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561"/>
    </row>
    <row r="353" spans="1:74" s="2" customFormat="1" ht="24.9" customHeight="1">
      <c r="A353" s="147" t="s">
        <v>85</v>
      </c>
      <c r="B353" s="158"/>
      <c r="C353" s="179"/>
      <c r="D353" s="158"/>
      <c r="E353" s="160"/>
      <c r="F353" s="161"/>
      <c r="G353" s="161"/>
      <c r="H353" s="161"/>
      <c r="I353" s="154"/>
      <c r="J353" s="418"/>
      <c r="K353" s="419"/>
      <c r="L353" s="154"/>
      <c r="M353" s="418"/>
      <c r="N353" s="419"/>
      <c r="O353" s="150"/>
      <c r="P353" s="164"/>
      <c r="Q353" s="154"/>
      <c r="R353" s="174"/>
      <c r="S353" s="523"/>
      <c r="T353" s="523"/>
      <c r="U353" s="154"/>
      <c r="V353" s="155"/>
      <c r="W353" s="156"/>
      <c r="X353" s="154"/>
      <c r="Y353" s="155"/>
      <c r="Z353" s="155"/>
      <c r="AA353" s="157"/>
      <c r="AB353" s="217"/>
      <c r="AC353" s="150"/>
      <c r="AD353" s="151"/>
      <c r="AE353" s="152"/>
      <c r="AF353" s="506"/>
      <c r="AG353" s="463"/>
      <c r="AH353" s="150"/>
      <c r="AI353" s="152"/>
      <c r="AJ353" s="150"/>
      <c r="AK353" s="152"/>
      <c r="AL353" s="150"/>
      <c r="AM353" s="152"/>
      <c r="AN353" s="150"/>
      <c r="AO353" s="151"/>
      <c r="AP353" s="151"/>
      <c r="AQ353" s="169"/>
      <c r="AR353" s="169"/>
      <c r="AS353" s="149"/>
      <c r="AT353" s="324"/>
      <c r="AU353" s="324"/>
      <c r="AV353" s="324"/>
      <c r="AW353" s="324"/>
      <c r="AX353" s="324"/>
      <c r="AY353" s="324"/>
      <c r="AZ353" s="154"/>
      <c r="BA353" s="419"/>
      <c r="BB353" s="419"/>
      <c r="BC353" s="419"/>
      <c r="BD353" s="419"/>
      <c r="BE353" s="418"/>
      <c r="BF353" s="154"/>
      <c r="BG353" s="419"/>
      <c r="BH353" s="419"/>
      <c r="BI353" s="419"/>
      <c r="BJ353" s="419"/>
      <c r="BK353" s="418"/>
      <c r="BL353" s="36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431"/>
    </row>
    <row r="354" spans="1:74" s="2" customFormat="1" ht="24.9" customHeight="1">
      <c r="A354" s="147" t="s">
        <v>85</v>
      </c>
      <c r="B354" s="158"/>
      <c r="C354" s="179"/>
      <c r="D354" s="158"/>
      <c r="E354" s="160"/>
      <c r="F354" s="161"/>
      <c r="G354" s="161"/>
      <c r="H354" s="161"/>
      <c r="I354" s="154"/>
      <c r="J354" s="418"/>
      <c r="K354" s="419"/>
      <c r="L354" s="154"/>
      <c r="M354" s="418"/>
      <c r="N354" s="419"/>
      <c r="O354" s="150"/>
      <c r="P354" s="164"/>
      <c r="Q354" s="154"/>
      <c r="R354" s="174"/>
      <c r="S354" s="523"/>
      <c r="T354" s="523"/>
      <c r="U354" s="154"/>
      <c r="V354" s="155"/>
      <c r="W354" s="156"/>
      <c r="X354" s="154"/>
      <c r="Y354" s="155"/>
      <c r="Z354" s="155"/>
      <c r="AA354" s="157"/>
      <c r="AB354" s="217"/>
      <c r="AC354" s="150"/>
      <c r="AD354" s="151"/>
      <c r="AE354" s="152"/>
      <c r="AF354" s="506"/>
      <c r="AG354" s="463"/>
      <c r="AH354" s="150"/>
      <c r="AI354" s="152"/>
      <c r="AJ354" s="150"/>
      <c r="AK354" s="152"/>
      <c r="AL354" s="150"/>
      <c r="AM354" s="152"/>
      <c r="AN354" s="150"/>
      <c r="AO354" s="151"/>
      <c r="AP354" s="151"/>
      <c r="AQ354" s="169"/>
      <c r="AR354" s="169"/>
      <c r="AS354" s="149"/>
      <c r="AT354" s="324"/>
      <c r="AU354" s="324"/>
      <c r="AV354" s="324"/>
      <c r="AW354" s="324"/>
      <c r="AX354" s="324"/>
      <c r="AY354" s="324"/>
      <c r="AZ354" s="154"/>
      <c r="BA354" s="419"/>
      <c r="BB354" s="419"/>
      <c r="BC354" s="419"/>
      <c r="BD354" s="419"/>
      <c r="BE354" s="418"/>
      <c r="BF354" s="154"/>
      <c r="BG354" s="419"/>
      <c r="BH354" s="419"/>
      <c r="BI354" s="419"/>
      <c r="BJ354" s="419"/>
      <c r="BK354" s="418"/>
      <c r="BL354" s="36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561"/>
    </row>
    <row r="355" spans="1:74" s="2" customFormat="1" ht="24.9" customHeight="1">
      <c r="A355" s="147" t="s">
        <v>85</v>
      </c>
      <c r="B355" s="158"/>
      <c r="C355" s="179"/>
      <c r="D355" s="158"/>
      <c r="E355" s="160"/>
      <c r="F355" s="161"/>
      <c r="G355" s="161"/>
      <c r="H355" s="161"/>
      <c r="I355" s="154"/>
      <c r="J355" s="418"/>
      <c r="K355" s="419"/>
      <c r="L355" s="154"/>
      <c r="M355" s="418"/>
      <c r="N355" s="419"/>
      <c r="O355" s="150"/>
      <c r="P355" s="164"/>
      <c r="Q355" s="154"/>
      <c r="R355" s="174"/>
      <c r="S355" s="523"/>
      <c r="T355" s="523"/>
      <c r="U355" s="154"/>
      <c r="V355" s="155"/>
      <c r="W355" s="156"/>
      <c r="X355" s="154"/>
      <c r="Y355" s="155"/>
      <c r="Z355" s="155"/>
      <c r="AA355" s="157"/>
      <c r="AB355" s="217"/>
      <c r="AC355" s="150"/>
      <c r="AD355" s="151"/>
      <c r="AE355" s="152"/>
      <c r="AF355" s="506"/>
      <c r="AG355" s="463"/>
      <c r="AH355" s="150"/>
      <c r="AI355" s="152"/>
      <c r="AJ355" s="150"/>
      <c r="AK355" s="152"/>
      <c r="AL355" s="150"/>
      <c r="AM355" s="152"/>
      <c r="AN355" s="150"/>
      <c r="AO355" s="151"/>
      <c r="AP355" s="151"/>
      <c r="AQ355" s="169"/>
      <c r="AR355" s="169"/>
      <c r="AS355" s="149"/>
      <c r="AT355" s="324"/>
      <c r="AU355" s="324"/>
      <c r="AV355" s="324"/>
      <c r="AW355" s="324"/>
      <c r="AX355" s="324"/>
      <c r="AY355" s="324"/>
      <c r="AZ355" s="154"/>
      <c r="BA355" s="419"/>
      <c r="BB355" s="419"/>
      <c r="BC355" s="419"/>
      <c r="BD355" s="419"/>
      <c r="BE355" s="418"/>
      <c r="BF355" s="154"/>
      <c r="BG355" s="419"/>
      <c r="BH355" s="419"/>
      <c r="BI355" s="419"/>
      <c r="BJ355" s="419"/>
      <c r="BK355" s="418"/>
      <c r="BL355" s="36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431"/>
    </row>
    <row r="356" spans="1:74" s="2" customFormat="1" ht="24.9" customHeight="1">
      <c r="A356" s="147" t="s">
        <v>85</v>
      </c>
      <c r="B356" s="158"/>
      <c r="C356" s="179"/>
      <c r="D356" s="158"/>
      <c r="E356" s="160"/>
      <c r="F356" s="161"/>
      <c r="G356" s="161"/>
      <c r="H356" s="161"/>
      <c r="I356" s="154"/>
      <c r="J356" s="418"/>
      <c r="K356" s="419"/>
      <c r="L356" s="154"/>
      <c r="M356" s="418"/>
      <c r="N356" s="419"/>
      <c r="O356" s="150"/>
      <c r="P356" s="164"/>
      <c r="Q356" s="154"/>
      <c r="R356" s="151"/>
      <c r="S356" s="522"/>
      <c r="T356" s="522"/>
      <c r="U356" s="154"/>
      <c r="V356" s="155"/>
      <c r="W356" s="156"/>
      <c r="X356" s="154"/>
      <c r="Y356" s="155"/>
      <c r="Z356" s="155"/>
      <c r="AA356" s="157"/>
      <c r="AB356" s="217"/>
      <c r="AC356" s="150"/>
      <c r="AD356" s="151"/>
      <c r="AE356" s="152"/>
      <c r="AF356" s="506"/>
      <c r="AG356" s="463"/>
      <c r="AH356" s="150"/>
      <c r="AI356" s="152"/>
      <c r="AJ356" s="150"/>
      <c r="AK356" s="152"/>
      <c r="AL356" s="150"/>
      <c r="AM356" s="152"/>
      <c r="AN356" s="150"/>
      <c r="AO356" s="151"/>
      <c r="AP356" s="151"/>
      <c r="AQ356" s="169"/>
      <c r="AR356" s="169"/>
      <c r="AS356" s="149"/>
      <c r="AT356" s="324"/>
      <c r="AU356" s="324"/>
      <c r="AV356" s="324"/>
      <c r="AW356" s="324"/>
      <c r="AX356" s="324"/>
      <c r="AY356" s="324"/>
      <c r="AZ356" s="154"/>
      <c r="BA356" s="419"/>
      <c r="BB356" s="419"/>
      <c r="BC356" s="419"/>
      <c r="BD356" s="419"/>
      <c r="BE356" s="418"/>
      <c r="BF356" s="154"/>
      <c r="BG356" s="419"/>
      <c r="BH356" s="419"/>
      <c r="BI356" s="419"/>
      <c r="BJ356" s="419"/>
      <c r="BK356" s="418"/>
      <c r="BL356" s="36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432"/>
    </row>
    <row r="357" spans="1:74" s="2" customFormat="1" ht="24.9" customHeight="1">
      <c r="A357" s="147" t="s">
        <v>85</v>
      </c>
      <c r="B357" s="158"/>
      <c r="C357" s="179"/>
      <c r="D357" s="158"/>
      <c r="E357" s="160"/>
      <c r="F357" s="161"/>
      <c r="G357" s="161"/>
      <c r="H357" s="161"/>
      <c r="I357" s="154"/>
      <c r="J357" s="418"/>
      <c r="K357" s="419"/>
      <c r="L357" s="154"/>
      <c r="M357" s="418"/>
      <c r="N357" s="419"/>
      <c r="O357" s="150"/>
      <c r="P357" s="164"/>
      <c r="Q357" s="154"/>
      <c r="R357" s="174"/>
      <c r="S357" s="523"/>
      <c r="T357" s="523"/>
      <c r="U357" s="154"/>
      <c r="V357" s="155"/>
      <c r="W357" s="156"/>
      <c r="X357" s="154"/>
      <c r="Y357" s="155"/>
      <c r="Z357" s="155"/>
      <c r="AA357" s="157"/>
      <c r="AB357" s="217"/>
      <c r="AC357" s="150"/>
      <c r="AD357" s="151"/>
      <c r="AE357" s="152"/>
      <c r="AF357" s="506"/>
      <c r="AG357" s="463"/>
      <c r="AH357" s="150"/>
      <c r="AI357" s="152"/>
      <c r="AJ357" s="150"/>
      <c r="AK357" s="152"/>
      <c r="AL357" s="150"/>
      <c r="AM357" s="152"/>
      <c r="AN357" s="150"/>
      <c r="AO357" s="151"/>
      <c r="AP357" s="151"/>
      <c r="AQ357" s="169"/>
      <c r="AR357" s="169"/>
      <c r="AS357" s="149"/>
      <c r="AT357" s="324"/>
      <c r="AU357" s="324"/>
      <c r="AV357" s="324"/>
      <c r="AW357" s="324"/>
      <c r="AX357" s="324"/>
      <c r="AY357" s="324"/>
      <c r="AZ357" s="154"/>
      <c r="BA357" s="419"/>
      <c r="BB357" s="419"/>
      <c r="BC357" s="419"/>
      <c r="BD357" s="419"/>
      <c r="BE357" s="418"/>
      <c r="BF357" s="154"/>
      <c r="BG357" s="419"/>
      <c r="BH357" s="419"/>
      <c r="BI357" s="419"/>
      <c r="BJ357" s="419"/>
      <c r="BK357" s="418"/>
      <c r="BL357" s="36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432"/>
    </row>
    <row r="358" spans="1:74" s="2" customFormat="1" ht="24.9" customHeight="1">
      <c r="A358" s="147" t="s">
        <v>85</v>
      </c>
      <c r="B358" s="158"/>
      <c r="C358" s="179"/>
      <c r="D358" s="158"/>
      <c r="E358" s="160"/>
      <c r="F358" s="161"/>
      <c r="G358" s="161"/>
      <c r="H358" s="161"/>
      <c r="I358" s="154"/>
      <c r="J358" s="418"/>
      <c r="K358" s="419"/>
      <c r="L358" s="154"/>
      <c r="M358" s="418"/>
      <c r="N358" s="419"/>
      <c r="O358" s="150"/>
      <c r="P358" s="164"/>
      <c r="Q358" s="154"/>
      <c r="R358" s="151"/>
      <c r="S358" s="522"/>
      <c r="T358" s="522"/>
      <c r="U358" s="154"/>
      <c r="V358" s="155"/>
      <c r="W358" s="156"/>
      <c r="X358" s="154"/>
      <c r="Y358" s="155"/>
      <c r="Z358" s="155"/>
      <c r="AA358" s="157"/>
      <c r="AB358" s="217"/>
      <c r="AC358" s="150"/>
      <c r="AD358" s="151"/>
      <c r="AE358" s="152"/>
      <c r="AF358" s="506"/>
      <c r="AG358" s="463"/>
      <c r="AH358" s="150"/>
      <c r="AI358" s="152"/>
      <c r="AJ358" s="150"/>
      <c r="AK358" s="152"/>
      <c r="AL358" s="150"/>
      <c r="AM358" s="152"/>
      <c r="AN358" s="150"/>
      <c r="AO358" s="151"/>
      <c r="AP358" s="151"/>
      <c r="AQ358" s="169"/>
      <c r="AR358" s="169"/>
      <c r="AS358" s="149"/>
      <c r="AT358" s="324"/>
      <c r="AU358" s="324"/>
      <c r="AV358" s="324"/>
      <c r="AW358" s="324"/>
      <c r="AX358" s="324"/>
      <c r="AY358" s="324"/>
      <c r="AZ358" s="154"/>
      <c r="BA358" s="419"/>
      <c r="BB358" s="419"/>
      <c r="BC358" s="419"/>
      <c r="BD358" s="419"/>
      <c r="BE358" s="418"/>
      <c r="BF358" s="154"/>
      <c r="BG358" s="419"/>
      <c r="BH358" s="419"/>
      <c r="BI358" s="419"/>
      <c r="BJ358" s="419"/>
      <c r="BK358" s="418"/>
      <c r="BL358" s="36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561"/>
    </row>
    <row r="359" spans="1:74" s="2" customFormat="1" ht="24.9" customHeight="1">
      <c r="A359" s="147" t="s">
        <v>85</v>
      </c>
      <c r="B359" s="158"/>
      <c r="C359" s="179"/>
      <c r="D359" s="158"/>
      <c r="E359" s="160"/>
      <c r="F359" s="161"/>
      <c r="G359" s="161"/>
      <c r="H359" s="161"/>
      <c r="I359" s="154"/>
      <c r="J359" s="418"/>
      <c r="K359" s="419"/>
      <c r="L359" s="154"/>
      <c r="M359" s="418"/>
      <c r="N359" s="419"/>
      <c r="O359" s="150"/>
      <c r="P359" s="164"/>
      <c r="Q359" s="154"/>
      <c r="R359" s="174"/>
      <c r="S359" s="523"/>
      <c r="T359" s="523"/>
      <c r="U359" s="154"/>
      <c r="V359" s="155"/>
      <c r="W359" s="156"/>
      <c r="X359" s="154"/>
      <c r="Y359" s="155"/>
      <c r="Z359" s="155"/>
      <c r="AA359" s="157"/>
      <c r="AB359" s="217"/>
      <c r="AC359" s="150"/>
      <c r="AD359" s="151"/>
      <c r="AE359" s="152"/>
      <c r="AF359" s="506"/>
      <c r="AG359" s="463"/>
      <c r="AH359" s="150"/>
      <c r="AI359" s="152"/>
      <c r="AJ359" s="150"/>
      <c r="AK359" s="152"/>
      <c r="AL359" s="150"/>
      <c r="AM359" s="152"/>
      <c r="AN359" s="150"/>
      <c r="AO359" s="151"/>
      <c r="AP359" s="151"/>
      <c r="AQ359" s="169"/>
      <c r="AR359" s="169"/>
      <c r="AS359" s="149"/>
      <c r="AT359" s="324"/>
      <c r="AU359" s="324"/>
      <c r="AV359" s="324"/>
      <c r="AW359" s="324"/>
      <c r="AX359" s="324"/>
      <c r="AY359" s="324"/>
      <c r="AZ359" s="154"/>
      <c r="BA359" s="419"/>
      <c r="BB359" s="419"/>
      <c r="BC359" s="419"/>
      <c r="BD359" s="419"/>
      <c r="BE359" s="418"/>
      <c r="BF359" s="154"/>
      <c r="BG359" s="419"/>
      <c r="BH359" s="419"/>
      <c r="BI359" s="419"/>
      <c r="BJ359" s="419"/>
      <c r="BK359" s="418"/>
      <c r="BL359" s="36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431"/>
    </row>
    <row r="360" spans="1:74" s="2" customFormat="1" ht="24.9" customHeight="1">
      <c r="A360" s="147" t="s">
        <v>85</v>
      </c>
      <c r="B360" s="158"/>
      <c r="C360" s="179"/>
      <c r="D360" s="158"/>
      <c r="E360" s="160"/>
      <c r="F360" s="161"/>
      <c r="G360" s="161"/>
      <c r="H360" s="161"/>
      <c r="I360" s="154"/>
      <c r="J360" s="418"/>
      <c r="K360" s="419"/>
      <c r="L360" s="154"/>
      <c r="M360" s="418"/>
      <c r="N360" s="419"/>
      <c r="O360" s="150"/>
      <c r="P360" s="164"/>
      <c r="Q360" s="154"/>
      <c r="R360" s="174"/>
      <c r="S360" s="523"/>
      <c r="T360" s="523"/>
      <c r="U360" s="154"/>
      <c r="V360" s="155"/>
      <c r="W360" s="156"/>
      <c r="X360" s="154"/>
      <c r="Y360" s="155"/>
      <c r="Z360" s="155"/>
      <c r="AA360" s="157"/>
      <c r="AB360" s="217"/>
      <c r="AC360" s="150"/>
      <c r="AD360" s="151"/>
      <c r="AE360" s="152"/>
      <c r="AF360" s="506"/>
      <c r="AG360" s="463"/>
      <c r="AH360" s="150"/>
      <c r="AI360" s="152"/>
      <c r="AJ360" s="150"/>
      <c r="AK360" s="152"/>
      <c r="AL360" s="150"/>
      <c r="AM360" s="152"/>
      <c r="AN360" s="150"/>
      <c r="AO360" s="151"/>
      <c r="AP360" s="151"/>
      <c r="AQ360" s="169"/>
      <c r="AR360" s="169"/>
      <c r="AS360" s="149"/>
      <c r="AT360" s="324"/>
      <c r="AU360" s="324"/>
      <c r="AV360" s="324"/>
      <c r="AW360" s="324"/>
      <c r="AX360" s="324"/>
      <c r="AY360" s="324"/>
      <c r="AZ360" s="154"/>
      <c r="BA360" s="419"/>
      <c r="BB360" s="419"/>
      <c r="BC360" s="419"/>
      <c r="BD360" s="419"/>
      <c r="BE360" s="418"/>
      <c r="BF360" s="154"/>
      <c r="BG360" s="419"/>
      <c r="BH360" s="419"/>
      <c r="BI360" s="419"/>
      <c r="BJ360" s="419"/>
      <c r="BK360" s="418"/>
      <c r="BL360" s="36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432"/>
    </row>
    <row r="361" spans="1:74" s="2" customFormat="1" ht="24.9" customHeight="1">
      <c r="A361" s="147" t="s">
        <v>85</v>
      </c>
      <c r="B361" s="158"/>
      <c r="C361" s="179"/>
      <c r="D361" s="158"/>
      <c r="E361" s="160"/>
      <c r="F361" s="161"/>
      <c r="G361" s="161"/>
      <c r="H361" s="161"/>
      <c r="I361" s="154"/>
      <c r="J361" s="418"/>
      <c r="K361" s="419"/>
      <c r="L361" s="154"/>
      <c r="M361" s="418"/>
      <c r="N361" s="419"/>
      <c r="O361" s="150"/>
      <c r="P361" s="164"/>
      <c r="Q361" s="154"/>
      <c r="R361" s="151"/>
      <c r="S361" s="522"/>
      <c r="T361" s="522"/>
      <c r="U361" s="154"/>
      <c r="V361" s="155"/>
      <c r="W361" s="156"/>
      <c r="X361" s="154"/>
      <c r="Y361" s="155"/>
      <c r="Z361" s="155"/>
      <c r="AA361" s="157"/>
      <c r="AB361" s="217"/>
      <c r="AC361" s="150"/>
      <c r="AD361" s="151"/>
      <c r="AE361" s="152"/>
      <c r="AF361" s="506"/>
      <c r="AG361" s="463"/>
      <c r="AH361" s="150"/>
      <c r="AI361" s="152"/>
      <c r="AJ361" s="150"/>
      <c r="AK361" s="152"/>
      <c r="AL361" s="150"/>
      <c r="AM361" s="152"/>
      <c r="AN361" s="150"/>
      <c r="AO361" s="151"/>
      <c r="AP361" s="151"/>
      <c r="AQ361" s="169"/>
      <c r="AR361" s="169"/>
      <c r="AS361" s="149"/>
      <c r="AT361" s="324"/>
      <c r="AU361" s="324"/>
      <c r="AV361" s="324"/>
      <c r="AW361" s="324"/>
      <c r="AX361" s="324"/>
      <c r="AY361" s="324"/>
      <c r="AZ361" s="154"/>
      <c r="BA361" s="419"/>
      <c r="BB361" s="419"/>
      <c r="BC361" s="419"/>
      <c r="BD361" s="419"/>
      <c r="BE361" s="418"/>
      <c r="BF361" s="154"/>
      <c r="BG361" s="419"/>
      <c r="BH361" s="419"/>
      <c r="BI361" s="419"/>
      <c r="BJ361" s="419"/>
      <c r="BK361" s="418"/>
      <c r="BL361" s="36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561"/>
    </row>
    <row r="362" spans="1:74" s="2" customFormat="1" ht="24.9" customHeight="1">
      <c r="A362" s="147" t="s">
        <v>85</v>
      </c>
      <c r="B362" s="158"/>
      <c r="C362" s="179"/>
      <c r="D362" s="158"/>
      <c r="E362" s="160"/>
      <c r="F362" s="161"/>
      <c r="G362" s="161"/>
      <c r="H362" s="161"/>
      <c r="I362" s="154"/>
      <c r="J362" s="418"/>
      <c r="K362" s="419"/>
      <c r="L362" s="154"/>
      <c r="M362" s="418"/>
      <c r="N362" s="419"/>
      <c r="O362" s="150"/>
      <c r="P362" s="164"/>
      <c r="Q362" s="154"/>
      <c r="R362" s="174"/>
      <c r="S362" s="523"/>
      <c r="T362" s="523"/>
      <c r="U362" s="154"/>
      <c r="V362" s="155"/>
      <c r="W362" s="156"/>
      <c r="X362" s="154"/>
      <c r="Y362" s="155"/>
      <c r="Z362" s="155"/>
      <c r="AA362" s="157"/>
      <c r="AB362" s="217"/>
      <c r="AC362" s="150"/>
      <c r="AD362" s="151"/>
      <c r="AE362" s="152"/>
      <c r="AF362" s="506"/>
      <c r="AG362" s="463"/>
      <c r="AH362" s="150"/>
      <c r="AI362" s="152"/>
      <c r="AJ362" s="150"/>
      <c r="AK362" s="152"/>
      <c r="AL362" s="150"/>
      <c r="AM362" s="152"/>
      <c r="AN362" s="150"/>
      <c r="AO362" s="151"/>
      <c r="AP362" s="151"/>
      <c r="AQ362" s="169"/>
      <c r="AR362" s="169"/>
      <c r="AS362" s="149"/>
      <c r="AT362" s="324"/>
      <c r="AU362" s="324"/>
      <c r="AV362" s="324"/>
      <c r="AW362" s="324"/>
      <c r="AX362" s="324"/>
      <c r="AY362" s="324"/>
      <c r="AZ362" s="154"/>
      <c r="BA362" s="419"/>
      <c r="BB362" s="419"/>
      <c r="BC362" s="419"/>
      <c r="BD362" s="419"/>
      <c r="BE362" s="418"/>
      <c r="BF362" s="154"/>
      <c r="BG362" s="419"/>
      <c r="BH362" s="419"/>
      <c r="BI362" s="419"/>
      <c r="BJ362" s="419"/>
      <c r="BK362" s="418"/>
      <c r="BL362" s="36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431"/>
    </row>
    <row r="363" spans="1:74" s="2" customFormat="1" ht="24.9" customHeight="1">
      <c r="A363" s="147" t="s">
        <v>85</v>
      </c>
      <c r="B363" s="158"/>
      <c r="C363" s="179"/>
      <c r="D363" s="158"/>
      <c r="E363" s="160"/>
      <c r="F363" s="161"/>
      <c r="G363" s="161"/>
      <c r="H363" s="161"/>
      <c r="I363" s="154"/>
      <c r="J363" s="418"/>
      <c r="K363" s="419"/>
      <c r="L363" s="154"/>
      <c r="M363" s="418"/>
      <c r="N363" s="419"/>
      <c r="O363" s="150"/>
      <c r="P363" s="164"/>
      <c r="Q363" s="154"/>
      <c r="R363" s="151"/>
      <c r="S363" s="522"/>
      <c r="T363" s="522"/>
      <c r="U363" s="154"/>
      <c r="V363" s="155"/>
      <c r="W363" s="156"/>
      <c r="X363" s="154"/>
      <c r="Y363" s="155"/>
      <c r="Z363" s="155"/>
      <c r="AA363" s="157"/>
      <c r="AB363" s="217"/>
      <c r="AC363" s="150"/>
      <c r="AD363" s="151"/>
      <c r="AE363" s="152"/>
      <c r="AF363" s="506"/>
      <c r="AG363" s="463"/>
      <c r="AH363" s="150"/>
      <c r="AI363" s="152"/>
      <c r="AJ363" s="150"/>
      <c r="AK363" s="152"/>
      <c r="AL363" s="150"/>
      <c r="AM363" s="152"/>
      <c r="AN363" s="150"/>
      <c r="AO363" s="151"/>
      <c r="AP363" s="151"/>
      <c r="AQ363" s="169"/>
      <c r="AR363" s="169"/>
      <c r="AS363" s="149"/>
      <c r="AT363" s="324"/>
      <c r="AU363" s="324"/>
      <c r="AV363" s="324"/>
      <c r="AW363" s="324"/>
      <c r="AX363" s="324"/>
      <c r="AY363" s="324"/>
      <c r="AZ363" s="154"/>
      <c r="BA363" s="419"/>
      <c r="BB363" s="419"/>
      <c r="BC363" s="419"/>
      <c r="BD363" s="419"/>
      <c r="BE363" s="418"/>
      <c r="BF363" s="154"/>
      <c r="BG363" s="419"/>
      <c r="BH363" s="419"/>
      <c r="BI363" s="419"/>
      <c r="BJ363" s="419"/>
      <c r="BK363" s="418"/>
      <c r="BL363" s="36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432"/>
    </row>
    <row r="364" spans="1:74" s="2" customFormat="1" ht="24.9" customHeight="1">
      <c r="A364" s="147" t="s">
        <v>85</v>
      </c>
      <c r="B364" s="158"/>
      <c r="C364" s="179"/>
      <c r="D364" s="158"/>
      <c r="E364" s="160"/>
      <c r="F364" s="161"/>
      <c r="G364" s="161"/>
      <c r="H364" s="161"/>
      <c r="I364" s="154"/>
      <c r="J364" s="418"/>
      <c r="K364" s="419"/>
      <c r="L364" s="154"/>
      <c r="M364" s="418"/>
      <c r="N364" s="419"/>
      <c r="O364" s="150"/>
      <c r="P364" s="164"/>
      <c r="Q364" s="154"/>
      <c r="R364" s="174"/>
      <c r="S364" s="523"/>
      <c r="T364" s="523"/>
      <c r="U364" s="154"/>
      <c r="V364" s="155"/>
      <c r="W364" s="156"/>
      <c r="X364" s="154"/>
      <c r="Y364" s="155"/>
      <c r="Z364" s="155"/>
      <c r="AA364" s="157"/>
      <c r="AB364" s="217"/>
      <c r="AC364" s="150"/>
      <c r="AD364" s="151"/>
      <c r="AE364" s="152"/>
      <c r="AF364" s="506"/>
      <c r="AG364" s="463"/>
      <c r="AH364" s="150"/>
      <c r="AI364" s="152"/>
      <c r="AJ364" s="150"/>
      <c r="AK364" s="152"/>
      <c r="AL364" s="150"/>
      <c r="AM364" s="152"/>
      <c r="AN364" s="150"/>
      <c r="AO364" s="151"/>
      <c r="AP364" s="151"/>
      <c r="AQ364" s="169"/>
      <c r="AR364" s="169"/>
      <c r="AS364" s="149"/>
      <c r="AT364" s="324"/>
      <c r="AU364" s="324"/>
      <c r="AV364" s="324"/>
      <c r="AW364" s="324"/>
      <c r="AX364" s="324"/>
      <c r="AY364" s="324"/>
      <c r="AZ364" s="154"/>
      <c r="BA364" s="419"/>
      <c r="BB364" s="419"/>
      <c r="BC364" s="419"/>
      <c r="BD364" s="419"/>
      <c r="BE364" s="418"/>
      <c r="BF364" s="154"/>
      <c r="BG364" s="419"/>
      <c r="BH364" s="419"/>
      <c r="BI364" s="419"/>
      <c r="BJ364" s="419"/>
      <c r="BK364" s="418"/>
      <c r="BL364" s="36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561"/>
    </row>
    <row r="365" spans="1:74" s="2" customFormat="1" ht="24.9" customHeight="1">
      <c r="A365" s="147" t="s">
        <v>85</v>
      </c>
      <c r="B365" s="158"/>
      <c r="C365" s="179"/>
      <c r="D365" s="158"/>
      <c r="E365" s="160"/>
      <c r="F365" s="161"/>
      <c r="G365" s="161"/>
      <c r="H365" s="161"/>
      <c r="I365" s="154"/>
      <c r="J365" s="418"/>
      <c r="K365" s="419"/>
      <c r="L365" s="154"/>
      <c r="M365" s="418"/>
      <c r="N365" s="419"/>
      <c r="O365" s="150"/>
      <c r="P365" s="164"/>
      <c r="Q365" s="154"/>
      <c r="R365" s="174"/>
      <c r="S365" s="523"/>
      <c r="T365" s="523"/>
      <c r="U365" s="154"/>
      <c r="V365" s="155"/>
      <c r="W365" s="156"/>
      <c r="X365" s="154"/>
      <c r="Y365" s="155"/>
      <c r="Z365" s="155"/>
      <c r="AA365" s="157"/>
      <c r="AB365" s="217"/>
      <c r="AC365" s="150"/>
      <c r="AD365" s="151"/>
      <c r="AE365" s="152"/>
      <c r="AF365" s="506"/>
      <c r="AG365" s="463"/>
      <c r="AH365" s="150"/>
      <c r="AI365" s="152"/>
      <c r="AJ365" s="150"/>
      <c r="AK365" s="152"/>
      <c r="AL365" s="150"/>
      <c r="AM365" s="152"/>
      <c r="AN365" s="150"/>
      <c r="AO365" s="151"/>
      <c r="AP365" s="151"/>
      <c r="AQ365" s="169"/>
      <c r="AR365" s="169"/>
      <c r="AS365" s="149"/>
      <c r="AT365" s="324"/>
      <c r="AU365" s="324"/>
      <c r="AV365" s="324"/>
      <c r="AW365" s="324"/>
      <c r="AX365" s="324"/>
      <c r="AY365" s="324"/>
      <c r="AZ365" s="154"/>
      <c r="BA365" s="419"/>
      <c r="BB365" s="419"/>
      <c r="BC365" s="419"/>
      <c r="BD365" s="419"/>
      <c r="BE365" s="418"/>
      <c r="BF365" s="154"/>
      <c r="BG365" s="419"/>
      <c r="BH365" s="419"/>
      <c r="BI365" s="419"/>
      <c r="BJ365" s="419"/>
      <c r="BK365" s="418"/>
      <c r="BL365" s="36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431"/>
    </row>
    <row r="366" spans="1:74" s="2" customFormat="1" ht="24.9" customHeight="1">
      <c r="A366" s="147" t="s">
        <v>85</v>
      </c>
      <c r="B366" s="158"/>
      <c r="C366" s="179"/>
      <c r="D366" s="158"/>
      <c r="E366" s="160"/>
      <c r="F366" s="161"/>
      <c r="G366" s="161"/>
      <c r="H366" s="161"/>
      <c r="I366" s="154"/>
      <c r="J366" s="418"/>
      <c r="K366" s="419"/>
      <c r="L366" s="154"/>
      <c r="M366" s="418"/>
      <c r="N366" s="419"/>
      <c r="O366" s="150"/>
      <c r="P366" s="164"/>
      <c r="Q366" s="154"/>
      <c r="R366" s="151"/>
      <c r="S366" s="522"/>
      <c r="T366" s="522"/>
      <c r="U366" s="154"/>
      <c r="V366" s="155"/>
      <c r="W366" s="156"/>
      <c r="X366" s="154"/>
      <c r="Y366" s="155"/>
      <c r="Z366" s="155"/>
      <c r="AA366" s="157"/>
      <c r="AB366" s="217"/>
      <c r="AC366" s="150"/>
      <c r="AD366" s="151"/>
      <c r="AE366" s="152"/>
      <c r="AF366" s="506"/>
      <c r="AG366" s="463"/>
      <c r="AH366" s="150"/>
      <c r="AI366" s="152"/>
      <c r="AJ366" s="150"/>
      <c r="AK366" s="152"/>
      <c r="AL366" s="150"/>
      <c r="AM366" s="152"/>
      <c r="AN366" s="150"/>
      <c r="AO366" s="151"/>
      <c r="AP366" s="151"/>
      <c r="AQ366" s="169"/>
      <c r="AR366" s="169"/>
      <c r="AS366" s="149"/>
      <c r="AT366" s="324"/>
      <c r="AU366" s="324"/>
      <c r="AV366" s="324"/>
      <c r="AW366" s="324"/>
      <c r="AX366" s="324"/>
      <c r="AY366" s="324"/>
      <c r="AZ366" s="154"/>
      <c r="BA366" s="419"/>
      <c r="BB366" s="419"/>
      <c r="BC366" s="419"/>
      <c r="BD366" s="419"/>
      <c r="BE366" s="418"/>
      <c r="BF366" s="154"/>
      <c r="BG366" s="419"/>
      <c r="BH366" s="419"/>
      <c r="BI366" s="419"/>
      <c r="BJ366" s="419"/>
      <c r="BK366" s="418"/>
      <c r="BL366" s="36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432"/>
    </row>
    <row r="367" spans="1:74" s="2" customFormat="1" ht="24.9" customHeight="1">
      <c r="A367" s="147" t="s">
        <v>85</v>
      </c>
      <c r="B367" s="158"/>
      <c r="C367" s="179"/>
      <c r="D367" s="158"/>
      <c r="E367" s="160"/>
      <c r="F367" s="161"/>
      <c r="G367" s="161"/>
      <c r="H367" s="161"/>
      <c r="I367" s="154"/>
      <c r="J367" s="418"/>
      <c r="K367" s="419"/>
      <c r="L367" s="154"/>
      <c r="M367" s="418"/>
      <c r="N367" s="419"/>
      <c r="O367" s="150"/>
      <c r="P367" s="164"/>
      <c r="Q367" s="154"/>
      <c r="R367" s="174"/>
      <c r="S367" s="523"/>
      <c r="T367" s="523"/>
      <c r="U367" s="154"/>
      <c r="V367" s="155"/>
      <c r="W367" s="156"/>
      <c r="X367" s="154"/>
      <c r="Y367" s="155"/>
      <c r="Z367" s="155"/>
      <c r="AA367" s="157"/>
      <c r="AB367" s="217"/>
      <c r="AC367" s="150"/>
      <c r="AD367" s="151"/>
      <c r="AE367" s="152"/>
      <c r="AF367" s="506"/>
      <c r="AG367" s="463"/>
      <c r="AH367" s="150"/>
      <c r="AI367" s="152"/>
      <c r="AJ367" s="150"/>
      <c r="AK367" s="152"/>
      <c r="AL367" s="150"/>
      <c r="AM367" s="152"/>
      <c r="AN367" s="150"/>
      <c r="AO367" s="151"/>
      <c r="AP367" s="151"/>
      <c r="AQ367" s="169"/>
      <c r="AR367" s="169"/>
      <c r="AS367" s="149"/>
      <c r="AT367" s="324"/>
      <c r="AU367" s="324"/>
      <c r="AV367" s="324"/>
      <c r="AW367" s="324"/>
      <c r="AX367" s="324"/>
      <c r="AY367" s="324"/>
      <c r="AZ367" s="154"/>
      <c r="BA367" s="419"/>
      <c r="BB367" s="419"/>
      <c r="BC367" s="419"/>
      <c r="BD367" s="419"/>
      <c r="BE367" s="418"/>
      <c r="BF367" s="154"/>
      <c r="BG367" s="419"/>
      <c r="BH367" s="419"/>
      <c r="BI367" s="419"/>
      <c r="BJ367" s="419"/>
      <c r="BK367" s="418"/>
      <c r="BL367" s="36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561"/>
    </row>
    <row r="368" spans="1:74" s="2" customFormat="1" ht="24.9" customHeight="1">
      <c r="A368" s="147" t="s">
        <v>85</v>
      </c>
      <c r="B368" s="158"/>
      <c r="C368" s="179"/>
      <c r="D368" s="158"/>
      <c r="E368" s="160"/>
      <c r="F368" s="161"/>
      <c r="G368" s="161"/>
      <c r="H368" s="161"/>
      <c r="I368" s="154"/>
      <c r="J368" s="418"/>
      <c r="K368" s="419"/>
      <c r="L368" s="154"/>
      <c r="M368" s="418"/>
      <c r="N368" s="419"/>
      <c r="O368" s="150"/>
      <c r="P368" s="164"/>
      <c r="Q368" s="154"/>
      <c r="R368" s="174"/>
      <c r="S368" s="523"/>
      <c r="T368" s="523"/>
      <c r="U368" s="154"/>
      <c r="V368" s="155"/>
      <c r="W368" s="156"/>
      <c r="X368" s="154"/>
      <c r="Y368" s="155"/>
      <c r="Z368" s="155"/>
      <c r="AA368" s="157"/>
      <c r="AB368" s="217"/>
      <c r="AC368" s="150"/>
      <c r="AD368" s="151"/>
      <c r="AE368" s="152"/>
      <c r="AF368" s="506"/>
      <c r="AG368" s="463"/>
      <c r="AH368" s="150"/>
      <c r="AI368" s="152"/>
      <c r="AJ368" s="150"/>
      <c r="AK368" s="152"/>
      <c r="AL368" s="150"/>
      <c r="AM368" s="152"/>
      <c r="AN368" s="150"/>
      <c r="AO368" s="151"/>
      <c r="AP368" s="151"/>
      <c r="AQ368" s="169"/>
      <c r="AR368" s="169"/>
      <c r="AS368" s="149"/>
      <c r="AT368" s="324"/>
      <c r="AU368" s="324"/>
      <c r="AV368" s="324"/>
      <c r="AW368" s="324"/>
      <c r="AX368" s="324"/>
      <c r="AY368" s="324"/>
      <c r="AZ368" s="154"/>
      <c r="BA368" s="419"/>
      <c r="BB368" s="419"/>
      <c r="BC368" s="419"/>
      <c r="BD368" s="419"/>
      <c r="BE368" s="418"/>
      <c r="BF368" s="154"/>
      <c r="BG368" s="419"/>
      <c r="BH368" s="419"/>
      <c r="BI368" s="419"/>
      <c r="BJ368" s="419"/>
      <c r="BK368" s="418"/>
      <c r="BL368" s="36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431"/>
    </row>
    <row r="369" spans="1:74" s="2" customFormat="1" ht="24.9" customHeight="1">
      <c r="A369" s="147" t="s">
        <v>85</v>
      </c>
      <c r="B369" s="158"/>
      <c r="C369" s="179"/>
      <c r="D369" s="158"/>
      <c r="E369" s="160"/>
      <c r="F369" s="161"/>
      <c r="G369" s="161"/>
      <c r="H369" s="161"/>
      <c r="I369" s="154"/>
      <c r="J369" s="418"/>
      <c r="K369" s="419"/>
      <c r="L369" s="154"/>
      <c r="M369" s="418"/>
      <c r="N369" s="419"/>
      <c r="O369" s="150"/>
      <c r="P369" s="164"/>
      <c r="Q369" s="154"/>
      <c r="R369" s="174"/>
      <c r="S369" s="523"/>
      <c r="T369" s="523"/>
      <c r="U369" s="154"/>
      <c r="V369" s="155"/>
      <c r="W369" s="156"/>
      <c r="X369" s="154"/>
      <c r="Y369" s="155"/>
      <c r="Z369" s="155"/>
      <c r="AA369" s="157"/>
      <c r="AB369" s="217"/>
      <c r="AC369" s="150"/>
      <c r="AD369" s="151"/>
      <c r="AE369" s="152"/>
      <c r="AF369" s="506"/>
      <c r="AG369" s="463"/>
      <c r="AH369" s="150"/>
      <c r="AI369" s="152"/>
      <c r="AJ369" s="150"/>
      <c r="AK369" s="152"/>
      <c r="AL369" s="150"/>
      <c r="AM369" s="152"/>
      <c r="AN369" s="150"/>
      <c r="AO369" s="151"/>
      <c r="AP369" s="151"/>
      <c r="AQ369" s="169"/>
      <c r="AR369" s="169"/>
      <c r="AS369" s="149"/>
      <c r="AT369" s="324"/>
      <c r="AU369" s="324"/>
      <c r="AV369" s="324"/>
      <c r="AW369" s="324"/>
      <c r="AX369" s="324"/>
      <c r="AY369" s="324"/>
      <c r="AZ369" s="154"/>
      <c r="BA369" s="419"/>
      <c r="BB369" s="419"/>
      <c r="BC369" s="419"/>
      <c r="BD369" s="419"/>
      <c r="BE369" s="418"/>
      <c r="BF369" s="154"/>
      <c r="BG369" s="419"/>
      <c r="BH369" s="419"/>
      <c r="BI369" s="419"/>
      <c r="BJ369" s="419"/>
      <c r="BK369" s="418"/>
      <c r="BL369" s="36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561"/>
    </row>
    <row r="370" spans="1:74" s="2" customFormat="1" ht="24.9" customHeight="1">
      <c r="A370" s="147" t="s">
        <v>85</v>
      </c>
      <c r="B370" s="158"/>
      <c r="C370" s="179"/>
      <c r="D370" s="158"/>
      <c r="E370" s="160"/>
      <c r="F370" s="161"/>
      <c r="G370" s="161"/>
      <c r="H370" s="161"/>
      <c r="I370" s="154"/>
      <c r="J370" s="418"/>
      <c r="K370" s="419"/>
      <c r="L370" s="154"/>
      <c r="M370" s="418"/>
      <c r="N370" s="419"/>
      <c r="O370" s="150"/>
      <c r="P370" s="164"/>
      <c r="Q370" s="154"/>
      <c r="R370" s="174"/>
      <c r="S370" s="523"/>
      <c r="T370" s="523"/>
      <c r="U370" s="154"/>
      <c r="V370" s="155"/>
      <c r="W370" s="156"/>
      <c r="X370" s="154"/>
      <c r="Y370" s="155"/>
      <c r="Z370" s="155"/>
      <c r="AA370" s="157"/>
      <c r="AB370" s="217"/>
      <c r="AC370" s="150"/>
      <c r="AD370" s="151"/>
      <c r="AE370" s="152"/>
      <c r="AF370" s="506"/>
      <c r="AG370" s="463"/>
      <c r="AH370" s="150"/>
      <c r="AI370" s="152"/>
      <c r="AJ370" s="150"/>
      <c r="AK370" s="152"/>
      <c r="AL370" s="150"/>
      <c r="AM370" s="152"/>
      <c r="AN370" s="150"/>
      <c r="AO370" s="151"/>
      <c r="AP370" s="151"/>
      <c r="AQ370" s="169"/>
      <c r="AR370" s="169"/>
      <c r="AS370" s="149"/>
      <c r="AT370" s="324"/>
      <c r="AU370" s="324"/>
      <c r="AV370" s="324"/>
      <c r="AW370" s="324"/>
      <c r="AX370" s="324"/>
      <c r="AY370" s="324"/>
      <c r="AZ370" s="154"/>
      <c r="BA370" s="419"/>
      <c r="BB370" s="419"/>
      <c r="BC370" s="419"/>
      <c r="BD370" s="419"/>
      <c r="BE370" s="418"/>
      <c r="BF370" s="154"/>
      <c r="BG370" s="419"/>
      <c r="BH370" s="419"/>
      <c r="BI370" s="419"/>
      <c r="BJ370" s="419"/>
      <c r="BK370" s="418"/>
      <c r="BL370" s="36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431"/>
    </row>
    <row r="371" spans="1:74" s="2" customFormat="1" ht="24.9" customHeight="1">
      <c r="A371" s="147" t="s">
        <v>85</v>
      </c>
      <c r="B371" s="158"/>
      <c r="C371" s="179"/>
      <c r="D371" s="158"/>
      <c r="E371" s="160"/>
      <c r="F371" s="161"/>
      <c r="G371" s="161"/>
      <c r="H371" s="161"/>
      <c r="I371" s="154"/>
      <c r="J371" s="418"/>
      <c r="K371" s="419"/>
      <c r="L371" s="154"/>
      <c r="M371" s="418"/>
      <c r="N371" s="419"/>
      <c r="O371" s="150"/>
      <c r="P371" s="164"/>
      <c r="Q371" s="154"/>
      <c r="R371" s="174"/>
      <c r="S371" s="523"/>
      <c r="T371" s="523"/>
      <c r="U371" s="154"/>
      <c r="V371" s="155"/>
      <c r="W371" s="156"/>
      <c r="X371" s="154"/>
      <c r="Y371" s="155"/>
      <c r="Z371" s="155"/>
      <c r="AA371" s="157"/>
      <c r="AB371" s="217"/>
      <c r="AC371" s="150"/>
      <c r="AD371" s="151"/>
      <c r="AE371" s="152"/>
      <c r="AF371" s="506"/>
      <c r="AG371" s="463"/>
      <c r="AH371" s="150"/>
      <c r="AI371" s="152"/>
      <c r="AJ371" s="150"/>
      <c r="AK371" s="152"/>
      <c r="AL371" s="150"/>
      <c r="AM371" s="152"/>
      <c r="AN371" s="150"/>
      <c r="AO371" s="151"/>
      <c r="AP371" s="151"/>
      <c r="AQ371" s="169"/>
      <c r="AR371" s="169"/>
      <c r="AS371" s="149"/>
      <c r="AT371" s="324"/>
      <c r="AU371" s="324"/>
      <c r="AV371" s="324"/>
      <c r="AW371" s="324"/>
      <c r="AX371" s="324"/>
      <c r="AY371" s="324"/>
      <c r="AZ371" s="154"/>
      <c r="BA371" s="419"/>
      <c r="BB371" s="419"/>
      <c r="BC371" s="419"/>
      <c r="BD371" s="419"/>
      <c r="BE371" s="418"/>
      <c r="BF371" s="154"/>
      <c r="BG371" s="419"/>
      <c r="BH371" s="419"/>
      <c r="BI371" s="419"/>
      <c r="BJ371" s="419"/>
      <c r="BK371" s="418"/>
      <c r="BL371" s="36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561"/>
    </row>
    <row r="372" spans="1:74" s="2" customFormat="1" ht="24.9" customHeight="1">
      <c r="A372" s="147" t="s">
        <v>85</v>
      </c>
      <c r="B372" s="158"/>
      <c r="C372" s="179"/>
      <c r="D372" s="158"/>
      <c r="E372" s="160"/>
      <c r="F372" s="161"/>
      <c r="G372" s="161"/>
      <c r="H372" s="161"/>
      <c r="I372" s="154"/>
      <c r="J372" s="418"/>
      <c r="K372" s="419"/>
      <c r="L372" s="154"/>
      <c r="M372" s="418"/>
      <c r="N372" s="419"/>
      <c r="O372" s="150"/>
      <c r="P372" s="164"/>
      <c r="Q372" s="154"/>
      <c r="R372" s="174"/>
      <c r="S372" s="523"/>
      <c r="T372" s="523"/>
      <c r="U372" s="154"/>
      <c r="V372" s="155"/>
      <c r="W372" s="156"/>
      <c r="X372" s="154"/>
      <c r="Y372" s="155"/>
      <c r="Z372" s="155"/>
      <c r="AA372" s="157"/>
      <c r="AB372" s="217"/>
      <c r="AC372" s="150"/>
      <c r="AD372" s="151"/>
      <c r="AE372" s="152"/>
      <c r="AF372" s="506"/>
      <c r="AG372" s="463"/>
      <c r="AH372" s="150"/>
      <c r="AI372" s="152"/>
      <c r="AJ372" s="150"/>
      <c r="AK372" s="152"/>
      <c r="AL372" s="150"/>
      <c r="AM372" s="152"/>
      <c r="AN372" s="150"/>
      <c r="AO372" s="151"/>
      <c r="AP372" s="151"/>
      <c r="AQ372" s="169"/>
      <c r="AR372" s="169"/>
      <c r="AS372" s="149"/>
      <c r="AT372" s="324"/>
      <c r="AU372" s="324"/>
      <c r="AV372" s="324"/>
      <c r="AW372" s="324"/>
      <c r="AX372" s="324"/>
      <c r="AY372" s="324"/>
      <c r="AZ372" s="154"/>
      <c r="BA372" s="419"/>
      <c r="BB372" s="419"/>
      <c r="BC372" s="419"/>
      <c r="BD372" s="419"/>
      <c r="BE372" s="418"/>
      <c r="BF372" s="154"/>
      <c r="BG372" s="419"/>
      <c r="BH372" s="419"/>
      <c r="BI372" s="419"/>
      <c r="BJ372" s="419"/>
      <c r="BK372" s="418"/>
      <c r="BL372" s="36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431"/>
    </row>
    <row r="373" spans="1:74" s="2" customFormat="1" ht="24.9" customHeight="1">
      <c r="A373" s="147" t="s">
        <v>85</v>
      </c>
      <c r="B373" s="158"/>
      <c r="C373" s="179"/>
      <c r="D373" s="158"/>
      <c r="E373" s="160"/>
      <c r="F373" s="161"/>
      <c r="G373" s="161"/>
      <c r="H373" s="161"/>
      <c r="I373" s="154"/>
      <c r="J373" s="418"/>
      <c r="K373" s="419"/>
      <c r="L373" s="154"/>
      <c r="M373" s="418"/>
      <c r="N373" s="419"/>
      <c r="O373" s="150"/>
      <c r="P373" s="164"/>
      <c r="Q373" s="154"/>
      <c r="R373" s="151"/>
      <c r="S373" s="522"/>
      <c r="T373" s="522"/>
      <c r="U373" s="154"/>
      <c r="V373" s="155"/>
      <c r="W373" s="156"/>
      <c r="X373" s="154"/>
      <c r="Y373" s="155"/>
      <c r="Z373" s="155"/>
      <c r="AA373" s="157"/>
      <c r="AB373" s="217"/>
      <c r="AC373" s="150"/>
      <c r="AD373" s="151"/>
      <c r="AE373" s="152"/>
      <c r="AF373" s="506"/>
      <c r="AG373" s="463"/>
      <c r="AH373" s="150"/>
      <c r="AI373" s="152"/>
      <c r="AJ373" s="150"/>
      <c r="AK373" s="152"/>
      <c r="AL373" s="150"/>
      <c r="AM373" s="152"/>
      <c r="AN373" s="150"/>
      <c r="AO373" s="151"/>
      <c r="AP373" s="151"/>
      <c r="AQ373" s="169"/>
      <c r="AR373" s="169"/>
      <c r="AS373" s="149"/>
      <c r="AT373" s="324"/>
      <c r="AU373" s="324"/>
      <c r="AV373" s="324"/>
      <c r="AW373" s="324"/>
      <c r="AX373" s="324"/>
      <c r="AY373" s="324"/>
      <c r="AZ373" s="154"/>
      <c r="BA373" s="419"/>
      <c r="BB373" s="419"/>
      <c r="BC373" s="419"/>
      <c r="BD373" s="419"/>
      <c r="BE373" s="418"/>
      <c r="BF373" s="154"/>
      <c r="BG373" s="419"/>
      <c r="BH373" s="419"/>
      <c r="BI373" s="419"/>
      <c r="BJ373" s="419"/>
      <c r="BK373" s="418"/>
      <c r="BL373" s="36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432"/>
    </row>
    <row r="374" spans="1:74" s="2" customFormat="1" ht="24.9" customHeight="1">
      <c r="A374" s="147" t="s">
        <v>85</v>
      </c>
      <c r="B374" s="158"/>
      <c r="C374" s="179"/>
      <c r="D374" s="158"/>
      <c r="E374" s="160"/>
      <c r="F374" s="161"/>
      <c r="G374" s="161"/>
      <c r="H374" s="161"/>
      <c r="I374" s="154"/>
      <c r="J374" s="418"/>
      <c r="K374" s="419"/>
      <c r="L374" s="154"/>
      <c r="M374" s="418"/>
      <c r="N374" s="419"/>
      <c r="O374" s="150"/>
      <c r="P374" s="164"/>
      <c r="Q374" s="154"/>
      <c r="R374" s="174"/>
      <c r="S374" s="523"/>
      <c r="T374" s="523"/>
      <c r="U374" s="154"/>
      <c r="V374" s="155"/>
      <c r="W374" s="156"/>
      <c r="X374" s="154"/>
      <c r="Y374" s="155"/>
      <c r="Z374" s="155"/>
      <c r="AA374" s="157"/>
      <c r="AB374" s="217"/>
      <c r="AC374" s="150"/>
      <c r="AD374" s="151"/>
      <c r="AE374" s="152"/>
      <c r="AF374" s="506"/>
      <c r="AG374" s="463"/>
      <c r="AH374" s="150"/>
      <c r="AI374" s="152"/>
      <c r="AJ374" s="150"/>
      <c r="AK374" s="152"/>
      <c r="AL374" s="150"/>
      <c r="AM374" s="152"/>
      <c r="AN374" s="150"/>
      <c r="AO374" s="151"/>
      <c r="AP374" s="151"/>
      <c r="AQ374" s="169"/>
      <c r="AR374" s="169"/>
      <c r="AS374" s="149"/>
      <c r="AT374" s="324"/>
      <c r="AU374" s="324"/>
      <c r="AV374" s="324"/>
      <c r="AW374" s="324"/>
      <c r="AX374" s="324"/>
      <c r="AY374" s="324"/>
      <c r="AZ374" s="154"/>
      <c r="BA374" s="419"/>
      <c r="BB374" s="419"/>
      <c r="BC374" s="419"/>
      <c r="BD374" s="419"/>
      <c r="BE374" s="418"/>
      <c r="BF374" s="154"/>
      <c r="BG374" s="419"/>
      <c r="BH374" s="419"/>
      <c r="BI374" s="419"/>
      <c r="BJ374" s="419"/>
      <c r="BK374" s="418"/>
      <c r="BL374" s="36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561"/>
    </row>
    <row r="375" spans="1:74" s="2" customFormat="1" ht="24.9" customHeight="1">
      <c r="A375" s="147" t="s">
        <v>85</v>
      </c>
      <c r="B375" s="158"/>
      <c r="C375" s="179"/>
      <c r="D375" s="158"/>
      <c r="E375" s="160"/>
      <c r="F375" s="161"/>
      <c r="G375" s="161"/>
      <c r="H375" s="161"/>
      <c r="I375" s="154"/>
      <c r="J375" s="418"/>
      <c r="K375" s="419"/>
      <c r="L375" s="154"/>
      <c r="M375" s="418"/>
      <c r="N375" s="419"/>
      <c r="O375" s="150"/>
      <c r="P375" s="164"/>
      <c r="Q375" s="154"/>
      <c r="R375" s="151"/>
      <c r="S375" s="522"/>
      <c r="T375" s="522"/>
      <c r="U375" s="154"/>
      <c r="V375" s="155"/>
      <c r="W375" s="156"/>
      <c r="X375" s="154"/>
      <c r="Y375" s="155"/>
      <c r="Z375" s="155"/>
      <c r="AA375" s="157"/>
      <c r="AB375" s="217"/>
      <c r="AC375" s="150"/>
      <c r="AD375" s="151"/>
      <c r="AE375" s="152"/>
      <c r="AF375" s="506"/>
      <c r="AG375" s="463"/>
      <c r="AH375" s="150"/>
      <c r="AI375" s="152"/>
      <c r="AJ375" s="150"/>
      <c r="AK375" s="152"/>
      <c r="AL375" s="150"/>
      <c r="AM375" s="152"/>
      <c r="AN375" s="150"/>
      <c r="AO375" s="151"/>
      <c r="AP375" s="151"/>
      <c r="AQ375" s="169"/>
      <c r="AR375" s="169"/>
      <c r="AS375" s="149"/>
      <c r="AT375" s="324"/>
      <c r="AU375" s="324"/>
      <c r="AV375" s="324"/>
      <c r="AW375" s="324"/>
      <c r="AX375" s="324"/>
      <c r="AY375" s="324"/>
      <c r="AZ375" s="154"/>
      <c r="BA375" s="419"/>
      <c r="BB375" s="419"/>
      <c r="BC375" s="419"/>
      <c r="BD375" s="419"/>
      <c r="BE375" s="418"/>
      <c r="BF375" s="154"/>
      <c r="BG375" s="419"/>
      <c r="BH375" s="419"/>
      <c r="BI375" s="419"/>
      <c r="BJ375" s="419"/>
      <c r="BK375" s="418"/>
      <c r="BL375" s="36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431"/>
    </row>
    <row r="376" spans="1:74" s="2" customFormat="1" ht="24.9" customHeight="1">
      <c r="A376" s="147" t="s">
        <v>85</v>
      </c>
      <c r="B376" s="158"/>
      <c r="C376" s="179"/>
      <c r="D376" s="158"/>
      <c r="E376" s="160"/>
      <c r="F376" s="161"/>
      <c r="G376" s="161"/>
      <c r="H376" s="161"/>
      <c r="I376" s="154"/>
      <c r="J376" s="418"/>
      <c r="K376" s="419"/>
      <c r="L376" s="154"/>
      <c r="M376" s="418"/>
      <c r="N376" s="419"/>
      <c r="O376" s="150"/>
      <c r="P376" s="164"/>
      <c r="Q376" s="154"/>
      <c r="R376" s="174"/>
      <c r="S376" s="523"/>
      <c r="T376" s="523"/>
      <c r="U376" s="154"/>
      <c r="V376" s="155"/>
      <c r="W376" s="156"/>
      <c r="X376" s="154"/>
      <c r="Y376" s="155"/>
      <c r="Z376" s="155"/>
      <c r="AA376" s="157"/>
      <c r="AB376" s="217"/>
      <c r="AC376" s="150"/>
      <c r="AD376" s="151"/>
      <c r="AE376" s="152"/>
      <c r="AF376" s="506"/>
      <c r="AG376" s="463"/>
      <c r="AH376" s="150"/>
      <c r="AI376" s="152"/>
      <c r="AJ376" s="150"/>
      <c r="AK376" s="152"/>
      <c r="AL376" s="150"/>
      <c r="AM376" s="152"/>
      <c r="AN376" s="150"/>
      <c r="AO376" s="151"/>
      <c r="AP376" s="151"/>
      <c r="AQ376" s="169"/>
      <c r="AR376" s="169"/>
      <c r="AS376" s="149"/>
      <c r="AT376" s="324"/>
      <c r="AU376" s="324"/>
      <c r="AV376" s="324"/>
      <c r="AW376" s="324"/>
      <c r="AX376" s="324"/>
      <c r="AY376" s="324"/>
      <c r="AZ376" s="154"/>
      <c r="BA376" s="419"/>
      <c r="BB376" s="419"/>
      <c r="BC376" s="419"/>
      <c r="BD376" s="419"/>
      <c r="BE376" s="418"/>
      <c r="BF376" s="154"/>
      <c r="BG376" s="419"/>
      <c r="BH376" s="419"/>
      <c r="BI376" s="419"/>
      <c r="BJ376" s="419"/>
      <c r="BK376" s="418"/>
      <c r="BL376" s="36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432"/>
    </row>
    <row r="377" spans="1:74" s="2" customFormat="1" ht="24.9" customHeight="1">
      <c r="A377" s="147" t="s">
        <v>85</v>
      </c>
      <c r="B377" s="158"/>
      <c r="C377" s="179"/>
      <c r="D377" s="158"/>
      <c r="E377" s="160"/>
      <c r="F377" s="161"/>
      <c r="G377" s="161"/>
      <c r="H377" s="161"/>
      <c r="I377" s="154"/>
      <c r="J377" s="418"/>
      <c r="K377" s="419"/>
      <c r="L377" s="154"/>
      <c r="M377" s="418"/>
      <c r="N377" s="419"/>
      <c r="O377" s="150"/>
      <c r="P377" s="164"/>
      <c r="Q377" s="154"/>
      <c r="R377" s="174"/>
      <c r="S377" s="523"/>
      <c r="T377" s="523"/>
      <c r="U377" s="154"/>
      <c r="V377" s="155"/>
      <c r="W377" s="156"/>
      <c r="X377" s="154"/>
      <c r="Y377" s="155"/>
      <c r="Z377" s="155"/>
      <c r="AA377" s="157"/>
      <c r="AB377" s="217"/>
      <c r="AC377" s="150"/>
      <c r="AD377" s="151"/>
      <c r="AE377" s="152"/>
      <c r="AF377" s="506"/>
      <c r="AG377" s="463"/>
      <c r="AH377" s="150"/>
      <c r="AI377" s="152"/>
      <c r="AJ377" s="150"/>
      <c r="AK377" s="152"/>
      <c r="AL377" s="150"/>
      <c r="AM377" s="152"/>
      <c r="AN377" s="150"/>
      <c r="AO377" s="151"/>
      <c r="AP377" s="151"/>
      <c r="AQ377" s="169"/>
      <c r="AR377" s="169"/>
      <c r="AS377" s="149"/>
      <c r="AT377" s="324"/>
      <c r="AU377" s="324"/>
      <c r="AV377" s="324"/>
      <c r="AW377" s="324"/>
      <c r="AX377" s="324"/>
      <c r="AY377" s="324"/>
      <c r="AZ377" s="154"/>
      <c r="BA377" s="419"/>
      <c r="BB377" s="419"/>
      <c r="BC377" s="419"/>
      <c r="BD377" s="419"/>
      <c r="BE377" s="418"/>
      <c r="BF377" s="154"/>
      <c r="BG377" s="419"/>
      <c r="BH377" s="419"/>
      <c r="BI377" s="419"/>
      <c r="BJ377" s="419"/>
      <c r="BK377" s="418"/>
      <c r="BL377" s="36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561"/>
    </row>
    <row r="378" spans="1:74" s="2" customFormat="1" ht="24.9" customHeight="1">
      <c r="A378" s="147" t="s">
        <v>85</v>
      </c>
      <c r="B378" s="158"/>
      <c r="C378" s="179"/>
      <c r="D378" s="158"/>
      <c r="E378" s="160"/>
      <c r="F378" s="161"/>
      <c r="G378" s="161"/>
      <c r="H378" s="161"/>
      <c r="I378" s="154"/>
      <c r="J378" s="418"/>
      <c r="K378" s="419"/>
      <c r="L378" s="154"/>
      <c r="M378" s="418"/>
      <c r="N378" s="419"/>
      <c r="O378" s="150"/>
      <c r="P378" s="164"/>
      <c r="Q378" s="154"/>
      <c r="R378" s="174"/>
      <c r="S378" s="523"/>
      <c r="T378" s="523"/>
      <c r="U378" s="154"/>
      <c r="V378" s="155"/>
      <c r="W378" s="156"/>
      <c r="X378" s="154"/>
      <c r="Y378" s="155"/>
      <c r="Z378" s="155"/>
      <c r="AA378" s="157"/>
      <c r="AB378" s="217"/>
      <c r="AC378" s="150"/>
      <c r="AD378" s="151"/>
      <c r="AE378" s="152"/>
      <c r="AF378" s="506"/>
      <c r="AG378" s="463"/>
      <c r="AH378" s="150"/>
      <c r="AI378" s="152"/>
      <c r="AJ378" s="150"/>
      <c r="AK378" s="152"/>
      <c r="AL378" s="150"/>
      <c r="AM378" s="152"/>
      <c r="AN378" s="150"/>
      <c r="AO378" s="151"/>
      <c r="AP378" s="151"/>
      <c r="AQ378" s="169"/>
      <c r="AR378" s="169"/>
      <c r="AS378" s="149"/>
      <c r="AT378" s="324"/>
      <c r="AU378" s="324"/>
      <c r="AV378" s="324"/>
      <c r="AW378" s="324"/>
      <c r="AX378" s="324"/>
      <c r="AY378" s="324"/>
      <c r="AZ378" s="154"/>
      <c r="BA378" s="419"/>
      <c r="BB378" s="419"/>
      <c r="BC378" s="419"/>
      <c r="BD378" s="419"/>
      <c r="BE378" s="418"/>
      <c r="BF378" s="154"/>
      <c r="BG378" s="419"/>
      <c r="BH378" s="419"/>
      <c r="BI378" s="419"/>
      <c r="BJ378" s="419"/>
      <c r="BK378" s="418"/>
      <c r="BL378" s="36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431"/>
    </row>
    <row r="379" spans="1:74" s="2" customFormat="1" ht="24.9" customHeight="1">
      <c r="A379" s="147" t="s">
        <v>85</v>
      </c>
      <c r="B379" s="158"/>
      <c r="C379" s="179"/>
      <c r="D379" s="158"/>
      <c r="E379" s="160"/>
      <c r="F379" s="161"/>
      <c r="G379" s="161"/>
      <c r="H379" s="161"/>
      <c r="I379" s="154"/>
      <c r="J379" s="418"/>
      <c r="K379" s="419"/>
      <c r="L379" s="154"/>
      <c r="M379" s="418"/>
      <c r="N379" s="419"/>
      <c r="O379" s="150"/>
      <c r="P379" s="164"/>
      <c r="Q379" s="154"/>
      <c r="R379" s="174"/>
      <c r="S379" s="523"/>
      <c r="T379" s="523"/>
      <c r="U379" s="154"/>
      <c r="V379" s="155"/>
      <c r="W379" s="156"/>
      <c r="X379" s="154"/>
      <c r="Y379" s="155"/>
      <c r="Z379" s="155"/>
      <c r="AA379" s="157"/>
      <c r="AB379" s="217"/>
      <c r="AC379" s="150"/>
      <c r="AD379" s="151"/>
      <c r="AE379" s="152"/>
      <c r="AF379" s="506"/>
      <c r="AG379" s="463"/>
      <c r="AH379" s="150"/>
      <c r="AI379" s="152"/>
      <c r="AJ379" s="150"/>
      <c r="AK379" s="152"/>
      <c r="AL379" s="150"/>
      <c r="AM379" s="152"/>
      <c r="AN379" s="150"/>
      <c r="AO379" s="151"/>
      <c r="AP379" s="151"/>
      <c r="AQ379" s="169"/>
      <c r="AR379" s="169"/>
      <c r="AS379" s="149"/>
      <c r="AT379" s="324"/>
      <c r="AU379" s="324"/>
      <c r="AV379" s="324"/>
      <c r="AW379" s="324"/>
      <c r="AX379" s="324"/>
      <c r="AY379" s="324"/>
      <c r="AZ379" s="154"/>
      <c r="BA379" s="419"/>
      <c r="BB379" s="419"/>
      <c r="BC379" s="419"/>
      <c r="BD379" s="419"/>
      <c r="BE379" s="418"/>
      <c r="BF379" s="154"/>
      <c r="BG379" s="419"/>
      <c r="BH379" s="419"/>
      <c r="BI379" s="419"/>
      <c r="BJ379" s="419"/>
      <c r="BK379" s="418"/>
      <c r="BL379" s="36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561"/>
    </row>
    <row r="380" spans="1:74" s="2" customFormat="1" ht="24.9" customHeight="1">
      <c r="A380" s="147" t="s">
        <v>85</v>
      </c>
      <c r="B380" s="158"/>
      <c r="C380" s="179"/>
      <c r="D380" s="158"/>
      <c r="E380" s="160"/>
      <c r="F380" s="161"/>
      <c r="G380" s="161"/>
      <c r="H380" s="161"/>
      <c r="I380" s="154"/>
      <c r="J380" s="418"/>
      <c r="K380" s="419"/>
      <c r="L380" s="154"/>
      <c r="M380" s="418"/>
      <c r="N380" s="419"/>
      <c r="O380" s="150"/>
      <c r="P380" s="164"/>
      <c r="Q380" s="154"/>
      <c r="R380" s="174"/>
      <c r="S380" s="523"/>
      <c r="T380" s="523"/>
      <c r="U380" s="154"/>
      <c r="V380" s="155"/>
      <c r="W380" s="156"/>
      <c r="X380" s="154"/>
      <c r="Y380" s="155"/>
      <c r="Z380" s="155"/>
      <c r="AA380" s="157"/>
      <c r="AB380" s="217"/>
      <c r="AC380" s="150"/>
      <c r="AD380" s="151"/>
      <c r="AE380" s="152"/>
      <c r="AF380" s="506"/>
      <c r="AG380" s="463"/>
      <c r="AH380" s="150"/>
      <c r="AI380" s="152"/>
      <c r="AJ380" s="150"/>
      <c r="AK380" s="152"/>
      <c r="AL380" s="150"/>
      <c r="AM380" s="152"/>
      <c r="AN380" s="150"/>
      <c r="AO380" s="151"/>
      <c r="AP380" s="151"/>
      <c r="AQ380" s="169"/>
      <c r="AR380" s="169"/>
      <c r="AS380" s="149"/>
      <c r="AT380" s="324"/>
      <c r="AU380" s="324"/>
      <c r="AV380" s="324"/>
      <c r="AW380" s="324"/>
      <c r="AX380" s="324"/>
      <c r="AY380" s="324"/>
      <c r="AZ380" s="154"/>
      <c r="BA380" s="419"/>
      <c r="BB380" s="419"/>
      <c r="BC380" s="419"/>
      <c r="BD380" s="419"/>
      <c r="BE380" s="418"/>
      <c r="BF380" s="154"/>
      <c r="BG380" s="419"/>
      <c r="BH380" s="419"/>
      <c r="BI380" s="419"/>
      <c r="BJ380" s="419"/>
      <c r="BK380" s="418"/>
      <c r="BL380" s="36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431"/>
    </row>
    <row r="381" spans="1:74" s="2" customFormat="1" ht="24.9" customHeight="1">
      <c r="A381" s="147" t="s">
        <v>85</v>
      </c>
      <c r="B381" s="158"/>
      <c r="C381" s="179"/>
      <c r="D381" s="158"/>
      <c r="E381" s="160"/>
      <c r="F381" s="161"/>
      <c r="G381" s="161"/>
      <c r="H381" s="161"/>
      <c r="I381" s="154"/>
      <c r="J381" s="418"/>
      <c r="K381" s="419"/>
      <c r="L381" s="154"/>
      <c r="M381" s="418"/>
      <c r="N381" s="419"/>
      <c r="O381" s="150"/>
      <c r="P381" s="164"/>
      <c r="Q381" s="154"/>
      <c r="R381" s="151"/>
      <c r="S381" s="522"/>
      <c r="T381" s="522"/>
      <c r="U381" s="154"/>
      <c r="V381" s="155"/>
      <c r="W381" s="156"/>
      <c r="X381" s="154"/>
      <c r="Y381" s="155"/>
      <c r="Z381" s="155"/>
      <c r="AA381" s="157"/>
      <c r="AB381" s="217"/>
      <c r="AC381" s="150"/>
      <c r="AD381" s="151"/>
      <c r="AE381" s="152"/>
      <c r="AF381" s="506"/>
      <c r="AG381" s="463"/>
      <c r="AH381" s="150"/>
      <c r="AI381" s="152"/>
      <c r="AJ381" s="150"/>
      <c r="AK381" s="152"/>
      <c r="AL381" s="150"/>
      <c r="AM381" s="152"/>
      <c r="AN381" s="150"/>
      <c r="AO381" s="151"/>
      <c r="AP381" s="151"/>
      <c r="AQ381" s="169"/>
      <c r="AR381" s="169"/>
      <c r="AS381" s="149"/>
      <c r="AT381" s="324"/>
      <c r="AU381" s="324"/>
      <c r="AV381" s="324"/>
      <c r="AW381" s="324"/>
      <c r="AX381" s="324"/>
      <c r="AY381" s="324"/>
      <c r="AZ381" s="154"/>
      <c r="BA381" s="419"/>
      <c r="BB381" s="419"/>
      <c r="BC381" s="419"/>
      <c r="BD381" s="419"/>
      <c r="BE381" s="418"/>
      <c r="BF381" s="154"/>
      <c r="BG381" s="419"/>
      <c r="BH381" s="419"/>
      <c r="BI381" s="419"/>
      <c r="BJ381" s="419"/>
      <c r="BK381" s="418"/>
      <c r="BL381" s="36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432"/>
    </row>
    <row r="382" spans="1:74" s="2" customFormat="1" ht="24.9" customHeight="1">
      <c r="A382" s="147" t="s">
        <v>85</v>
      </c>
      <c r="B382" s="158"/>
      <c r="C382" s="179"/>
      <c r="D382" s="158"/>
      <c r="E382" s="160"/>
      <c r="F382" s="161"/>
      <c r="G382" s="161"/>
      <c r="H382" s="161"/>
      <c r="I382" s="154"/>
      <c r="J382" s="418"/>
      <c r="K382" s="419"/>
      <c r="L382" s="154"/>
      <c r="M382" s="418"/>
      <c r="N382" s="419"/>
      <c r="O382" s="150"/>
      <c r="P382" s="164"/>
      <c r="Q382" s="154"/>
      <c r="R382" s="174"/>
      <c r="S382" s="523"/>
      <c r="T382" s="523"/>
      <c r="U382" s="154"/>
      <c r="V382" s="155"/>
      <c r="W382" s="156"/>
      <c r="X382" s="154"/>
      <c r="Y382" s="155"/>
      <c r="Z382" s="155"/>
      <c r="AA382" s="157"/>
      <c r="AB382" s="217"/>
      <c r="AC382" s="150"/>
      <c r="AD382" s="151"/>
      <c r="AE382" s="152"/>
      <c r="AF382" s="506"/>
      <c r="AG382" s="463"/>
      <c r="AH382" s="150"/>
      <c r="AI382" s="152"/>
      <c r="AJ382" s="150"/>
      <c r="AK382" s="152"/>
      <c r="AL382" s="150"/>
      <c r="AM382" s="152"/>
      <c r="AN382" s="150"/>
      <c r="AO382" s="151"/>
      <c r="AP382" s="151"/>
      <c r="AQ382" s="169"/>
      <c r="AR382" s="169"/>
      <c r="AS382" s="149"/>
      <c r="AT382" s="324"/>
      <c r="AU382" s="324"/>
      <c r="AV382" s="324"/>
      <c r="AW382" s="324"/>
      <c r="AX382" s="324"/>
      <c r="AY382" s="324"/>
      <c r="AZ382" s="154"/>
      <c r="BA382" s="419"/>
      <c r="BB382" s="419"/>
      <c r="BC382" s="419"/>
      <c r="BD382" s="419"/>
      <c r="BE382" s="418"/>
      <c r="BF382" s="154"/>
      <c r="BG382" s="419"/>
      <c r="BH382" s="419"/>
      <c r="BI382" s="419"/>
      <c r="BJ382" s="419"/>
      <c r="BK382" s="418"/>
      <c r="BL382" s="36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561"/>
    </row>
    <row r="383" spans="1:74" s="2" customFormat="1" ht="24.9" customHeight="1">
      <c r="A383" s="147" t="s">
        <v>85</v>
      </c>
      <c r="B383" s="158"/>
      <c r="C383" s="179"/>
      <c r="D383" s="158"/>
      <c r="E383" s="160"/>
      <c r="F383" s="161"/>
      <c r="G383" s="161"/>
      <c r="H383" s="161"/>
      <c r="I383" s="154"/>
      <c r="J383" s="418"/>
      <c r="K383" s="419"/>
      <c r="L383" s="154"/>
      <c r="M383" s="418"/>
      <c r="N383" s="419"/>
      <c r="O383" s="150"/>
      <c r="P383" s="164"/>
      <c r="Q383" s="154"/>
      <c r="R383" s="174"/>
      <c r="S383" s="523"/>
      <c r="T383" s="523"/>
      <c r="U383" s="154"/>
      <c r="V383" s="155"/>
      <c r="W383" s="156"/>
      <c r="X383" s="154"/>
      <c r="Y383" s="155"/>
      <c r="Z383" s="155"/>
      <c r="AA383" s="157"/>
      <c r="AB383" s="217"/>
      <c r="AC383" s="150"/>
      <c r="AD383" s="151"/>
      <c r="AE383" s="152"/>
      <c r="AF383" s="506"/>
      <c r="AG383" s="463"/>
      <c r="AH383" s="150"/>
      <c r="AI383" s="152"/>
      <c r="AJ383" s="150"/>
      <c r="AK383" s="152"/>
      <c r="AL383" s="150"/>
      <c r="AM383" s="152"/>
      <c r="AN383" s="150"/>
      <c r="AO383" s="151"/>
      <c r="AP383" s="151"/>
      <c r="AQ383" s="169"/>
      <c r="AR383" s="169"/>
      <c r="AS383" s="149"/>
      <c r="AT383" s="324"/>
      <c r="AU383" s="324"/>
      <c r="AV383" s="324"/>
      <c r="AW383" s="324"/>
      <c r="AX383" s="324"/>
      <c r="AY383" s="324"/>
      <c r="AZ383" s="154"/>
      <c r="BA383" s="419"/>
      <c r="BB383" s="419"/>
      <c r="BC383" s="419"/>
      <c r="BD383" s="419"/>
      <c r="BE383" s="418"/>
      <c r="BF383" s="154"/>
      <c r="BG383" s="419"/>
      <c r="BH383" s="419"/>
      <c r="BI383" s="419"/>
      <c r="BJ383" s="419"/>
      <c r="BK383" s="418"/>
      <c r="BL383" s="36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431"/>
    </row>
    <row r="384" spans="1:74" s="2" customFormat="1" ht="24.9" customHeight="1">
      <c r="A384" s="147" t="s">
        <v>85</v>
      </c>
      <c r="B384" s="158"/>
      <c r="C384" s="179"/>
      <c r="D384" s="158"/>
      <c r="E384" s="160"/>
      <c r="F384" s="161"/>
      <c r="G384" s="161"/>
      <c r="H384" s="161"/>
      <c r="I384" s="154"/>
      <c r="J384" s="418"/>
      <c r="K384" s="419"/>
      <c r="L384" s="154"/>
      <c r="M384" s="418"/>
      <c r="N384" s="419"/>
      <c r="O384" s="150"/>
      <c r="P384" s="164"/>
      <c r="Q384" s="154"/>
      <c r="R384" s="174"/>
      <c r="S384" s="523"/>
      <c r="T384" s="523"/>
      <c r="U384" s="154"/>
      <c r="V384" s="155"/>
      <c r="W384" s="156"/>
      <c r="X384" s="154"/>
      <c r="Y384" s="155"/>
      <c r="Z384" s="155"/>
      <c r="AA384" s="157"/>
      <c r="AB384" s="217"/>
      <c r="AC384" s="150"/>
      <c r="AD384" s="151"/>
      <c r="AE384" s="152"/>
      <c r="AF384" s="506"/>
      <c r="AG384" s="463"/>
      <c r="AH384" s="150"/>
      <c r="AI384" s="152"/>
      <c r="AJ384" s="150"/>
      <c r="AK384" s="152"/>
      <c r="AL384" s="150"/>
      <c r="AM384" s="152"/>
      <c r="AN384" s="150"/>
      <c r="AO384" s="151"/>
      <c r="AP384" s="151"/>
      <c r="AQ384" s="169"/>
      <c r="AR384" s="169"/>
      <c r="AS384" s="149"/>
      <c r="AT384" s="324"/>
      <c r="AU384" s="324"/>
      <c r="AV384" s="324"/>
      <c r="AW384" s="324"/>
      <c r="AX384" s="324"/>
      <c r="AY384" s="324"/>
      <c r="AZ384" s="154"/>
      <c r="BA384" s="419"/>
      <c r="BB384" s="419"/>
      <c r="BC384" s="419"/>
      <c r="BD384" s="419"/>
      <c r="BE384" s="418"/>
      <c r="BF384" s="154"/>
      <c r="BG384" s="419"/>
      <c r="BH384" s="419"/>
      <c r="BI384" s="419"/>
      <c r="BJ384" s="419"/>
      <c r="BK384" s="418"/>
      <c r="BL384" s="36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432"/>
    </row>
    <row r="385" spans="1:74" s="2" customFormat="1" ht="24.9" customHeight="1">
      <c r="A385" s="147" t="s">
        <v>85</v>
      </c>
      <c r="B385" s="158"/>
      <c r="C385" s="179"/>
      <c r="D385" s="158"/>
      <c r="E385" s="160"/>
      <c r="F385" s="161"/>
      <c r="G385" s="161"/>
      <c r="H385" s="161"/>
      <c r="I385" s="154"/>
      <c r="J385" s="418"/>
      <c r="K385" s="419"/>
      <c r="L385" s="154"/>
      <c r="M385" s="418"/>
      <c r="N385" s="419"/>
      <c r="O385" s="150"/>
      <c r="P385" s="164"/>
      <c r="Q385" s="154"/>
      <c r="R385" s="151"/>
      <c r="S385" s="522"/>
      <c r="T385" s="522"/>
      <c r="U385" s="154"/>
      <c r="V385" s="155"/>
      <c r="W385" s="156"/>
      <c r="X385" s="154"/>
      <c r="Y385" s="155"/>
      <c r="Z385" s="155"/>
      <c r="AA385" s="157"/>
      <c r="AB385" s="217"/>
      <c r="AC385" s="150"/>
      <c r="AD385" s="151"/>
      <c r="AE385" s="152"/>
      <c r="AF385" s="506"/>
      <c r="AG385" s="463"/>
      <c r="AH385" s="150"/>
      <c r="AI385" s="152"/>
      <c r="AJ385" s="150"/>
      <c r="AK385" s="152"/>
      <c r="AL385" s="150"/>
      <c r="AM385" s="152"/>
      <c r="AN385" s="150"/>
      <c r="AO385" s="151"/>
      <c r="AP385" s="151"/>
      <c r="AQ385" s="169"/>
      <c r="AR385" s="169"/>
      <c r="AS385" s="149"/>
      <c r="AT385" s="324"/>
      <c r="AU385" s="324"/>
      <c r="AV385" s="324"/>
      <c r="AW385" s="324"/>
      <c r="AX385" s="324"/>
      <c r="AY385" s="324"/>
      <c r="AZ385" s="154"/>
      <c r="BA385" s="419"/>
      <c r="BB385" s="419"/>
      <c r="BC385" s="419"/>
      <c r="BD385" s="419"/>
      <c r="BE385" s="418"/>
      <c r="BF385" s="154"/>
      <c r="BG385" s="419"/>
      <c r="BH385" s="419"/>
      <c r="BI385" s="419"/>
      <c r="BJ385" s="419"/>
      <c r="BK385" s="418"/>
      <c r="BL385" s="36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561"/>
    </row>
    <row r="386" spans="1:74" s="2" customFormat="1" ht="24.9" customHeight="1">
      <c r="A386" s="147" t="s">
        <v>85</v>
      </c>
      <c r="B386" s="158"/>
      <c r="C386" s="179"/>
      <c r="D386" s="158"/>
      <c r="E386" s="160"/>
      <c r="F386" s="161"/>
      <c r="G386" s="161"/>
      <c r="H386" s="161"/>
      <c r="I386" s="154"/>
      <c r="J386" s="418"/>
      <c r="K386" s="419"/>
      <c r="L386" s="154"/>
      <c r="M386" s="418"/>
      <c r="N386" s="419"/>
      <c r="O386" s="150"/>
      <c r="P386" s="164"/>
      <c r="Q386" s="154"/>
      <c r="R386" s="174"/>
      <c r="S386" s="523"/>
      <c r="T386" s="523"/>
      <c r="U386" s="154"/>
      <c r="V386" s="155"/>
      <c r="W386" s="156"/>
      <c r="X386" s="154"/>
      <c r="Y386" s="155"/>
      <c r="Z386" s="155"/>
      <c r="AA386" s="157"/>
      <c r="AB386" s="217"/>
      <c r="AC386" s="150"/>
      <c r="AD386" s="151"/>
      <c r="AE386" s="152"/>
      <c r="AF386" s="506"/>
      <c r="AG386" s="463"/>
      <c r="AH386" s="150"/>
      <c r="AI386" s="152"/>
      <c r="AJ386" s="150"/>
      <c r="AK386" s="152"/>
      <c r="AL386" s="150"/>
      <c r="AM386" s="152"/>
      <c r="AN386" s="150"/>
      <c r="AO386" s="151"/>
      <c r="AP386" s="151"/>
      <c r="AQ386" s="169"/>
      <c r="AR386" s="169"/>
      <c r="AS386" s="149"/>
      <c r="AT386" s="324"/>
      <c r="AU386" s="324"/>
      <c r="AV386" s="324"/>
      <c r="AW386" s="324"/>
      <c r="AX386" s="324"/>
      <c r="AY386" s="324"/>
      <c r="AZ386" s="154"/>
      <c r="BA386" s="419"/>
      <c r="BB386" s="419"/>
      <c r="BC386" s="419"/>
      <c r="BD386" s="419"/>
      <c r="BE386" s="418"/>
      <c r="BF386" s="154"/>
      <c r="BG386" s="419"/>
      <c r="BH386" s="419"/>
      <c r="BI386" s="419"/>
      <c r="BJ386" s="419"/>
      <c r="BK386" s="418"/>
      <c r="BL386" s="36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431"/>
    </row>
    <row r="387" spans="1:74" s="2" customFormat="1" ht="24.9" customHeight="1">
      <c r="A387" s="147" t="s">
        <v>85</v>
      </c>
      <c r="B387" s="158"/>
      <c r="C387" s="179"/>
      <c r="D387" s="158"/>
      <c r="E387" s="160"/>
      <c r="F387" s="161"/>
      <c r="G387" s="161"/>
      <c r="H387" s="161"/>
      <c r="I387" s="154"/>
      <c r="J387" s="418"/>
      <c r="K387" s="419"/>
      <c r="L387" s="154"/>
      <c r="M387" s="418"/>
      <c r="N387" s="419"/>
      <c r="O387" s="150"/>
      <c r="P387" s="164"/>
      <c r="Q387" s="154"/>
      <c r="R387" s="174"/>
      <c r="S387" s="523"/>
      <c r="T387" s="523"/>
      <c r="U387" s="154"/>
      <c r="V387" s="155"/>
      <c r="W387" s="156"/>
      <c r="X387" s="154"/>
      <c r="Y387" s="155"/>
      <c r="Z387" s="155"/>
      <c r="AA387" s="157"/>
      <c r="AB387" s="217"/>
      <c r="AC387" s="150"/>
      <c r="AD387" s="151"/>
      <c r="AE387" s="152"/>
      <c r="AF387" s="506"/>
      <c r="AG387" s="463"/>
      <c r="AH387" s="150"/>
      <c r="AI387" s="152"/>
      <c r="AJ387" s="150"/>
      <c r="AK387" s="152"/>
      <c r="AL387" s="150"/>
      <c r="AM387" s="152"/>
      <c r="AN387" s="150"/>
      <c r="AO387" s="151"/>
      <c r="AP387" s="151"/>
      <c r="AQ387" s="169"/>
      <c r="AR387" s="169"/>
      <c r="AS387" s="149"/>
      <c r="AT387" s="324"/>
      <c r="AU387" s="324"/>
      <c r="AV387" s="324"/>
      <c r="AW387" s="324"/>
      <c r="AX387" s="324"/>
      <c r="AY387" s="324"/>
      <c r="AZ387" s="154"/>
      <c r="BA387" s="419"/>
      <c r="BB387" s="419"/>
      <c r="BC387" s="419"/>
      <c r="BD387" s="419"/>
      <c r="BE387" s="418"/>
      <c r="BF387" s="154"/>
      <c r="BG387" s="419"/>
      <c r="BH387" s="419"/>
      <c r="BI387" s="419"/>
      <c r="BJ387" s="419"/>
      <c r="BK387" s="418"/>
      <c r="BL387" s="36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432"/>
    </row>
    <row r="388" spans="1:74" s="2" customFormat="1" ht="24.9" customHeight="1">
      <c r="A388" s="147" t="s">
        <v>85</v>
      </c>
      <c r="B388" s="158"/>
      <c r="C388" s="179"/>
      <c r="D388" s="158"/>
      <c r="E388" s="160"/>
      <c r="F388" s="161"/>
      <c r="G388" s="161"/>
      <c r="H388" s="161"/>
      <c r="I388" s="154"/>
      <c r="J388" s="418"/>
      <c r="K388" s="419"/>
      <c r="L388" s="154"/>
      <c r="M388" s="418"/>
      <c r="N388" s="419"/>
      <c r="O388" s="150"/>
      <c r="P388" s="164"/>
      <c r="Q388" s="154"/>
      <c r="R388" s="151"/>
      <c r="S388" s="522"/>
      <c r="T388" s="522"/>
      <c r="U388" s="154"/>
      <c r="V388" s="155"/>
      <c r="W388" s="156"/>
      <c r="X388" s="154"/>
      <c r="Y388" s="155"/>
      <c r="Z388" s="155"/>
      <c r="AA388" s="157"/>
      <c r="AB388" s="217"/>
      <c r="AC388" s="150"/>
      <c r="AD388" s="151"/>
      <c r="AE388" s="152"/>
      <c r="AF388" s="506"/>
      <c r="AG388" s="463"/>
      <c r="AH388" s="150"/>
      <c r="AI388" s="152"/>
      <c r="AJ388" s="150"/>
      <c r="AK388" s="152"/>
      <c r="AL388" s="150"/>
      <c r="AM388" s="152"/>
      <c r="AN388" s="150"/>
      <c r="AO388" s="151"/>
      <c r="AP388" s="151"/>
      <c r="AQ388" s="169"/>
      <c r="AR388" s="169"/>
      <c r="AS388" s="149"/>
      <c r="AT388" s="324"/>
      <c r="AU388" s="324"/>
      <c r="AV388" s="324"/>
      <c r="AW388" s="324"/>
      <c r="AX388" s="324"/>
      <c r="AY388" s="324"/>
      <c r="AZ388" s="154"/>
      <c r="BA388" s="419"/>
      <c r="BB388" s="419"/>
      <c r="BC388" s="419"/>
      <c r="BD388" s="419"/>
      <c r="BE388" s="418"/>
      <c r="BF388" s="154"/>
      <c r="BG388" s="419"/>
      <c r="BH388" s="419"/>
      <c r="BI388" s="419"/>
      <c r="BJ388" s="419"/>
      <c r="BK388" s="418"/>
      <c r="BL388" s="36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561"/>
    </row>
    <row r="389" spans="1:74" s="2" customFormat="1" ht="24.9" customHeight="1">
      <c r="A389" s="147" t="s">
        <v>85</v>
      </c>
      <c r="B389" s="158"/>
      <c r="C389" s="179"/>
      <c r="D389" s="158"/>
      <c r="E389" s="160"/>
      <c r="F389" s="161"/>
      <c r="G389" s="161"/>
      <c r="H389" s="161"/>
      <c r="I389" s="154"/>
      <c r="J389" s="418"/>
      <c r="K389" s="419"/>
      <c r="L389" s="154"/>
      <c r="M389" s="418"/>
      <c r="N389" s="419"/>
      <c r="O389" s="150"/>
      <c r="P389" s="164"/>
      <c r="Q389" s="154"/>
      <c r="R389" s="174"/>
      <c r="S389" s="523"/>
      <c r="T389" s="523"/>
      <c r="U389" s="154"/>
      <c r="V389" s="155"/>
      <c r="W389" s="156"/>
      <c r="X389" s="154"/>
      <c r="Y389" s="155"/>
      <c r="Z389" s="155"/>
      <c r="AA389" s="157"/>
      <c r="AB389" s="217"/>
      <c r="AC389" s="150"/>
      <c r="AD389" s="151"/>
      <c r="AE389" s="152"/>
      <c r="AF389" s="506"/>
      <c r="AG389" s="463"/>
      <c r="AH389" s="150"/>
      <c r="AI389" s="152"/>
      <c r="AJ389" s="150"/>
      <c r="AK389" s="152"/>
      <c r="AL389" s="150"/>
      <c r="AM389" s="152"/>
      <c r="AN389" s="150"/>
      <c r="AO389" s="151"/>
      <c r="AP389" s="151"/>
      <c r="AQ389" s="169"/>
      <c r="AR389" s="169"/>
      <c r="AS389" s="149"/>
      <c r="AT389" s="324"/>
      <c r="AU389" s="324"/>
      <c r="AV389" s="324"/>
      <c r="AW389" s="324"/>
      <c r="AX389" s="324"/>
      <c r="AY389" s="324"/>
      <c r="AZ389" s="154"/>
      <c r="BA389" s="419"/>
      <c r="BB389" s="419"/>
      <c r="BC389" s="419"/>
      <c r="BD389" s="419"/>
      <c r="BE389" s="418"/>
      <c r="BF389" s="154"/>
      <c r="BG389" s="419"/>
      <c r="BH389" s="419"/>
      <c r="BI389" s="419"/>
      <c r="BJ389" s="419"/>
      <c r="BK389" s="418"/>
      <c r="BL389" s="36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431"/>
    </row>
    <row r="390" spans="1:74" s="2" customFormat="1" ht="24.9" customHeight="1">
      <c r="A390" s="147" t="s">
        <v>85</v>
      </c>
      <c r="B390" s="158"/>
      <c r="C390" s="179"/>
      <c r="D390" s="158"/>
      <c r="E390" s="160"/>
      <c r="F390" s="161"/>
      <c r="G390" s="161"/>
      <c r="H390" s="161"/>
      <c r="I390" s="154"/>
      <c r="J390" s="418"/>
      <c r="K390" s="419"/>
      <c r="L390" s="154"/>
      <c r="M390" s="418"/>
      <c r="N390" s="419"/>
      <c r="O390" s="150"/>
      <c r="P390" s="164"/>
      <c r="Q390" s="154"/>
      <c r="R390" s="151"/>
      <c r="S390" s="522"/>
      <c r="T390" s="522"/>
      <c r="U390" s="154"/>
      <c r="V390" s="155"/>
      <c r="W390" s="156"/>
      <c r="X390" s="154"/>
      <c r="Y390" s="155"/>
      <c r="Z390" s="155"/>
      <c r="AA390" s="157"/>
      <c r="AB390" s="217"/>
      <c r="AC390" s="150"/>
      <c r="AD390" s="151"/>
      <c r="AE390" s="152"/>
      <c r="AF390" s="506"/>
      <c r="AG390" s="463"/>
      <c r="AH390" s="150"/>
      <c r="AI390" s="152"/>
      <c r="AJ390" s="150"/>
      <c r="AK390" s="152"/>
      <c r="AL390" s="150"/>
      <c r="AM390" s="152"/>
      <c r="AN390" s="150"/>
      <c r="AO390" s="151"/>
      <c r="AP390" s="151"/>
      <c r="AQ390" s="169"/>
      <c r="AR390" s="169"/>
      <c r="AS390" s="149"/>
      <c r="AT390" s="324"/>
      <c r="AU390" s="324"/>
      <c r="AV390" s="324"/>
      <c r="AW390" s="324"/>
      <c r="AX390" s="324"/>
      <c r="AY390" s="324"/>
      <c r="AZ390" s="154"/>
      <c r="BA390" s="419"/>
      <c r="BB390" s="419"/>
      <c r="BC390" s="419"/>
      <c r="BD390" s="419"/>
      <c r="BE390" s="418"/>
      <c r="BF390" s="154"/>
      <c r="BG390" s="419"/>
      <c r="BH390" s="419"/>
      <c r="BI390" s="419"/>
      <c r="BJ390" s="419"/>
      <c r="BK390" s="418"/>
      <c r="BL390" s="36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432"/>
    </row>
    <row r="391" spans="1:74" s="2" customFormat="1" ht="24.9" customHeight="1">
      <c r="A391" s="147" t="s">
        <v>85</v>
      </c>
      <c r="B391" s="158"/>
      <c r="C391" s="179"/>
      <c r="D391" s="158"/>
      <c r="E391" s="160"/>
      <c r="F391" s="161"/>
      <c r="G391" s="161"/>
      <c r="H391" s="161"/>
      <c r="I391" s="154"/>
      <c r="J391" s="418"/>
      <c r="K391" s="419"/>
      <c r="L391" s="154"/>
      <c r="M391" s="418"/>
      <c r="N391" s="419"/>
      <c r="O391" s="150"/>
      <c r="P391" s="164"/>
      <c r="Q391" s="154"/>
      <c r="R391" s="174"/>
      <c r="S391" s="523"/>
      <c r="T391" s="523"/>
      <c r="U391" s="154"/>
      <c r="V391" s="155"/>
      <c r="W391" s="156"/>
      <c r="X391" s="154"/>
      <c r="Y391" s="155"/>
      <c r="Z391" s="155"/>
      <c r="AA391" s="157"/>
      <c r="AB391" s="217"/>
      <c r="AC391" s="150"/>
      <c r="AD391" s="151"/>
      <c r="AE391" s="152"/>
      <c r="AF391" s="506"/>
      <c r="AG391" s="463"/>
      <c r="AH391" s="150"/>
      <c r="AI391" s="152"/>
      <c r="AJ391" s="150"/>
      <c r="AK391" s="152"/>
      <c r="AL391" s="150"/>
      <c r="AM391" s="152"/>
      <c r="AN391" s="150"/>
      <c r="AO391" s="151"/>
      <c r="AP391" s="151"/>
      <c r="AQ391" s="169"/>
      <c r="AR391" s="169"/>
      <c r="AS391" s="149"/>
      <c r="AT391" s="324"/>
      <c r="AU391" s="324"/>
      <c r="AV391" s="324"/>
      <c r="AW391" s="324"/>
      <c r="AX391" s="324"/>
      <c r="AY391" s="324"/>
      <c r="AZ391" s="154"/>
      <c r="BA391" s="419"/>
      <c r="BB391" s="419"/>
      <c r="BC391" s="419"/>
      <c r="BD391" s="419"/>
      <c r="BE391" s="418"/>
      <c r="BF391" s="154"/>
      <c r="BG391" s="419"/>
      <c r="BH391" s="419"/>
      <c r="BI391" s="419"/>
      <c r="BJ391" s="419"/>
      <c r="BK391" s="418"/>
      <c r="BL391" s="36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561"/>
    </row>
    <row r="392" spans="1:74" s="2" customFormat="1" ht="24.9" customHeight="1">
      <c r="A392" s="147" t="s">
        <v>85</v>
      </c>
      <c r="B392" s="158"/>
      <c r="C392" s="179"/>
      <c r="D392" s="158"/>
      <c r="E392" s="160"/>
      <c r="F392" s="161"/>
      <c r="G392" s="161"/>
      <c r="H392" s="161"/>
      <c r="I392" s="154"/>
      <c r="J392" s="418"/>
      <c r="K392" s="419"/>
      <c r="L392" s="154"/>
      <c r="M392" s="418"/>
      <c r="N392" s="419"/>
      <c r="O392" s="150"/>
      <c r="P392" s="164"/>
      <c r="Q392" s="154"/>
      <c r="R392" s="174"/>
      <c r="S392" s="523"/>
      <c r="T392" s="523"/>
      <c r="U392" s="154"/>
      <c r="V392" s="155"/>
      <c r="W392" s="156"/>
      <c r="X392" s="154"/>
      <c r="Y392" s="155"/>
      <c r="Z392" s="155"/>
      <c r="AA392" s="157"/>
      <c r="AB392" s="217"/>
      <c r="AC392" s="150"/>
      <c r="AD392" s="151"/>
      <c r="AE392" s="152"/>
      <c r="AF392" s="506"/>
      <c r="AG392" s="463"/>
      <c r="AH392" s="150"/>
      <c r="AI392" s="152"/>
      <c r="AJ392" s="150"/>
      <c r="AK392" s="152"/>
      <c r="AL392" s="150"/>
      <c r="AM392" s="152"/>
      <c r="AN392" s="150"/>
      <c r="AO392" s="151"/>
      <c r="AP392" s="151"/>
      <c r="AQ392" s="169"/>
      <c r="AR392" s="169"/>
      <c r="AS392" s="149"/>
      <c r="AT392" s="324"/>
      <c r="AU392" s="324"/>
      <c r="AV392" s="324"/>
      <c r="AW392" s="324"/>
      <c r="AX392" s="324"/>
      <c r="AY392" s="324"/>
      <c r="AZ392" s="154"/>
      <c r="BA392" s="419"/>
      <c r="BB392" s="419"/>
      <c r="BC392" s="419"/>
      <c r="BD392" s="419"/>
      <c r="BE392" s="418"/>
      <c r="BF392" s="154"/>
      <c r="BG392" s="419"/>
      <c r="BH392" s="419"/>
      <c r="BI392" s="419"/>
      <c r="BJ392" s="419"/>
      <c r="BK392" s="418"/>
      <c r="BL392" s="36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431"/>
    </row>
    <row r="393" spans="1:74" s="2" customFormat="1" ht="24.9" customHeight="1">
      <c r="A393" s="147" t="s">
        <v>85</v>
      </c>
      <c r="B393" s="158"/>
      <c r="C393" s="179"/>
      <c r="D393" s="158"/>
      <c r="E393" s="160"/>
      <c r="F393" s="161"/>
      <c r="G393" s="161"/>
      <c r="H393" s="161"/>
      <c r="I393" s="154"/>
      <c r="J393" s="418"/>
      <c r="K393" s="419"/>
      <c r="L393" s="154"/>
      <c r="M393" s="418"/>
      <c r="N393" s="419"/>
      <c r="O393" s="150"/>
      <c r="P393" s="164"/>
      <c r="Q393" s="154"/>
      <c r="R393" s="174"/>
      <c r="S393" s="523"/>
      <c r="T393" s="523"/>
      <c r="U393" s="154"/>
      <c r="V393" s="155"/>
      <c r="W393" s="156"/>
      <c r="X393" s="154"/>
      <c r="Y393" s="155"/>
      <c r="Z393" s="155"/>
      <c r="AA393" s="157"/>
      <c r="AB393" s="217"/>
      <c r="AC393" s="150"/>
      <c r="AD393" s="151"/>
      <c r="AE393" s="152"/>
      <c r="AF393" s="506"/>
      <c r="AG393" s="463"/>
      <c r="AH393" s="150"/>
      <c r="AI393" s="152"/>
      <c r="AJ393" s="150"/>
      <c r="AK393" s="152"/>
      <c r="AL393" s="150"/>
      <c r="AM393" s="152"/>
      <c r="AN393" s="150"/>
      <c r="AO393" s="151"/>
      <c r="AP393" s="151"/>
      <c r="AQ393" s="169"/>
      <c r="AR393" s="169"/>
      <c r="AS393" s="149"/>
      <c r="AT393" s="324"/>
      <c r="AU393" s="324"/>
      <c r="AV393" s="324"/>
      <c r="AW393" s="324"/>
      <c r="AX393" s="324"/>
      <c r="AY393" s="324"/>
      <c r="AZ393" s="154"/>
      <c r="BA393" s="419"/>
      <c r="BB393" s="419"/>
      <c r="BC393" s="419"/>
      <c r="BD393" s="419"/>
      <c r="BE393" s="418"/>
      <c r="BF393" s="154"/>
      <c r="BG393" s="419"/>
      <c r="BH393" s="419"/>
      <c r="BI393" s="419"/>
      <c r="BJ393" s="419"/>
      <c r="BK393" s="418"/>
      <c r="BL393" s="36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561"/>
    </row>
    <row r="394" spans="1:74" s="2" customFormat="1" ht="24.9" customHeight="1">
      <c r="A394" s="147" t="s">
        <v>85</v>
      </c>
      <c r="B394" s="158"/>
      <c r="C394" s="179"/>
      <c r="D394" s="158"/>
      <c r="E394" s="160"/>
      <c r="F394" s="161"/>
      <c r="G394" s="161"/>
      <c r="H394" s="161"/>
      <c r="I394" s="154"/>
      <c r="J394" s="418"/>
      <c r="K394" s="419"/>
      <c r="L394" s="154"/>
      <c r="M394" s="418"/>
      <c r="N394" s="419"/>
      <c r="O394" s="150"/>
      <c r="P394" s="164"/>
      <c r="Q394" s="154"/>
      <c r="R394" s="174"/>
      <c r="S394" s="523"/>
      <c r="T394" s="523"/>
      <c r="U394" s="154"/>
      <c r="V394" s="155"/>
      <c r="W394" s="156"/>
      <c r="X394" s="154"/>
      <c r="Y394" s="155"/>
      <c r="Z394" s="155"/>
      <c r="AA394" s="157"/>
      <c r="AB394" s="217"/>
      <c r="AC394" s="150"/>
      <c r="AD394" s="151"/>
      <c r="AE394" s="152"/>
      <c r="AF394" s="506"/>
      <c r="AG394" s="463"/>
      <c r="AH394" s="150"/>
      <c r="AI394" s="152"/>
      <c r="AJ394" s="150"/>
      <c r="AK394" s="152"/>
      <c r="AL394" s="150"/>
      <c r="AM394" s="152"/>
      <c r="AN394" s="150"/>
      <c r="AO394" s="151"/>
      <c r="AP394" s="151"/>
      <c r="AQ394" s="169"/>
      <c r="AR394" s="169"/>
      <c r="AS394" s="149"/>
      <c r="AT394" s="324"/>
      <c r="AU394" s="324"/>
      <c r="AV394" s="324"/>
      <c r="AW394" s="324"/>
      <c r="AX394" s="324"/>
      <c r="AY394" s="324"/>
      <c r="AZ394" s="154"/>
      <c r="BA394" s="419"/>
      <c r="BB394" s="419"/>
      <c r="BC394" s="419"/>
      <c r="BD394" s="419"/>
      <c r="BE394" s="418"/>
      <c r="BF394" s="154"/>
      <c r="BG394" s="419"/>
      <c r="BH394" s="419"/>
      <c r="BI394" s="419"/>
      <c r="BJ394" s="419"/>
      <c r="BK394" s="418"/>
      <c r="BL394" s="36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431"/>
    </row>
    <row r="395" spans="1:74" s="2" customFormat="1" ht="24.9" customHeight="1">
      <c r="A395" s="147" t="s">
        <v>85</v>
      </c>
      <c r="B395" s="158"/>
      <c r="C395" s="179"/>
      <c r="D395" s="158"/>
      <c r="E395" s="160"/>
      <c r="F395" s="161"/>
      <c r="G395" s="161"/>
      <c r="H395" s="161"/>
      <c r="I395" s="154"/>
      <c r="J395" s="418"/>
      <c r="K395" s="419"/>
      <c r="L395" s="154"/>
      <c r="M395" s="418"/>
      <c r="N395" s="419"/>
      <c r="O395" s="150"/>
      <c r="P395" s="164"/>
      <c r="Q395" s="154"/>
      <c r="R395" s="174"/>
      <c r="S395" s="523"/>
      <c r="T395" s="523"/>
      <c r="U395" s="154"/>
      <c r="V395" s="155"/>
      <c r="W395" s="156"/>
      <c r="X395" s="154"/>
      <c r="Y395" s="155"/>
      <c r="Z395" s="155"/>
      <c r="AA395" s="157"/>
      <c r="AB395" s="217"/>
      <c r="AC395" s="150"/>
      <c r="AD395" s="151"/>
      <c r="AE395" s="152"/>
      <c r="AF395" s="506"/>
      <c r="AG395" s="463"/>
      <c r="AH395" s="150"/>
      <c r="AI395" s="152"/>
      <c r="AJ395" s="150"/>
      <c r="AK395" s="152"/>
      <c r="AL395" s="150"/>
      <c r="AM395" s="152"/>
      <c r="AN395" s="150"/>
      <c r="AO395" s="151"/>
      <c r="AP395" s="151"/>
      <c r="AQ395" s="169"/>
      <c r="AR395" s="169"/>
      <c r="AS395" s="149"/>
      <c r="AT395" s="324"/>
      <c r="AU395" s="324"/>
      <c r="AV395" s="324"/>
      <c r="AW395" s="324"/>
      <c r="AX395" s="324"/>
      <c r="AY395" s="324"/>
      <c r="AZ395" s="154"/>
      <c r="BA395" s="419"/>
      <c r="BB395" s="419"/>
      <c r="BC395" s="419"/>
      <c r="BD395" s="419"/>
      <c r="BE395" s="418"/>
      <c r="BF395" s="154"/>
      <c r="BG395" s="419"/>
      <c r="BH395" s="419"/>
      <c r="BI395" s="419"/>
      <c r="BJ395" s="419"/>
      <c r="BK395" s="418"/>
      <c r="BL395" s="36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561"/>
    </row>
    <row r="396" spans="1:74" s="2" customFormat="1" ht="24.9" customHeight="1">
      <c r="A396" s="147" t="s">
        <v>85</v>
      </c>
      <c r="B396" s="158"/>
      <c r="C396" s="179"/>
      <c r="D396" s="158"/>
      <c r="E396" s="160"/>
      <c r="F396" s="161"/>
      <c r="G396" s="161"/>
      <c r="H396" s="161"/>
      <c r="I396" s="154"/>
      <c r="J396" s="418"/>
      <c r="K396" s="419"/>
      <c r="L396" s="154"/>
      <c r="M396" s="418"/>
      <c r="N396" s="419"/>
      <c r="O396" s="150"/>
      <c r="P396" s="164"/>
      <c r="Q396" s="154"/>
      <c r="R396" s="174"/>
      <c r="S396" s="523"/>
      <c r="T396" s="523"/>
      <c r="U396" s="154"/>
      <c r="V396" s="155"/>
      <c r="W396" s="156"/>
      <c r="X396" s="154"/>
      <c r="Y396" s="155"/>
      <c r="Z396" s="155"/>
      <c r="AA396" s="157"/>
      <c r="AB396" s="217"/>
      <c r="AC396" s="150"/>
      <c r="AD396" s="151"/>
      <c r="AE396" s="152"/>
      <c r="AF396" s="506"/>
      <c r="AG396" s="463"/>
      <c r="AH396" s="150"/>
      <c r="AI396" s="152"/>
      <c r="AJ396" s="150"/>
      <c r="AK396" s="152"/>
      <c r="AL396" s="150"/>
      <c r="AM396" s="152"/>
      <c r="AN396" s="150"/>
      <c r="AO396" s="151"/>
      <c r="AP396" s="151"/>
      <c r="AQ396" s="169"/>
      <c r="AR396" s="169"/>
      <c r="AS396" s="149"/>
      <c r="AT396" s="324"/>
      <c r="AU396" s="324"/>
      <c r="AV396" s="324"/>
      <c r="AW396" s="324"/>
      <c r="AX396" s="324"/>
      <c r="AY396" s="324"/>
      <c r="AZ396" s="154"/>
      <c r="BA396" s="419"/>
      <c r="BB396" s="419"/>
      <c r="BC396" s="419"/>
      <c r="BD396" s="419"/>
      <c r="BE396" s="418"/>
      <c r="BF396" s="154"/>
      <c r="BG396" s="419"/>
      <c r="BH396" s="419"/>
      <c r="BI396" s="419"/>
      <c r="BJ396" s="419"/>
      <c r="BK396" s="418"/>
      <c r="BL396" s="36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431"/>
    </row>
    <row r="397" spans="1:74" s="2" customFormat="1" ht="24.9" customHeight="1">
      <c r="A397" s="147" t="s">
        <v>85</v>
      </c>
      <c r="B397" s="158"/>
      <c r="C397" s="179"/>
      <c r="D397" s="158"/>
      <c r="E397" s="160"/>
      <c r="F397" s="161"/>
      <c r="G397" s="161"/>
      <c r="H397" s="161"/>
      <c r="I397" s="154"/>
      <c r="J397" s="418"/>
      <c r="K397" s="419"/>
      <c r="L397" s="154"/>
      <c r="M397" s="418"/>
      <c r="N397" s="419"/>
      <c r="O397" s="150"/>
      <c r="P397" s="164"/>
      <c r="Q397" s="154"/>
      <c r="R397" s="151"/>
      <c r="S397" s="522"/>
      <c r="T397" s="522"/>
      <c r="U397" s="154"/>
      <c r="V397" s="155"/>
      <c r="W397" s="156"/>
      <c r="X397" s="154"/>
      <c r="Y397" s="155"/>
      <c r="Z397" s="155"/>
      <c r="AA397" s="157"/>
      <c r="AB397" s="217"/>
      <c r="AC397" s="150"/>
      <c r="AD397" s="151"/>
      <c r="AE397" s="152"/>
      <c r="AF397" s="506"/>
      <c r="AG397" s="463"/>
      <c r="AH397" s="150"/>
      <c r="AI397" s="152"/>
      <c r="AJ397" s="150"/>
      <c r="AK397" s="152"/>
      <c r="AL397" s="150"/>
      <c r="AM397" s="152"/>
      <c r="AN397" s="150"/>
      <c r="AO397" s="151"/>
      <c r="AP397" s="151"/>
      <c r="AQ397" s="169"/>
      <c r="AR397" s="169"/>
      <c r="AS397" s="149"/>
      <c r="AT397" s="324"/>
      <c r="AU397" s="324"/>
      <c r="AV397" s="324"/>
      <c r="AW397" s="324"/>
      <c r="AX397" s="324"/>
      <c r="AY397" s="324"/>
      <c r="AZ397" s="154"/>
      <c r="BA397" s="419"/>
      <c r="BB397" s="419"/>
      <c r="BC397" s="419"/>
      <c r="BD397" s="419"/>
      <c r="BE397" s="418"/>
      <c r="BF397" s="154"/>
      <c r="BG397" s="419"/>
      <c r="BH397" s="419"/>
      <c r="BI397" s="419"/>
      <c r="BJ397" s="419"/>
      <c r="BK397" s="418"/>
      <c r="BL397" s="36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432"/>
    </row>
    <row r="398" spans="1:74" s="2" customFormat="1" ht="24.9" customHeight="1">
      <c r="A398" s="147" t="s">
        <v>85</v>
      </c>
      <c r="B398" s="158"/>
      <c r="C398" s="179"/>
      <c r="D398" s="158"/>
      <c r="E398" s="160"/>
      <c r="F398" s="161"/>
      <c r="G398" s="161"/>
      <c r="H398" s="161"/>
      <c r="I398" s="154"/>
      <c r="J398" s="418"/>
      <c r="K398" s="419"/>
      <c r="L398" s="154"/>
      <c r="M398" s="418"/>
      <c r="N398" s="419"/>
      <c r="O398" s="150"/>
      <c r="P398" s="164"/>
      <c r="Q398" s="154"/>
      <c r="R398" s="174"/>
      <c r="S398" s="523"/>
      <c r="T398" s="523"/>
      <c r="U398" s="154"/>
      <c r="V398" s="155"/>
      <c r="W398" s="156"/>
      <c r="X398" s="154"/>
      <c r="Y398" s="155"/>
      <c r="Z398" s="155"/>
      <c r="AA398" s="157"/>
      <c r="AB398" s="217"/>
      <c r="AC398" s="150"/>
      <c r="AD398" s="151"/>
      <c r="AE398" s="152"/>
      <c r="AF398" s="506"/>
      <c r="AG398" s="463"/>
      <c r="AH398" s="150"/>
      <c r="AI398" s="152"/>
      <c r="AJ398" s="150"/>
      <c r="AK398" s="152"/>
      <c r="AL398" s="150"/>
      <c r="AM398" s="152"/>
      <c r="AN398" s="150"/>
      <c r="AO398" s="151"/>
      <c r="AP398" s="151"/>
      <c r="AQ398" s="169"/>
      <c r="AR398" s="169"/>
      <c r="AS398" s="149"/>
      <c r="AT398" s="324"/>
      <c r="AU398" s="324"/>
      <c r="AV398" s="324"/>
      <c r="AW398" s="324"/>
      <c r="AX398" s="324"/>
      <c r="AY398" s="324"/>
      <c r="AZ398" s="154"/>
      <c r="BA398" s="419"/>
      <c r="BB398" s="419"/>
      <c r="BC398" s="419"/>
      <c r="BD398" s="419"/>
      <c r="BE398" s="418"/>
      <c r="BF398" s="154"/>
      <c r="BG398" s="419"/>
      <c r="BH398" s="419"/>
      <c r="BI398" s="419"/>
      <c r="BJ398" s="419"/>
      <c r="BK398" s="418"/>
      <c r="BL398" s="36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561"/>
    </row>
    <row r="399" spans="1:74" s="2" customFormat="1" ht="24.9" customHeight="1">
      <c r="A399" s="147" t="s">
        <v>85</v>
      </c>
      <c r="B399" s="158"/>
      <c r="C399" s="179"/>
      <c r="D399" s="158"/>
      <c r="E399" s="160"/>
      <c r="F399" s="161"/>
      <c r="G399" s="161"/>
      <c r="H399" s="161"/>
      <c r="I399" s="154"/>
      <c r="J399" s="418"/>
      <c r="K399" s="419"/>
      <c r="L399" s="154"/>
      <c r="M399" s="418"/>
      <c r="N399" s="419"/>
      <c r="O399" s="150"/>
      <c r="P399" s="164"/>
      <c r="Q399" s="154"/>
      <c r="R399" s="174"/>
      <c r="S399" s="523"/>
      <c r="T399" s="523"/>
      <c r="U399" s="154"/>
      <c r="V399" s="155"/>
      <c r="W399" s="156"/>
      <c r="X399" s="154"/>
      <c r="Y399" s="155"/>
      <c r="Z399" s="155"/>
      <c r="AA399" s="157"/>
      <c r="AB399" s="217"/>
      <c r="AC399" s="150"/>
      <c r="AD399" s="151"/>
      <c r="AE399" s="152"/>
      <c r="AF399" s="506"/>
      <c r="AG399" s="463"/>
      <c r="AH399" s="150"/>
      <c r="AI399" s="152"/>
      <c r="AJ399" s="150"/>
      <c r="AK399" s="152"/>
      <c r="AL399" s="150"/>
      <c r="AM399" s="152"/>
      <c r="AN399" s="150"/>
      <c r="AO399" s="151"/>
      <c r="AP399" s="151"/>
      <c r="AQ399" s="169"/>
      <c r="AR399" s="169"/>
      <c r="AS399" s="149"/>
      <c r="AT399" s="324"/>
      <c r="AU399" s="324"/>
      <c r="AV399" s="324"/>
      <c r="AW399" s="324"/>
      <c r="AX399" s="324"/>
      <c r="AY399" s="324"/>
      <c r="AZ399" s="154"/>
      <c r="BA399" s="419"/>
      <c r="BB399" s="419"/>
      <c r="BC399" s="419"/>
      <c r="BD399" s="419"/>
      <c r="BE399" s="418"/>
      <c r="BF399" s="154"/>
      <c r="BG399" s="419"/>
      <c r="BH399" s="419"/>
      <c r="BI399" s="419"/>
      <c r="BJ399" s="419"/>
      <c r="BK399" s="418"/>
      <c r="BL399" s="36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431"/>
    </row>
    <row r="400" spans="1:74" s="2" customFormat="1" ht="24.9" customHeight="1">
      <c r="A400" s="147" t="s">
        <v>85</v>
      </c>
      <c r="B400" s="158"/>
      <c r="C400" s="179"/>
      <c r="D400" s="158"/>
      <c r="E400" s="160"/>
      <c r="F400" s="161"/>
      <c r="G400" s="161"/>
      <c r="H400" s="161"/>
      <c r="I400" s="154"/>
      <c r="J400" s="418"/>
      <c r="K400" s="419"/>
      <c r="L400" s="154"/>
      <c r="M400" s="418"/>
      <c r="N400" s="419"/>
      <c r="O400" s="150"/>
      <c r="P400" s="164"/>
      <c r="Q400" s="154"/>
      <c r="R400" s="174"/>
      <c r="S400" s="523"/>
      <c r="T400" s="523"/>
      <c r="U400" s="154"/>
      <c r="V400" s="155"/>
      <c r="W400" s="156"/>
      <c r="X400" s="154"/>
      <c r="Y400" s="155"/>
      <c r="Z400" s="155"/>
      <c r="AA400" s="157"/>
      <c r="AB400" s="217"/>
      <c r="AC400" s="150"/>
      <c r="AD400" s="151"/>
      <c r="AE400" s="152"/>
      <c r="AF400" s="506"/>
      <c r="AG400" s="463"/>
      <c r="AH400" s="150"/>
      <c r="AI400" s="152"/>
      <c r="AJ400" s="150"/>
      <c r="AK400" s="152"/>
      <c r="AL400" s="150"/>
      <c r="AM400" s="152"/>
      <c r="AN400" s="150"/>
      <c r="AO400" s="151"/>
      <c r="AP400" s="151"/>
      <c r="AQ400" s="169"/>
      <c r="AR400" s="169"/>
      <c r="AS400" s="149"/>
      <c r="AT400" s="324"/>
      <c r="AU400" s="324"/>
      <c r="AV400" s="324"/>
      <c r="AW400" s="324"/>
      <c r="AX400" s="324"/>
      <c r="AY400" s="324"/>
      <c r="AZ400" s="154"/>
      <c r="BA400" s="419"/>
      <c r="BB400" s="419"/>
      <c r="BC400" s="419"/>
      <c r="BD400" s="419"/>
      <c r="BE400" s="418"/>
      <c r="BF400" s="154"/>
      <c r="BG400" s="419"/>
      <c r="BH400" s="419"/>
      <c r="BI400" s="419"/>
      <c r="BJ400" s="419"/>
      <c r="BK400" s="418"/>
      <c r="BL400" s="36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432"/>
    </row>
    <row r="401" spans="1:74" s="2" customFormat="1" ht="24.9" customHeight="1">
      <c r="A401" s="147" t="s">
        <v>85</v>
      </c>
      <c r="B401" s="158"/>
      <c r="C401" s="179"/>
      <c r="D401" s="158"/>
      <c r="E401" s="160"/>
      <c r="F401" s="161"/>
      <c r="G401" s="161"/>
      <c r="H401" s="161"/>
      <c r="I401" s="154"/>
      <c r="J401" s="418"/>
      <c r="K401" s="419"/>
      <c r="L401" s="154"/>
      <c r="M401" s="418"/>
      <c r="N401" s="419"/>
      <c r="O401" s="150"/>
      <c r="P401" s="164"/>
      <c r="Q401" s="154"/>
      <c r="R401" s="174"/>
      <c r="S401" s="523"/>
      <c r="T401" s="523"/>
      <c r="U401" s="154"/>
      <c r="V401" s="155"/>
      <c r="W401" s="156"/>
      <c r="X401" s="154"/>
      <c r="Y401" s="155"/>
      <c r="Z401" s="155"/>
      <c r="AA401" s="157"/>
      <c r="AB401" s="217"/>
      <c r="AC401" s="150"/>
      <c r="AD401" s="151"/>
      <c r="AE401" s="152"/>
      <c r="AF401" s="506"/>
      <c r="AG401" s="463"/>
      <c r="AH401" s="150"/>
      <c r="AI401" s="152"/>
      <c r="AJ401" s="150"/>
      <c r="AK401" s="152"/>
      <c r="AL401" s="150"/>
      <c r="AM401" s="152"/>
      <c r="AN401" s="150"/>
      <c r="AO401" s="151"/>
      <c r="AP401" s="151"/>
      <c r="AQ401" s="169"/>
      <c r="AR401" s="169"/>
      <c r="AS401" s="149"/>
      <c r="AT401" s="324"/>
      <c r="AU401" s="324"/>
      <c r="AV401" s="324"/>
      <c r="AW401" s="324"/>
      <c r="AX401" s="324"/>
      <c r="AY401" s="324"/>
      <c r="AZ401" s="154"/>
      <c r="BA401" s="419"/>
      <c r="BB401" s="419"/>
      <c r="BC401" s="419"/>
      <c r="BD401" s="419"/>
      <c r="BE401" s="418"/>
      <c r="BF401" s="154"/>
      <c r="BG401" s="419"/>
      <c r="BH401" s="419"/>
      <c r="BI401" s="419"/>
      <c r="BJ401" s="419"/>
      <c r="BK401" s="418"/>
      <c r="BL401" s="36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432"/>
    </row>
    <row r="402" spans="1:74" s="2" customFormat="1" ht="24.9" customHeight="1">
      <c r="A402" s="147" t="s">
        <v>85</v>
      </c>
      <c r="B402" s="158"/>
      <c r="C402" s="179"/>
      <c r="D402" s="158"/>
      <c r="E402" s="160"/>
      <c r="F402" s="161"/>
      <c r="G402" s="161"/>
      <c r="H402" s="161"/>
      <c r="I402" s="154"/>
      <c r="J402" s="418"/>
      <c r="K402" s="419"/>
      <c r="L402" s="154"/>
      <c r="M402" s="418"/>
      <c r="N402" s="419"/>
      <c r="O402" s="150"/>
      <c r="P402" s="164"/>
      <c r="Q402" s="154"/>
      <c r="R402" s="174"/>
      <c r="S402" s="523"/>
      <c r="T402" s="523"/>
      <c r="U402" s="154"/>
      <c r="V402" s="155"/>
      <c r="W402" s="156"/>
      <c r="X402" s="154"/>
      <c r="Y402" s="155"/>
      <c r="Z402" s="155"/>
      <c r="AA402" s="157"/>
      <c r="AB402" s="217"/>
      <c r="AC402" s="150"/>
      <c r="AD402" s="151"/>
      <c r="AE402" s="152"/>
      <c r="AF402" s="506"/>
      <c r="AG402" s="463"/>
      <c r="AH402" s="150"/>
      <c r="AI402" s="152"/>
      <c r="AJ402" s="150"/>
      <c r="AK402" s="152"/>
      <c r="AL402" s="150"/>
      <c r="AM402" s="152"/>
      <c r="AN402" s="150"/>
      <c r="AO402" s="151"/>
      <c r="AP402" s="151"/>
      <c r="AQ402" s="169"/>
      <c r="AR402" s="169"/>
      <c r="AS402" s="149"/>
      <c r="AT402" s="324"/>
      <c r="AU402" s="324"/>
      <c r="AV402" s="324"/>
      <c r="AW402" s="324"/>
      <c r="AX402" s="324"/>
      <c r="AY402" s="324"/>
      <c r="AZ402" s="154"/>
      <c r="BA402" s="419"/>
      <c r="BB402" s="419"/>
      <c r="BC402" s="419"/>
      <c r="BD402" s="419"/>
      <c r="BE402" s="418"/>
      <c r="BF402" s="154"/>
      <c r="BG402" s="419"/>
      <c r="BH402" s="419"/>
      <c r="BI402" s="419"/>
      <c r="BJ402" s="419"/>
      <c r="BK402" s="418"/>
      <c r="BL402" s="36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561"/>
    </row>
    <row r="403" spans="1:74" s="2" customFormat="1" ht="24.9" customHeight="1">
      <c r="A403" s="147" t="s">
        <v>85</v>
      </c>
      <c r="B403" s="158"/>
      <c r="C403" s="179"/>
      <c r="D403" s="158"/>
      <c r="E403" s="160"/>
      <c r="F403" s="161"/>
      <c r="G403" s="161"/>
      <c r="H403" s="161"/>
      <c r="I403" s="154"/>
      <c r="J403" s="418"/>
      <c r="K403" s="419"/>
      <c r="L403" s="154"/>
      <c r="M403" s="418"/>
      <c r="N403" s="419"/>
      <c r="O403" s="150"/>
      <c r="P403" s="164"/>
      <c r="Q403" s="154"/>
      <c r="R403" s="174"/>
      <c r="S403" s="523"/>
      <c r="T403" s="523"/>
      <c r="U403" s="154"/>
      <c r="V403" s="155"/>
      <c r="W403" s="156"/>
      <c r="X403" s="154"/>
      <c r="Y403" s="155"/>
      <c r="Z403" s="155"/>
      <c r="AA403" s="157"/>
      <c r="AB403" s="217"/>
      <c r="AC403" s="150"/>
      <c r="AD403" s="151"/>
      <c r="AE403" s="152"/>
      <c r="AF403" s="506"/>
      <c r="AG403" s="463"/>
      <c r="AH403" s="150"/>
      <c r="AI403" s="152"/>
      <c r="AJ403" s="150"/>
      <c r="AK403" s="152"/>
      <c r="AL403" s="150"/>
      <c r="AM403" s="152"/>
      <c r="AN403" s="150"/>
      <c r="AO403" s="151"/>
      <c r="AP403" s="151"/>
      <c r="AQ403" s="169"/>
      <c r="AR403" s="169"/>
      <c r="AS403" s="149"/>
      <c r="AT403" s="324"/>
      <c r="AU403" s="324"/>
      <c r="AV403" s="324"/>
      <c r="AW403" s="324"/>
      <c r="AX403" s="324"/>
      <c r="AY403" s="324"/>
      <c r="AZ403" s="154"/>
      <c r="BA403" s="419"/>
      <c r="BB403" s="419"/>
      <c r="BC403" s="419"/>
      <c r="BD403" s="419"/>
      <c r="BE403" s="418"/>
      <c r="BF403" s="154"/>
      <c r="BG403" s="419"/>
      <c r="BH403" s="419"/>
      <c r="BI403" s="419"/>
      <c r="BJ403" s="419"/>
      <c r="BK403" s="418"/>
      <c r="BL403" s="36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431"/>
    </row>
    <row r="404" spans="1:74" s="2" customFormat="1" ht="24.9" customHeight="1">
      <c r="A404" s="147" t="s">
        <v>85</v>
      </c>
      <c r="B404" s="158"/>
      <c r="C404" s="179"/>
      <c r="D404" s="158"/>
      <c r="E404" s="160"/>
      <c r="F404" s="161"/>
      <c r="G404" s="161"/>
      <c r="H404" s="161"/>
      <c r="I404" s="154"/>
      <c r="J404" s="418"/>
      <c r="K404" s="419"/>
      <c r="L404" s="154"/>
      <c r="M404" s="418"/>
      <c r="N404" s="419"/>
      <c r="O404" s="150"/>
      <c r="P404" s="164"/>
      <c r="Q404" s="154"/>
      <c r="R404" s="174"/>
      <c r="S404" s="523"/>
      <c r="T404" s="523"/>
      <c r="U404" s="154"/>
      <c r="V404" s="155"/>
      <c r="W404" s="156"/>
      <c r="X404" s="154"/>
      <c r="Y404" s="155"/>
      <c r="Z404" s="155"/>
      <c r="AA404" s="157"/>
      <c r="AB404" s="217"/>
      <c r="AC404" s="150"/>
      <c r="AD404" s="151"/>
      <c r="AE404" s="152"/>
      <c r="AF404" s="506"/>
      <c r="AG404" s="463"/>
      <c r="AH404" s="150"/>
      <c r="AI404" s="152"/>
      <c r="AJ404" s="150"/>
      <c r="AK404" s="152"/>
      <c r="AL404" s="150"/>
      <c r="AM404" s="152"/>
      <c r="AN404" s="150"/>
      <c r="AO404" s="151"/>
      <c r="AP404" s="151"/>
      <c r="AQ404" s="169"/>
      <c r="AR404" s="169"/>
      <c r="AS404" s="149"/>
      <c r="AT404" s="324"/>
      <c r="AU404" s="324"/>
      <c r="AV404" s="324"/>
      <c r="AW404" s="324"/>
      <c r="AX404" s="324"/>
      <c r="AY404" s="324"/>
      <c r="AZ404" s="154"/>
      <c r="BA404" s="419"/>
      <c r="BB404" s="419"/>
      <c r="BC404" s="419"/>
      <c r="BD404" s="419"/>
      <c r="BE404" s="418"/>
      <c r="BF404" s="154"/>
      <c r="BG404" s="419"/>
      <c r="BH404" s="419"/>
      <c r="BI404" s="419"/>
      <c r="BJ404" s="419"/>
      <c r="BK404" s="418"/>
      <c r="BL404" s="36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561"/>
    </row>
    <row r="405" spans="1:74" s="2" customFormat="1" ht="24.9" customHeight="1">
      <c r="A405" s="147" t="s">
        <v>85</v>
      </c>
      <c r="B405" s="158"/>
      <c r="C405" s="179"/>
      <c r="D405" s="158"/>
      <c r="E405" s="160"/>
      <c r="F405" s="161"/>
      <c r="G405" s="161"/>
      <c r="H405" s="161"/>
      <c r="I405" s="154"/>
      <c r="J405" s="418"/>
      <c r="K405" s="419"/>
      <c r="L405" s="154"/>
      <c r="M405" s="418"/>
      <c r="N405" s="419"/>
      <c r="O405" s="150"/>
      <c r="P405" s="164"/>
      <c r="Q405" s="154"/>
      <c r="R405" s="174"/>
      <c r="S405" s="523"/>
      <c r="T405" s="523"/>
      <c r="U405" s="154"/>
      <c r="V405" s="155"/>
      <c r="W405" s="156"/>
      <c r="X405" s="154"/>
      <c r="Y405" s="155"/>
      <c r="Z405" s="155"/>
      <c r="AA405" s="157"/>
      <c r="AB405" s="217"/>
      <c r="AC405" s="150"/>
      <c r="AD405" s="151"/>
      <c r="AE405" s="152"/>
      <c r="AF405" s="506"/>
      <c r="AG405" s="463"/>
      <c r="AH405" s="150"/>
      <c r="AI405" s="152"/>
      <c r="AJ405" s="150"/>
      <c r="AK405" s="152"/>
      <c r="AL405" s="150"/>
      <c r="AM405" s="152"/>
      <c r="AN405" s="150"/>
      <c r="AO405" s="151"/>
      <c r="AP405" s="151"/>
      <c r="AQ405" s="169"/>
      <c r="AR405" s="169"/>
      <c r="AS405" s="149"/>
      <c r="AT405" s="324"/>
      <c r="AU405" s="324"/>
      <c r="AV405" s="324"/>
      <c r="AW405" s="324"/>
      <c r="AX405" s="324"/>
      <c r="AY405" s="324"/>
      <c r="AZ405" s="154"/>
      <c r="BA405" s="419"/>
      <c r="BB405" s="419"/>
      <c r="BC405" s="419"/>
      <c r="BD405" s="419"/>
      <c r="BE405" s="418"/>
      <c r="BF405" s="154"/>
      <c r="BG405" s="419"/>
      <c r="BH405" s="419"/>
      <c r="BI405" s="419"/>
      <c r="BJ405" s="419"/>
      <c r="BK405" s="418"/>
      <c r="BL405" s="36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431"/>
    </row>
    <row r="406" spans="1:74" s="2" customFormat="1" ht="24.9" customHeight="1">
      <c r="A406" s="147" t="s">
        <v>85</v>
      </c>
      <c r="B406" s="158"/>
      <c r="C406" s="179"/>
      <c r="D406" s="158"/>
      <c r="E406" s="160"/>
      <c r="F406" s="161"/>
      <c r="G406" s="161"/>
      <c r="H406" s="161"/>
      <c r="I406" s="154"/>
      <c r="J406" s="418"/>
      <c r="K406" s="419"/>
      <c r="L406" s="154"/>
      <c r="M406" s="418"/>
      <c r="N406" s="419"/>
      <c r="O406" s="150"/>
      <c r="P406" s="164"/>
      <c r="Q406" s="154"/>
      <c r="R406" s="151"/>
      <c r="S406" s="522"/>
      <c r="T406" s="522"/>
      <c r="U406" s="154"/>
      <c r="V406" s="155"/>
      <c r="W406" s="156"/>
      <c r="X406" s="154"/>
      <c r="Y406" s="155"/>
      <c r="Z406" s="155"/>
      <c r="AA406" s="157"/>
      <c r="AB406" s="217"/>
      <c r="AC406" s="150"/>
      <c r="AD406" s="151"/>
      <c r="AE406" s="152"/>
      <c r="AF406" s="506"/>
      <c r="AG406" s="463"/>
      <c r="AH406" s="150"/>
      <c r="AI406" s="152"/>
      <c r="AJ406" s="150"/>
      <c r="AK406" s="152"/>
      <c r="AL406" s="150"/>
      <c r="AM406" s="152"/>
      <c r="AN406" s="150"/>
      <c r="AO406" s="151"/>
      <c r="AP406" s="151"/>
      <c r="AQ406" s="169"/>
      <c r="AR406" s="169"/>
      <c r="AS406" s="149"/>
      <c r="AT406" s="324"/>
      <c r="AU406" s="324"/>
      <c r="AV406" s="324"/>
      <c r="AW406" s="324"/>
      <c r="AX406" s="324"/>
      <c r="AY406" s="324"/>
      <c r="AZ406" s="154"/>
      <c r="BA406" s="419"/>
      <c r="BB406" s="419"/>
      <c r="BC406" s="419"/>
      <c r="BD406" s="419"/>
      <c r="BE406" s="418"/>
      <c r="BF406" s="154"/>
      <c r="BG406" s="419"/>
      <c r="BH406" s="419"/>
      <c r="BI406" s="419"/>
      <c r="BJ406" s="419"/>
      <c r="BK406" s="418"/>
      <c r="BL406" s="36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432"/>
    </row>
    <row r="407" spans="1:74" s="2" customFormat="1" ht="24.9" customHeight="1">
      <c r="A407" s="147" t="s">
        <v>85</v>
      </c>
      <c r="B407" s="158"/>
      <c r="C407" s="179"/>
      <c r="D407" s="158"/>
      <c r="E407" s="160"/>
      <c r="F407" s="161"/>
      <c r="G407" s="161"/>
      <c r="H407" s="161"/>
      <c r="I407" s="154"/>
      <c r="J407" s="418"/>
      <c r="K407" s="419"/>
      <c r="L407" s="154"/>
      <c r="M407" s="418"/>
      <c r="N407" s="419"/>
      <c r="O407" s="150"/>
      <c r="P407" s="164"/>
      <c r="Q407" s="154"/>
      <c r="R407" s="174"/>
      <c r="S407" s="523"/>
      <c r="T407" s="523"/>
      <c r="U407" s="154"/>
      <c r="V407" s="155"/>
      <c r="W407" s="156"/>
      <c r="X407" s="154"/>
      <c r="Y407" s="155"/>
      <c r="Z407" s="155"/>
      <c r="AA407" s="157"/>
      <c r="AB407" s="217"/>
      <c r="AC407" s="150"/>
      <c r="AD407" s="151"/>
      <c r="AE407" s="152"/>
      <c r="AF407" s="506"/>
      <c r="AG407" s="463"/>
      <c r="AH407" s="150"/>
      <c r="AI407" s="152"/>
      <c r="AJ407" s="150"/>
      <c r="AK407" s="152"/>
      <c r="AL407" s="150"/>
      <c r="AM407" s="152"/>
      <c r="AN407" s="150"/>
      <c r="AO407" s="151"/>
      <c r="AP407" s="151"/>
      <c r="AQ407" s="169"/>
      <c r="AR407" s="169"/>
      <c r="AS407" s="149"/>
      <c r="AT407" s="324"/>
      <c r="AU407" s="324"/>
      <c r="AV407" s="324"/>
      <c r="AW407" s="324"/>
      <c r="AX407" s="324"/>
      <c r="AY407" s="324"/>
      <c r="AZ407" s="154"/>
      <c r="BA407" s="419"/>
      <c r="BB407" s="419"/>
      <c r="BC407" s="419"/>
      <c r="BD407" s="419"/>
      <c r="BE407" s="418"/>
      <c r="BF407" s="154"/>
      <c r="BG407" s="419"/>
      <c r="BH407" s="419"/>
      <c r="BI407" s="419"/>
      <c r="BJ407" s="419"/>
      <c r="BK407" s="418"/>
      <c r="BL407" s="36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432"/>
    </row>
    <row r="408" spans="1:74" s="2" customFormat="1" ht="24.9" customHeight="1">
      <c r="A408" s="147" t="s">
        <v>85</v>
      </c>
      <c r="B408" s="158"/>
      <c r="C408" s="179"/>
      <c r="D408" s="158"/>
      <c r="E408" s="160"/>
      <c r="F408" s="161"/>
      <c r="G408" s="161"/>
      <c r="H408" s="161"/>
      <c r="I408" s="154"/>
      <c r="J408" s="418"/>
      <c r="K408" s="419"/>
      <c r="L408" s="154"/>
      <c r="M408" s="418"/>
      <c r="N408" s="419"/>
      <c r="O408" s="150"/>
      <c r="P408" s="164"/>
      <c r="Q408" s="154"/>
      <c r="R408" s="151"/>
      <c r="S408" s="522"/>
      <c r="T408" s="522"/>
      <c r="U408" s="154"/>
      <c r="V408" s="155"/>
      <c r="W408" s="156"/>
      <c r="X408" s="154"/>
      <c r="Y408" s="155"/>
      <c r="Z408" s="155"/>
      <c r="AA408" s="157"/>
      <c r="AB408" s="217"/>
      <c r="AC408" s="150"/>
      <c r="AD408" s="151"/>
      <c r="AE408" s="152"/>
      <c r="AF408" s="506"/>
      <c r="AG408" s="463"/>
      <c r="AH408" s="150"/>
      <c r="AI408" s="152"/>
      <c r="AJ408" s="150"/>
      <c r="AK408" s="152"/>
      <c r="AL408" s="150"/>
      <c r="AM408" s="152"/>
      <c r="AN408" s="150"/>
      <c r="AO408" s="151"/>
      <c r="AP408" s="151"/>
      <c r="AQ408" s="169"/>
      <c r="AR408" s="169"/>
      <c r="AS408" s="149"/>
      <c r="AT408" s="324"/>
      <c r="AU408" s="324"/>
      <c r="AV408" s="324"/>
      <c r="AW408" s="324"/>
      <c r="AX408" s="324"/>
      <c r="AY408" s="324"/>
      <c r="AZ408" s="154"/>
      <c r="BA408" s="419"/>
      <c r="BB408" s="419"/>
      <c r="BC408" s="419"/>
      <c r="BD408" s="419"/>
      <c r="BE408" s="418"/>
      <c r="BF408" s="154"/>
      <c r="BG408" s="419"/>
      <c r="BH408" s="419"/>
      <c r="BI408" s="419"/>
      <c r="BJ408" s="419"/>
      <c r="BK408" s="418"/>
      <c r="BL408" s="36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561"/>
    </row>
    <row r="409" spans="1:74" s="2" customFormat="1" ht="24.9" customHeight="1">
      <c r="A409" s="147" t="s">
        <v>85</v>
      </c>
      <c r="B409" s="158"/>
      <c r="C409" s="179"/>
      <c r="D409" s="158"/>
      <c r="E409" s="160"/>
      <c r="F409" s="161"/>
      <c r="G409" s="161"/>
      <c r="H409" s="161"/>
      <c r="I409" s="154"/>
      <c r="J409" s="418"/>
      <c r="K409" s="419"/>
      <c r="L409" s="154"/>
      <c r="M409" s="418"/>
      <c r="N409" s="419"/>
      <c r="O409" s="150"/>
      <c r="P409" s="164"/>
      <c r="Q409" s="154"/>
      <c r="R409" s="174"/>
      <c r="S409" s="523"/>
      <c r="T409" s="523"/>
      <c r="U409" s="154"/>
      <c r="V409" s="155"/>
      <c r="W409" s="156"/>
      <c r="X409" s="154"/>
      <c r="Y409" s="155"/>
      <c r="Z409" s="155"/>
      <c r="AA409" s="157"/>
      <c r="AB409" s="217"/>
      <c r="AC409" s="150"/>
      <c r="AD409" s="151"/>
      <c r="AE409" s="152"/>
      <c r="AF409" s="506"/>
      <c r="AG409" s="463"/>
      <c r="AH409" s="150"/>
      <c r="AI409" s="152"/>
      <c r="AJ409" s="150"/>
      <c r="AK409" s="152"/>
      <c r="AL409" s="150"/>
      <c r="AM409" s="152"/>
      <c r="AN409" s="150"/>
      <c r="AO409" s="151"/>
      <c r="AP409" s="151"/>
      <c r="AQ409" s="169"/>
      <c r="AR409" s="169"/>
      <c r="AS409" s="149"/>
      <c r="AT409" s="324"/>
      <c r="AU409" s="324"/>
      <c r="AV409" s="324"/>
      <c r="AW409" s="324"/>
      <c r="AX409" s="324"/>
      <c r="AY409" s="324"/>
      <c r="AZ409" s="154"/>
      <c r="BA409" s="419"/>
      <c r="BB409" s="419"/>
      <c r="BC409" s="419"/>
      <c r="BD409" s="419"/>
      <c r="BE409" s="418"/>
      <c r="BF409" s="154"/>
      <c r="BG409" s="419"/>
      <c r="BH409" s="419"/>
      <c r="BI409" s="419"/>
      <c r="BJ409" s="419"/>
      <c r="BK409" s="418"/>
      <c r="BL409" s="36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563"/>
    </row>
    <row r="410" spans="1:74" s="2" customFormat="1" ht="24.9" customHeight="1">
      <c r="A410" s="147" t="s">
        <v>85</v>
      </c>
      <c r="B410" s="158"/>
      <c r="C410" s="179"/>
      <c r="D410" s="158"/>
      <c r="E410" s="160"/>
      <c r="F410" s="161"/>
      <c r="G410" s="161"/>
      <c r="H410" s="161"/>
      <c r="I410" s="154"/>
      <c r="J410" s="418"/>
      <c r="K410" s="419"/>
      <c r="L410" s="154"/>
      <c r="M410" s="418"/>
      <c r="N410" s="419"/>
      <c r="O410" s="150"/>
      <c r="P410" s="164"/>
      <c r="Q410" s="154"/>
      <c r="R410" s="174"/>
      <c r="S410" s="523"/>
      <c r="T410" s="523"/>
      <c r="U410" s="154"/>
      <c r="V410" s="155"/>
      <c r="W410" s="156"/>
      <c r="X410" s="154"/>
      <c r="Y410" s="155"/>
      <c r="Z410" s="155"/>
      <c r="AA410" s="157"/>
      <c r="AB410" s="217"/>
      <c r="AC410" s="150"/>
      <c r="AD410" s="151"/>
      <c r="AE410" s="152"/>
      <c r="AF410" s="506"/>
      <c r="AG410" s="463"/>
      <c r="AH410" s="150"/>
      <c r="AI410" s="152"/>
      <c r="AJ410" s="150"/>
      <c r="AK410" s="152"/>
      <c r="AL410" s="150"/>
      <c r="AM410" s="152"/>
      <c r="AN410" s="150"/>
      <c r="AO410" s="151"/>
      <c r="AP410" s="151"/>
      <c r="AQ410" s="169"/>
      <c r="AR410" s="169"/>
      <c r="AS410" s="149"/>
      <c r="AT410" s="324"/>
      <c r="AU410" s="324"/>
      <c r="AV410" s="324"/>
      <c r="AW410" s="324"/>
      <c r="AX410" s="324"/>
      <c r="AY410" s="324"/>
      <c r="AZ410" s="154"/>
      <c r="BA410" s="419"/>
      <c r="BB410" s="419"/>
      <c r="BC410" s="419"/>
      <c r="BD410" s="419"/>
      <c r="BE410" s="418"/>
      <c r="BF410" s="154"/>
      <c r="BG410" s="419"/>
      <c r="BH410" s="419"/>
      <c r="BI410" s="419"/>
      <c r="BJ410" s="419"/>
      <c r="BK410" s="418"/>
      <c r="BL410" s="36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564"/>
    </row>
    <row r="411" spans="1:74" s="2" customFormat="1" ht="24.9" customHeight="1">
      <c r="A411" s="147" t="s">
        <v>85</v>
      </c>
      <c r="B411" s="158"/>
      <c r="C411" s="179"/>
      <c r="D411" s="158"/>
      <c r="E411" s="160"/>
      <c r="F411" s="161"/>
      <c r="G411" s="161"/>
      <c r="H411" s="161"/>
      <c r="I411" s="154"/>
      <c r="J411" s="418"/>
      <c r="K411" s="419"/>
      <c r="L411" s="154"/>
      <c r="M411" s="418"/>
      <c r="N411" s="419"/>
      <c r="O411" s="150"/>
      <c r="P411" s="164"/>
      <c r="Q411" s="154"/>
      <c r="R411" s="174"/>
      <c r="S411" s="523"/>
      <c r="T411" s="523"/>
      <c r="U411" s="154"/>
      <c r="V411" s="155"/>
      <c r="W411" s="156"/>
      <c r="X411" s="154"/>
      <c r="Y411" s="155"/>
      <c r="Z411" s="155"/>
      <c r="AA411" s="157"/>
      <c r="AB411" s="217"/>
      <c r="AC411" s="150"/>
      <c r="AD411" s="151"/>
      <c r="AE411" s="152"/>
      <c r="AF411" s="506"/>
      <c r="AG411" s="463"/>
      <c r="AH411" s="150"/>
      <c r="AI411" s="152"/>
      <c r="AJ411" s="150"/>
      <c r="AK411" s="152"/>
      <c r="AL411" s="150"/>
      <c r="AM411" s="152"/>
      <c r="AN411" s="150"/>
      <c r="AO411" s="151"/>
      <c r="AP411" s="151"/>
      <c r="AQ411" s="169"/>
      <c r="AR411" s="169"/>
      <c r="AS411" s="149"/>
      <c r="AT411" s="324"/>
      <c r="AU411" s="324"/>
      <c r="AV411" s="324"/>
      <c r="AW411" s="324"/>
      <c r="AX411" s="324"/>
      <c r="AY411" s="324"/>
      <c r="AZ411" s="154"/>
      <c r="BA411" s="419"/>
      <c r="BB411" s="419"/>
      <c r="BC411" s="419"/>
      <c r="BD411" s="419"/>
      <c r="BE411" s="418"/>
      <c r="BF411" s="154"/>
      <c r="BG411" s="419"/>
      <c r="BH411" s="419"/>
      <c r="BI411" s="419"/>
      <c r="BJ411" s="419"/>
      <c r="BK411" s="418"/>
      <c r="BL411" s="36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563"/>
    </row>
    <row r="412" spans="1:74" s="2" customFormat="1" ht="24.9" customHeight="1">
      <c r="A412" s="147" t="s">
        <v>85</v>
      </c>
      <c r="B412" s="158"/>
      <c r="C412" s="179"/>
      <c r="D412" s="158"/>
      <c r="E412" s="160"/>
      <c r="F412" s="161"/>
      <c r="G412" s="161"/>
      <c r="H412" s="161"/>
      <c r="I412" s="154"/>
      <c r="J412" s="418"/>
      <c r="K412" s="419"/>
      <c r="L412" s="154"/>
      <c r="M412" s="418"/>
      <c r="N412" s="419"/>
      <c r="O412" s="150"/>
      <c r="P412" s="164"/>
      <c r="Q412" s="154"/>
      <c r="R412" s="174"/>
      <c r="S412" s="523"/>
      <c r="T412" s="523"/>
      <c r="U412" s="154"/>
      <c r="V412" s="155"/>
      <c r="W412" s="156"/>
      <c r="X412" s="154"/>
      <c r="Y412" s="155"/>
      <c r="Z412" s="155"/>
      <c r="AA412" s="157"/>
      <c r="AB412" s="217"/>
      <c r="AC412" s="150"/>
      <c r="AD412" s="151"/>
      <c r="AE412" s="152"/>
      <c r="AF412" s="506"/>
      <c r="AG412" s="463"/>
      <c r="AH412" s="150"/>
      <c r="AI412" s="152"/>
      <c r="AJ412" s="150"/>
      <c r="AK412" s="152"/>
      <c r="AL412" s="150"/>
      <c r="AM412" s="152"/>
      <c r="AN412" s="150"/>
      <c r="AO412" s="151"/>
      <c r="AP412" s="151"/>
      <c r="AQ412" s="169"/>
      <c r="AR412" s="169"/>
      <c r="AS412" s="149"/>
      <c r="AT412" s="324"/>
      <c r="AU412" s="324"/>
      <c r="AV412" s="324"/>
      <c r="AW412" s="324"/>
      <c r="AX412" s="324"/>
      <c r="AY412" s="324"/>
      <c r="AZ412" s="154"/>
      <c r="BA412" s="419"/>
      <c r="BB412" s="419"/>
      <c r="BC412" s="419"/>
      <c r="BD412" s="419"/>
      <c r="BE412" s="418"/>
      <c r="BF412" s="154"/>
      <c r="BG412" s="419"/>
      <c r="BH412" s="419"/>
      <c r="BI412" s="419"/>
      <c r="BJ412" s="419"/>
      <c r="BK412" s="418"/>
      <c r="BL412" s="36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564"/>
    </row>
    <row r="413" spans="1:74" s="2" customFormat="1" ht="24.9" customHeight="1">
      <c r="A413" s="147" t="s">
        <v>85</v>
      </c>
      <c r="B413" s="158"/>
      <c r="C413" s="179"/>
      <c r="D413" s="158"/>
      <c r="E413" s="160"/>
      <c r="F413" s="161"/>
      <c r="G413" s="161"/>
      <c r="H413" s="161"/>
      <c r="I413" s="154"/>
      <c r="J413" s="418"/>
      <c r="K413" s="419"/>
      <c r="L413" s="154"/>
      <c r="M413" s="418"/>
      <c r="N413" s="419"/>
      <c r="O413" s="150"/>
      <c r="P413" s="164"/>
      <c r="Q413" s="154"/>
      <c r="R413" s="174"/>
      <c r="S413" s="523"/>
      <c r="T413" s="523"/>
      <c r="U413" s="154"/>
      <c r="V413" s="155"/>
      <c r="W413" s="156"/>
      <c r="X413" s="154"/>
      <c r="Y413" s="155"/>
      <c r="Z413" s="155"/>
      <c r="AA413" s="157"/>
      <c r="AB413" s="217"/>
      <c r="AC413" s="150"/>
      <c r="AD413" s="151"/>
      <c r="AE413" s="152"/>
      <c r="AF413" s="506"/>
      <c r="AG413" s="463"/>
      <c r="AH413" s="150"/>
      <c r="AI413" s="152"/>
      <c r="AJ413" s="150"/>
      <c r="AK413" s="152"/>
      <c r="AL413" s="150"/>
      <c r="AM413" s="152"/>
      <c r="AN413" s="150"/>
      <c r="AO413" s="151"/>
      <c r="AP413" s="151"/>
      <c r="AQ413" s="169"/>
      <c r="AR413" s="169"/>
      <c r="AS413" s="149"/>
      <c r="AT413" s="324"/>
      <c r="AU413" s="324"/>
      <c r="AV413" s="324"/>
      <c r="AW413" s="324"/>
      <c r="AX413" s="324"/>
      <c r="AY413" s="324"/>
      <c r="AZ413" s="154"/>
      <c r="BA413" s="419"/>
      <c r="BB413" s="419"/>
      <c r="BC413" s="419"/>
      <c r="BD413" s="419"/>
      <c r="BE413" s="418"/>
      <c r="BF413" s="154"/>
      <c r="BG413" s="419"/>
      <c r="BH413" s="419"/>
      <c r="BI413" s="419"/>
      <c r="BJ413" s="419"/>
      <c r="BK413" s="418"/>
      <c r="BL413" s="36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431"/>
    </row>
    <row r="414" spans="1:74" s="2" customFormat="1" ht="24.9" customHeight="1">
      <c r="A414" s="147" t="s">
        <v>85</v>
      </c>
      <c r="B414" s="158"/>
      <c r="C414" s="179"/>
      <c r="D414" s="158"/>
      <c r="E414" s="160"/>
      <c r="F414" s="161"/>
      <c r="G414" s="161"/>
      <c r="H414" s="161"/>
      <c r="I414" s="154"/>
      <c r="J414" s="418"/>
      <c r="K414" s="419"/>
      <c r="L414" s="154"/>
      <c r="M414" s="418"/>
      <c r="N414" s="419"/>
      <c r="O414" s="150"/>
      <c r="P414" s="164"/>
      <c r="Q414" s="154"/>
      <c r="R414" s="151"/>
      <c r="S414" s="522"/>
      <c r="T414" s="522"/>
      <c r="U414" s="154"/>
      <c r="V414" s="155"/>
      <c r="W414" s="156"/>
      <c r="X414" s="154"/>
      <c r="Y414" s="155"/>
      <c r="Z414" s="155"/>
      <c r="AA414" s="157"/>
      <c r="AB414" s="217"/>
      <c r="AC414" s="150"/>
      <c r="AD414" s="151"/>
      <c r="AE414" s="152"/>
      <c r="AF414" s="506"/>
      <c r="AG414" s="463"/>
      <c r="AH414" s="150"/>
      <c r="AI414" s="152"/>
      <c r="AJ414" s="150"/>
      <c r="AK414" s="152"/>
      <c r="AL414" s="150"/>
      <c r="AM414" s="152"/>
      <c r="AN414" s="150"/>
      <c r="AO414" s="151"/>
      <c r="AP414" s="151"/>
      <c r="AQ414" s="169"/>
      <c r="AR414" s="169"/>
      <c r="AS414" s="149"/>
      <c r="AT414" s="324"/>
      <c r="AU414" s="324"/>
      <c r="AV414" s="324"/>
      <c r="AW414" s="324"/>
      <c r="AX414" s="324"/>
      <c r="AY414" s="324"/>
      <c r="AZ414" s="154"/>
      <c r="BA414" s="419"/>
      <c r="BB414" s="419"/>
      <c r="BC414" s="419"/>
      <c r="BD414" s="419"/>
      <c r="BE414" s="418"/>
      <c r="BF414" s="154"/>
      <c r="BG414" s="419"/>
      <c r="BH414" s="419"/>
      <c r="BI414" s="419"/>
      <c r="BJ414" s="419"/>
      <c r="BK414" s="418"/>
      <c r="BL414" s="36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432"/>
    </row>
    <row r="415" spans="1:74" s="2" customFormat="1" ht="24.9" customHeight="1">
      <c r="A415" s="147" t="s">
        <v>85</v>
      </c>
      <c r="B415" s="158"/>
      <c r="C415" s="179"/>
      <c r="D415" s="158"/>
      <c r="E415" s="160"/>
      <c r="F415" s="161"/>
      <c r="G415" s="161"/>
      <c r="H415" s="161"/>
      <c r="I415" s="154"/>
      <c r="J415" s="418"/>
      <c r="K415" s="419"/>
      <c r="L415" s="154"/>
      <c r="M415" s="418"/>
      <c r="N415" s="419"/>
      <c r="O415" s="150"/>
      <c r="P415" s="164"/>
      <c r="Q415" s="154"/>
      <c r="R415" s="174"/>
      <c r="S415" s="523"/>
      <c r="T415" s="523"/>
      <c r="U415" s="154"/>
      <c r="V415" s="155"/>
      <c r="W415" s="156"/>
      <c r="X415" s="154"/>
      <c r="Y415" s="155"/>
      <c r="Z415" s="155"/>
      <c r="AA415" s="157"/>
      <c r="AB415" s="217"/>
      <c r="AC415" s="150"/>
      <c r="AD415" s="151"/>
      <c r="AE415" s="152"/>
      <c r="AF415" s="506"/>
      <c r="AG415" s="463"/>
      <c r="AH415" s="150"/>
      <c r="AI415" s="152"/>
      <c r="AJ415" s="150"/>
      <c r="AK415" s="152"/>
      <c r="AL415" s="150"/>
      <c r="AM415" s="152"/>
      <c r="AN415" s="150"/>
      <c r="AO415" s="151"/>
      <c r="AP415" s="151"/>
      <c r="AQ415" s="169"/>
      <c r="AR415" s="169"/>
      <c r="AS415" s="149"/>
      <c r="AT415" s="324"/>
      <c r="AU415" s="324"/>
      <c r="AV415" s="324"/>
      <c r="AW415" s="324"/>
      <c r="AX415" s="324"/>
      <c r="AY415" s="324"/>
      <c r="AZ415" s="154"/>
      <c r="BA415" s="419"/>
      <c r="BB415" s="419"/>
      <c r="BC415" s="419"/>
      <c r="BD415" s="419"/>
      <c r="BE415" s="418"/>
      <c r="BF415" s="154"/>
      <c r="BG415" s="419"/>
      <c r="BH415" s="419"/>
      <c r="BI415" s="419"/>
      <c r="BJ415" s="419"/>
      <c r="BK415" s="418"/>
      <c r="BL415" s="36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561"/>
    </row>
    <row r="416" spans="1:74" s="2" customFormat="1" ht="24.9" customHeight="1">
      <c r="A416" s="147" t="s">
        <v>85</v>
      </c>
      <c r="B416" s="158"/>
      <c r="C416" s="179"/>
      <c r="D416" s="158"/>
      <c r="E416" s="160"/>
      <c r="F416" s="161"/>
      <c r="G416" s="161"/>
      <c r="H416" s="161"/>
      <c r="I416" s="154"/>
      <c r="J416" s="418"/>
      <c r="K416" s="419"/>
      <c r="L416" s="154"/>
      <c r="M416" s="418"/>
      <c r="N416" s="419"/>
      <c r="O416" s="150"/>
      <c r="P416" s="164"/>
      <c r="Q416" s="154"/>
      <c r="R416" s="174"/>
      <c r="S416" s="523"/>
      <c r="T416" s="523"/>
      <c r="U416" s="154"/>
      <c r="V416" s="155"/>
      <c r="W416" s="156"/>
      <c r="X416" s="154"/>
      <c r="Y416" s="155"/>
      <c r="Z416" s="155"/>
      <c r="AA416" s="157"/>
      <c r="AB416" s="217"/>
      <c r="AC416" s="150"/>
      <c r="AD416" s="151"/>
      <c r="AE416" s="152"/>
      <c r="AF416" s="506"/>
      <c r="AG416" s="463"/>
      <c r="AH416" s="150"/>
      <c r="AI416" s="152"/>
      <c r="AJ416" s="150"/>
      <c r="AK416" s="152"/>
      <c r="AL416" s="150"/>
      <c r="AM416" s="152"/>
      <c r="AN416" s="150"/>
      <c r="AO416" s="151"/>
      <c r="AP416" s="151"/>
      <c r="AQ416" s="169"/>
      <c r="AR416" s="169"/>
      <c r="AS416" s="149"/>
      <c r="AT416" s="324"/>
      <c r="AU416" s="324"/>
      <c r="AV416" s="324"/>
      <c r="AW416" s="324"/>
      <c r="AX416" s="324"/>
      <c r="AY416" s="324"/>
      <c r="AZ416" s="154"/>
      <c r="BA416" s="419"/>
      <c r="BB416" s="419"/>
      <c r="BC416" s="419"/>
      <c r="BD416" s="419"/>
      <c r="BE416" s="418"/>
      <c r="BF416" s="154"/>
      <c r="BG416" s="419"/>
      <c r="BH416" s="419"/>
      <c r="BI416" s="419"/>
      <c r="BJ416" s="419"/>
      <c r="BK416" s="418"/>
      <c r="BL416" s="36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431"/>
    </row>
    <row r="417" spans="1:74" s="2" customFormat="1" ht="24.9" customHeight="1">
      <c r="A417" s="147" t="s">
        <v>85</v>
      </c>
      <c r="B417" s="158"/>
      <c r="C417" s="179"/>
      <c r="D417" s="158"/>
      <c r="E417" s="160"/>
      <c r="F417" s="161"/>
      <c r="G417" s="161"/>
      <c r="H417" s="161"/>
      <c r="I417" s="154"/>
      <c r="J417" s="418"/>
      <c r="K417" s="419"/>
      <c r="L417" s="154"/>
      <c r="M417" s="418"/>
      <c r="N417" s="419"/>
      <c r="O417" s="150"/>
      <c r="P417" s="164"/>
      <c r="Q417" s="154"/>
      <c r="R417" s="174"/>
      <c r="S417" s="523"/>
      <c r="T417" s="523"/>
      <c r="U417" s="154"/>
      <c r="V417" s="155"/>
      <c r="W417" s="156"/>
      <c r="X417" s="154"/>
      <c r="Y417" s="155"/>
      <c r="Z417" s="155"/>
      <c r="AA417" s="157"/>
      <c r="AB417" s="217"/>
      <c r="AC417" s="150"/>
      <c r="AD417" s="151"/>
      <c r="AE417" s="152"/>
      <c r="AF417" s="506"/>
      <c r="AG417" s="463"/>
      <c r="AH417" s="150"/>
      <c r="AI417" s="152"/>
      <c r="AJ417" s="150"/>
      <c r="AK417" s="152"/>
      <c r="AL417" s="150"/>
      <c r="AM417" s="152"/>
      <c r="AN417" s="150"/>
      <c r="AO417" s="151"/>
      <c r="AP417" s="151"/>
      <c r="AQ417" s="169"/>
      <c r="AR417" s="169"/>
      <c r="AS417" s="149"/>
      <c r="AT417" s="324"/>
      <c r="AU417" s="324"/>
      <c r="AV417" s="324"/>
      <c r="AW417" s="324"/>
      <c r="AX417" s="324"/>
      <c r="AY417" s="324"/>
      <c r="AZ417" s="154"/>
      <c r="BA417" s="419"/>
      <c r="BB417" s="419"/>
      <c r="BC417" s="419"/>
      <c r="BD417" s="419"/>
      <c r="BE417" s="418"/>
      <c r="BF417" s="154"/>
      <c r="BG417" s="419"/>
      <c r="BH417" s="419"/>
      <c r="BI417" s="419"/>
      <c r="BJ417" s="419"/>
      <c r="BK417" s="418"/>
      <c r="BL417" s="36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561"/>
    </row>
    <row r="418" spans="1:74" s="2" customFormat="1" ht="24.9" customHeight="1">
      <c r="A418" s="147" t="s">
        <v>85</v>
      </c>
      <c r="B418" s="158"/>
      <c r="C418" s="179"/>
      <c r="D418" s="158"/>
      <c r="E418" s="160"/>
      <c r="F418" s="161"/>
      <c r="G418" s="161"/>
      <c r="H418" s="161"/>
      <c r="I418" s="154"/>
      <c r="J418" s="418"/>
      <c r="K418" s="419"/>
      <c r="L418" s="154"/>
      <c r="M418" s="418"/>
      <c r="N418" s="419"/>
      <c r="O418" s="150"/>
      <c r="P418" s="164"/>
      <c r="Q418" s="154"/>
      <c r="R418" s="174"/>
      <c r="S418" s="523"/>
      <c r="T418" s="523"/>
      <c r="U418" s="154"/>
      <c r="V418" s="155"/>
      <c r="W418" s="156"/>
      <c r="X418" s="154"/>
      <c r="Y418" s="155"/>
      <c r="Z418" s="155"/>
      <c r="AA418" s="157"/>
      <c r="AB418" s="217"/>
      <c r="AC418" s="150"/>
      <c r="AD418" s="151"/>
      <c r="AE418" s="152"/>
      <c r="AF418" s="506"/>
      <c r="AG418" s="463"/>
      <c r="AH418" s="150"/>
      <c r="AI418" s="152"/>
      <c r="AJ418" s="150"/>
      <c r="AK418" s="152"/>
      <c r="AL418" s="150"/>
      <c r="AM418" s="152"/>
      <c r="AN418" s="150"/>
      <c r="AO418" s="151"/>
      <c r="AP418" s="151"/>
      <c r="AQ418" s="169"/>
      <c r="AR418" s="169"/>
      <c r="AS418" s="149"/>
      <c r="AT418" s="324"/>
      <c r="AU418" s="324"/>
      <c r="AV418" s="324"/>
      <c r="AW418" s="324"/>
      <c r="AX418" s="324"/>
      <c r="AY418" s="324"/>
      <c r="AZ418" s="154"/>
      <c r="BA418" s="419"/>
      <c r="BB418" s="419"/>
      <c r="BC418" s="419"/>
      <c r="BD418" s="419"/>
      <c r="BE418" s="418"/>
      <c r="BF418" s="154"/>
      <c r="BG418" s="419"/>
      <c r="BH418" s="419"/>
      <c r="BI418" s="419"/>
      <c r="BJ418" s="419"/>
      <c r="BK418" s="418"/>
      <c r="BL418" s="36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431"/>
    </row>
    <row r="419" spans="1:74" s="2" customFormat="1" ht="24.9" customHeight="1">
      <c r="A419" s="147" t="s">
        <v>85</v>
      </c>
      <c r="B419" s="158"/>
      <c r="C419" s="179"/>
      <c r="D419" s="158"/>
      <c r="E419" s="160"/>
      <c r="F419" s="161"/>
      <c r="G419" s="161"/>
      <c r="H419" s="161"/>
      <c r="I419" s="154"/>
      <c r="J419" s="418"/>
      <c r="K419" s="419"/>
      <c r="L419" s="154"/>
      <c r="M419" s="418"/>
      <c r="N419" s="419"/>
      <c r="O419" s="150"/>
      <c r="P419" s="164"/>
      <c r="Q419" s="154"/>
      <c r="R419" s="174"/>
      <c r="S419" s="523"/>
      <c r="T419" s="523"/>
      <c r="U419" s="154"/>
      <c r="V419" s="155"/>
      <c r="W419" s="156"/>
      <c r="X419" s="154"/>
      <c r="Y419" s="155"/>
      <c r="Z419" s="155"/>
      <c r="AA419" s="157"/>
      <c r="AB419" s="217"/>
      <c r="AC419" s="150"/>
      <c r="AD419" s="151"/>
      <c r="AE419" s="152"/>
      <c r="AF419" s="506"/>
      <c r="AG419" s="463"/>
      <c r="AH419" s="150"/>
      <c r="AI419" s="152"/>
      <c r="AJ419" s="150"/>
      <c r="AK419" s="152"/>
      <c r="AL419" s="150"/>
      <c r="AM419" s="152"/>
      <c r="AN419" s="150"/>
      <c r="AO419" s="151"/>
      <c r="AP419" s="151"/>
      <c r="AQ419" s="169"/>
      <c r="AR419" s="169"/>
      <c r="AS419" s="149"/>
      <c r="AT419" s="324"/>
      <c r="AU419" s="324"/>
      <c r="AV419" s="324"/>
      <c r="AW419" s="324"/>
      <c r="AX419" s="324"/>
      <c r="AY419" s="324"/>
      <c r="AZ419" s="154"/>
      <c r="BA419" s="419"/>
      <c r="BB419" s="419"/>
      <c r="BC419" s="419"/>
      <c r="BD419" s="419"/>
      <c r="BE419" s="418"/>
      <c r="BF419" s="154"/>
      <c r="BG419" s="419"/>
      <c r="BH419" s="419"/>
      <c r="BI419" s="419"/>
      <c r="BJ419" s="419"/>
      <c r="BK419" s="418"/>
      <c r="BL419" s="36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561"/>
    </row>
    <row r="420" spans="1:74" s="2" customFormat="1" ht="24.9" customHeight="1">
      <c r="A420" s="147" t="s">
        <v>85</v>
      </c>
      <c r="B420" s="158"/>
      <c r="C420" s="179"/>
      <c r="D420" s="158"/>
      <c r="E420" s="160"/>
      <c r="F420" s="161"/>
      <c r="G420" s="161"/>
      <c r="H420" s="161"/>
      <c r="I420" s="154"/>
      <c r="J420" s="418"/>
      <c r="K420" s="419"/>
      <c r="L420" s="154"/>
      <c r="M420" s="418"/>
      <c r="N420" s="419"/>
      <c r="O420" s="150"/>
      <c r="P420" s="164"/>
      <c r="Q420" s="154"/>
      <c r="R420" s="174"/>
      <c r="S420" s="523"/>
      <c r="T420" s="523"/>
      <c r="U420" s="154"/>
      <c r="V420" s="155"/>
      <c r="W420" s="156"/>
      <c r="X420" s="154"/>
      <c r="Y420" s="155"/>
      <c r="Z420" s="155"/>
      <c r="AA420" s="157"/>
      <c r="AB420" s="217"/>
      <c r="AC420" s="150"/>
      <c r="AD420" s="151"/>
      <c r="AE420" s="152"/>
      <c r="AF420" s="506"/>
      <c r="AG420" s="463"/>
      <c r="AH420" s="150"/>
      <c r="AI420" s="152"/>
      <c r="AJ420" s="150"/>
      <c r="AK420" s="152"/>
      <c r="AL420" s="150"/>
      <c r="AM420" s="152"/>
      <c r="AN420" s="150"/>
      <c r="AO420" s="151"/>
      <c r="AP420" s="151"/>
      <c r="AQ420" s="169"/>
      <c r="AR420" s="169"/>
      <c r="AS420" s="149"/>
      <c r="AT420" s="324"/>
      <c r="AU420" s="324"/>
      <c r="AV420" s="324"/>
      <c r="AW420" s="324"/>
      <c r="AX420" s="324"/>
      <c r="AY420" s="324"/>
      <c r="AZ420" s="154"/>
      <c r="BA420" s="419"/>
      <c r="BB420" s="419"/>
      <c r="BC420" s="419"/>
      <c r="BD420" s="419"/>
      <c r="BE420" s="418"/>
      <c r="BF420" s="154"/>
      <c r="BG420" s="419"/>
      <c r="BH420" s="419"/>
      <c r="BI420" s="419"/>
      <c r="BJ420" s="419"/>
      <c r="BK420" s="418"/>
      <c r="BL420" s="36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431"/>
    </row>
    <row r="421" spans="1:74" s="2" customFormat="1" ht="24.9" customHeight="1">
      <c r="A421" s="147" t="s">
        <v>85</v>
      </c>
      <c r="B421" s="158"/>
      <c r="C421" s="179"/>
      <c r="D421" s="158"/>
      <c r="E421" s="160"/>
      <c r="F421" s="161"/>
      <c r="G421" s="161"/>
      <c r="H421" s="161"/>
      <c r="I421" s="154"/>
      <c r="J421" s="418"/>
      <c r="K421" s="419"/>
      <c r="L421" s="154"/>
      <c r="M421" s="418"/>
      <c r="N421" s="419"/>
      <c r="O421" s="150"/>
      <c r="P421" s="164"/>
      <c r="Q421" s="154"/>
      <c r="R421" s="151"/>
      <c r="S421" s="522"/>
      <c r="T421" s="522"/>
      <c r="U421" s="154"/>
      <c r="V421" s="155"/>
      <c r="W421" s="156"/>
      <c r="X421" s="154"/>
      <c r="Y421" s="155"/>
      <c r="Z421" s="155"/>
      <c r="AA421" s="157"/>
      <c r="AB421" s="217"/>
      <c r="AC421" s="150"/>
      <c r="AD421" s="151"/>
      <c r="AE421" s="152"/>
      <c r="AF421" s="506"/>
      <c r="AG421" s="463"/>
      <c r="AH421" s="150"/>
      <c r="AI421" s="152"/>
      <c r="AJ421" s="150"/>
      <c r="AK421" s="152"/>
      <c r="AL421" s="150"/>
      <c r="AM421" s="152"/>
      <c r="AN421" s="150"/>
      <c r="AO421" s="151"/>
      <c r="AP421" s="151"/>
      <c r="AQ421" s="169"/>
      <c r="AR421" s="169"/>
      <c r="AS421" s="149"/>
      <c r="AT421" s="324"/>
      <c r="AU421" s="324"/>
      <c r="AV421" s="324"/>
      <c r="AW421" s="324"/>
      <c r="AX421" s="324"/>
      <c r="AY421" s="324"/>
      <c r="AZ421" s="154"/>
      <c r="BA421" s="419"/>
      <c r="BB421" s="419"/>
      <c r="BC421" s="419"/>
      <c r="BD421" s="419"/>
      <c r="BE421" s="418"/>
      <c r="BF421" s="154"/>
      <c r="BG421" s="419"/>
      <c r="BH421" s="419"/>
      <c r="BI421" s="419"/>
      <c r="BJ421" s="419"/>
      <c r="BK421" s="418"/>
      <c r="BL421" s="36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432"/>
    </row>
    <row r="422" spans="1:74" s="2" customFormat="1" ht="24.9" customHeight="1">
      <c r="A422" s="147" t="s">
        <v>85</v>
      </c>
      <c r="B422" s="158"/>
      <c r="C422" s="179"/>
      <c r="D422" s="158"/>
      <c r="E422" s="160"/>
      <c r="F422" s="161"/>
      <c r="G422" s="161"/>
      <c r="H422" s="161"/>
      <c r="I422" s="154"/>
      <c r="J422" s="418"/>
      <c r="K422" s="419"/>
      <c r="L422" s="154"/>
      <c r="M422" s="418"/>
      <c r="N422" s="419"/>
      <c r="O422" s="150"/>
      <c r="P422" s="164"/>
      <c r="Q422" s="154"/>
      <c r="R422" s="174"/>
      <c r="S422" s="523"/>
      <c r="T422" s="523"/>
      <c r="U422" s="154"/>
      <c r="V422" s="155"/>
      <c r="W422" s="156"/>
      <c r="X422" s="154"/>
      <c r="Y422" s="155"/>
      <c r="Z422" s="155"/>
      <c r="AA422" s="157"/>
      <c r="AB422" s="217"/>
      <c r="AC422" s="150"/>
      <c r="AD422" s="151"/>
      <c r="AE422" s="152"/>
      <c r="AF422" s="506"/>
      <c r="AG422" s="463"/>
      <c r="AH422" s="150"/>
      <c r="AI422" s="152"/>
      <c r="AJ422" s="150"/>
      <c r="AK422" s="152"/>
      <c r="AL422" s="150"/>
      <c r="AM422" s="152"/>
      <c r="AN422" s="150"/>
      <c r="AO422" s="151"/>
      <c r="AP422" s="151"/>
      <c r="AQ422" s="169"/>
      <c r="AR422" s="169"/>
      <c r="AS422" s="149"/>
      <c r="AT422" s="324"/>
      <c r="AU422" s="324"/>
      <c r="AV422" s="324"/>
      <c r="AW422" s="324"/>
      <c r="AX422" s="324"/>
      <c r="AY422" s="324"/>
      <c r="AZ422" s="154"/>
      <c r="BA422" s="419"/>
      <c r="BB422" s="419"/>
      <c r="BC422" s="419"/>
      <c r="BD422" s="419"/>
      <c r="BE422" s="418"/>
      <c r="BF422" s="154"/>
      <c r="BG422" s="419"/>
      <c r="BH422" s="419"/>
      <c r="BI422" s="419"/>
      <c r="BJ422" s="419"/>
      <c r="BK422" s="418"/>
      <c r="BL422" s="36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561"/>
    </row>
    <row r="423" spans="1:74" s="2" customFormat="1" ht="24.9" customHeight="1">
      <c r="A423" s="147" t="s">
        <v>85</v>
      </c>
      <c r="B423" s="158"/>
      <c r="C423" s="179"/>
      <c r="D423" s="158"/>
      <c r="E423" s="160"/>
      <c r="F423" s="161"/>
      <c r="G423" s="161"/>
      <c r="H423" s="161"/>
      <c r="I423" s="154"/>
      <c r="J423" s="418"/>
      <c r="K423" s="419"/>
      <c r="L423" s="154"/>
      <c r="M423" s="418"/>
      <c r="N423" s="419"/>
      <c r="O423" s="150"/>
      <c r="P423" s="164"/>
      <c r="Q423" s="154"/>
      <c r="R423" s="174"/>
      <c r="S423" s="523"/>
      <c r="T423" s="523"/>
      <c r="U423" s="154"/>
      <c r="V423" s="155"/>
      <c r="W423" s="156"/>
      <c r="X423" s="154"/>
      <c r="Y423" s="155"/>
      <c r="Z423" s="155"/>
      <c r="AA423" s="157"/>
      <c r="AB423" s="217"/>
      <c r="AC423" s="150"/>
      <c r="AD423" s="151"/>
      <c r="AE423" s="152"/>
      <c r="AF423" s="506"/>
      <c r="AG423" s="463"/>
      <c r="AH423" s="150"/>
      <c r="AI423" s="152"/>
      <c r="AJ423" s="150"/>
      <c r="AK423" s="152"/>
      <c r="AL423" s="150"/>
      <c r="AM423" s="152"/>
      <c r="AN423" s="150"/>
      <c r="AO423" s="151"/>
      <c r="AP423" s="151"/>
      <c r="AQ423" s="169"/>
      <c r="AR423" s="169"/>
      <c r="AS423" s="149"/>
      <c r="AT423" s="324"/>
      <c r="AU423" s="324"/>
      <c r="AV423" s="324"/>
      <c r="AW423" s="324"/>
      <c r="AX423" s="324"/>
      <c r="AY423" s="324"/>
      <c r="AZ423" s="154"/>
      <c r="BA423" s="419"/>
      <c r="BB423" s="419"/>
      <c r="BC423" s="419"/>
      <c r="BD423" s="419"/>
      <c r="BE423" s="418"/>
      <c r="BF423" s="154"/>
      <c r="BG423" s="419"/>
      <c r="BH423" s="419"/>
      <c r="BI423" s="419"/>
      <c r="BJ423" s="419"/>
      <c r="BK423" s="418"/>
      <c r="BL423" s="36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431"/>
    </row>
    <row r="424" spans="1:74" s="2" customFormat="1" ht="24.9" customHeight="1">
      <c r="A424" s="147" t="s">
        <v>85</v>
      </c>
      <c r="B424" s="158"/>
      <c r="C424" s="179"/>
      <c r="D424" s="158"/>
      <c r="E424" s="160"/>
      <c r="F424" s="161"/>
      <c r="G424" s="161"/>
      <c r="H424" s="161"/>
      <c r="I424" s="154"/>
      <c r="J424" s="418"/>
      <c r="K424" s="419"/>
      <c r="L424" s="154"/>
      <c r="M424" s="418"/>
      <c r="N424" s="419"/>
      <c r="O424" s="150"/>
      <c r="P424" s="164"/>
      <c r="Q424" s="154"/>
      <c r="R424" s="174"/>
      <c r="S424" s="523"/>
      <c r="T424" s="523"/>
      <c r="U424" s="154"/>
      <c r="V424" s="155"/>
      <c r="W424" s="156"/>
      <c r="X424" s="154"/>
      <c r="Y424" s="155"/>
      <c r="Z424" s="155"/>
      <c r="AA424" s="157"/>
      <c r="AB424" s="217"/>
      <c r="AC424" s="150"/>
      <c r="AD424" s="151"/>
      <c r="AE424" s="152"/>
      <c r="AF424" s="506"/>
      <c r="AG424" s="463"/>
      <c r="AH424" s="150"/>
      <c r="AI424" s="152"/>
      <c r="AJ424" s="150"/>
      <c r="AK424" s="152"/>
      <c r="AL424" s="150"/>
      <c r="AM424" s="152"/>
      <c r="AN424" s="150"/>
      <c r="AO424" s="151"/>
      <c r="AP424" s="151"/>
      <c r="AQ424" s="169"/>
      <c r="AR424" s="169"/>
      <c r="AS424" s="149"/>
      <c r="AT424" s="324"/>
      <c r="AU424" s="324"/>
      <c r="AV424" s="324"/>
      <c r="AW424" s="324"/>
      <c r="AX424" s="324"/>
      <c r="AY424" s="324"/>
      <c r="AZ424" s="154"/>
      <c r="BA424" s="419"/>
      <c r="BB424" s="419"/>
      <c r="BC424" s="419"/>
      <c r="BD424" s="419"/>
      <c r="BE424" s="418"/>
      <c r="BF424" s="154"/>
      <c r="BG424" s="419"/>
      <c r="BH424" s="419"/>
      <c r="BI424" s="419"/>
      <c r="BJ424" s="419"/>
      <c r="BK424" s="418"/>
      <c r="BL424" s="36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561"/>
    </row>
    <row r="425" spans="1:74" s="2" customFormat="1" ht="24.9" customHeight="1">
      <c r="A425" s="147" t="s">
        <v>85</v>
      </c>
      <c r="B425" s="158"/>
      <c r="C425" s="179"/>
      <c r="D425" s="158"/>
      <c r="E425" s="160"/>
      <c r="F425" s="161"/>
      <c r="G425" s="161"/>
      <c r="H425" s="161"/>
      <c r="I425" s="154"/>
      <c r="J425" s="418"/>
      <c r="K425" s="419"/>
      <c r="L425" s="154"/>
      <c r="M425" s="418"/>
      <c r="N425" s="419"/>
      <c r="O425" s="150"/>
      <c r="P425" s="164"/>
      <c r="Q425" s="154"/>
      <c r="R425" s="174"/>
      <c r="S425" s="523"/>
      <c r="T425" s="523"/>
      <c r="U425" s="154"/>
      <c r="V425" s="155"/>
      <c r="W425" s="156"/>
      <c r="X425" s="154"/>
      <c r="Y425" s="155"/>
      <c r="Z425" s="155"/>
      <c r="AA425" s="157"/>
      <c r="AB425" s="217"/>
      <c r="AC425" s="150"/>
      <c r="AD425" s="151"/>
      <c r="AE425" s="152"/>
      <c r="AF425" s="506"/>
      <c r="AG425" s="463"/>
      <c r="AH425" s="150"/>
      <c r="AI425" s="152"/>
      <c r="AJ425" s="150"/>
      <c r="AK425" s="152"/>
      <c r="AL425" s="150"/>
      <c r="AM425" s="152"/>
      <c r="AN425" s="150"/>
      <c r="AO425" s="151"/>
      <c r="AP425" s="151"/>
      <c r="AQ425" s="169"/>
      <c r="AR425" s="169"/>
      <c r="AS425" s="149"/>
      <c r="AT425" s="324"/>
      <c r="AU425" s="324"/>
      <c r="AV425" s="324"/>
      <c r="AW425" s="324"/>
      <c r="AX425" s="324"/>
      <c r="AY425" s="324"/>
      <c r="AZ425" s="154"/>
      <c r="BA425" s="419"/>
      <c r="BB425" s="419"/>
      <c r="BC425" s="419"/>
      <c r="BD425" s="419"/>
      <c r="BE425" s="418"/>
      <c r="BF425" s="154"/>
      <c r="BG425" s="419"/>
      <c r="BH425" s="419"/>
      <c r="BI425" s="419"/>
      <c r="BJ425" s="419"/>
      <c r="BK425" s="418"/>
      <c r="BL425" s="36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431"/>
    </row>
    <row r="426" spans="1:74" s="2" customFormat="1" ht="24.9" customHeight="1">
      <c r="A426" s="147" t="s">
        <v>85</v>
      </c>
      <c r="B426" s="158"/>
      <c r="C426" s="179"/>
      <c r="D426" s="158"/>
      <c r="E426" s="160"/>
      <c r="F426" s="161"/>
      <c r="G426" s="161"/>
      <c r="H426" s="161"/>
      <c r="I426" s="154"/>
      <c r="J426" s="418"/>
      <c r="K426" s="419"/>
      <c r="L426" s="154"/>
      <c r="M426" s="418"/>
      <c r="N426" s="419"/>
      <c r="O426" s="150"/>
      <c r="P426" s="164"/>
      <c r="Q426" s="154"/>
      <c r="R426" s="174"/>
      <c r="S426" s="523"/>
      <c r="T426" s="523"/>
      <c r="U426" s="154"/>
      <c r="V426" s="155"/>
      <c r="W426" s="156"/>
      <c r="X426" s="154"/>
      <c r="Y426" s="155"/>
      <c r="Z426" s="155"/>
      <c r="AA426" s="157"/>
      <c r="AB426" s="217"/>
      <c r="AC426" s="150"/>
      <c r="AD426" s="151"/>
      <c r="AE426" s="152"/>
      <c r="AF426" s="506"/>
      <c r="AG426" s="463"/>
      <c r="AH426" s="150"/>
      <c r="AI426" s="152"/>
      <c r="AJ426" s="150"/>
      <c r="AK426" s="152"/>
      <c r="AL426" s="150"/>
      <c r="AM426" s="152"/>
      <c r="AN426" s="150"/>
      <c r="AO426" s="151"/>
      <c r="AP426" s="151"/>
      <c r="AQ426" s="169"/>
      <c r="AR426" s="169"/>
      <c r="AS426" s="149"/>
      <c r="AT426" s="324"/>
      <c r="AU426" s="324"/>
      <c r="AV426" s="324"/>
      <c r="AW426" s="324"/>
      <c r="AX426" s="324"/>
      <c r="AY426" s="324"/>
      <c r="AZ426" s="154"/>
      <c r="BA426" s="419"/>
      <c r="BB426" s="419"/>
      <c r="BC426" s="419"/>
      <c r="BD426" s="419"/>
      <c r="BE426" s="418"/>
      <c r="BF426" s="154"/>
      <c r="BG426" s="419"/>
      <c r="BH426" s="419"/>
      <c r="BI426" s="419"/>
      <c r="BJ426" s="419"/>
      <c r="BK426" s="418"/>
      <c r="BL426" s="36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561"/>
    </row>
    <row r="427" spans="1:74" s="2" customFormat="1" ht="24.9" customHeight="1">
      <c r="A427" s="147" t="s">
        <v>85</v>
      </c>
      <c r="B427" s="158"/>
      <c r="C427" s="179"/>
      <c r="D427" s="158"/>
      <c r="E427" s="160"/>
      <c r="F427" s="161"/>
      <c r="G427" s="161"/>
      <c r="H427" s="161"/>
      <c r="I427" s="154"/>
      <c r="J427" s="418"/>
      <c r="K427" s="419"/>
      <c r="L427" s="154"/>
      <c r="M427" s="418"/>
      <c r="N427" s="419"/>
      <c r="O427" s="150"/>
      <c r="P427" s="164"/>
      <c r="Q427" s="154"/>
      <c r="R427" s="174"/>
      <c r="S427" s="523"/>
      <c r="T427" s="523"/>
      <c r="U427" s="154"/>
      <c r="V427" s="155"/>
      <c r="W427" s="156"/>
      <c r="X427" s="154"/>
      <c r="Y427" s="155"/>
      <c r="Z427" s="155"/>
      <c r="AA427" s="157"/>
      <c r="AB427" s="217"/>
      <c r="AC427" s="150"/>
      <c r="AD427" s="151"/>
      <c r="AE427" s="152"/>
      <c r="AF427" s="506"/>
      <c r="AG427" s="463"/>
      <c r="AH427" s="150"/>
      <c r="AI427" s="152"/>
      <c r="AJ427" s="150"/>
      <c r="AK427" s="152"/>
      <c r="AL427" s="150"/>
      <c r="AM427" s="152"/>
      <c r="AN427" s="150"/>
      <c r="AO427" s="151"/>
      <c r="AP427" s="151"/>
      <c r="AQ427" s="169"/>
      <c r="AR427" s="169"/>
      <c r="AS427" s="149"/>
      <c r="AT427" s="324"/>
      <c r="AU427" s="324"/>
      <c r="AV427" s="324"/>
      <c r="AW427" s="324"/>
      <c r="AX427" s="324"/>
      <c r="AY427" s="324"/>
      <c r="AZ427" s="154"/>
      <c r="BA427" s="419"/>
      <c r="BB427" s="419"/>
      <c r="BC427" s="419"/>
      <c r="BD427" s="419"/>
      <c r="BE427" s="418"/>
      <c r="BF427" s="154"/>
      <c r="BG427" s="419"/>
      <c r="BH427" s="419"/>
      <c r="BI427" s="419"/>
      <c r="BJ427" s="419"/>
      <c r="BK427" s="418"/>
      <c r="BL427" s="36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431"/>
    </row>
    <row r="428" spans="1:74" s="2" customFormat="1" ht="24.9" customHeight="1">
      <c r="A428" s="147" t="s">
        <v>85</v>
      </c>
      <c r="B428" s="158"/>
      <c r="C428" s="179"/>
      <c r="D428" s="158"/>
      <c r="E428" s="160"/>
      <c r="F428" s="161"/>
      <c r="G428" s="161"/>
      <c r="H428" s="161"/>
      <c r="I428" s="154"/>
      <c r="J428" s="418"/>
      <c r="K428" s="419"/>
      <c r="L428" s="154"/>
      <c r="M428" s="418"/>
      <c r="N428" s="419"/>
      <c r="O428" s="150"/>
      <c r="P428" s="164"/>
      <c r="Q428" s="154"/>
      <c r="R428" s="151"/>
      <c r="S428" s="522"/>
      <c r="T428" s="522"/>
      <c r="U428" s="154"/>
      <c r="V428" s="155"/>
      <c r="W428" s="156"/>
      <c r="X428" s="154"/>
      <c r="Y428" s="155"/>
      <c r="Z428" s="155"/>
      <c r="AA428" s="157"/>
      <c r="AB428" s="217"/>
      <c r="AC428" s="150"/>
      <c r="AD428" s="151"/>
      <c r="AE428" s="152"/>
      <c r="AF428" s="506"/>
      <c r="AG428" s="463"/>
      <c r="AH428" s="150"/>
      <c r="AI428" s="152"/>
      <c r="AJ428" s="150"/>
      <c r="AK428" s="152"/>
      <c r="AL428" s="150"/>
      <c r="AM428" s="152"/>
      <c r="AN428" s="150"/>
      <c r="AO428" s="151"/>
      <c r="AP428" s="151"/>
      <c r="AQ428" s="169"/>
      <c r="AR428" s="169"/>
      <c r="AS428" s="149"/>
      <c r="AT428" s="324"/>
      <c r="AU428" s="324"/>
      <c r="AV428" s="324"/>
      <c r="AW428" s="324"/>
      <c r="AX428" s="324"/>
      <c r="AY428" s="324"/>
      <c r="AZ428" s="154"/>
      <c r="BA428" s="419"/>
      <c r="BB428" s="419"/>
      <c r="BC428" s="419"/>
      <c r="BD428" s="419"/>
      <c r="BE428" s="418"/>
      <c r="BF428" s="154"/>
      <c r="BG428" s="419"/>
      <c r="BH428" s="419"/>
      <c r="BI428" s="419"/>
      <c r="BJ428" s="419"/>
      <c r="BK428" s="418"/>
      <c r="BL428" s="36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432"/>
    </row>
    <row r="429" spans="1:74" s="2" customFormat="1" ht="24.9" customHeight="1">
      <c r="A429" s="147" t="s">
        <v>85</v>
      </c>
      <c r="B429" s="158"/>
      <c r="C429" s="179"/>
      <c r="D429" s="158"/>
      <c r="E429" s="160"/>
      <c r="F429" s="161"/>
      <c r="G429" s="161"/>
      <c r="H429" s="161"/>
      <c r="I429" s="154"/>
      <c r="J429" s="418"/>
      <c r="K429" s="419"/>
      <c r="L429" s="154"/>
      <c r="M429" s="418"/>
      <c r="N429" s="419"/>
      <c r="O429" s="150"/>
      <c r="P429" s="164"/>
      <c r="Q429" s="154"/>
      <c r="R429" s="174"/>
      <c r="S429" s="523"/>
      <c r="T429" s="523"/>
      <c r="U429" s="154"/>
      <c r="V429" s="155"/>
      <c r="W429" s="156"/>
      <c r="X429" s="154"/>
      <c r="Y429" s="155"/>
      <c r="Z429" s="155"/>
      <c r="AA429" s="157"/>
      <c r="AB429" s="217"/>
      <c r="AC429" s="150"/>
      <c r="AD429" s="151"/>
      <c r="AE429" s="152"/>
      <c r="AF429" s="506"/>
      <c r="AG429" s="463"/>
      <c r="AH429" s="150"/>
      <c r="AI429" s="152"/>
      <c r="AJ429" s="150"/>
      <c r="AK429" s="152"/>
      <c r="AL429" s="150"/>
      <c r="AM429" s="152"/>
      <c r="AN429" s="150"/>
      <c r="AO429" s="151"/>
      <c r="AP429" s="151"/>
      <c r="AQ429" s="169"/>
      <c r="AR429" s="169"/>
      <c r="AS429" s="149"/>
      <c r="AT429" s="324"/>
      <c r="AU429" s="324"/>
      <c r="AV429" s="324"/>
      <c r="AW429" s="324"/>
      <c r="AX429" s="324"/>
      <c r="AY429" s="324"/>
      <c r="AZ429" s="154"/>
      <c r="BA429" s="419"/>
      <c r="BB429" s="419"/>
      <c r="BC429" s="419"/>
      <c r="BD429" s="419"/>
      <c r="BE429" s="418"/>
      <c r="BF429" s="154"/>
      <c r="BG429" s="419"/>
      <c r="BH429" s="419"/>
      <c r="BI429" s="419"/>
      <c r="BJ429" s="419"/>
      <c r="BK429" s="418"/>
      <c r="BL429" s="36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432"/>
    </row>
    <row r="430" spans="1:74" s="2" customFormat="1" ht="24.9" customHeight="1">
      <c r="A430" s="147" t="s">
        <v>85</v>
      </c>
      <c r="B430" s="158"/>
      <c r="C430" s="179"/>
      <c r="D430" s="158"/>
      <c r="E430" s="160"/>
      <c r="F430" s="161"/>
      <c r="G430" s="161"/>
      <c r="H430" s="161"/>
      <c r="I430" s="154"/>
      <c r="J430" s="418"/>
      <c r="K430" s="419"/>
      <c r="L430" s="154"/>
      <c r="M430" s="418"/>
      <c r="N430" s="419"/>
      <c r="O430" s="150"/>
      <c r="P430" s="164"/>
      <c r="Q430" s="154"/>
      <c r="R430" s="174"/>
      <c r="S430" s="523"/>
      <c r="T430" s="523"/>
      <c r="U430" s="154"/>
      <c r="V430" s="155"/>
      <c r="W430" s="156"/>
      <c r="X430" s="154"/>
      <c r="Y430" s="155"/>
      <c r="Z430" s="155"/>
      <c r="AA430" s="157"/>
      <c r="AB430" s="217"/>
      <c r="AC430" s="150"/>
      <c r="AD430" s="151"/>
      <c r="AE430" s="152"/>
      <c r="AF430" s="506"/>
      <c r="AG430" s="463"/>
      <c r="AH430" s="150"/>
      <c r="AI430" s="152"/>
      <c r="AJ430" s="150"/>
      <c r="AK430" s="152"/>
      <c r="AL430" s="150"/>
      <c r="AM430" s="152"/>
      <c r="AN430" s="150"/>
      <c r="AO430" s="151"/>
      <c r="AP430" s="151"/>
      <c r="AQ430" s="169"/>
      <c r="AR430" s="169"/>
      <c r="AS430" s="149"/>
      <c r="AT430" s="324"/>
      <c r="AU430" s="324"/>
      <c r="AV430" s="324"/>
      <c r="AW430" s="324"/>
      <c r="AX430" s="324"/>
      <c r="AY430" s="324"/>
      <c r="AZ430" s="154"/>
      <c r="BA430" s="419"/>
      <c r="BB430" s="419"/>
      <c r="BC430" s="419"/>
      <c r="BD430" s="419"/>
      <c r="BE430" s="418"/>
      <c r="BF430" s="154"/>
      <c r="BG430" s="419"/>
      <c r="BH430" s="419"/>
      <c r="BI430" s="419"/>
      <c r="BJ430" s="419"/>
      <c r="BK430" s="418"/>
      <c r="BL430" s="36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432"/>
    </row>
    <row r="431" spans="1:74" s="2" customFormat="1" ht="24.9" customHeight="1">
      <c r="A431" s="147" t="s">
        <v>85</v>
      </c>
      <c r="B431" s="158"/>
      <c r="C431" s="179"/>
      <c r="D431" s="158"/>
      <c r="E431" s="160"/>
      <c r="F431" s="161"/>
      <c r="G431" s="161"/>
      <c r="H431" s="161"/>
      <c r="I431" s="154"/>
      <c r="J431" s="418"/>
      <c r="K431" s="419"/>
      <c r="L431" s="154"/>
      <c r="M431" s="418"/>
      <c r="N431" s="419"/>
      <c r="O431" s="150"/>
      <c r="P431" s="164"/>
      <c r="Q431" s="154"/>
      <c r="R431" s="151"/>
      <c r="S431" s="522"/>
      <c r="T431" s="522"/>
      <c r="U431" s="154"/>
      <c r="V431" s="155"/>
      <c r="W431" s="156"/>
      <c r="X431" s="154"/>
      <c r="Y431" s="155"/>
      <c r="Z431" s="155"/>
      <c r="AA431" s="157"/>
      <c r="AB431" s="217"/>
      <c r="AC431" s="150"/>
      <c r="AD431" s="151"/>
      <c r="AE431" s="152"/>
      <c r="AF431" s="506"/>
      <c r="AG431" s="463"/>
      <c r="AH431" s="150"/>
      <c r="AI431" s="152"/>
      <c r="AJ431" s="150"/>
      <c r="AK431" s="152"/>
      <c r="AL431" s="150"/>
      <c r="AM431" s="152"/>
      <c r="AN431" s="150"/>
      <c r="AO431" s="151"/>
      <c r="AP431" s="151"/>
      <c r="AQ431" s="169"/>
      <c r="AR431" s="169"/>
      <c r="AS431" s="149"/>
      <c r="AT431" s="324"/>
      <c r="AU431" s="324"/>
      <c r="AV431" s="324"/>
      <c r="AW431" s="324"/>
      <c r="AX431" s="324"/>
      <c r="AY431" s="324"/>
      <c r="AZ431" s="154"/>
      <c r="BA431" s="419"/>
      <c r="BB431" s="419"/>
      <c r="BC431" s="419"/>
      <c r="BD431" s="419"/>
      <c r="BE431" s="418"/>
      <c r="BF431" s="154"/>
      <c r="BG431" s="419"/>
      <c r="BH431" s="419"/>
      <c r="BI431" s="419"/>
      <c r="BJ431" s="419"/>
      <c r="BK431" s="418"/>
      <c r="BL431" s="36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561"/>
    </row>
    <row r="432" spans="1:74" s="2" customFormat="1" ht="24.9" customHeight="1">
      <c r="A432" s="147" t="s">
        <v>85</v>
      </c>
      <c r="B432" s="158"/>
      <c r="C432" s="179"/>
      <c r="D432" s="158"/>
      <c r="E432" s="160"/>
      <c r="F432" s="161"/>
      <c r="G432" s="161"/>
      <c r="H432" s="161"/>
      <c r="I432" s="154"/>
      <c r="J432" s="418"/>
      <c r="K432" s="419"/>
      <c r="L432" s="154"/>
      <c r="M432" s="418"/>
      <c r="N432" s="419"/>
      <c r="O432" s="150"/>
      <c r="P432" s="164"/>
      <c r="Q432" s="154"/>
      <c r="R432" s="174"/>
      <c r="S432" s="523"/>
      <c r="T432" s="523"/>
      <c r="U432" s="154"/>
      <c r="V432" s="155"/>
      <c r="W432" s="156"/>
      <c r="X432" s="154"/>
      <c r="Y432" s="155"/>
      <c r="Z432" s="155"/>
      <c r="AA432" s="157"/>
      <c r="AB432" s="217"/>
      <c r="AC432" s="150"/>
      <c r="AD432" s="151"/>
      <c r="AE432" s="152"/>
      <c r="AF432" s="506"/>
      <c r="AG432" s="463"/>
      <c r="AH432" s="150"/>
      <c r="AI432" s="152"/>
      <c r="AJ432" s="150"/>
      <c r="AK432" s="152"/>
      <c r="AL432" s="150"/>
      <c r="AM432" s="152"/>
      <c r="AN432" s="150"/>
      <c r="AO432" s="151"/>
      <c r="AP432" s="151"/>
      <c r="AQ432" s="169"/>
      <c r="AR432" s="169"/>
      <c r="AS432" s="149"/>
      <c r="AT432" s="324"/>
      <c r="AU432" s="324"/>
      <c r="AV432" s="324"/>
      <c r="AW432" s="324"/>
      <c r="AX432" s="324"/>
      <c r="AY432" s="324"/>
      <c r="AZ432" s="154"/>
      <c r="BA432" s="419"/>
      <c r="BB432" s="419"/>
      <c r="BC432" s="419"/>
      <c r="BD432" s="419"/>
      <c r="BE432" s="418"/>
      <c r="BF432" s="154"/>
      <c r="BG432" s="419"/>
      <c r="BH432" s="419"/>
      <c r="BI432" s="419"/>
      <c r="BJ432" s="419"/>
      <c r="BK432" s="418"/>
      <c r="BL432" s="36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431"/>
    </row>
    <row r="433" spans="1:74" s="2" customFormat="1" ht="24.9" customHeight="1">
      <c r="A433" s="147" t="s">
        <v>85</v>
      </c>
      <c r="B433" s="158"/>
      <c r="C433" s="179"/>
      <c r="D433" s="158"/>
      <c r="E433" s="160"/>
      <c r="F433" s="161"/>
      <c r="G433" s="161"/>
      <c r="H433" s="161"/>
      <c r="I433" s="154"/>
      <c r="J433" s="418"/>
      <c r="K433" s="419"/>
      <c r="L433" s="154"/>
      <c r="M433" s="418"/>
      <c r="N433" s="419"/>
      <c r="O433" s="150"/>
      <c r="P433" s="164"/>
      <c r="Q433" s="154"/>
      <c r="R433" s="174"/>
      <c r="S433" s="523"/>
      <c r="T433" s="523"/>
      <c r="U433" s="154"/>
      <c r="V433" s="155"/>
      <c r="W433" s="156"/>
      <c r="X433" s="154"/>
      <c r="Y433" s="155"/>
      <c r="Z433" s="155"/>
      <c r="AA433" s="157"/>
      <c r="AB433" s="217"/>
      <c r="AC433" s="150"/>
      <c r="AD433" s="151"/>
      <c r="AE433" s="152"/>
      <c r="AF433" s="506"/>
      <c r="AG433" s="463"/>
      <c r="AH433" s="150"/>
      <c r="AI433" s="152"/>
      <c r="AJ433" s="150"/>
      <c r="AK433" s="152"/>
      <c r="AL433" s="150"/>
      <c r="AM433" s="152"/>
      <c r="AN433" s="150"/>
      <c r="AO433" s="151"/>
      <c r="AP433" s="151"/>
      <c r="AQ433" s="169"/>
      <c r="AR433" s="169"/>
      <c r="AS433" s="149"/>
      <c r="AT433" s="324"/>
      <c r="AU433" s="324"/>
      <c r="AV433" s="324"/>
      <c r="AW433" s="324"/>
      <c r="AX433" s="324"/>
      <c r="AY433" s="324"/>
      <c r="AZ433" s="154"/>
      <c r="BA433" s="419"/>
      <c r="BB433" s="419"/>
      <c r="BC433" s="419"/>
      <c r="BD433" s="419"/>
      <c r="BE433" s="418"/>
      <c r="BF433" s="154"/>
      <c r="BG433" s="419"/>
      <c r="BH433" s="419"/>
      <c r="BI433" s="419"/>
      <c r="BJ433" s="419"/>
      <c r="BK433" s="418"/>
      <c r="BL433" s="36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561"/>
    </row>
    <row r="434" spans="1:74" s="2" customFormat="1" ht="24.9" customHeight="1">
      <c r="A434" s="147" t="s">
        <v>85</v>
      </c>
      <c r="B434" s="158"/>
      <c r="C434" s="179"/>
      <c r="D434" s="158"/>
      <c r="E434" s="160"/>
      <c r="F434" s="161"/>
      <c r="G434" s="161"/>
      <c r="H434" s="161"/>
      <c r="I434" s="154"/>
      <c r="J434" s="418"/>
      <c r="K434" s="419"/>
      <c r="L434" s="154"/>
      <c r="M434" s="418"/>
      <c r="N434" s="419"/>
      <c r="O434" s="150"/>
      <c r="P434" s="164"/>
      <c r="Q434" s="154"/>
      <c r="R434" s="174"/>
      <c r="S434" s="523"/>
      <c r="T434" s="523"/>
      <c r="U434" s="154"/>
      <c r="V434" s="155"/>
      <c r="W434" s="156"/>
      <c r="X434" s="154"/>
      <c r="Y434" s="155"/>
      <c r="Z434" s="155"/>
      <c r="AA434" s="157"/>
      <c r="AB434" s="217"/>
      <c r="AC434" s="150"/>
      <c r="AD434" s="151"/>
      <c r="AE434" s="152"/>
      <c r="AF434" s="506"/>
      <c r="AG434" s="463"/>
      <c r="AH434" s="150"/>
      <c r="AI434" s="152"/>
      <c r="AJ434" s="150"/>
      <c r="AK434" s="152"/>
      <c r="AL434" s="150"/>
      <c r="AM434" s="152"/>
      <c r="AN434" s="150"/>
      <c r="AO434" s="151"/>
      <c r="AP434" s="151"/>
      <c r="AQ434" s="169"/>
      <c r="AR434" s="169"/>
      <c r="AS434" s="149"/>
      <c r="AT434" s="324"/>
      <c r="AU434" s="324"/>
      <c r="AV434" s="324"/>
      <c r="AW434" s="324"/>
      <c r="AX434" s="324"/>
      <c r="AY434" s="324"/>
      <c r="AZ434" s="154"/>
      <c r="BA434" s="419"/>
      <c r="BB434" s="419"/>
      <c r="BC434" s="419"/>
      <c r="BD434" s="419"/>
      <c r="BE434" s="418"/>
      <c r="BF434" s="154"/>
      <c r="BG434" s="419"/>
      <c r="BH434" s="419"/>
      <c r="BI434" s="419"/>
      <c r="BJ434" s="419"/>
      <c r="BK434" s="418"/>
      <c r="BL434" s="36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431"/>
    </row>
    <row r="435" spans="1:74" s="2" customFormat="1" ht="24.9" customHeight="1">
      <c r="A435" s="147" t="s">
        <v>85</v>
      </c>
      <c r="B435" s="158"/>
      <c r="C435" s="179"/>
      <c r="D435" s="158"/>
      <c r="E435" s="160"/>
      <c r="F435" s="161"/>
      <c r="G435" s="161"/>
      <c r="H435" s="161"/>
      <c r="I435" s="154"/>
      <c r="J435" s="418"/>
      <c r="K435" s="419"/>
      <c r="L435" s="154"/>
      <c r="M435" s="418"/>
      <c r="N435" s="419"/>
      <c r="O435" s="150"/>
      <c r="P435" s="164"/>
      <c r="Q435" s="154"/>
      <c r="R435" s="174"/>
      <c r="S435" s="523"/>
      <c r="T435" s="523"/>
      <c r="U435" s="154"/>
      <c r="V435" s="155"/>
      <c r="W435" s="156"/>
      <c r="X435" s="154"/>
      <c r="Y435" s="155"/>
      <c r="Z435" s="155"/>
      <c r="AA435" s="157"/>
      <c r="AB435" s="217"/>
      <c r="AC435" s="150"/>
      <c r="AD435" s="151"/>
      <c r="AE435" s="152"/>
      <c r="AF435" s="506"/>
      <c r="AG435" s="463"/>
      <c r="AH435" s="150"/>
      <c r="AI435" s="152"/>
      <c r="AJ435" s="150"/>
      <c r="AK435" s="152"/>
      <c r="AL435" s="150"/>
      <c r="AM435" s="152"/>
      <c r="AN435" s="150"/>
      <c r="AO435" s="151"/>
      <c r="AP435" s="151"/>
      <c r="AQ435" s="169"/>
      <c r="AR435" s="169"/>
      <c r="AS435" s="149"/>
      <c r="AT435" s="324"/>
      <c r="AU435" s="324"/>
      <c r="AV435" s="324"/>
      <c r="AW435" s="324"/>
      <c r="AX435" s="324"/>
      <c r="AY435" s="324"/>
      <c r="AZ435" s="154"/>
      <c r="BA435" s="419"/>
      <c r="BB435" s="419"/>
      <c r="BC435" s="419"/>
      <c r="BD435" s="419"/>
      <c r="BE435" s="418"/>
      <c r="BF435" s="154"/>
      <c r="BG435" s="419"/>
      <c r="BH435" s="419"/>
      <c r="BI435" s="419"/>
      <c r="BJ435" s="419"/>
      <c r="BK435" s="418"/>
      <c r="BL435" s="36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561"/>
    </row>
    <row r="436" spans="1:74" s="2" customFormat="1" ht="24.9" customHeight="1">
      <c r="A436" s="147" t="s">
        <v>85</v>
      </c>
      <c r="B436" s="158"/>
      <c r="C436" s="179"/>
      <c r="D436" s="158"/>
      <c r="E436" s="160"/>
      <c r="F436" s="161"/>
      <c r="G436" s="161"/>
      <c r="H436" s="161"/>
      <c r="I436" s="154"/>
      <c r="J436" s="418"/>
      <c r="K436" s="419"/>
      <c r="L436" s="154"/>
      <c r="M436" s="418"/>
      <c r="N436" s="419"/>
      <c r="O436" s="150"/>
      <c r="P436" s="164"/>
      <c r="Q436" s="154"/>
      <c r="R436" s="174"/>
      <c r="S436" s="523"/>
      <c r="T436" s="523"/>
      <c r="U436" s="154"/>
      <c r="V436" s="155"/>
      <c r="W436" s="156"/>
      <c r="X436" s="154"/>
      <c r="Y436" s="155"/>
      <c r="Z436" s="155"/>
      <c r="AA436" s="157"/>
      <c r="AB436" s="217"/>
      <c r="AC436" s="150"/>
      <c r="AD436" s="151"/>
      <c r="AE436" s="152"/>
      <c r="AF436" s="506"/>
      <c r="AG436" s="463"/>
      <c r="AH436" s="150"/>
      <c r="AI436" s="152"/>
      <c r="AJ436" s="150"/>
      <c r="AK436" s="152"/>
      <c r="AL436" s="150"/>
      <c r="AM436" s="152"/>
      <c r="AN436" s="150"/>
      <c r="AO436" s="151"/>
      <c r="AP436" s="151"/>
      <c r="AQ436" s="169"/>
      <c r="AR436" s="169"/>
      <c r="AS436" s="149"/>
      <c r="AT436" s="324"/>
      <c r="AU436" s="324"/>
      <c r="AV436" s="324"/>
      <c r="AW436" s="324"/>
      <c r="AX436" s="324"/>
      <c r="AY436" s="324"/>
      <c r="AZ436" s="154"/>
      <c r="BA436" s="419"/>
      <c r="BB436" s="419"/>
      <c r="BC436" s="419"/>
      <c r="BD436" s="419"/>
      <c r="BE436" s="418"/>
      <c r="BF436" s="154"/>
      <c r="BG436" s="419"/>
      <c r="BH436" s="419"/>
      <c r="BI436" s="419"/>
      <c r="BJ436" s="419"/>
      <c r="BK436" s="418"/>
      <c r="BL436" s="36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431"/>
    </row>
    <row r="437" spans="1:74" s="2" customFormat="1" ht="24.9" customHeight="1">
      <c r="A437" s="147" t="s">
        <v>85</v>
      </c>
      <c r="B437" s="158"/>
      <c r="C437" s="179"/>
      <c r="D437" s="158"/>
      <c r="E437" s="160"/>
      <c r="F437" s="161"/>
      <c r="G437" s="161"/>
      <c r="H437" s="161"/>
      <c r="I437" s="154"/>
      <c r="J437" s="418"/>
      <c r="K437" s="419"/>
      <c r="L437" s="154"/>
      <c r="M437" s="418"/>
      <c r="N437" s="419"/>
      <c r="O437" s="150"/>
      <c r="P437" s="164"/>
      <c r="Q437" s="154"/>
      <c r="R437" s="151"/>
      <c r="S437" s="522"/>
      <c r="T437" s="522"/>
      <c r="U437" s="154"/>
      <c r="V437" s="155"/>
      <c r="W437" s="156"/>
      <c r="X437" s="154"/>
      <c r="Y437" s="155"/>
      <c r="Z437" s="155"/>
      <c r="AA437" s="157"/>
      <c r="AB437" s="217"/>
      <c r="AC437" s="150"/>
      <c r="AD437" s="151"/>
      <c r="AE437" s="152"/>
      <c r="AF437" s="506"/>
      <c r="AG437" s="463"/>
      <c r="AH437" s="150"/>
      <c r="AI437" s="152"/>
      <c r="AJ437" s="150"/>
      <c r="AK437" s="152"/>
      <c r="AL437" s="150"/>
      <c r="AM437" s="152"/>
      <c r="AN437" s="150"/>
      <c r="AO437" s="151"/>
      <c r="AP437" s="151"/>
      <c r="AQ437" s="169"/>
      <c r="AR437" s="169"/>
      <c r="AS437" s="149"/>
      <c r="AT437" s="324"/>
      <c r="AU437" s="324"/>
      <c r="AV437" s="324"/>
      <c r="AW437" s="324"/>
      <c r="AX437" s="324"/>
      <c r="AY437" s="324"/>
      <c r="AZ437" s="154"/>
      <c r="BA437" s="419"/>
      <c r="BB437" s="419"/>
      <c r="BC437" s="419"/>
      <c r="BD437" s="419"/>
      <c r="BE437" s="418"/>
      <c r="BF437" s="154"/>
      <c r="BG437" s="419"/>
      <c r="BH437" s="419"/>
      <c r="BI437" s="419"/>
      <c r="BJ437" s="419"/>
      <c r="BK437" s="418"/>
      <c r="BL437" s="36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432"/>
    </row>
    <row r="438" spans="1:74" s="2" customFormat="1" ht="24.9" customHeight="1">
      <c r="A438" s="147" t="s">
        <v>85</v>
      </c>
      <c r="B438" s="158"/>
      <c r="C438" s="179"/>
      <c r="D438" s="158"/>
      <c r="E438" s="160"/>
      <c r="F438" s="161"/>
      <c r="G438" s="161"/>
      <c r="H438" s="161"/>
      <c r="I438" s="154"/>
      <c r="J438" s="418"/>
      <c r="K438" s="419"/>
      <c r="L438" s="154"/>
      <c r="M438" s="418"/>
      <c r="N438" s="419"/>
      <c r="O438" s="150"/>
      <c r="P438" s="164"/>
      <c r="Q438" s="154"/>
      <c r="R438" s="174"/>
      <c r="S438" s="523"/>
      <c r="T438" s="523"/>
      <c r="U438" s="154"/>
      <c r="V438" s="155"/>
      <c r="W438" s="156"/>
      <c r="X438" s="154"/>
      <c r="Y438" s="155"/>
      <c r="Z438" s="155"/>
      <c r="AA438" s="157"/>
      <c r="AB438" s="217"/>
      <c r="AC438" s="150"/>
      <c r="AD438" s="151"/>
      <c r="AE438" s="152"/>
      <c r="AF438" s="506"/>
      <c r="AG438" s="463"/>
      <c r="AH438" s="150"/>
      <c r="AI438" s="152"/>
      <c r="AJ438" s="150"/>
      <c r="AK438" s="152"/>
      <c r="AL438" s="150"/>
      <c r="AM438" s="152"/>
      <c r="AN438" s="150"/>
      <c r="AO438" s="151"/>
      <c r="AP438" s="151"/>
      <c r="AQ438" s="169"/>
      <c r="AR438" s="169"/>
      <c r="AS438" s="149"/>
      <c r="AT438" s="324"/>
      <c r="AU438" s="324"/>
      <c r="AV438" s="324"/>
      <c r="AW438" s="324"/>
      <c r="AX438" s="324"/>
      <c r="AY438" s="324"/>
      <c r="AZ438" s="154"/>
      <c r="BA438" s="419"/>
      <c r="BB438" s="419"/>
      <c r="BC438" s="419"/>
      <c r="BD438" s="419"/>
      <c r="BE438" s="418"/>
      <c r="BF438" s="154"/>
      <c r="BG438" s="419"/>
      <c r="BH438" s="419"/>
      <c r="BI438" s="419"/>
      <c r="BJ438" s="419"/>
      <c r="BK438" s="418"/>
      <c r="BL438" s="36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561"/>
    </row>
    <row r="439" spans="1:74" s="2" customFormat="1" ht="24.9" customHeight="1">
      <c r="A439" s="147" t="s">
        <v>85</v>
      </c>
      <c r="B439" s="158"/>
      <c r="C439" s="179"/>
      <c r="D439" s="158"/>
      <c r="E439" s="160"/>
      <c r="F439" s="161"/>
      <c r="G439" s="161"/>
      <c r="H439" s="161"/>
      <c r="I439" s="154"/>
      <c r="J439" s="418"/>
      <c r="K439" s="419"/>
      <c r="L439" s="154"/>
      <c r="M439" s="418"/>
      <c r="N439" s="419"/>
      <c r="O439" s="150"/>
      <c r="P439" s="164"/>
      <c r="Q439" s="154"/>
      <c r="R439" s="174"/>
      <c r="S439" s="523"/>
      <c r="T439" s="523"/>
      <c r="U439" s="154"/>
      <c r="V439" s="155"/>
      <c r="W439" s="156"/>
      <c r="X439" s="154"/>
      <c r="Y439" s="155"/>
      <c r="Z439" s="155"/>
      <c r="AA439" s="157"/>
      <c r="AB439" s="217"/>
      <c r="AC439" s="150"/>
      <c r="AD439" s="151"/>
      <c r="AE439" s="152"/>
      <c r="AF439" s="506"/>
      <c r="AG439" s="463"/>
      <c r="AH439" s="150"/>
      <c r="AI439" s="152"/>
      <c r="AJ439" s="150"/>
      <c r="AK439" s="152"/>
      <c r="AL439" s="150"/>
      <c r="AM439" s="152"/>
      <c r="AN439" s="150"/>
      <c r="AO439" s="151"/>
      <c r="AP439" s="151"/>
      <c r="AQ439" s="169"/>
      <c r="AR439" s="169"/>
      <c r="AS439" s="149"/>
      <c r="AT439" s="324"/>
      <c r="AU439" s="324"/>
      <c r="AV439" s="324"/>
      <c r="AW439" s="324"/>
      <c r="AX439" s="324"/>
      <c r="AY439" s="324"/>
      <c r="AZ439" s="154"/>
      <c r="BA439" s="419"/>
      <c r="BB439" s="419"/>
      <c r="BC439" s="419"/>
      <c r="BD439" s="419"/>
      <c r="BE439" s="418"/>
      <c r="BF439" s="154"/>
      <c r="BG439" s="419"/>
      <c r="BH439" s="419"/>
      <c r="BI439" s="419"/>
      <c r="BJ439" s="419"/>
      <c r="BK439" s="418"/>
      <c r="BL439" s="36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431"/>
    </row>
    <row r="440" spans="1:74" s="2" customFormat="1" ht="24.9" customHeight="1">
      <c r="A440" s="147" t="s">
        <v>85</v>
      </c>
      <c r="B440" s="158"/>
      <c r="C440" s="179"/>
      <c r="D440" s="158"/>
      <c r="E440" s="160"/>
      <c r="F440" s="161"/>
      <c r="G440" s="161"/>
      <c r="H440" s="161"/>
      <c r="I440" s="154"/>
      <c r="J440" s="418"/>
      <c r="K440" s="419"/>
      <c r="L440" s="154"/>
      <c r="M440" s="418"/>
      <c r="N440" s="419"/>
      <c r="O440" s="150"/>
      <c r="P440" s="164"/>
      <c r="Q440" s="154"/>
      <c r="R440" s="174"/>
      <c r="S440" s="523"/>
      <c r="T440" s="523"/>
      <c r="U440" s="154"/>
      <c r="V440" s="155"/>
      <c r="W440" s="156"/>
      <c r="X440" s="154"/>
      <c r="Y440" s="155"/>
      <c r="Z440" s="155"/>
      <c r="AA440" s="157"/>
      <c r="AB440" s="217"/>
      <c r="AC440" s="150"/>
      <c r="AD440" s="151"/>
      <c r="AE440" s="152"/>
      <c r="AF440" s="506"/>
      <c r="AG440" s="463"/>
      <c r="AH440" s="150"/>
      <c r="AI440" s="152"/>
      <c r="AJ440" s="150"/>
      <c r="AK440" s="152"/>
      <c r="AL440" s="150"/>
      <c r="AM440" s="152"/>
      <c r="AN440" s="150"/>
      <c r="AO440" s="151"/>
      <c r="AP440" s="151"/>
      <c r="AQ440" s="169"/>
      <c r="AR440" s="169"/>
      <c r="AS440" s="149"/>
      <c r="AT440" s="324"/>
      <c r="AU440" s="324"/>
      <c r="AV440" s="324"/>
      <c r="AW440" s="324"/>
      <c r="AX440" s="324"/>
      <c r="AY440" s="324"/>
      <c r="AZ440" s="154"/>
      <c r="BA440" s="419"/>
      <c r="BB440" s="419"/>
      <c r="BC440" s="419"/>
      <c r="BD440" s="419"/>
      <c r="BE440" s="418"/>
      <c r="BF440" s="154"/>
      <c r="BG440" s="419"/>
      <c r="BH440" s="419"/>
      <c r="BI440" s="419"/>
      <c r="BJ440" s="419"/>
      <c r="BK440" s="418"/>
      <c r="BL440" s="36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432"/>
    </row>
    <row r="441" spans="1:74" s="2" customFormat="1" ht="24.9" customHeight="1">
      <c r="A441" s="147" t="s">
        <v>85</v>
      </c>
      <c r="B441" s="158"/>
      <c r="C441" s="179"/>
      <c r="D441" s="158"/>
      <c r="E441" s="160"/>
      <c r="F441" s="161"/>
      <c r="G441" s="161"/>
      <c r="H441" s="161"/>
      <c r="I441" s="154"/>
      <c r="J441" s="418"/>
      <c r="K441" s="419"/>
      <c r="L441" s="154"/>
      <c r="M441" s="418"/>
      <c r="N441" s="419"/>
      <c r="O441" s="150"/>
      <c r="P441" s="164"/>
      <c r="Q441" s="154"/>
      <c r="R441" s="151"/>
      <c r="S441" s="522"/>
      <c r="T441" s="522"/>
      <c r="U441" s="154"/>
      <c r="V441" s="155"/>
      <c r="W441" s="156"/>
      <c r="X441" s="154"/>
      <c r="Y441" s="155"/>
      <c r="Z441" s="155"/>
      <c r="AA441" s="157"/>
      <c r="AB441" s="217"/>
      <c r="AC441" s="150"/>
      <c r="AD441" s="151"/>
      <c r="AE441" s="152"/>
      <c r="AF441" s="506"/>
      <c r="AG441" s="463"/>
      <c r="AH441" s="150"/>
      <c r="AI441" s="152"/>
      <c r="AJ441" s="150"/>
      <c r="AK441" s="152"/>
      <c r="AL441" s="150"/>
      <c r="AM441" s="152"/>
      <c r="AN441" s="150"/>
      <c r="AO441" s="151"/>
      <c r="AP441" s="151"/>
      <c r="AQ441" s="169"/>
      <c r="AR441" s="169"/>
      <c r="AS441" s="149"/>
      <c r="AT441" s="324"/>
      <c r="AU441" s="324"/>
      <c r="AV441" s="324"/>
      <c r="AW441" s="324"/>
      <c r="AX441" s="324"/>
      <c r="AY441" s="324"/>
      <c r="AZ441" s="154"/>
      <c r="BA441" s="419"/>
      <c r="BB441" s="419"/>
      <c r="BC441" s="419"/>
      <c r="BD441" s="419"/>
      <c r="BE441" s="418"/>
      <c r="BF441" s="154"/>
      <c r="BG441" s="419"/>
      <c r="BH441" s="419"/>
      <c r="BI441" s="419"/>
      <c r="BJ441" s="419"/>
      <c r="BK441" s="418"/>
      <c r="BL441" s="36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561"/>
    </row>
    <row r="442" spans="1:74" s="2" customFormat="1" ht="24.9" customHeight="1">
      <c r="A442" s="147" t="s">
        <v>85</v>
      </c>
      <c r="B442" s="158"/>
      <c r="C442" s="179"/>
      <c r="D442" s="158"/>
      <c r="E442" s="160"/>
      <c r="F442" s="161"/>
      <c r="G442" s="161"/>
      <c r="H442" s="161"/>
      <c r="I442" s="154"/>
      <c r="J442" s="418"/>
      <c r="K442" s="419"/>
      <c r="L442" s="154"/>
      <c r="M442" s="418"/>
      <c r="N442" s="419"/>
      <c r="O442" s="150"/>
      <c r="P442" s="164"/>
      <c r="Q442" s="154"/>
      <c r="R442" s="174"/>
      <c r="S442" s="523"/>
      <c r="T442" s="523"/>
      <c r="U442" s="154"/>
      <c r="V442" s="155"/>
      <c r="W442" s="156"/>
      <c r="X442" s="154"/>
      <c r="Y442" s="155"/>
      <c r="Z442" s="155"/>
      <c r="AA442" s="157"/>
      <c r="AB442" s="217"/>
      <c r="AC442" s="150"/>
      <c r="AD442" s="151"/>
      <c r="AE442" s="152"/>
      <c r="AF442" s="506"/>
      <c r="AG442" s="463"/>
      <c r="AH442" s="150"/>
      <c r="AI442" s="152"/>
      <c r="AJ442" s="150"/>
      <c r="AK442" s="152"/>
      <c r="AL442" s="150"/>
      <c r="AM442" s="152"/>
      <c r="AN442" s="150"/>
      <c r="AO442" s="151"/>
      <c r="AP442" s="151"/>
      <c r="AQ442" s="169"/>
      <c r="AR442" s="169"/>
      <c r="AS442" s="149"/>
      <c r="AT442" s="324"/>
      <c r="AU442" s="324"/>
      <c r="AV442" s="324"/>
      <c r="AW442" s="324"/>
      <c r="AX442" s="324"/>
      <c r="AY442" s="324"/>
      <c r="AZ442" s="154"/>
      <c r="BA442" s="419"/>
      <c r="BB442" s="419"/>
      <c r="BC442" s="419"/>
      <c r="BD442" s="419"/>
      <c r="BE442" s="418"/>
      <c r="BF442" s="154"/>
      <c r="BG442" s="419"/>
      <c r="BH442" s="419"/>
      <c r="BI442" s="419"/>
      <c r="BJ442" s="419"/>
      <c r="BK442" s="418"/>
      <c r="BL442" s="36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431"/>
    </row>
    <row r="443" spans="1:74" s="2" customFormat="1" ht="24.9" customHeight="1">
      <c r="A443" s="147" t="s">
        <v>85</v>
      </c>
      <c r="B443" s="158"/>
      <c r="C443" s="179"/>
      <c r="D443" s="158"/>
      <c r="E443" s="160"/>
      <c r="F443" s="161"/>
      <c r="G443" s="161"/>
      <c r="H443" s="161"/>
      <c r="I443" s="154"/>
      <c r="J443" s="418"/>
      <c r="K443" s="419"/>
      <c r="L443" s="154"/>
      <c r="M443" s="418"/>
      <c r="N443" s="419"/>
      <c r="O443" s="150"/>
      <c r="P443" s="164"/>
      <c r="Q443" s="154"/>
      <c r="R443" s="174"/>
      <c r="S443" s="523"/>
      <c r="T443" s="523"/>
      <c r="U443" s="154"/>
      <c r="V443" s="155"/>
      <c r="W443" s="156"/>
      <c r="X443" s="154"/>
      <c r="Y443" s="155"/>
      <c r="Z443" s="155"/>
      <c r="AA443" s="157"/>
      <c r="AB443" s="217"/>
      <c r="AC443" s="150"/>
      <c r="AD443" s="151"/>
      <c r="AE443" s="152"/>
      <c r="AF443" s="506"/>
      <c r="AG443" s="463"/>
      <c r="AH443" s="150"/>
      <c r="AI443" s="152"/>
      <c r="AJ443" s="150"/>
      <c r="AK443" s="152"/>
      <c r="AL443" s="150"/>
      <c r="AM443" s="152"/>
      <c r="AN443" s="150"/>
      <c r="AO443" s="151"/>
      <c r="AP443" s="151"/>
      <c r="AQ443" s="169"/>
      <c r="AR443" s="169"/>
      <c r="AS443" s="149"/>
      <c r="AT443" s="324"/>
      <c r="AU443" s="324"/>
      <c r="AV443" s="324"/>
      <c r="AW443" s="324"/>
      <c r="AX443" s="324"/>
      <c r="AY443" s="324"/>
      <c r="AZ443" s="154"/>
      <c r="BA443" s="419"/>
      <c r="BB443" s="419"/>
      <c r="BC443" s="419"/>
      <c r="BD443" s="419"/>
      <c r="BE443" s="418"/>
      <c r="BF443" s="154"/>
      <c r="BG443" s="419"/>
      <c r="BH443" s="419"/>
      <c r="BI443" s="419"/>
      <c r="BJ443" s="419"/>
      <c r="BK443" s="418"/>
      <c r="BL443" s="36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561"/>
    </row>
    <row r="444" spans="1:74" s="2" customFormat="1" ht="24.9" customHeight="1">
      <c r="A444" s="147" t="s">
        <v>85</v>
      </c>
      <c r="B444" s="158"/>
      <c r="C444" s="179"/>
      <c r="D444" s="158"/>
      <c r="E444" s="160"/>
      <c r="F444" s="161"/>
      <c r="G444" s="161"/>
      <c r="H444" s="161"/>
      <c r="I444" s="154"/>
      <c r="J444" s="418"/>
      <c r="K444" s="419"/>
      <c r="L444" s="154"/>
      <c r="M444" s="418"/>
      <c r="N444" s="419"/>
      <c r="O444" s="150"/>
      <c r="P444" s="164"/>
      <c r="Q444" s="154"/>
      <c r="R444" s="174"/>
      <c r="S444" s="523"/>
      <c r="T444" s="523"/>
      <c r="U444" s="154"/>
      <c r="V444" s="155"/>
      <c r="W444" s="156"/>
      <c r="X444" s="154"/>
      <c r="Y444" s="155"/>
      <c r="Z444" s="155"/>
      <c r="AA444" s="157"/>
      <c r="AB444" s="217"/>
      <c r="AC444" s="150"/>
      <c r="AD444" s="151"/>
      <c r="AE444" s="152"/>
      <c r="AF444" s="506"/>
      <c r="AG444" s="463"/>
      <c r="AH444" s="150"/>
      <c r="AI444" s="152"/>
      <c r="AJ444" s="150"/>
      <c r="AK444" s="152"/>
      <c r="AL444" s="150"/>
      <c r="AM444" s="152"/>
      <c r="AN444" s="150"/>
      <c r="AO444" s="151"/>
      <c r="AP444" s="151"/>
      <c r="AQ444" s="169"/>
      <c r="AR444" s="169"/>
      <c r="AS444" s="149"/>
      <c r="AT444" s="324"/>
      <c r="AU444" s="324"/>
      <c r="AV444" s="324"/>
      <c r="AW444" s="324"/>
      <c r="AX444" s="324"/>
      <c r="AY444" s="324"/>
      <c r="AZ444" s="154"/>
      <c r="BA444" s="419"/>
      <c r="BB444" s="419"/>
      <c r="BC444" s="419"/>
      <c r="BD444" s="419"/>
      <c r="BE444" s="418"/>
      <c r="BF444" s="154"/>
      <c r="BG444" s="419"/>
      <c r="BH444" s="419"/>
      <c r="BI444" s="419"/>
      <c r="BJ444" s="419"/>
      <c r="BK444" s="418"/>
      <c r="BL444" s="36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431"/>
    </row>
    <row r="445" spans="1:74" s="2" customFormat="1" ht="24.9" customHeight="1">
      <c r="A445" s="147" t="s">
        <v>85</v>
      </c>
      <c r="B445" s="158"/>
      <c r="C445" s="179"/>
      <c r="D445" s="158"/>
      <c r="E445" s="160"/>
      <c r="F445" s="161"/>
      <c r="G445" s="161"/>
      <c r="H445" s="161"/>
      <c r="I445" s="154"/>
      <c r="J445" s="418"/>
      <c r="K445" s="419"/>
      <c r="L445" s="154"/>
      <c r="M445" s="418"/>
      <c r="N445" s="419"/>
      <c r="O445" s="150"/>
      <c r="P445" s="164"/>
      <c r="Q445" s="154"/>
      <c r="R445" s="151"/>
      <c r="S445" s="522"/>
      <c r="T445" s="522"/>
      <c r="U445" s="154"/>
      <c r="V445" s="155"/>
      <c r="W445" s="156"/>
      <c r="X445" s="154"/>
      <c r="Y445" s="155"/>
      <c r="Z445" s="155"/>
      <c r="AA445" s="157"/>
      <c r="AB445" s="217"/>
      <c r="AC445" s="150"/>
      <c r="AD445" s="151"/>
      <c r="AE445" s="152"/>
      <c r="AF445" s="506"/>
      <c r="AG445" s="463"/>
      <c r="AH445" s="150"/>
      <c r="AI445" s="152"/>
      <c r="AJ445" s="150"/>
      <c r="AK445" s="152"/>
      <c r="AL445" s="150"/>
      <c r="AM445" s="152"/>
      <c r="AN445" s="150"/>
      <c r="AO445" s="151"/>
      <c r="AP445" s="151"/>
      <c r="AQ445" s="169"/>
      <c r="AR445" s="169"/>
      <c r="AS445" s="149"/>
      <c r="AT445" s="324"/>
      <c r="AU445" s="324"/>
      <c r="AV445" s="324"/>
      <c r="AW445" s="324"/>
      <c r="AX445" s="324"/>
      <c r="AY445" s="324"/>
      <c r="AZ445" s="154"/>
      <c r="BA445" s="419"/>
      <c r="BB445" s="419"/>
      <c r="BC445" s="419"/>
      <c r="BD445" s="419"/>
      <c r="BE445" s="418"/>
      <c r="BF445" s="154"/>
      <c r="BG445" s="419"/>
      <c r="BH445" s="419"/>
      <c r="BI445" s="419"/>
      <c r="BJ445" s="419"/>
      <c r="BK445" s="418"/>
      <c r="BL445" s="36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432"/>
    </row>
    <row r="446" spans="1:74" s="2" customFormat="1" ht="24.9" customHeight="1">
      <c r="A446" s="147" t="s">
        <v>85</v>
      </c>
      <c r="B446" s="158"/>
      <c r="C446" s="179"/>
      <c r="D446" s="158"/>
      <c r="E446" s="160"/>
      <c r="F446" s="161"/>
      <c r="G446" s="161"/>
      <c r="H446" s="161"/>
      <c r="I446" s="154"/>
      <c r="J446" s="418"/>
      <c r="K446" s="419"/>
      <c r="L446" s="154"/>
      <c r="M446" s="418"/>
      <c r="N446" s="419"/>
      <c r="O446" s="150"/>
      <c r="P446" s="164"/>
      <c r="Q446" s="154"/>
      <c r="R446" s="174"/>
      <c r="S446" s="523"/>
      <c r="T446" s="523"/>
      <c r="U446" s="154"/>
      <c r="V446" s="155"/>
      <c r="W446" s="156"/>
      <c r="X446" s="154"/>
      <c r="Y446" s="155"/>
      <c r="Z446" s="155"/>
      <c r="AA446" s="157"/>
      <c r="AB446" s="217"/>
      <c r="AC446" s="150"/>
      <c r="AD446" s="151"/>
      <c r="AE446" s="152"/>
      <c r="AF446" s="506"/>
      <c r="AG446" s="463"/>
      <c r="AH446" s="150"/>
      <c r="AI446" s="152"/>
      <c r="AJ446" s="150"/>
      <c r="AK446" s="152"/>
      <c r="AL446" s="150"/>
      <c r="AM446" s="152"/>
      <c r="AN446" s="150"/>
      <c r="AO446" s="151"/>
      <c r="AP446" s="151"/>
      <c r="AQ446" s="169"/>
      <c r="AR446" s="169"/>
      <c r="AS446" s="149"/>
      <c r="AT446" s="324"/>
      <c r="AU446" s="324"/>
      <c r="AV446" s="324"/>
      <c r="AW446" s="324"/>
      <c r="AX446" s="324"/>
      <c r="AY446" s="324"/>
      <c r="AZ446" s="154"/>
      <c r="BA446" s="419"/>
      <c r="BB446" s="419"/>
      <c r="BC446" s="419"/>
      <c r="BD446" s="419"/>
      <c r="BE446" s="418"/>
      <c r="BF446" s="154"/>
      <c r="BG446" s="419"/>
      <c r="BH446" s="419"/>
      <c r="BI446" s="419"/>
      <c r="BJ446" s="419"/>
      <c r="BK446" s="418"/>
      <c r="BL446" s="36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561"/>
    </row>
    <row r="447" spans="1:74" s="2" customFormat="1" ht="24.9" customHeight="1">
      <c r="A447" s="147" t="s">
        <v>85</v>
      </c>
      <c r="B447" s="158"/>
      <c r="C447" s="179"/>
      <c r="D447" s="158"/>
      <c r="E447" s="160"/>
      <c r="F447" s="161"/>
      <c r="G447" s="161"/>
      <c r="H447" s="161"/>
      <c r="I447" s="154"/>
      <c r="J447" s="418"/>
      <c r="K447" s="419"/>
      <c r="L447" s="154"/>
      <c r="M447" s="418"/>
      <c r="N447" s="419"/>
      <c r="O447" s="150"/>
      <c r="P447" s="164"/>
      <c r="Q447" s="154"/>
      <c r="R447" s="174"/>
      <c r="S447" s="523"/>
      <c r="T447" s="523"/>
      <c r="U447" s="154"/>
      <c r="V447" s="155"/>
      <c r="W447" s="156"/>
      <c r="X447" s="154"/>
      <c r="Y447" s="155"/>
      <c r="Z447" s="155"/>
      <c r="AA447" s="157"/>
      <c r="AB447" s="217"/>
      <c r="AC447" s="150"/>
      <c r="AD447" s="151"/>
      <c r="AE447" s="152"/>
      <c r="AF447" s="506"/>
      <c r="AG447" s="463"/>
      <c r="AH447" s="150"/>
      <c r="AI447" s="152"/>
      <c r="AJ447" s="150"/>
      <c r="AK447" s="152"/>
      <c r="AL447" s="150"/>
      <c r="AM447" s="152"/>
      <c r="AN447" s="150"/>
      <c r="AO447" s="151"/>
      <c r="AP447" s="151"/>
      <c r="AQ447" s="169"/>
      <c r="AR447" s="169"/>
      <c r="AS447" s="149"/>
      <c r="AT447" s="324"/>
      <c r="AU447" s="324"/>
      <c r="AV447" s="324"/>
      <c r="AW447" s="324"/>
      <c r="AX447" s="324"/>
      <c r="AY447" s="324"/>
      <c r="AZ447" s="154"/>
      <c r="BA447" s="419"/>
      <c r="BB447" s="419"/>
      <c r="BC447" s="419"/>
      <c r="BD447" s="419"/>
      <c r="BE447" s="418"/>
      <c r="BF447" s="154"/>
      <c r="BG447" s="419"/>
      <c r="BH447" s="419"/>
      <c r="BI447" s="419"/>
      <c r="BJ447" s="419"/>
      <c r="BK447" s="418"/>
      <c r="BL447" s="36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431"/>
    </row>
    <row r="448" spans="1:74" s="2" customFormat="1" ht="24.9" customHeight="1">
      <c r="A448" s="147" t="s">
        <v>85</v>
      </c>
      <c r="B448" s="158"/>
      <c r="C448" s="179"/>
      <c r="D448" s="158"/>
      <c r="E448" s="160"/>
      <c r="F448" s="161"/>
      <c r="G448" s="161"/>
      <c r="H448" s="161"/>
      <c r="I448" s="154"/>
      <c r="J448" s="418"/>
      <c r="K448" s="419"/>
      <c r="L448" s="154"/>
      <c r="M448" s="418"/>
      <c r="N448" s="419"/>
      <c r="O448" s="150"/>
      <c r="P448" s="164"/>
      <c r="Q448" s="154"/>
      <c r="R448" s="174"/>
      <c r="S448" s="523"/>
      <c r="T448" s="523"/>
      <c r="U448" s="154"/>
      <c r="V448" s="155"/>
      <c r="W448" s="156"/>
      <c r="X448" s="154"/>
      <c r="Y448" s="155"/>
      <c r="Z448" s="155"/>
      <c r="AA448" s="157"/>
      <c r="AB448" s="217"/>
      <c r="AC448" s="150"/>
      <c r="AD448" s="151"/>
      <c r="AE448" s="152"/>
      <c r="AF448" s="506"/>
      <c r="AG448" s="463"/>
      <c r="AH448" s="150"/>
      <c r="AI448" s="152"/>
      <c r="AJ448" s="150"/>
      <c r="AK448" s="152"/>
      <c r="AL448" s="150"/>
      <c r="AM448" s="152"/>
      <c r="AN448" s="150"/>
      <c r="AO448" s="151"/>
      <c r="AP448" s="151"/>
      <c r="AQ448" s="169"/>
      <c r="AR448" s="169"/>
      <c r="AS448" s="149"/>
      <c r="AT448" s="324"/>
      <c r="AU448" s="324"/>
      <c r="AV448" s="324"/>
      <c r="AW448" s="324"/>
      <c r="AX448" s="324"/>
      <c r="AY448" s="324"/>
      <c r="AZ448" s="154"/>
      <c r="BA448" s="419"/>
      <c r="BB448" s="419"/>
      <c r="BC448" s="419"/>
      <c r="BD448" s="419"/>
      <c r="BE448" s="418"/>
      <c r="BF448" s="154"/>
      <c r="BG448" s="419"/>
      <c r="BH448" s="419"/>
      <c r="BI448" s="419"/>
      <c r="BJ448" s="419"/>
      <c r="BK448" s="418"/>
      <c r="BL448" s="36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561"/>
    </row>
    <row r="449" spans="1:74" s="2" customFormat="1" ht="24.9" customHeight="1">
      <c r="A449" s="147" t="s">
        <v>85</v>
      </c>
      <c r="B449" s="158"/>
      <c r="C449" s="179"/>
      <c r="D449" s="158"/>
      <c r="E449" s="160"/>
      <c r="F449" s="161"/>
      <c r="G449" s="161"/>
      <c r="H449" s="161"/>
      <c r="I449" s="154"/>
      <c r="J449" s="418"/>
      <c r="K449" s="419"/>
      <c r="L449" s="154"/>
      <c r="M449" s="418"/>
      <c r="N449" s="419"/>
      <c r="O449" s="150"/>
      <c r="P449" s="164"/>
      <c r="Q449" s="154"/>
      <c r="R449" s="174"/>
      <c r="S449" s="523"/>
      <c r="T449" s="523"/>
      <c r="U449" s="154"/>
      <c r="V449" s="155"/>
      <c r="W449" s="156"/>
      <c r="X449" s="154"/>
      <c r="Y449" s="155"/>
      <c r="Z449" s="155"/>
      <c r="AA449" s="157"/>
      <c r="AB449" s="217"/>
      <c r="AC449" s="150"/>
      <c r="AD449" s="151"/>
      <c r="AE449" s="152"/>
      <c r="AF449" s="506"/>
      <c r="AG449" s="463"/>
      <c r="AH449" s="150"/>
      <c r="AI449" s="152"/>
      <c r="AJ449" s="150"/>
      <c r="AK449" s="152"/>
      <c r="AL449" s="150"/>
      <c r="AM449" s="152"/>
      <c r="AN449" s="150"/>
      <c r="AO449" s="151"/>
      <c r="AP449" s="151"/>
      <c r="AQ449" s="169"/>
      <c r="AR449" s="169"/>
      <c r="AS449" s="149"/>
      <c r="AT449" s="324"/>
      <c r="AU449" s="324"/>
      <c r="AV449" s="324"/>
      <c r="AW449" s="324"/>
      <c r="AX449" s="324"/>
      <c r="AY449" s="324"/>
      <c r="AZ449" s="154"/>
      <c r="BA449" s="419"/>
      <c r="BB449" s="419"/>
      <c r="BC449" s="419"/>
      <c r="BD449" s="419"/>
      <c r="BE449" s="418"/>
      <c r="BF449" s="154"/>
      <c r="BG449" s="419"/>
      <c r="BH449" s="419"/>
      <c r="BI449" s="419"/>
      <c r="BJ449" s="419"/>
      <c r="BK449" s="418"/>
      <c r="BL449" s="36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431"/>
    </row>
    <row r="450" spans="1:74" s="2" customFormat="1" ht="24.9" customHeight="1">
      <c r="A450" s="147" t="s">
        <v>85</v>
      </c>
      <c r="B450" s="158"/>
      <c r="C450" s="179"/>
      <c r="D450" s="158"/>
      <c r="E450" s="160"/>
      <c r="F450" s="161"/>
      <c r="G450" s="161"/>
      <c r="H450" s="161"/>
      <c r="I450" s="154"/>
      <c r="J450" s="418"/>
      <c r="K450" s="419"/>
      <c r="L450" s="154"/>
      <c r="M450" s="418"/>
      <c r="N450" s="419"/>
      <c r="O450" s="150"/>
      <c r="P450" s="164"/>
      <c r="Q450" s="154"/>
      <c r="R450" s="174"/>
      <c r="S450" s="523"/>
      <c r="T450" s="523"/>
      <c r="U450" s="154"/>
      <c r="V450" s="155"/>
      <c r="W450" s="156"/>
      <c r="X450" s="154"/>
      <c r="Y450" s="155"/>
      <c r="Z450" s="155"/>
      <c r="AA450" s="157"/>
      <c r="AB450" s="217"/>
      <c r="AC450" s="150"/>
      <c r="AD450" s="151"/>
      <c r="AE450" s="152"/>
      <c r="AF450" s="506"/>
      <c r="AG450" s="463"/>
      <c r="AH450" s="150"/>
      <c r="AI450" s="152"/>
      <c r="AJ450" s="150"/>
      <c r="AK450" s="152"/>
      <c r="AL450" s="150"/>
      <c r="AM450" s="152"/>
      <c r="AN450" s="150"/>
      <c r="AO450" s="151"/>
      <c r="AP450" s="151"/>
      <c r="AQ450" s="169"/>
      <c r="AR450" s="169"/>
      <c r="AS450" s="149"/>
      <c r="AT450" s="324"/>
      <c r="AU450" s="324"/>
      <c r="AV450" s="324"/>
      <c r="AW450" s="324"/>
      <c r="AX450" s="324"/>
      <c r="AY450" s="324"/>
      <c r="AZ450" s="154"/>
      <c r="BA450" s="419"/>
      <c r="BB450" s="419"/>
      <c r="BC450" s="419"/>
      <c r="BD450" s="419"/>
      <c r="BE450" s="418"/>
      <c r="BF450" s="154"/>
      <c r="BG450" s="419"/>
      <c r="BH450" s="419"/>
      <c r="BI450" s="419"/>
      <c r="BJ450" s="419"/>
      <c r="BK450" s="418"/>
      <c r="BL450" s="36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561"/>
    </row>
    <row r="451" spans="1:74" s="2" customFormat="1" ht="24.9" customHeight="1">
      <c r="A451" s="147" t="s">
        <v>85</v>
      </c>
      <c r="B451" s="158"/>
      <c r="C451" s="179"/>
      <c r="D451" s="158"/>
      <c r="E451" s="160"/>
      <c r="F451" s="161"/>
      <c r="G451" s="161"/>
      <c r="H451" s="161"/>
      <c r="I451" s="154"/>
      <c r="J451" s="418"/>
      <c r="K451" s="419"/>
      <c r="L451" s="154"/>
      <c r="M451" s="418"/>
      <c r="N451" s="419"/>
      <c r="O451" s="150"/>
      <c r="P451" s="164"/>
      <c r="Q451" s="154"/>
      <c r="R451" s="174"/>
      <c r="S451" s="523"/>
      <c r="T451" s="523"/>
      <c r="U451" s="154"/>
      <c r="V451" s="155"/>
      <c r="W451" s="156"/>
      <c r="X451" s="154"/>
      <c r="Y451" s="155"/>
      <c r="Z451" s="155"/>
      <c r="AA451" s="157"/>
      <c r="AB451" s="217"/>
      <c r="AC451" s="150"/>
      <c r="AD451" s="151"/>
      <c r="AE451" s="152"/>
      <c r="AF451" s="506"/>
      <c r="AG451" s="463"/>
      <c r="AH451" s="150"/>
      <c r="AI451" s="152"/>
      <c r="AJ451" s="150"/>
      <c r="AK451" s="152"/>
      <c r="AL451" s="150"/>
      <c r="AM451" s="152"/>
      <c r="AN451" s="150"/>
      <c r="AO451" s="151"/>
      <c r="AP451" s="151"/>
      <c r="AQ451" s="169"/>
      <c r="AR451" s="169"/>
      <c r="AS451" s="149"/>
      <c r="AT451" s="324"/>
      <c r="AU451" s="324"/>
      <c r="AV451" s="324"/>
      <c r="AW451" s="324"/>
      <c r="AX451" s="324"/>
      <c r="AY451" s="324"/>
      <c r="AZ451" s="154"/>
      <c r="BA451" s="419"/>
      <c r="BB451" s="419"/>
      <c r="BC451" s="419"/>
      <c r="BD451" s="419"/>
      <c r="BE451" s="418"/>
      <c r="BF451" s="154"/>
      <c r="BG451" s="419"/>
      <c r="BH451" s="419"/>
      <c r="BI451" s="419"/>
      <c r="BJ451" s="419"/>
      <c r="BK451" s="418"/>
      <c r="BL451" s="36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431"/>
    </row>
    <row r="452" spans="1:74" s="2" customFormat="1" ht="24.9" customHeight="1">
      <c r="A452" s="147" t="s">
        <v>85</v>
      </c>
      <c r="B452" s="158"/>
      <c r="C452" s="179"/>
      <c r="D452" s="158"/>
      <c r="E452" s="160"/>
      <c r="F452" s="161"/>
      <c r="G452" s="161"/>
      <c r="H452" s="161"/>
      <c r="I452" s="154"/>
      <c r="J452" s="418"/>
      <c r="K452" s="419"/>
      <c r="L452" s="154"/>
      <c r="M452" s="418"/>
      <c r="N452" s="419"/>
      <c r="O452" s="150"/>
      <c r="P452" s="164"/>
      <c r="Q452" s="154"/>
      <c r="R452" s="151"/>
      <c r="S452" s="522"/>
      <c r="T452" s="522"/>
      <c r="U452" s="154"/>
      <c r="V452" s="155"/>
      <c r="W452" s="156"/>
      <c r="X452" s="154"/>
      <c r="Y452" s="155"/>
      <c r="Z452" s="155"/>
      <c r="AA452" s="157"/>
      <c r="AB452" s="217"/>
      <c r="AC452" s="150"/>
      <c r="AD452" s="151"/>
      <c r="AE452" s="152"/>
      <c r="AF452" s="506"/>
      <c r="AG452" s="463"/>
      <c r="AH452" s="150"/>
      <c r="AI452" s="152"/>
      <c r="AJ452" s="150"/>
      <c r="AK452" s="152"/>
      <c r="AL452" s="150"/>
      <c r="AM452" s="152"/>
      <c r="AN452" s="150"/>
      <c r="AO452" s="151"/>
      <c r="AP452" s="151"/>
      <c r="AQ452" s="169"/>
      <c r="AR452" s="169"/>
      <c r="AS452" s="149"/>
      <c r="AT452" s="324"/>
      <c r="AU452" s="324"/>
      <c r="AV452" s="324"/>
      <c r="AW452" s="324"/>
      <c r="AX452" s="324"/>
      <c r="AY452" s="324"/>
      <c r="AZ452" s="154"/>
      <c r="BA452" s="419"/>
      <c r="BB452" s="419"/>
      <c r="BC452" s="419"/>
      <c r="BD452" s="419"/>
      <c r="BE452" s="418"/>
      <c r="BF452" s="154"/>
      <c r="BG452" s="419"/>
      <c r="BH452" s="419"/>
      <c r="BI452" s="419"/>
      <c r="BJ452" s="419"/>
      <c r="BK452" s="418"/>
      <c r="BL452" s="36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432"/>
    </row>
    <row r="453" spans="1:74" s="2" customFormat="1" ht="24.9" customHeight="1">
      <c r="A453" s="147" t="s">
        <v>85</v>
      </c>
      <c r="B453" s="158"/>
      <c r="C453" s="179"/>
      <c r="D453" s="158"/>
      <c r="E453" s="160"/>
      <c r="F453" s="161"/>
      <c r="G453" s="161"/>
      <c r="H453" s="161"/>
      <c r="I453" s="154"/>
      <c r="J453" s="418"/>
      <c r="K453" s="419"/>
      <c r="L453" s="154"/>
      <c r="M453" s="418"/>
      <c r="N453" s="419"/>
      <c r="O453" s="150"/>
      <c r="P453" s="164"/>
      <c r="Q453" s="154"/>
      <c r="R453" s="174"/>
      <c r="S453" s="523"/>
      <c r="T453" s="523"/>
      <c r="U453" s="154"/>
      <c r="V453" s="155"/>
      <c r="W453" s="156"/>
      <c r="X453" s="154"/>
      <c r="Y453" s="155"/>
      <c r="Z453" s="155"/>
      <c r="AA453" s="157"/>
      <c r="AB453" s="217"/>
      <c r="AC453" s="150"/>
      <c r="AD453" s="151"/>
      <c r="AE453" s="152"/>
      <c r="AF453" s="506"/>
      <c r="AG453" s="463"/>
      <c r="AH453" s="150"/>
      <c r="AI453" s="152"/>
      <c r="AJ453" s="150"/>
      <c r="AK453" s="152"/>
      <c r="AL453" s="150"/>
      <c r="AM453" s="152"/>
      <c r="AN453" s="150"/>
      <c r="AO453" s="151"/>
      <c r="AP453" s="151"/>
      <c r="AQ453" s="169"/>
      <c r="AR453" s="169"/>
      <c r="AS453" s="149"/>
      <c r="AT453" s="324"/>
      <c r="AU453" s="324"/>
      <c r="AV453" s="324"/>
      <c r="AW453" s="324"/>
      <c r="AX453" s="324"/>
      <c r="AY453" s="324"/>
      <c r="AZ453" s="154"/>
      <c r="BA453" s="419"/>
      <c r="BB453" s="419"/>
      <c r="BC453" s="419"/>
      <c r="BD453" s="419"/>
      <c r="BE453" s="418"/>
      <c r="BF453" s="154"/>
      <c r="BG453" s="419"/>
      <c r="BH453" s="419"/>
      <c r="BI453" s="419"/>
      <c r="BJ453" s="419"/>
      <c r="BK453" s="418"/>
      <c r="BL453" s="36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432"/>
    </row>
    <row r="454" spans="1:74" s="2" customFormat="1" ht="24.9" customHeight="1">
      <c r="A454" s="147" t="s">
        <v>85</v>
      </c>
      <c r="B454" s="158"/>
      <c r="C454" s="179"/>
      <c r="D454" s="158"/>
      <c r="E454" s="160"/>
      <c r="F454" s="161"/>
      <c r="G454" s="161"/>
      <c r="H454" s="161"/>
      <c r="I454" s="154"/>
      <c r="J454" s="418"/>
      <c r="K454" s="419"/>
      <c r="L454" s="154"/>
      <c r="M454" s="418"/>
      <c r="N454" s="419"/>
      <c r="O454" s="150"/>
      <c r="P454" s="164"/>
      <c r="Q454" s="154"/>
      <c r="R454" s="151"/>
      <c r="S454" s="522"/>
      <c r="T454" s="522"/>
      <c r="U454" s="154"/>
      <c r="V454" s="155"/>
      <c r="W454" s="156"/>
      <c r="X454" s="154"/>
      <c r="Y454" s="155"/>
      <c r="Z454" s="155"/>
      <c r="AA454" s="157"/>
      <c r="AB454" s="217"/>
      <c r="AC454" s="150"/>
      <c r="AD454" s="151"/>
      <c r="AE454" s="152"/>
      <c r="AF454" s="506"/>
      <c r="AG454" s="463"/>
      <c r="AH454" s="150"/>
      <c r="AI454" s="152"/>
      <c r="AJ454" s="150"/>
      <c r="AK454" s="152"/>
      <c r="AL454" s="150"/>
      <c r="AM454" s="152"/>
      <c r="AN454" s="150"/>
      <c r="AO454" s="151"/>
      <c r="AP454" s="151"/>
      <c r="AQ454" s="169"/>
      <c r="AR454" s="169"/>
      <c r="AS454" s="149"/>
      <c r="AT454" s="324"/>
      <c r="AU454" s="324"/>
      <c r="AV454" s="324"/>
      <c r="AW454" s="324"/>
      <c r="AX454" s="324"/>
      <c r="AY454" s="324"/>
      <c r="AZ454" s="154"/>
      <c r="BA454" s="419"/>
      <c r="BB454" s="419"/>
      <c r="BC454" s="419"/>
      <c r="BD454" s="419"/>
      <c r="BE454" s="418"/>
      <c r="BF454" s="154"/>
      <c r="BG454" s="419"/>
      <c r="BH454" s="419"/>
      <c r="BI454" s="419"/>
      <c r="BJ454" s="419"/>
      <c r="BK454" s="418"/>
      <c r="BL454" s="36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561"/>
    </row>
    <row r="455" spans="1:74" s="2" customFormat="1" ht="24.9" customHeight="1">
      <c r="A455" s="147" t="s">
        <v>85</v>
      </c>
      <c r="B455" s="158"/>
      <c r="C455" s="179"/>
      <c r="D455" s="158"/>
      <c r="E455" s="160"/>
      <c r="F455" s="161"/>
      <c r="G455" s="161"/>
      <c r="H455" s="161"/>
      <c r="I455" s="154"/>
      <c r="J455" s="418"/>
      <c r="K455" s="419"/>
      <c r="L455" s="154"/>
      <c r="M455" s="418"/>
      <c r="N455" s="419"/>
      <c r="O455" s="150"/>
      <c r="P455" s="164"/>
      <c r="Q455" s="154"/>
      <c r="R455" s="174"/>
      <c r="S455" s="523"/>
      <c r="T455" s="523"/>
      <c r="U455" s="154"/>
      <c r="V455" s="155"/>
      <c r="W455" s="156"/>
      <c r="X455" s="154"/>
      <c r="Y455" s="155"/>
      <c r="Z455" s="155"/>
      <c r="AA455" s="157"/>
      <c r="AB455" s="217"/>
      <c r="AC455" s="150"/>
      <c r="AD455" s="151"/>
      <c r="AE455" s="152"/>
      <c r="AF455" s="506"/>
      <c r="AG455" s="463"/>
      <c r="AH455" s="150"/>
      <c r="AI455" s="152"/>
      <c r="AJ455" s="150"/>
      <c r="AK455" s="152"/>
      <c r="AL455" s="150"/>
      <c r="AM455" s="152"/>
      <c r="AN455" s="150"/>
      <c r="AO455" s="151"/>
      <c r="AP455" s="151"/>
      <c r="AQ455" s="169"/>
      <c r="AR455" s="169"/>
      <c r="AS455" s="149"/>
      <c r="AT455" s="324"/>
      <c r="AU455" s="324"/>
      <c r="AV455" s="324"/>
      <c r="AW455" s="324"/>
      <c r="AX455" s="324"/>
      <c r="AY455" s="324"/>
      <c r="AZ455" s="154"/>
      <c r="BA455" s="419"/>
      <c r="BB455" s="419"/>
      <c r="BC455" s="419"/>
      <c r="BD455" s="419"/>
      <c r="BE455" s="418"/>
      <c r="BF455" s="154"/>
      <c r="BG455" s="419"/>
      <c r="BH455" s="419"/>
      <c r="BI455" s="419"/>
      <c r="BJ455" s="419"/>
      <c r="BK455" s="418"/>
      <c r="BL455" s="36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431"/>
    </row>
    <row r="456" spans="1:74" s="2" customFormat="1" ht="24.9" customHeight="1">
      <c r="A456" s="147" t="s">
        <v>85</v>
      </c>
      <c r="B456" s="158"/>
      <c r="C456" s="179"/>
      <c r="D456" s="158"/>
      <c r="E456" s="160"/>
      <c r="F456" s="161"/>
      <c r="G456" s="161"/>
      <c r="H456" s="161"/>
      <c r="I456" s="154"/>
      <c r="J456" s="418"/>
      <c r="K456" s="419"/>
      <c r="L456" s="154"/>
      <c r="M456" s="418"/>
      <c r="N456" s="419"/>
      <c r="O456" s="150"/>
      <c r="P456" s="164"/>
      <c r="Q456" s="154"/>
      <c r="R456" s="174"/>
      <c r="S456" s="523"/>
      <c r="T456" s="523"/>
      <c r="U456" s="154"/>
      <c r="V456" s="155"/>
      <c r="W456" s="156"/>
      <c r="X456" s="154"/>
      <c r="Y456" s="155"/>
      <c r="Z456" s="155"/>
      <c r="AA456" s="157"/>
      <c r="AB456" s="217"/>
      <c r="AC456" s="150"/>
      <c r="AD456" s="151"/>
      <c r="AE456" s="152"/>
      <c r="AF456" s="506"/>
      <c r="AG456" s="463"/>
      <c r="AH456" s="150"/>
      <c r="AI456" s="152"/>
      <c r="AJ456" s="150"/>
      <c r="AK456" s="152"/>
      <c r="AL456" s="150"/>
      <c r="AM456" s="152"/>
      <c r="AN456" s="150"/>
      <c r="AO456" s="151"/>
      <c r="AP456" s="151"/>
      <c r="AQ456" s="169"/>
      <c r="AR456" s="169"/>
      <c r="AS456" s="149"/>
      <c r="AT456" s="324"/>
      <c r="AU456" s="324"/>
      <c r="AV456" s="324"/>
      <c r="AW456" s="324"/>
      <c r="AX456" s="324"/>
      <c r="AY456" s="324"/>
      <c r="AZ456" s="154"/>
      <c r="BA456" s="419"/>
      <c r="BB456" s="419"/>
      <c r="BC456" s="419"/>
      <c r="BD456" s="419"/>
      <c r="BE456" s="418"/>
      <c r="BF456" s="154"/>
      <c r="BG456" s="419"/>
      <c r="BH456" s="419"/>
      <c r="BI456" s="419"/>
      <c r="BJ456" s="419"/>
      <c r="BK456" s="418"/>
      <c r="BL456" s="36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561"/>
    </row>
    <row r="457" spans="1:74" s="2" customFormat="1" ht="24.9" customHeight="1">
      <c r="A457" s="147" t="s">
        <v>85</v>
      </c>
      <c r="B457" s="158"/>
      <c r="C457" s="179"/>
      <c r="D457" s="158"/>
      <c r="E457" s="160"/>
      <c r="F457" s="161"/>
      <c r="G457" s="161"/>
      <c r="H457" s="161"/>
      <c r="I457" s="154"/>
      <c r="J457" s="418"/>
      <c r="K457" s="419"/>
      <c r="L457" s="154"/>
      <c r="M457" s="418"/>
      <c r="N457" s="419"/>
      <c r="O457" s="150"/>
      <c r="P457" s="164"/>
      <c r="Q457" s="154"/>
      <c r="R457" s="174"/>
      <c r="S457" s="523"/>
      <c r="T457" s="523"/>
      <c r="U457" s="154"/>
      <c r="V457" s="155"/>
      <c r="W457" s="156"/>
      <c r="X457" s="154"/>
      <c r="Y457" s="155"/>
      <c r="Z457" s="155"/>
      <c r="AA457" s="157"/>
      <c r="AB457" s="217"/>
      <c r="AC457" s="150"/>
      <c r="AD457" s="151"/>
      <c r="AE457" s="152"/>
      <c r="AF457" s="506"/>
      <c r="AG457" s="463"/>
      <c r="AH457" s="150"/>
      <c r="AI457" s="152"/>
      <c r="AJ457" s="150"/>
      <c r="AK457" s="152"/>
      <c r="AL457" s="150"/>
      <c r="AM457" s="152"/>
      <c r="AN457" s="150"/>
      <c r="AO457" s="151"/>
      <c r="AP457" s="151"/>
      <c r="AQ457" s="169"/>
      <c r="AR457" s="169"/>
      <c r="AS457" s="149"/>
      <c r="AT457" s="324"/>
      <c r="AU457" s="324"/>
      <c r="AV457" s="324"/>
      <c r="AW457" s="324"/>
      <c r="AX457" s="324"/>
      <c r="AY457" s="324"/>
      <c r="AZ457" s="154"/>
      <c r="BA457" s="419"/>
      <c r="BB457" s="419"/>
      <c r="BC457" s="419"/>
      <c r="BD457" s="419"/>
      <c r="BE457" s="418"/>
      <c r="BF457" s="154"/>
      <c r="BG457" s="419"/>
      <c r="BH457" s="419"/>
      <c r="BI457" s="419"/>
      <c r="BJ457" s="419"/>
      <c r="BK457" s="418"/>
      <c r="BL457" s="36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431"/>
    </row>
    <row r="458" spans="1:74" s="2" customFormat="1" ht="24.9" customHeight="1">
      <c r="A458" s="147" t="s">
        <v>85</v>
      </c>
      <c r="B458" s="158"/>
      <c r="C458" s="179"/>
      <c r="D458" s="158"/>
      <c r="E458" s="160"/>
      <c r="F458" s="161"/>
      <c r="G458" s="161"/>
      <c r="H458" s="161"/>
      <c r="I458" s="154"/>
      <c r="J458" s="418"/>
      <c r="K458" s="419"/>
      <c r="L458" s="154"/>
      <c r="M458" s="418"/>
      <c r="N458" s="419"/>
      <c r="O458" s="150"/>
      <c r="P458" s="164"/>
      <c r="Q458" s="154"/>
      <c r="R458" s="174"/>
      <c r="S458" s="523"/>
      <c r="T458" s="523"/>
      <c r="U458" s="154"/>
      <c r="V458" s="155"/>
      <c r="W458" s="156"/>
      <c r="X458" s="154"/>
      <c r="Y458" s="155"/>
      <c r="Z458" s="155"/>
      <c r="AA458" s="157"/>
      <c r="AB458" s="217"/>
      <c r="AC458" s="150"/>
      <c r="AD458" s="151"/>
      <c r="AE458" s="152"/>
      <c r="AF458" s="506"/>
      <c r="AG458" s="463"/>
      <c r="AH458" s="150"/>
      <c r="AI458" s="152"/>
      <c r="AJ458" s="150"/>
      <c r="AK458" s="152"/>
      <c r="AL458" s="150"/>
      <c r="AM458" s="152"/>
      <c r="AN458" s="150"/>
      <c r="AO458" s="151"/>
      <c r="AP458" s="151"/>
      <c r="AQ458" s="169"/>
      <c r="AR458" s="169"/>
      <c r="AS458" s="149"/>
      <c r="AT458" s="324"/>
      <c r="AU458" s="324"/>
      <c r="AV458" s="324"/>
      <c r="AW458" s="324"/>
      <c r="AX458" s="324"/>
      <c r="AY458" s="324"/>
      <c r="AZ458" s="154"/>
      <c r="BA458" s="419"/>
      <c r="BB458" s="419"/>
      <c r="BC458" s="419"/>
      <c r="BD458" s="419"/>
      <c r="BE458" s="418"/>
      <c r="BF458" s="154"/>
      <c r="BG458" s="419"/>
      <c r="BH458" s="419"/>
      <c r="BI458" s="419"/>
      <c r="BJ458" s="419"/>
      <c r="BK458" s="418"/>
      <c r="BL458" s="36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432"/>
    </row>
    <row r="459" spans="1:74" s="2" customFormat="1" ht="24.9" customHeight="1">
      <c r="A459" s="147" t="s">
        <v>85</v>
      </c>
      <c r="B459" s="158"/>
      <c r="C459" s="179"/>
      <c r="D459" s="158"/>
      <c r="E459" s="160"/>
      <c r="F459" s="161"/>
      <c r="G459" s="161"/>
      <c r="H459" s="161"/>
      <c r="I459" s="154"/>
      <c r="J459" s="418"/>
      <c r="K459" s="419"/>
      <c r="L459" s="154"/>
      <c r="M459" s="418"/>
      <c r="N459" s="419"/>
      <c r="O459" s="150"/>
      <c r="P459" s="164"/>
      <c r="Q459" s="154"/>
      <c r="R459" s="151"/>
      <c r="S459" s="522"/>
      <c r="T459" s="522"/>
      <c r="U459" s="154"/>
      <c r="V459" s="155"/>
      <c r="W459" s="156"/>
      <c r="X459" s="154"/>
      <c r="Y459" s="155"/>
      <c r="Z459" s="155"/>
      <c r="AA459" s="157"/>
      <c r="AB459" s="217"/>
      <c r="AC459" s="150"/>
      <c r="AD459" s="151"/>
      <c r="AE459" s="152"/>
      <c r="AF459" s="506"/>
      <c r="AG459" s="463"/>
      <c r="AH459" s="150"/>
      <c r="AI459" s="152"/>
      <c r="AJ459" s="150"/>
      <c r="AK459" s="152"/>
      <c r="AL459" s="150"/>
      <c r="AM459" s="152"/>
      <c r="AN459" s="150"/>
      <c r="AO459" s="151"/>
      <c r="AP459" s="151"/>
      <c r="AQ459" s="169"/>
      <c r="AR459" s="169"/>
      <c r="AS459" s="149"/>
      <c r="AT459" s="324"/>
      <c r="AU459" s="324"/>
      <c r="AV459" s="324"/>
      <c r="AW459" s="324"/>
      <c r="AX459" s="324"/>
      <c r="AY459" s="324"/>
      <c r="AZ459" s="154"/>
      <c r="BA459" s="419"/>
      <c r="BB459" s="419"/>
      <c r="BC459" s="419"/>
      <c r="BD459" s="419"/>
      <c r="BE459" s="418"/>
      <c r="BF459" s="154"/>
      <c r="BG459" s="419"/>
      <c r="BH459" s="419"/>
      <c r="BI459" s="419"/>
      <c r="BJ459" s="419"/>
      <c r="BK459" s="418"/>
      <c r="BL459" s="36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561"/>
    </row>
    <row r="460" spans="1:74" s="2" customFormat="1" ht="24.9" customHeight="1">
      <c r="A460" s="147" t="s">
        <v>85</v>
      </c>
      <c r="B460" s="158"/>
      <c r="C460" s="179"/>
      <c r="D460" s="158"/>
      <c r="E460" s="160"/>
      <c r="F460" s="161"/>
      <c r="G460" s="161"/>
      <c r="H460" s="161"/>
      <c r="I460" s="154"/>
      <c r="J460" s="418"/>
      <c r="K460" s="419"/>
      <c r="L460" s="154"/>
      <c r="M460" s="418"/>
      <c r="N460" s="419"/>
      <c r="O460" s="150"/>
      <c r="P460" s="164"/>
      <c r="Q460" s="154"/>
      <c r="R460" s="174"/>
      <c r="S460" s="523"/>
      <c r="T460" s="523"/>
      <c r="U460" s="154"/>
      <c r="V460" s="155"/>
      <c r="W460" s="156"/>
      <c r="X460" s="154"/>
      <c r="Y460" s="155"/>
      <c r="Z460" s="155"/>
      <c r="AA460" s="157"/>
      <c r="AB460" s="217"/>
      <c r="AC460" s="150"/>
      <c r="AD460" s="151"/>
      <c r="AE460" s="152"/>
      <c r="AF460" s="506"/>
      <c r="AG460" s="463"/>
      <c r="AH460" s="150"/>
      <c r="AI460" s="152"/>
      <c r="AJ460" s="150"/>
      <c r="AK460" s="152"/>
      <c r="AL460" s="150"/>
      <c r="AM460" s="152"/>
      <c r="AN460" s="150"/>
      <c r="AO460" s="151"/>
      <c r="AP460" s="151"/>
      <c r="AQ460" s="169"/>
      <c r="AR460" s="169"/>
      <c r="AS460" s="149"/>
      <c r="AT460" s="324"/>
      <c r="AU460" s="324"/>
      <c r="AV460" s="324"/>
      <c r="AW460" s="324"/>
      <c r="AX460" s="324"/>
      <c r="AY460" s="324"/>
      <c r="AZ460" s="154"/>
      <c r="BA460" s="419"/>
      <c r="BB460" s="419"/>
      <c r="BC460" s="419"/>
      <c r="BD460" s="419"/>
      <c r="BE460" s="418"/>
      <c r="BF460" s="154"/>
      <c r="BG460" s="419"/>
      <c r="BH460" s="419"/>
      <c r="BI460" s="419"/>
      <c r="BJ460" s="419"/>
      <c r="BK460" s="418"/>
      <c r="BL460" s="36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431"/>
    </row>
    <row r="461" spans="1:74" s="2" customFormat="1" ht="24.9" customHeight="1">
      <c r="A461" s="147" t="s">
        <v>85</v>
      </c>
      <c r="B461" s="158"/>
      <c r="C461" s="179"/>
      <c r="D461" s="158"/>
      <c r="E461" s="160"/>
      <c r="F461" s="161"/>
      <c r="G461" s="161"/>
      <c r="H461" s="161"/>
      <c r="I461" s="154"/>
      <c r="J461" s="418"/>
      <c r="K461" s="419"/>
      <c r="L461" s="154"/>
      <c r="M461" s="418"/>
      <c r="N461" s="419"/>
      <c r="O461" s="150"/>
      <c r="P461" s="164"/>
      <c r="Q461" s="154"/>
      <c r="R461" s="151"/>
      <c r="S461" s="522"/>
      <c r="T461" s="522"/>
      <c r="U461" s="154"/>
      <c r="V461" s="155"/>
      <c r="W461" s="156"/>
      <c r="X461" s="154"/>
      <c r="Y461" s="155"/>
      <c r="Z461" s="155"/>
      <c r="AA461" s="157"/>
      <c r="AB461" s="217"/>
      <c r="AC461" s="150"/>
      <c r="AD461" s="151"/>
      <c r="AE461" s="152"/>
      <c r="AF461" s="506"/>
      <c r="AG461" s="463"/>
      <c r="AH461" s="150"/>
      <c r="AI461" s="152"/>
      <c r="AJ461" s="150"/>
      <c r="AK461" s="152"/>
      <c r="AL461" s="150"/>
      <c r="AM461" s="152"/>
      <c r="AN461" s="150"/>
      <c r="AO461" s="151"/>
      <c r="AP461" s="151"/>
      <c r="AQ461" s="169"/>
      <c r="AR461" s="169"/>
      <c r="AS461" s="149"/>
      <c r="AT461" s="324"/>
      <c r="AU461" s="324"/>
      <c r="AV461" s="324"/>
      <c r="AW461" s="324"/>
      <c r="AX461" s="324"/>
      <c r="AY461" s="324"/>
      <c r="AZ461" s="154"/>
      <c r="BA461" s="419"/>
      <c r="BB461" s="419"/>
      <c r="BC461" s="419"/>
      <c r="BD461" s="419"/>
      <c r="BE461" s="418"/>
      <c r="BF461" s="154"/>
      <c r="BG461" s="419"/>
      <c r="BH461" s="419"/>
      <c r="BI461" s="419"/>
      <c r="BJ461" s="419"/>
      <c r="BK461" s="418"/>
      <c r="BL461" s="36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432"/>
    </row>
    <row r="462" spans="1:74" s="2" customFormat="1" ht="24.9" customHeight="1">
      <c r="A462" s="147" t="s">
        <v>85</v>
      </c>
      <c r="B462" s="158"/>
      <c r="C462" s="179"/>
      <c r="D462" s="158"/>
      <c r="E462" s="160"/>
      <c r="F462" s="161"/>
      <c r="G462" s="161"/>
      <c r="H462" s="161"/>
      <c r="I462" s="154"/>
      <c r="J462" s="418"/>
      <c r="K462" s="419"/>
      <c r="L462" s="154"/>
      <c r="M462" s="418"/>
      <c r="N462" s="419"/>
      <c r="O462" s="150"/>
      <c r="P462" s="164"/>
      <c r="Q462" s="154"/>
      <c r="R462" s="174"/>
      <c r="S462" s="523"/>
      <c r="T462" s="523"/>
      <c r="U462" s="154"/>
      <c r="V462" s="155"/>
      <c r="W462" s="156"/>
      <c r="X462" s="154"/>
      <c r="Y462" s="155"/>
      <c r="Z462" s="155"/>
      <c r="AA462" s="157"/>
      <c r="AB462" s="217"/>
      <c r="AC462" s="150"/>
      <c r="AD462" s="151"/>
      <c r="AE462" s="152"/>
      <c r="AF462" s="506"/>
      <c r="AG462" s="463"/>
      <c r="AH462" s="150"/>
      <c r="AI462" s="152"/>
      <c r="AJ462" s="150"/>
      <c r="AK462" s="152"/>
      <c r="AL462" s="150"/>
      <c r="AM462" s="152"/>
      <c r="AN462" s="150"/>
      <c r="AO462" s="151"/>
      <c r="AP462" s="151"/>
      <c r="AQ462" s="169"/>
      <c r="AR462" s="169"/>
      <c r="AS462" s="149"/>
      <c r="AT462" s="324"/>
      <c r="AU462" s="324"/>
      <c r="AV462" s="324"/>
      <c r="AW462" s="324"/>
      <c r="AX462" s="324"/>
      <c r="AY462" s="324"/>
      <c r="AZ462" s="154"/>
      <c r="BA462" s="419"/>
      <c r="BB462" s="419"/>
      <c r="BC462" s="419"/>
      <c r="BD462" s="419"/>
      <c r="BE462" s="418"/>
      <c r="BF462" s="154"/>
      <c r="BG462" s="419"/>
      <c r="BH462" s="419"/>
      <c r="BI462" s="419"/>
      <c r="BJ462" s="419"/>
      <c r="BK462" s="418"/>
      <c r="BL462" s="36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561"/>
    </row>
    <row r="463" spans="1:74" s="2" customFormat="1" ht="24.9" customHeight="1">
      <c r="A463" s="147" t="s">
        <v>85</v>
      </c>
      <c r="B463" s="158"/>
      <c r="C463" s="179"/>
      <c r="D463" s="158"/>
      <c r="E463" s="160"/>
      <c r="F463" s="161"/>
      <c r="G463" s="161"/>
      <c r="H463" s="161"/>
      <c r="I463" s="154"/>
      <c r="J463" s="418"/>
      <c r="K463" s="419"/>
      <c r="L463" s="154"/>
      <c r="M463" s="418"/>
      <c r="N463" s="419"/>
      <c r="O463" s="150"/>
      <c r="P463" s="164"/>
      <c r="Q463" s="154"/>
      <c r="R463" s="174"/>
      <c r="S463" s="523"/>
      <c r="T463" s="523"/>
      <c r="U463" s="154"/>
      <c r="V463" s="155"/>
      <c r="W463" s="156"/>
      <c r="X463" s="154"/>
      <c r="Y463" s="155"/>
      <c r="Z463" s="155"/>
      <c r="AA463" s="157"/>
      <c r="AB463" s="217"/>
      <c r="AC463" s="150"/>
      <c r="AD463" s="151"/>
      <c r="AE463" s="152"/>
      <c r="AF463" s="506"/>
      <c r="AG463" s="463"/>
      <c r="AH463" s="150"/>
      <c r="AI463" s="152"/>
      <c r="AJ463" s="150"/>
      <c r="AK463" s="152"/>
      <c r="AL463" s="150"/>
      <c r="AM463" s="152"/>
      <c r="AN463" s="150"/>
      <c r="AO463" s="151"/>
      <c r="AP463" s="151"/>
      <c r="AQ463" s="169"/>
      <c r="AR463" s="169"/>
      <c r="AS463" s="149"/>
      <c r="AT463" s="324"/>
      <c r="AU463" s="324"/>
      <c r="AV463" s="324"/>
      <c r="AW463" s="324"/>
      <c r="AX463" s="324"/>
      <c r="AY463" s="324"/>
      <c r="AZ463" s="154"/>
      <c r="BA463" s="419"/>
      <c r="BB463" s="419"/>
      <c r="BC463" s="419"/>
      <c r="BD463" s="419"/>
      <c r="BE463" s="418"/>
      <c r="BF463" s="154"/>
      <c r="BG463" s="419"/>
      <c r="BH463" s="419"/>
      <c r="BI463" s="419"/>
      <c r="BJ463" s="419"/>
      <c r="BK463" s="418"/>
      <c r="BL463" s="36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431"/>
    </row>
    <row r="464" spans="1:74" s="2" customFormat="1" ht="24.9" customHeight="1">
      <c r="A464" s="147" t="s">
        <v>85</v>
      </c>
      <c r="B464" s="158"/>
      <c r="C464" s="179"/>
      <c r="D464" s="158"/>
      <c r="E464" s="160"/>
      <c r="F464" s="161"/>
      <c r="G464" s="161"/>
      <c r="H464" s="161"/>
      <c r="I464" s="154"/>
      <c r="J464" s="418"/>
      <c r="K464" s="419"/>
      <c r="L464" s="154"/>
      <c r="M464" s="418"/>
      <c r="N464" s="419"/>
      <c r="O464" s="150"/>
      <c r="P464" s="164"/>
      <c r="Q464" s="154"/>
      <c r="R464" s="151"/>
      <c r="S464" s="522"/>
      <c r="T464" s="522"/>
      <c r="U464" s="154"/>
      <c r="V464" s="155"/>
      <c r="W464" s="156"/>
      <c r="X464" s="154"/>
      <c r="Y464" s="155"/>
      <c r="Z464" s="155"/>
      <c r="AA464" s="157"/>
      <c r="AB464" s="217"/>
      <c r="AC464" s="150"/>
      <c r="AD464" s="151"/>
      <c r="AE464" s="152"/>
      <c r="AF464" s="506"/>
      <c r="AG464" s="463"/>
      <c r="AH464" s="150"/>
      <c r="AI464" s="152"/>
      <c r="AJ464" s="150"/>
      <c r="AK464" s="152"/>
      <c r="AL464" s="150"/>
      <c r="AM464" s="152"/>
      <c r="AN464" s="150"/>
      <c r="AO464" s="151"/>
      <c r="AP464" s="151"/>
      <c r="AQ464" s="169"/>
      <c r="AR464" s="169"/>
      <c r="AS464" s="149"/>
      <c r="AT464" s="324"/>
      <c r="AU464" s="324"/>
      <c r="AV464" s="324"/>
      <c r="AW464" s="324"/>
      <c r="AX464" s="324"/>
      <c r="AY464" s="324"/>
      <c r="AZ464" s="154"/>
      <c r="BA464" s="419"/>
      <c r="BB464" s="419"/>
      <c r="BC464" s="419"/>
      <c r="BD464" s="419"/>
      <c r="BE464" s="418"/>
      <c r="BF464" s="154"/>
      <c r="BG464" s="419"/>
      <c r="BH464" s="419"/>
      <c r="BI464" s="419"/>
      <c r="BJ464" s="419"/>
      <c r="BK464" s="418"/>
      <c r="BL464" s="36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432"/>
    </row>
    <row r="465" spans="1:74" s="2" customFormat="1" ht="24.9" customHeight="1">
      <c r="A465" s="147" t="s">
        <v>85</v>
      </c>
      <c r="B465" s="158"/>
      <c r="C465" s="179"/>
      <c r="D465" s="158"/>
      <c r="E465" s="160"/>
      <c r="F465" s="161"/>
      <c r="G465" s="161"/>
      <c r="H465" s="161"/>
      <c r="I465" s="154"/>
      <c r="J465" s="418"/>
      <c r="K465" s="419"/>
      <c r="L465" s="154"/>
      <c r="M465" s="418"/>
      <c r="N465" s="419"/>
      <c r="O465" s="150"/>
      <c r="P465" s="164"/>
      <c r="Q465" s="154"/>
      <c r="R465" s="174"/>
      <c r="S465" s="523"/>
      <c r="T465" s="523"/>
      <c r="U465" s="154"/>
      <c r="V465" s="155"/>
      <c r="W465" s="156"/>
      <c r="X465" s="154"/>
      <c r="Y465" s="155"/>
      <c r="Z465" s="155"/>
      <c r="AA465" s="157"/>
      <c r="AB465" s="217"/>
      <c r="AC465" s="150"/>
      <c r="AD465" s="151"/>
      <c r="AE465" s="152"/>
      <c r="AF465" s="506"/>
      <c r="AG465" s="463"/>
      <c r="AH465" s="150"/>
      <c r="AI465" s="152"/>
      <c r="AJ465" s="150"/>
      <c r="AK465" s="152"/>
      <c r="AL465" s="150"/>
      <c r="AM465" s="152"/>
      <c r="AN465" s="150"/>
      <c r="AO465" s="151"/>
      <c r="AP465" s="151"/>
      <c r="AQ465" s="169"/>
      <c r="AR465" s="169"/>
      <c r="AS465" s="149"/>
      <c r="AT465" s="324"/>
      <c r="AU465" s="324"/>
      <c r="AV465" s="324"/>
      <c r="AW465" s="324"/>
      <c r="AX465" s="324"/>
      <c r="AY465" s="324"/>
      <c r="AZ465" s="154"/>
      <c r="BA465" s="419"/>
      <c r="BB465" s="419"/>
      <c r="BC465" s="419"/>
      <c r="BD465" s="419"/>
      <c r="BE465" s="418"/>
      <c r="BF465" s="154"/>
      <c r="BG465" s="419"/>
      <c r="BH465" s="419"/>
      <c r="BI465" s="419"/>
      <c r="BJ465" s="419"/>
      <c r="BK465" s="418"/>
      <c r="BL465" s="36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432"/>
    </row>
    <row r="466" spans="1:74" s="2" customFormat="1" ht="24.9" customHeight="1">
      <c r="A466" s="147" t="s">
        <v>85</v>
      </c>
      <c r="B466" s="158"/>
      <c r="C466" s="179"/>
      <c r="D466" s="158"/>
      <c r="E466" s="160"/>
      <c r="F466" s="161"/>
      <c r="G466" s="161"/>
      <c r="H466" s="161"/>
      <c r="I466" s="154"/>
      <c r="J466" s="418"/>
      <c r="K466" s="419"/>
      <c r="L466" s="154"/>
      <c r="M466" s="418"/>
      <c r="N466" s="419"/>
      <c r="O466" s="150"/>
      <c r="P466" s="164"/>
      <c r="Q466" s="154"/>
      <c r="R466" s="151"/>
      <c r="S466" s="522"/>
      <c r="T466" s="522"/>
      <c r="U466" s="154"/>
      <c r="V466" s="155"/>
      <c r="W466" s="156"/>
      <c r="X466" s="154"/>
      <c r="Y466" s="155"/>
      <c r="Z466" s="155"/>
      <c r="AA466" s="157"/>
      <c r="AB466" s="217"/>
      <c r="AC466" s="150"/>
      <c r="AD466" s="151"/>
      <c r="AE466" s="152"/>
      <c r="AF466" s="506"/>
      <c r="AG466" s="463"/>
      <c r="AH466" s="150"/>
      <c r="AI466" s="152"/>
      <c r="AJ466" s="150"/>
      <c r="AK466" s="152"/>
      <c r="AL466" s="150"/>
      <c r="AM466" s="152"/>
      <c r="AN466" s="150"/>
      <c r="AO466" s="151"/>
      <c r="AP466" s="151"/>
      <c r="AQ466" s="169"/>
      <c r="AR466" s="169"/>
      <c r="AS466" s="149"/>
      <c r="AT466" s="324"/>
      <c r="AU466" s="324"/>
      <c r="AV466" s="324"/>
      <c r="AW466" s="324"/>
      <c r="AX466" s="324"/>
      <c r="AY466" s="324"/>
      <c r="AZ466" s="154"/>
      <c r="BA466" s="419"/>
      <c r="BB466" s="419"/>
      <c r="BC466" s="419"/>
      <c r="BD466" s="419"/>
      <c r="BE466" s="418"/>
      <c r="BF466" s="154"/>
      <c r="BG466" s="419"/>
      <c r="BH466" s="419"/>
      <c r="BI466" s="419"/>
      <c r="BJ466" s="419"/>
      <c r="BK466" s="418"/>
      <c r="BL466" s="36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561"/>
    </row>
    <row r="467" spans="1:74" s="2" customFormat="1" ht="24.9" customHeight="1">
      <c r="A467" s="147" t="s">
        <v>85</v>
      </c>
      <c r="B467" s="158"/>
      <c r="C467" s="179"/>
      <c r="D467" s="158"/>
      <c r="E467" s="160"/>
      <c r="F467" s="161"/>
      <c r="G467" s="161"/>
      <c r="H467" s="161"/>
      <c r="I467" s="154"/>
      <c r="J467" s="418"/>
      <c r="K467" s="419"/>
      <c r="L467" s="154"/>
      <c r="M467" s="418"/>
      <c r="N467" s="419"/>
      <c r="O467" s="150"/>
      <c r="P467" s="164"/>
      <c r="Q467" s="154"/>
      <c r="R467" s="174"/>
      <c r="S467" s="523"/>
      <c r="T467" s="523"/>
      <c r="U467" s="154"/>
      <c r="V467" s="155"/>
      <c r="W467" s="156"/>
      <c r="X467" s="154"/>
      <c r="Y467" s="155"/>
      <c r="Z467" s="155"/>
      <c r="AA467" s="157"/>
      <c r="AB467" s="217"/>
      <c r="AC467" s="150"/>
      <c r="AD467" s="151"/>
      <c r="AE467" s="152"/>
      <c r="AF467" s="506"/>
      <c r="AG467" s="463"/>
      <c r="AH467" s="150"/>
      <c r="AI467" s="152"/>
      <c r="AJ467" s="150"/>
      <c r="AK467" s="152"/>
      <c r="AL467" s="150"/>
      <c r="AM467" s="152"/>
      <c r="AN467" s="150"/>
      <c r="AO467" s="151"/>
      <c r="AP467" s="151"/>
      <c r="AQ467" s="169"/>
      <c r="AR467" s="169"/>
      <c r="AS467" s="149"/>
      <c r="AT467" s="324"/>
      <c r="AU467" s="324"/>
      <c r="AV467" s="324"/>
      <c r="AW467" s="324"/>
      <c r="AX467" s="324"/>
      <c r="AY467" s="324"/>
      <c r="AZ467" s="154"/>
      <c r="BA467" s="419"/>
      <c r="BB467" s="419"/>
      <c r="BC467" s="419"/>
      <c r="BD467" s="419"/>
      <c r="BE467" s="418"/>
      <c r="BF467" s="154"/>
      <c r="BG467" s="419"/>
      <c r="BH467" s="419"/>
      <c r="BI467" s="419"/>
      <c r="BJ467" s="419"/>
      <c r="BK467" s="418"/>
      <c r="BL467" s="36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431"/>
    </row>
    <row r="468" spans="1:74" s="2" customFormat="1" ht="24.9" customHeight="1">
      <c r="A468" s="147" t="s">
        <v>85</v>
      </c>
      <c r="B468" s="158"/>
      <c r="C468" s="179"/>
      <c r="D468" s="158"/>
      <c r="E468" s="160"/>
      <c r="F468" s="161"/>
      <c r="G468" s="161"/>
      <c r="H468" s="161"/>
      <c r="I468" s="154"/>
      <c r="J468" s="418"/>
      <c r="K468" s="419"/>
      <c r="L468" s="154"/>
      <c r="M468" s="418"/>
      <c r="N468" s="419"/>
      <c r="O468" s="150"/>
      <c r="P468" s="164"/>
      <c r="Q468" s="154"/>
      <c r="R468" s="174"/>
      <c r="S468" s="523"/>
      <c r="T468" s="523"/>
      <c r="U468" s="154"/>
      <c r="V468" s="155"/>
      <c r="W468" s="156"/>
      <c r="X468" s="154"/>
      <c r="Y468" s="155"/>
      <c r="Z468" s="155"/>
      <c r="AA468" s="157"/>
      <c r="AB468" s="217"/>
      <c r="AC468" s="150"/>
      <c r="AD468" s="151"/>
      <c r="AE468" s="152"/>
      <c r="AF468" s="506"/>
      <c r="AG468" s="463"/>
      <c r="AH468" s="150"/>
      <c r="AI468" s="152"/>
      <c r="AJ468" s="150"/>
      <c r="AK468" s="152"/>
      <c r="AL468" s="150"/>
      <c r="AM468" s="152"/>
      <c r="AN468" s="150"/>
      <c r="AO468" s="151"/>
      <c r="AP468" s="151"/>
      <c r="AQ468" s="169"/>
      <c r="AR468" s="169"/>
      <c r="AS468" s="149"/>
      <c r="AT468" s="324"/>
      <c r="AU468" s="324"/>
      <c r="AV468" s="324"/>
      <c r="AW468" s="324"/>
      <c r="AX468" s="324"/>
      <c r="AY468" s="324"/>
      <c r="AZ468" s="154"/>
      <c r="BA468" s="419"/>
      <c r="BB468" s="419"/>
      <c r="BC468" s="419"/>
      <c r="BD468" s="419"/>
      <c r="BE468" s="418"/>
      <c r="BF468" s="154"/>
      <c r="BG468" s="419"/>
      <c r="BH468" s="419"/>
      <c r="BI468" s="419"/>
      <c r="BJ468" s="419"/>
      <c r="BK468" s="418"/>
      <c r="BL468" s="36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561"/>
    </row>
    <row r="469" spans="1:74" s="2" customFormat="1" ht="24.9" customHeight="1">
      <c r="A469" s="147" t="s">
        <v>85</v>
      </c>
      <c r="B469" s="158"/>
      <c r="C469" s="179"/>
      <c r="D469" s="158"/>
      <c r="E469" s="160"/>
      <c r="F469" s="161"/>
      <c r="G469" s="161"/>
      <c r="H469" s="161"/>
      <c r="I469" s="154"/>
      <c r="J469" s="418"/>
      <c r="K469" s="419"/>
      <c r="L469" s="154"/>
      <c r="M469" s="418"/>
      <c r="N469" s="419"/>
      <c r="O469" s="150"/>
      <c r="P469" s="164"/>
      <c r="Q469" s="154"/>
      <c r="R469" s="174"/>
      <c r="S469" s="523"/>
      <c r="T469" s="523"/>
      <c r="U469" s="154"/>
      <c r="V469" s="155"/>
      <c r="W469" s="156"/>
      <c r="X469" s="154"/>
      <c r="Y469" s="155"/>
      <c r="Z469" s="155"/>
      <c r="AA469" s="157"/>
      <c r="AB469" s="217"/>
      <c r="AC469" s="150"/>
      <c r="AD469" s="151"/>
      <c r="AE469" s="152"/>
      <c r="AF469" s="506"/>
      <c r="AG469" s="463"/>
      <c r="AH469" s="150"/>
      <c r="AI469" s="152"/>
      <c r="AJ469" s="150"/>
      <c r="AK469" s="152"/>
      <c r="AL469" s="150"/>
      <c r="AM469" s="152"/>
      <c r="AN469" s="150"/>
      <c r="AO469" s="151"/>
      <c r="AP469" s="151"/>
      <c r="AQ469" s="169"/>
      <c r="AR469" s="169"/>
      <c r="AS469" s="149"/>
      <c r="AT469" s="324"/>
      <c r="AU469" s="324"/>
      <c r="AV469" s="324"/>
      <c r="AW469" s="324"/>
      <c r="AX469" s="324"/>
      <c r="AY469" s="324"/>
      <c r="AZ469" s="154"/>
      <c r="BA469" s="419"/>
      <c r="BB469" s="419"/>
      <c r="BC469" s="419"/>
      <c r="BD469" s="419"/>
      <c r="BE469" s="418"/>
      <c r="BF469" s="154"/>
      <c r="BG469" s="419"/>
      <c r="BH469" s="419"/>
      <c r="BI469" s="419"/>
      <c r="BJ469" s="419"/>
      <c r="BK469" s="418"/>
      <c r="BL469" s="36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431"/>
    </row>
    <row r="470" spans="1:74" s="2" customFormat="1" ht="24.9" customHeight="1">
      <c r="A470" s="147" t="s">
        <v>85</v>
      </c>
      <c r="B470" s="158"/>
      <c r="C470" s="179"/>
      <c r="D470" s="158"/>
      <c r="E470" s="160"/>
      <c r="F470" s="161"/>
      <c r="G470" s="161"/>
      <c r="H470" s="161"/>
      <c r="I470" s="154"/>
      <c r="J470" s="418"/>
      <c r="K470" s="419"/>
      <c r="L470" s="154"/>
      <c r="M470" s="418"/>
      <c r="N470" s="419"/>
      <c r="O470" s="150"/>
      <c r="P470" s="164"/>
      <c r="Q470" s="154"/>
      <c r="R470" s="174"/>
      <c r="S470" s="523"/>
      <c r="T470" s="523"/>
      <c r="U470" s="154"/>
      <c r="V470" s="155"/>
      <c r="W470" s="156"/>
      <c r="X470" s="154"/>
      <c r="Y470" s="155"/>
      <c r="Z470" s="155"/>
      <c r="AA470" s="157"/>
      <c r="AB470" s="217"/>
      <c r="AC470" s="150"/>
      <c r="AD470" s="151"/>
      <c r="AE470" s="152"/>
      <c r="AF470" s="506"/>
      <c r="AG470" s="463"/>
      <c r="AH470" s="150"/>
      <c r="AI470" s="152"/>
      <c r="AJ470" s="150"/>
      <c r="AK470" s="152"/>
      <c r="AL470" s="150"/>
      <c r="AM470" s="152"/>
      <c r="AN470" s="150"/>
      <c r="AO470" s="151"/>
      <c r="AP470" s="151"/>
      <c r="AQ470" s="169"/>
      <c r="AR470" s="169"/>
      <c r="AS470" s="149"/>
      <c r="AT470" s="324"/>
      <c r="AU470" s="324"/>
      <c r="AV470" s="324"/>
      <c r="AW470" s="324"/>
      <c r="AX470" s="324"/>
      <c r="AY470" s="324"/>
      <c r="AZ470" s="154"/>
      <c r="BA470" s="419"/>
      <c r="BB470" s="419"/>
      <c r="BC470" s="419"/>
      <c r="BD470" s="419"/>
      <c r="BE470" s="418"/>
      <c r="BF470" s="154"/>
      <c r="BG470" s="419"/>
      <c r="BH470" s="419"/>
      <c r="BI470" s="419"/>
      <c r="BJ470" s="419"/>
      <c r="BK470" s="418"/>
      <c r="BL470" s="36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432"/>
    </row>
    <row r="471" spans="1:74" s="2" customFormat="1" ht="24.9" customHeight="1">
      <c r="A471" s="147" t="s">
        <v>85</v>
      </c>
      <c r="B471" s="158"/>
      <c r="C471" s="179"/>
      <c r="D471" s="158"/>
      <c r="E471" s="160"/>
      <c r="F471" s="161"/>
      <c r="G471" s="161"/>
      <c r="H471" s="161"/>
      <c r="I471" s="154"/>
      <c r="J471" s="418"/>
      <c r="K471" s="419"/>
      <c r="L471" s="154"/>
      <c r="M471" s="418"/>
      <c r="N471" s="419"/>
      <c r="O471" s="150"/>
      <c r="P471" s="164"/>
      <c r="Q471" s="154"/>
      <c r="R471" s="174"/>
      <c r="S471" s="523"/>
      <c r="T471" s="523"/>
      <c r="U471" s="154"/>
      <c r="V471" s="155"/>
      <c r="W471" s="156"/>
      <c r="X471" s="154"/>
      <c r="Y471" s="155"/>
      <c r="Z471" s="155"/>
      <c r="AA471" s="157"/>
      <c r="AB471" s="217"/>
      <c r="AC471" s="150"/>
      <c r="AD471" s="151"/>
      <c r="AE471" s="152"/>
      <c r="AF471" s="506"/>
      <c r="AG471" s="463"/>
      <c r="AH471" s="150"/>
      <c r="AI471" s="152"/>
      <c r="AJ471" s="150"/>
      <c r="AK471" s="152"/>
      <c r="AL471" s="150"/>
      <c r="AM471" s="152"/>
      <c r="AN471" s="150"/>
      <c r="AO471" s="151"/>
      <c r="AP471" s="151"/>
      <c r="AQ471" s="169"/>
      <c r="AR471" s="169"/>
      <c r="AS471" s="149"/>
      <c r="AT471" s="324"/>
      <c r="AU471" s="324"/>
      <c r="AV471" s="324"/>
      <c r="AW471" s="324"/>
      <c r="AX471" s="324"/>
      <c r="AY471" s="324"/>
      <c r="AZ471" s="154"/>
      <c r="BA471" s="419"/>
      <c r="BB471" s="419"/>
      <c r="BC471" s="419"/>
      <c r="BD471" s="419"/>
      <c r="BE471" s="418"/>
      <c r="BF471" s="154"/>
      <c r="BG471" s="419"/>
      <c r="BH471" s="419"/>
      <c r="BI471" s="419"/>
      <c r="BJ471" s="419"/>
      <c r="BK471" s="418"/>
      <c r="BL471" s="36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432"/>
    </row>
    <row r="472" spans="1:74" s="2" customFormat="1" ht="24.9" customHeight="1">
      <c r="A472" s="147" t="s">
        <v>85</v>
      </c>
      <c r="B472" s="158"/>
      <c r="C472" s="179"/>
      <c r="D472" s="158"/>
      <c r="E472" s="160"/>
      <c r="F472" s="161"/>
      <c r="G472" s="161"/>
      <c r="H472" s="161"/>
      <c r="I472" s="154"/>
      <c r="J472" s="418"/>
      <c r="K472" s="419"/>
      <c r="L472" s="154"/>
      <c r="M472" s="418"/>
      <c r="N472" s="419"/>
      <c r="O472" s="150"/>
      <c r="P472" s="164"/>
      <c r="Q472" s="154"/>
      <c r="R472" s="151"/>
      <c r="S472" s="522"/>
      <c r="T472" s="522"/>
      <c r="U472" s="154"/>
      <c r="V472" s="155"/>
      <c r="W472" s="156"/>
      <c r="X472" s="154"/>
      <c r="Y472" s="155"/>
      <c r="Z472" s="155"/>
      <c r="AA472" s="157"/>
      <c r="AB472" s="217"/>
      <c r="AC472" s="150"/>
      <c r="AD472" s="151"/>
      <c r="AE472" s="152"/>
      <c r="AF472" s="506"/>
      <c r="AG472" s="463"/>
      <c r="AH472" s="150"/>
      <c r="AI472" s="152"/>
      <c r="AJ472" s="150"/>
      <c r="AK472" s="152"/>
      <c r="AL472" s="150"/>
      <c r="AM472" s="152"/>
      <c r="AN472" s="150"/>
      <c r="AO472" s="151"/>
      <c r="AP472" s="151"/>
      <c r="AQ472" s="169"/>
      <c r="AR472" s="169"/>
      <c r="AS472" s="149"/>
      <c r="AT472" s="324"/>
      <c r="AU472" s="324"/>
      <c r="AV472" s="324"/>
      <c r="AW472" s="324"/>
      <c r="AX472" s="324"/>
      <c r="AY472" s="324"/>
      <c r="AZ472" s="154"/>
      <c r="BA472" s="419"/>
      <c r="BB472" s="419"/>
      <c r="BC472" s="419"/>
      <c r="BD472" s="419"/>
      <c r="BE472" s="418"/>
      <c r="BF472" s="154"/>
      <c r="BG472" s="419"/>
      <c r="BH472" s="419"/>
      <c r="BI472" s="419"/>
      <c r="BJ472" s="419"/>
      <c r="BK472" s="418"/>
      <c r="BL472" s="36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561"/>
    </row>
    <row r="473" spans="1:74" s="2" customFormat="1" ht="24.9" customHeight="1">
      <c r="A473" s="147" t="s">
        <v>85</v>
      </c>
      <c r="B473" s="158"/>
      <c r="C473" s="179"/>
      <c r="D473" s="158"/>
      <c r="E473" s="160"/>
      <c r="F473" s="161"/>
      <c r="G473" s="161"/>
      <c r="H473" s="161"/>
      <c r="I473" s="154"/>
      <c r="J473" s="418"/>
      <c r="K473" s="419"/>
      <c r="L473" s="154"/>
      <c r="M473" s="418"/>
      <c r="N473" s="419"/>
      <c r="O473" s="150"/>
      <c r="P473" s="164"/>
      <c r="Q473" s="154"/>
      <c r="R473" s="174"/>
      <c r="S473" s="523"/>
      <c r="T473" s="523"/>
      <c r="U473" s="154"/>
      <c r="V473" s="155"/>
      <c r="W473" s="156"/>
      <c r="X473" s="154"/>
      <c r="Y473" s="155"/>
      <c r="Z473" s="155"/>
      <c r="AA473" s="157"/>
      <c r="AB473" s="217"/>
      <c r="AC473" s="150"/>
      <c r="AD473" s="151"/>
      <c r="AE473" s="152"/>
      <c r="AF473" s="506"/>
      <c r="AG473" s="463"/>
      <c r="AH473" s="150"/>
      <c r="AI473" s="152"/>
      <c r="AJ473" s="150"/>
      <c r="AK473" s="152"/>
      <c r="AL473" s="150"/>
      <c r="AM473" s="152"/>
      <c r="AN473" s="150"/>
      <c r="AO473" s="151"/>
      <c r="AP473" s="151"/>
      <c r="AQ473" s="169"/>
      <c r="AR473" s="169"/>
      <c r="AS473" s="149"/>
      <c r="AT473" s="324"/>
      <c r="AU473" s="324"/>
      <c r="AV473" s="324"/>
      <c r="AW473" s="324"/>
      <c r="AX473" s="324"/>
      <c r="AY473" s="324"/>
      <c r="AZ473" s="154"/>
      <c r="BA473" s="419"/>
      <c r="BB473" s="419"/>
      <c r="BC473" s="419"/>
      <c r="BD473" s="419"/>
      <c r="BE473" s="418"/>
      <c r="BF473" s="154"/>
      <c r="BG473" s="419"/>
      <c r="BH473" s="419"/>
      <c r="BI473" s="419"/>
      <c r="BJ473" s="419"/>
      <c r="BK473" s="418"/>
      <c r="BL473" s="36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431"/>
    </row>
    <row r="474" spans="1:74" s="2" customFormat="1" ht="24.9" customHeight="1">
      <c r="A474" s="147" t="s">
        <v>85</v>
      </c>
      <c r="B474" s="158"/>
      <c r="C474" s="179"/>
      <c r="D474" s="158"/>
      <c r="E474" s="160"/>
      <c r="F474" s="161"/>
      <c r="G474" s="161"/>
      <c r="H474" s="161"/>
      <c r="I474" s="154"/>
      <c r="J474" s="418"/>
      <c r="K474" s="419"/>
      <c r="L474" s="154"/>
      <c r="M474" s="418"/>
      <c r="N474" s="419"/>
      <c r="O474" s="150"/>
      <c r="P474" s="164"/>
      <c r="Q474" s="154"/>
      <c r="R474" s="174"/>
      <c r="S474" s="523"/>
      <c r="T474" s="523"/>
      <c r="U474" s="154"/>
      <c r="V474" s="155"/>
      <c r="W474" s="156"/>
      <c r="X474" s="154"/>
      <c r="Y474" s="155"/>
      <c r="Z474" s="155"/>
      <c r="AA474" s="157"/>
      <c r="AB474" s="217"/>
      <c r="AC474" s="150"/>
      <c r="AD474" s="151"/>
      <c r="AE474" s="152"/>
      <c r="AF474" s="506"/>
      <c r="AG474" s="463"/>
      <c r="AH474" s="150"/>
      <c r="AI474" s="152"/>
      <c r="AJ474" s="150"/>
      <c r="AK474" s="152"/>
      <c r="AL474" s="150"/>
      <c r="AM474" s="152"/>
      <c r="AN474" s="150"/>
      <c r="AO474" s="151"/>
      <c r="AP474" s="151"/>
      <c r="AQ474" s="169"/>
      <c r="AR474" s="169"/>
      <c r="AS474" s="149"/>
      <c r="AT474" s="324"/>
      <c r="AU474" s="324"/>
      <c r="AV474" s="324"/>
      <c r="AW474" s="324"/>
      <c r="AX474" s="324"/>
      <c r="AY474" s="324"/>
      <c r="AZ474" s="154"/>
      <c r="BA474" s="419"/>
      <c r="BB474" s="419"/>
      <c r="BC474" s="419"/>
      <c r="BD474" s="419"/>
      <c r="BE474" s="418"/>
      <c r="BF474" s="154"/>
      <c r="BG474" s="419"/>
      <c r="BH474" s="419"/>
      <c r="BI474" s="419"/>
      <c r="BJ474" s="419"/>
      <c r="BK474" s="418"/>
      <c r="BL474" s="36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561"/>
    </row>
    <row r="475" spans="1:74" s="2" customFormat="1" ht="24.9" customHeight="1">
      <c r="A475" s="147" t="s">
        <v>85</v>
      </c>
      <c r="B475" s="158"/>
      <c r="C475" s="179"/>
      <c r="D475" s="158"/>
      <c r="E475" s="160"/>
      <c r="F475" s="161"/>
      <c r="G475" s="161"/>
      <c r="H475" s="161"/>
      <c r="I475" s="154"/>
      <c r="J475" s="418"/>
      <c r="K475" s="419"/>
      <c r="L475" s="154"/>
      <c r="M475" s="418"/>
      <c r="N475" s="419"/>
      <c r="O475" s="150"/>
      <c r="P475" s="164"/>
      <c r="Q475" s="154"/>
      <c r="R475" s="174"/>
      <c r="S475" s="523"/>
      <c r="T475" s="523"/>
      <c r="U475" s="154"/>
      <c r="V475" s="155"/>
      <c r="W475" s="156"/>
      <c r="X475" s="154"/>
      <c r="Y475" s="155"/>
      <c r="Z475" s="155"/>
      <c r="AA475" s="157"/>
      <c r="AB475" s="217"/>
      <c r="AC475" s="150"/>
      <c r="AD475" s="151"/>
      <c r="AE475" s="152"/>
      <c r="AF475" s="506"/>
      <c r="AG475" s="463"/>
      <c r="AH475" s="150"/>
      <c r="AI475" s="152"/>
      <c r="AJ475" s="150"/>
      <c r="AK475" s="152"/>
      <c r="AL475" s="150"/>
      <c r="AM475" s="152"/>
      <c r="AN475" s="150"/>
      <c r="AO475" s="151"/>
      <c r="AP475" s="151"/>
      <c r="AQ475" s="169"/>
      <c r="AR475" s="169"/>
      <c r="AS475" s="149"/>
      <c r="AT475" s="324"/>
      <c r="AU475" s="324"/>
      <c r="AV475" s="324"/>
      <c r="AW475" s="324"/>
      <c r="AX475" s="324"/>
      <c r="AY475" s="324"/>
      <c r="AZ475" s="154"/>
      <c r="BA475" s="419"/>
      <c r="BB475" s="419"/>
      <c r="BC475" s="419"/>
      <c r="BD475" s="419"/>
      <c r="BE475" s="418"/>
      <c r="BF475" s="154"/>
      <c r="BG475" s="419"/>
      <c r="BH475" s="419"/>
      <c r="BI475" s="419"/>
      <c r="BJ475" s="419"/>
      <c r="BK475" s="418"/>
      <c r="BL475" s="36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431"/>
    </row>
    <row r="476" spans="1:74" s="2" customFormat="1" ht="24.9" customHeight="1">
      <c r="A476" s="147" t="s">
        <v>85</v>
      </c>
      <c r="B476" s="158"/>
      <c r="C476" s="179"/>
      <c r="D476" s="158"/>
      <c r="E476" s="160"/>
      <c r="F476" s="161"/>
      <c r="G476" s="161"/>
      <c r="H476" s="161"/>
      <c r="I476" s="154"/>
      <c r="J476" s="418"/>
      <c r="K476" s="419"/>
      <c r="L476" s="154"/>
      <c r="M476" s="418"/>
      <c r="N476" s="419"/>
      <c r="O476" s="150"/>
      <c r="P476" s="164"/>
      <c r="Q476" s="154"/>
      <c r="R476" s="174"/>
      <c r="S476" s="523"/>
      <c r="T476" s="523"/>
      <c r="U476" s="154"/>
      <c r="V476" s="155"/>
      <c r="W476" s="156"/>
      <c r="X476" s="154"/>
      <c r="Y476" s="155"/>
      <c r="Z476" s="155"/>
      <c r="AA476" s="157"/>
      <c r="AB476" s="217"/>
      <c r="AC476" s="150"/>
      <c r="AD476" s="151"/>
      <c r="AE476" s="152"/>
      <c r="AF476" s="506"/>
      <c r="AG476" s="463"/>
      <c r="AH476" s="150"/>
      <c r="AI476" s="152"/>
      <c r="AJ476" s="150"/>
      <c r="AK476" s="152"/>
      <c r="AL476" s="150"/>
      <c r="AM476" s="152"/>
      <c r="AN476" s="150"/>
      <c r="AO476" s="151"/>
      <c r="AP476" s="151"/>
      <c r="AQ476" s="169"/>
      <c r="AR476" s="169"/>
      <c r="AS476" s="149"/>
      <c r="AT476" s="324"/>
      <c r="AU476" s="324"/>
      <c r="AV476" s="324"/>
      <c r="AW476" s="324"/>
      <c r="AX476" s="324"/>
      <c r="AY476" s="324"/>
      <c r="AZ476" s="154"/>
      <c r="BA476" s="419"/>
      <c r="BB476" s="419"/>
      <c r="BC476" s="419"/>
      <c r="BD476" s="419"/>
      <c r="BE476" s="418"/>
      <c r="BF476" s="154"/>
      <c r="BG476" s="419"/>
      <c r="BH476" s="419"/>
      <c r="BI476" s="419"/>
      <c r="BJ476" s="419"/>
      <c r="BK476" s="418"/>
      <c r="BL476" s="36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561"/>
    </row>
    <row r="477" spans="1:74" s="2" customFormat="1" ht="24.9" customHeight="1">
      <c r="A477" s="147" t="s">
        <v>85</v>
      </c>
      <c r="B477" s="158"/>
      <c r="C477" s="179"/>
      <c r="D477" s="158"/>
      <c r="E477" s="160"/>
      <c r="F477" s="161"/>
      <c r="G477" s="161"/>
      <c r="H477" s="161"/>
      <c r="I477" s="154"/>
      <c r="J477" s="418"/>
      <c r="K477" s="419"/>
      <c r="L477" s="154"/>
      <c r="M477" s="418"/>
      <c r="N477" s="419"/>
      <c r="O477" s="150"/>
      <c r="P477" s="164"/>
      <c r="Q477" s="154"/>
      <c r="R477" s="174"/>
      <c r="S477" s="523"/>
      <c r="T477" s="523"/>
      <c r="U477" s="154"/>
      <c r="V477" s="155"/>
      <c r="W477" s="156"/>
      <c r="X477" s="154"/>
      <c r="Y477" s="155"/>
      <c r="Z477" s="155"/>
      <c r="AA477" s="157"/>
      <c r="AB477" s="217"/>
      <c r="AC477" s="150"/>
      <c r="AD477" s="151"/>
      <c r="AE477" s="152"/>
      <c r="AF477" s="506"/>
      <c r="AG477" s="463"/>
      <c r="AH477" s="150"/>
      <c r="AI477" s="152"/>
      <c r="AJ477" s="150"/>
      <c r="AK477" s="152"/>
      <c r="AL477" s="150"/>
      <c r="AM477" s="152"/>
      <c r="AN477" s="150"/>
      <c r="AO477" s="151"/>
      <c r="AP477" s="151"/>
      <c r="AQ477" s="169"/>
      <c r="AR477" s="169"/>
      <c r="AS477" s="149"/>
      <c r="AT477" s="324"/>
      <c r="AU477" s="324"/>
      <c r="AV477" s="324"/>
      <c r="AW477" s="324"/>
      <c r="AX477" s="324"/>
      <c r="AY477" s="324"/>
      <c r="AZ477" s="154"/>
      <c r="BA477" s="419"/>
      <c r="BB477" s="419"/>
      <c r="BC477" s="419"/>
      <c r="BD477" s="419"/>
      <c r="BE477" s="418"/>
      <c r="BF477" s="154"/>
      <c r="BG477" s="419"/>
      <c r="BH477" s="419"/>
      <c r="BI477" s="419"/>
      <c r="BJ477" s="419"/>
      <c r="BK477" s="418"/>
      <c r="BL477" s="36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431"/>
    </row>
    <row r="478" spans="1:74" s="2" customFormat="1" ht="24.9" customHeight="1">
      <c r="A478" s="147" t="s">
        <v>85</v>
      </c>
      <c r="B478" s="158"/>
      <c r="C478" s="179"/>
      <c r="D478" s="158"/>
      <c r="E478" s="160"/>
      <c r="F478" s="161"/>
      <c r="G478" s="161"/>
      <c r="H478" s="161"/>
      <c r="I478" s="154"/>
      <c r="J478" s="418"/>
      <c r="K478" s="419"/>
      <c r="L478" s="154"/>
      <c r="M478" s="418"/>
      <c r="N478" s="419"/>
      <c r="O478" s="150"/>
      <c r="P478" s="164"/>
      <c r="Q478" s="154"/>
      <c r="R478" s="151"/>
      <c r="S478" s="522"/>
      <c r="T478" s="522"/>
      <c r="U478" s="154"/>
      <c r="V478" s="155"/>
      <c r="W478" s="156"/>
      <c r="X478" s="154"/>
      <c r="Y478" s="155"/>
      <c r="Z478" s="155"/>
      <c r="AA478" s="157"/>
      <c r="AB478" s="217"/>
      <c r="AC478" s="150"/>
      <c r="AD478" s="151"/>
      <c r="AE478" s="152"/>
      <c r="AF478" s="506"/>
      <c r="AG478" s="463"/>
      <c r="AH478" s="150"/>
      <c r="AI478" s="152"/>
      <c r="AJ478" s="150"/>
      <c r="AK478" s="152"/>
      <c r="AL478" s="150"/>
      <c r="AM478" s="152"/>
      <c r="AN478" s="150"/>
      <c r="AO478" s="151"/>
      <c r="AP478" s="151"/>
      <c r="AQ478" s="169"/>
      <c r="AR478" s="169"/>
      <c r="AS478" s="149"/>
      <c r="AT478" s="324"/>
      <c r="AU478" s="324"/>
      <c r="AV478" s="324"/>
      <c r="AW478" s="324"/>
      <c r="AX478" s="324"/>
      <c r="AY478" s="324"/>
      <c r="AZ478" s="154"/>
      <c r="BA478" s="419"/>
      <c r="BB478" s="419"/>
      <c r="BC478" s="419"/>
      <c r="BD478" s="419"/>
      <c r="BE478" s="418"/>
      <c r="BF478" s="154"/>
      <c r="BG478" s="419"/>
      <c r="BH478" s="419"/>
      <c r="BI478" s="419"/>
      <c r="BJ478" s="419"/>
      <c r="BK478" s="418"/>
      <c r="BL478" s="36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432"/>
    </row>
    <row r="479" spans="1:74" s="2" customFormat="1" ht="24.9" customHeight="1">
      <c r="A479" s="147" t="s">
        <v>85</v>
      </c>
      <c r="B479" s="158"/>
      <c r="C479" s="179"/>
      <c r="D479" s="158"/>
      <c r="E479" s="160"/>
      <c r="F479" s="161"/>
      <c r="G479" s="161"/>
      <c r="H479" s="161"/>
      <c r="I479" s="154"/>
      <c r="J479" s="418"/>
      <c r="K479" s="419"/>
      <c r="L479" s="154"/>
      <c r="M479" s="418"/>
      <c r="N479" s="419"/>
      <c r="O479" s="150"/>
      <c r="P479" s="164"/>
      <c r="Q479" s="154"/>
      <c r="R479" s="174"/>
      <c r="S479" s="523"/>
      <c r="T479" s="523"/>
      <c r="U479" s="154"/>
      <c r="V479" s="155"/>
      <c r="W479" s="156"/>
      <c r="X479" s="154"/>
      <c r="Y479" s="155"/>
      <c r="Z479" s="155"/>
      <c r="AA479" s="157"/>
      <c r="AB479" s="217"/>
      <c r="AC479" s="150"/>
      <c r="AD479" s="151"/>
      <c r="AE479" s="152"/>
      <c r="AF479" s="506"/>
      <c r="AG479" s="463"/>
      <c r="AH479" s="150"/>
      <c r="AI479" s="152"/>
      <c r="AJ479" s="150"/>
      <c r="AK479" s="152"/>
      <c r="AL479" s="150"/>
      <c r="AM479" s="152"/>
      <c r="AN479" s="150"/>
      <c r="AO479" s="151"/>
      <c r="AP479" s="151"/>
      <c r="AQ479" s="169"/>
      <c r="AR479" s="169"/>
      <c r="AS479" s="149"/>
      <c r="AT479" s="324"/>
      <c r="AU479" s="324"/>
      <c r="AV479" s="324"/>
      <c r="AW479" s="324"/>
      <c r="AX479" s="324"/>
      <c r="AY479" s="324"/>
      <c r="AZ479" s="154"/>
      <c r="BA479" s="419"/>
      <c r="BB479" s="419"/>
      <c r="BC479" s="419"/>
      <c r="BD479" s="419"/>
      <c r="BE479" s="418"/>
      <c r="BF479" s="154"/>
      <c r="BG479" s="419"/>
      <c r="BH479" s="419"/>
      <c r="BI479" s="419"/>
      <c r="BJ479" s="419"/>
      <c r="BK479" s="418"/>
      <c r="BL479" s="36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561"/>
    </row>
    <row r="480" spans="1:74" s="2" customFormat="1" ht="24.9" customHeight="1">
      <c r="A480" s="147" t="s">
        <v>85</v>
      </c>
      <c r="B480" s="158"/>
      <c r="C480" s="179"/>
      <c r="D480" s="158"/>
      <c r="E480" s="160"/>
      <c r="F480" s="161"/>
      <c r="G480" s="161"/>
      <c r="H480" s="161"/>
      <c r="I480" s="154"/>
      <c r="J480" s="418"/>
      <c r="K480" s="419"/>
      <c r="L480" s="154"/>
      <c r="M480" s="418"/>
      <c r="N480" s="419"/>
      <c r="O480" s="150"/>
      <c r="P480" s="164"/>
      <c r="Q480" s="154"/>
      <c r="R480" s="174"/>
      <c r="S480" s="523"/>
      <c r="T480" s="523"/>
      <c r="U480" s="154"/>
      <c r="V480" s="155"/>
      <c r="W480" s="156"/>
      <c r="X480" s="154"/>
      <c r="Y480" s="155"/>
      <c r="Z480" s="155"/>
      <c r="AA480" s="157"/>
      <c r="AB480" s="217"/>
      <c r="AC480" s="150"/>
      <c r="AD480" s="151"/>
      <c r="AE480" s="152"/>
      <c r="AF480" s="506"/>
      <c r="AG480" s="463"/>
      <c r="AH480" s="150"/>
      <c r="AI480" s="152"/>
      <c r="AJ480" s="150"/>
      <c r="AK480" s="152"/>
      <c r="AL480" s="150"/>
      <c r="AM480" s="152"/>
      <c r="AN480" s="150"/>
      <c r="AO480" s="151"/>
      <c r="AP480" s="151"/>
      <c r="AQ480" s="169"/>
      <c r="AR480" s="169"/>
      <c r="AS480" s="149"/>
      <c r="AT480" s="324"/>
      <c r="AU480" s="324"/>
      <c r="AV480" s="324"/>
      <c r="AW480" s="324"/>
      <c r="AX480" s="324"/>
      <c r="AY480" s="324"/>
      <c r="AZ480" s="154"/>
      <c r="BA480" s="419"/>
      <c r="BB480" s="419"/>
      <c r="BC480" s="419"/>
      <c r="BD480" s="419"/>
      <c r="BE480" s="418"/>
      <c r="BF480" s="154"/>
      <c r="BG480" s="419"/>
      <c r="BH480" s="419"/>
      <c r="BI480" s="419"/>
      <c r="BJ480" s="419"/>
      <c r="BK480" s="418"/>
      <c r="BL480" s="36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431"/>
    </row>
    <row r="481" spans="1:74" s="2" customFormat="1" ht="24.9" customHeight="1">
      <c r="A481" s="147" t="s">
        <v>85</v>
      </c>
      <c r="B481" s="158"/>
      <c r="C481" s="179"/>
      <c r="D481" s="158"/>
      <c r="E481" s="160"/>
      <c r="F481" s="161"/>
      <c r="G481" s="161"/>
      <c r="H481" s="161"/>
      <c r="I481" s="154"/>
      <c r="J481" s="418"/>
      <c r="K481" s="419"/>
      <c r="L481" s="154"/>
      <c r="M481" s="418"/>
      <c r="N481" s="419"/>
      <c r="O481" s="150"/>
      <c r="P481" s="164"/>
      <c r="Q481" s="154"/>
      <c r="R481" s="174"/>
      <c r="S481" s="523"/>
      <c r="T481" s="523"/>
      <c r="U481" s="154"/>
      <c r="V481" s="155"/>
      <c r="W481" s="156"/>
      <c r="X481" s="154"/>
      <c r="Y481" s="155"/>
      <c r="Z481" s="155"/>
      <c r="AA481" s="157"/>
      <c r="AB481" s="217"/>
      <c r="AC481" s="150"/>
      <c r="AD481" s="151"/>
      <c r="AE481" s="152"/>
      <c r="AF481" s="506"/>
      <c r="AG481" s="463"/>
      <c r="AH481" s="150"/>
      <c r="AI481" s="152"/>
      <c r="AJ481" s="150"/>
      <c r="AK481" s="152"/>
      <c r="AL481" s="150"/>
      <c r="AM481" s="152"/>
      <c r="AN481" s="150"/>
      <c r="AO481" s="151"/>
      <c r="AP481" s="151"/>
      <c r="AQ481" s="169"/>
      <c r="AR481" s="169"/>
      <c r="AS481" s="149"/>
      <c r="AT481" s="324"/>
      <c r="AU481" s="324"/>
      <c r="AV481" s="324"/>
      <c r="AW481" s="324"/>
      <c r="AX481" s="324"/>
      <c r="AY481" s="324"/>
      <c r="AZ481" s="154"/>
      <c r="BA481" s="419"/>
      <c r="BB481" s="419"/>
      <c r="BC481" s="419"/>
      <c r="BD481" s="419"/>
      <c r="BE481" s="418"/>
      <c r="BF481" s="154"/>
      <c r="BG481" s="419"/>
      <c r="BH481" s="419"/>
      <c r="BI481" s="419"/>
      <c r="BJ481" s="419"/>
      <c r="BK481" s="418"/>
      <c r="BL481" s="36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561"/>
    </row>
    <row r="482" spans="1:74" s="2" customFormat="1" ht="24.9" customHeight="1">
      <c r="A482" s="147" t="s">
        <v>85</v>
      </c>
      <c r="B482" s="158"/>
      <c r="C482" s="179"/>
      <c r="D482" s="158"/>
      <c r="E482" s="160"/>
      <c r="F482" s="161"/>
      <c r="G482" s="161"/>
      <c r="H482" s="161"/>
      <c r="I482" s="154"/>
      <c r="J482" s="418"/>
      <c r="K482" s="419"/>
      <c r="L482" s="154"/>
      <c r="M482" s="418"/>
      <c r="N482" s="419"/>
      <c r="O482" s="150"/>
      <c r="P482" s="164"/>
      <c r="Q482" s="154"/>
      <c r="R482" s="174"/>
      <c r="S482" s="523"/>
      <c r="T482" s="523"/>
      <c r="U482" s="154"/>
      <c r="V482" s="155"/>
      <c r="W482" s="156"/>
      <c r="X482" s="154"/>
      <c r="Y482" s="155"/>
      <c r="Z482" s="155"/>
      <c r="AA482" s="157"/>
      <c r="AB482" s="217"/>
      <c r="AC482" s="150"/>
      <c r="AD482" s="151"/>
      <c r="AE482" s="152"/>
      <c r="AF482" s="506"/>
      <c r="AG482" s="463"/>
      <c r="AH482" s="150"/>
      <c r="AI482" s="152"/>
      <c r="AJ482" s="150"/>
      <c r="AK482" s="152"/>
      <c r="AL482" s="150"/>
      <c r="AM482" s="152"/>
      <c r="AN482" s="150"/>
      <c r="AO482" s="151"/>
      <c r="AP482" s="151"/>
      <c r="AQ482" s="169"/>
      <c r="AR482" s="169"/>
      <c r="AS482" s="149"/>
      <c r="AT482" s="324"/>
      <c r="AU482" s="324"/>
      <c r="AV482" s="324"/>
      <c r="AW482" s="324"/>
      <c r="AX482" s="324"/>
      <c r="AY482" s="324"/>
      <c r="AZ482" s="154"/>
      <c r="BA482" s="419"/>
      <c r="BB482" s="419"/>
      <c r="BC482" s="419"/>
      <c r="BD482" s="419"/>
      <c r="BE482" s="418"/>
      <c r="BF482" s="154"/>
      <c r="BG482" s="419"/>
      <c r="BH482" s="419"/>
      <c r="BI482" s="419"/>
      <c r="BJ482" s="419"/>
      <c r="BK482" s="418"/>
      <c r="BL482" s="36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431"/>
    </row>
    <row r="483" spans="1:74" s="2" customFormat="1" ht="24.9" customHeight="1">
      <c r="A483" s="147" t="s">
        <v>85</v>
      </c>
      <c r="B483" s="158"/>
      <c r="C483" s="179"/>
      <c r="D483" s="158"/>
      <c r="E483" s="160"/>
      <c r="F483" s="161"/>
      <c r="G483" s="161"/>
      <c r="H483" s="161"/>
      <c r="I483" s="154"/>
      <c r="J483" s="418"/>
      <c r="K483" s="419"/>
      <c r="L483" s="154"/>
      <c r="M483" s="418"/>
      <c r="N483" s="419"/>
      <c r="O483" s="150"/>
      <c r="P483" s="164"/>
      <c r="Q483" s="154"/>
      <c r="R483" s="174"/>
      <c r="S483" s="523"/>
      <c r="T483" s="523"/>
      <c r="U483" s="154"/>
      <c r="V483" s="155"/>
      <c r="W483" s="156"/>
      <c r="X483" s="154"/>
      <c r="Y483" s="155"/>
      <c r="Z483" s="155"/>
      <c r="AA483" s="157"/>
      <c r="AB483" s="217"/>
      <c r="AC483" s="150"/>
      <c r="AD483" s="151"/>
      <c r="AE483" s="152"/>
      <c r="AF483" s="506"/>
      <c r="AG483" s="463"/>
      <c r="AH483" s="150"/>
      <c r="AI483" s="152"/>
      <c r="AJ483" s="150"/>
      <c r="AK483" s="152"/>
      <c r="AL483" s="150"/>
      <c r="AM483" s="152"/>
      <c r="AN483" s="150"/>
      <c r="AO483" s="151"/>
      <c r="AP483" s="151"/>
      <c r="AQ483" s="169"/>
      <c r="AR483" s="169"/>
      <c r="AS483" s="149"/>
      <c r="AT483" s="324"/>
      <c r="AU483" s="324"/>
      <c r="AV483" s="324"/>
      <c r="AW483" s="324"/>
      <c r="AX483" s="324"/>
      <c r="AY483" s="324"/>
      <c r="AZ483" s="154"/>
      <c r="BA483" s="419"/>
      <c r="BB483" s="419"/>
      <c r="BC483" s="419"/>
      <c r="BD483" s="419"/>
      <c r="BE483" s="418"/>
      <c r="BF483" s="154"/>
      <c r="BG483" s="419"/>
      <c r="BH483" s="419"/>
      <c r="BI483" s="419"/>
      <c r="BJ483" s="419"/>
      <c r="BK483" s="418"/>
      <c r="BL483" s="36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561"/>
    </row>
    <row r="484" spans="1:74" s="2" customFormat="1" ht="24.9" customHeight="1">
      <c r="A484" s="147" t="s">
        <v>85</v>
      </c>
      <c r="B484" s="158"/>
      <c r="C484" s="179"/>
      <c r="D484" s="158"/>
      <c r="E484" s="160"/>
      <c r="F484" s="161"/>
      <c r="G484" s="161"/>
      <c r="H484" s="161"/>
      <c r="I484" s="154"/>
      <c r="J484" s="418"/>
      <c r="K484" s="419"/>
      <c r="L484" s="154"/>
      <c r="M484" s="418"/>
      <c r="N484" s="419"/>
      <c r="O484" s="150"/>
      <c r="P484" s="164"/>
      <c r="Q484" s="154"/>
      <c r="R484" s="174"/>
      <c r="S484" s="523"/>
      <c r="T484" s="523"/>
      <c r="U484" s="154"/>
      <c r="V484" s="155"/>
      <c r="W484" s="156"/>
      <c r="X484" s="154"/>
      <c r="Y484" s="155"/>
      <c r="Z484" s="155"/>
      <c r="AA484" s="157"/>
      <c r="AB484" s="217"/>
      <c r="AC484" s="150"/>
      <c r="AD484" s="151"/>
      <c r="AE484" s="152"/>
      <c r="AF484" s="506"/>
      <c r="AG484" s="463"/>
      <c r="AH484" s="150"/>
      <c r="AI484" s="152"/>
      <c r="AJ484" s="150"/>
      <c r="AK484" s="152"/>
      <c r="AL484" s="150"/>
      <c r="AM484" s="152"/>
      <c r="AN484" s="150"/>
      <c r="AO484" s="151"/>
      <c r="AP484" s="151"/>
      <c r="AQ484" s="169"/>
      <c r="AR484" s="169"/>
      <c r="AS484" s="149"/>
      <c r="AT484" s="324"/>
      <c r="AU484" s="324"/>
      <c r="AV484" s="324"/>
      <c r="AW484" s="324"/>
      <c r="AX484" s="324"/>
      <c r="AY484" s="324"/>
      <c r="AZ484" s="154"/>
      <c r="BA484" s="419"/>
      <c r="BB484" s="419"/>
      <c r="BC484" s="419"/>
      <c r="BD484" s="419"/>
      <c r="BE484" s="418"/>
      <c r="BF484" s="154"/>
      <c r="BG484" s="419"/>
      <c r="BH484" s="419"/>
      <c r="BI484" s="419"/>
      <c r="BJ484" s="419"/>
      <c r="BK484" s="418"/>
      <c r="BL484" s="36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431"/>
    </row>
    <row r="485" spans="1:74" s="2" customFormat="1" ht="24.9" customHeight="1">
      <c r="A485" s="147" t="s">
        <v>85</v>
      </c>
      <c r="B485" s="158"/>
      <c r="C485" s="179"/>
      <c r="D485" s="158"/>
      <c r="E485" s="160"/>
      <c r="F485" s="161"/>
      <c r="G485" s="161"/>
      <c r="H485" s="161"/>
      <c r="I485" s="154"/>
      <c r="J485" s="418"/>
      <c r="K485" s="419"/>
      <c r="L485" s="154"/>
      <c r="M485" s="418"/>
      <c r="N485" s="419"/>
      <c r="O485" s="150"/>
      <c r="P485" s="164"/>
      <c r="Q485" s="154"/>
      <c r="R485" s="151"/>
      <c r="S485" s="522"/>
      <c r="T485" s="522"/>
      <c r="U485" s="154"/>
      <c r="V485" s="155"/>
      <c r="W485" s="156"/>
      <c r="X485" s="154"/>
      <c r="Y485" s="155"/>
      <c r="Z485" s="155"/>
      <c r="AA485" s="157"/>
      <c r="AB485" s="217"/>
      <c r="AC485" s="150"/>
      <c r="AD485" s="151"/>
      <c r="AE485" s="152"/>
      <c r="AF485" s="506"/>
      <c r="AG485" s="463"/>
      <c r="AH485" s="150"/>
      <c r="AI485" s="152"/>
      <c r="AJ485" s="150"/>
      <c r="AK485" s="152"/>
      <c r="AL485" s="150"/>
      <c r="AM485" s="152"/>
      <c r="AN485" s="150"/>
      <c r="AO485" s="151"/>
      <c r="AP485" s="151"/>
      <c r="AQ485" s="169"/>
      <c r="AR485" s="169"/>
      <c r="AS485" s="149"/>
      <c r="AT485" s="324"/>
      <c r="AU485" s="324"/>
      <c r="AV485" s="324"/>
      <c r="AW485" s="324"/>
      <c r="AX485" s="324"/>
      <c r="AY485" s="324"/>
      <c r="AZ485" s="154"/>
      <c r="BA485" s="419"/>
      <c r="BB485" s="419"/>
      <c r="BC485" s="419"/>
      <c r="BD485" s="419"/>
      <c r="BE485" s="418"/>
      <c r="BF485" s="154"/>
      <c r="BG485" s="419"/>
      <c r="BH485" s="419"/>
      <c r="BI485" s="419"/>
      <c r="BJ485" s="419"/>
      <c r="BK485" s="418"/>
      <c r="BL485" s="36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432"/>
    </row>
    <row r="486" spans="1:74" s="2" customFormat="1" ht="24.9" customHeight="1">
      <c r="A486" s="147" t="s">
        <v>85</v>
      </c>
      <c r="B486" s="158"/>
      <c r="C486" s="179"/>
      <c r="D486" s="158"/>
      <c r="E486" s="160"/>
      <c r="F486" s="161"/>
      <c r="G486" s="161"/>
      <c r="H486" s="161"/>
      <c r="I486" s="154"/>
      <c r="J486" s="418"/>
      <c r="K486" s="419"/>
      <c r="L486" s="154"/>
      <c r="M486" s="418"/>
      <c r="N486" s="419"/>
      <c r="O486" s="150"/>
      <c r="P486" s="164"/>
      <c r="Q486" s="154"/>
      <c r="R486" s="174"/>
      <c r="S486" s="523"/>
      <c r="T486" s="523"/>
      <c r="U486" s="154"/>
      <c r="V486" s="155"/>
      <c r="W486" s="156"/>
      <c r="X486" s="154"/>
      <c r="Y486" s="155"/>
      <c r="Z486" s="155"/>
      <c r="AA486" s="157"/>
      <c r="AB486" s="217"/>
      <c r="AC486" s="150"/>
      <c r="AD486" s="151"/>
      <c r="AE486" s="152"/>
      <c r="AF486" s="506"/>
      <c r="AG486" s="463"/>
      <c r="AH486" s="150"/>
      <c r="AI486" s="152"/>
      <c r="AJ486" s="150"/>
      <c r="AK486" s="152"/>
      <c r="AL486" s="150"/>
      <c r="AM486" s="152"/>
      <c r="AN486" s="150"/>
      <c r="AO486" s="151"/>
      <c r="AP486" s="151"/>
      <c r="AQ486" s="169"/>
      <c r="AR486" s="169"/>
      <c r="AS486" s="149"/>
      <c r="AT486" s="324"/>
      <c r="AU486" s="324"/>
      <c r="AV486" s="324"/>
      <c r="AW486" s="324"/>
      <c r="AX486" s="324"/>
      <c r="AY486" s="324"/>
      <c r="AZ486" s="154"/>
      <c r="BA486" s="419"/>
      <c r="BB486" s="419"/>
      <c r="BC486" s="419"/>
      <c r="BD486" s="419"/>
      <c r="BE486" s="418"/>
      <c r="BF486" s="154"/>
      <c r="BG486" s="419"/>
      <c r="BH486" s="419"/>
      <c r="BI486" s="419"/>
      <c r="BJ486" s="419"/>
      <c r="BK486" s="418"/>
      <c r="BL486" s="36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561"/>
    </row>
    <row r="487" spans="1:74" s="2" customFormat="1" ht="24.9" customHeight="1">
      <c r="A487" s="147" t="s">
        <v>85</v>
      </c>
      <c r="B487" s="158"/>
      <c r="C487" s="179"/>
      <c r="D487" s="158"/>
      <c r="E487" s="160"/>
      <c r="F487" s="161"/>
      <c r="G487" s="161"/>
      <c r="H487" s="161"/>
      <c r="I487" s="154"/>
      <c r="J487" s="418"/>
      <c r="K487" s="419"/>
      <c r="L487" s="154"/>
      <c r="M487" s="418"/>
      <c r="N487" s="419"/>
      <c r="O487" s="150"/>
      <c r="P487" s="164"/>
      <c r="Q487" s="154"/>
      <c r="R487" s="174"/>
      <c r="S487" s="523"/>
      <c r="T487" s="523"/>
      <c r="U487" s="154"/>
      <c r="V487" s="155"/>
      <c r="W487" s="156"/>
      <c r="X487" s="154"/>
      <c r="Y487" s="155"/>
      <c r="Z487" s="155"/>
      <c r="AA487" s="157"/>
      <c r="AB487" s="217"/>
      <c r="AC487" s="150"/>
      <c r="AD487" s="151"/>
      <c r="AE487" s="152"/>
      <c r="AF487" s="506"/>
      <c r="AG487" s="463"/>
      <c r="AH487" s="150"/>
      <c r="AI487" s="152"/>
      <c r="AJ487" s="150"/>
      <c r="AK487" s="152"/>
      <c r="AL487" s="150"/>
      <c r="AM487" s="152"/>
      <c r="AN487" s="150"/>
      <c r="AO487" s="151"/>
      <c r="AP487" s="151"/>
      <c r="AQ487" s="169"/>
      <c r="AR487" s="169"/>
      <c r="AS487" s="149"/>
      <c r="AT487" s="324"/>
      <c r="AU487" s="324"/>
      <c r="AV487" s="324"/>
      <c r="AW487" s="324"/>
      <c r="AX487" s="324"/>
      <c r="AY487" s="324"/>
      <c r="AZ487" s="154"/>
      <c r="BA487" s="419"/>
      <c r="BB487" s="419"/>
      <c r="BC487" s="419"/>
      <c r="BD487" s="419"/>
      <c r="BE487" s="418"/>
      <c r="BF487" s="154"/>
      <c r="BG487" s="419"/>
      <c r="BH487" s="419"/>
      <c r="BI487" s="419"/>
      <c r="BJ487" s="419"/>
      <c r="BK487" s="418"/>
      <c r="BL487" s="36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431"/>
    </row>
    <row r="488" spans="1:74" s="2" customFormat="1" ht="24.9" customHeight="1">
      <c r="A488" s="147" t="s">
        <v>85</v>
      </c>
      <c r="B488" s="158"/>
      <c r="C488" s="179"/>
      <c r="D488" s="158"/>
      <c r="E488" s="160"/>
      <c r="F488" s="161"/>
      <c r="G488" s="161"/>
      <c r="H488" s="161"/>
      <c r="I488" s="154"/>
      <c r="J488" s="418"/>
      <c r="K488" s="419"/>
      <c r="L488" s="154"/>
      <c r="M488" s="418"/>
      <c r="N488" s="419"/>
      <c r="O488" s="150"/>
      <c r="P488" s="164"/>
      <c r="Q488" s="154"/>
      <c r="R488" s="174"/>
      <c r="S488" s="523"/>
      <c r="T488" s="523"/>
      <c r="U488" s="154"/>
      <c r="V488" s="155"/>
      <c r="W488" s="156"/>
      <c r="X488" s="154"/>
      <c r="Y488" s="155"/>
      <c r="Z488" s="155"/>
      <c r="AA488" s="157"/>
      <c r="AB488" s="217"/>
      <c r="AC488" s="150"/>
      <c r="AD488" s="151"/>
      <c r="AE488" s="152"/>
      <c r="AF488" s="506"/>
      <c r="AG488" s="463"/>
      <c r="AH488" s="150"/>
      <c r="AI488" s="152"/>
      <c r="AJ488" s="150"/>
      <c r="AK488" s="152"/>
      <c r="AL488" s="150"/>
      <c r="AM488" s="152"/>
      <c r="AN488" s="150"/>
      <c r="AO488" s="151"/>
      <c r="AP488" s="151"/>
      <c r="AQ488" s="169"/>
      <c r="AR488" s="169"/>
      <c r="AS488" s="149"/>
      <c r="AT488" s="324"/>
      <c r="AU488" s="324"/>
      <c r="AV488" s="324"/>
      <c r="AW488" s="324"/>
      <c r="AX488" s="324"/>
      <c r="AY488" s="324"/>
      <c r="AZ488" s="154"/>
      <c r="BA488" s="419"/>
      <c r="BB488" s="419"/>
      <c r="BC488" s="419"/>
      <c r="BD488" s="419"/>
      <c r="BE488" s="418"/>
      <c r="BF488" s="154"/>
      <c r="BG488" s="419"/>
      <c r="BH488" s="419"/>
      <c r="BI488" s="419"/>
      <c r="BJ488" s="419"/>
      <c r="BK488" s="418"/>
      <c r="BL488" s="36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432"/>
    </row>
    <row r="489" spans="1:74" s="2" customFormat="1" ht="24.9" customHeight="1">
      <c r="A489" s="147" t="s">
        <v>85</v>
      </c>
      <c r="B489" s="158"/>
      <c r="C489" s="179"/>
      <c r="D489" s="158"/>
      <c r="E489" s="160"/>
      <c r="F489" s="161"/>
      <c r="G489" s="161"/>
      <c r="H489" s="161"/>
      <c r="I489" s="154"/>
      <c r="J489" s="418"/>
      <c r="K489" s="419"/>
      <c r="L489" s="154"/>
      <c r="M489" s="418"/>
      <c r="N489" s="419"/>
      <c r="O489" s="150"/>
      <c r="P489" s="164"/>
      <c r="Q489" s="154"/>
      <c r="R489" s="151"/>
      <c r="S489" s="522"/>
      <c r="T489" s="522"/>
      <c r="U489" s="154"/>
      <c r="V489" s="155"/>
      <c r="W489" s="156"/>
      <c r="X489" s="154"/>
      <c r="Y489" s="155"/>
      <c r="Z489" s="155"/>
      <c r="AA489" s="157"/>
      <c r="AB489" s="217"/>
      <c r="AC489" s="150"/>
      <c r="AD489" s="151"/>
      <c r="AE489" s="152"/>
      <c r="AF489" s="506"/>
      <c r="AG489" s="463"/>
      <c r="AH489" s="150"/>
      <c r="AI489" s="152"/>
      <c r="AJ489" s="150"/>
      <c r="AK489" s="152"/>
      <c r="AL489" s="150"/>
      <c r="AM489" s="152"/>
      <c r="AN489" s="150"/>
      <c r="AO489" s="151"/>
      <c r="AP489" s="151"/>
      <c r="AQ489" s="169"/>
      <c r="AR489" s="169"/>
      <c r="AS489" s="149"/>
      <c r="AT489" s="324"/>
      <c r="AU489" s="324"/>
      <c r="AV489" s="324"/>
      <c r="AW489" s="324"/>
      <c r="AX489" s="324"/>
      <c r="AY489" s="324"/>
      <c r="AZ489" s="154"/>
      <c r="BA489" s="419"/>
      <c r="BB489" s="419"/>
      <c r="BC489" s="419"/>
      <c r="BD489" s="419"/>
      <c r="BE489" s="418"/>
      <c r="BF489" s="154"/>
      <c r="BG489" s="419"/>
      <c r="BH489" s="419"/>
      <c r="BI489" s="419"/>
      <c r="BJ489" s="419"/>
      <c r="BK489" s="418"/>
      <c r="BL489" s="36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561"/>
    </row>
    <row r="490" spans="1:74" s="2" customFormat="1" ht="24.9" customHeight="1">
      <c r="A490" s="147" t="s">
        <v>85</v>
      </c>
      <c r="B490" s="158"/>
      <c r="C490" s="179"/>
      <c r="D490" s="158"/>
      <c r="E490" s="160"/>
      <c r="F490" s="161"/>
      <c r="G490" s="161"/>
      <c r="H490" s="161"/>
      <c r="I490" s="154"/>
      <c r="J490" s="418"/>
      <c r="K490" s="419"/>
      <c r="L490" s="154"/>
      <c r="M490" s="418"/>
      <c r="N490" s="419"/>
      <c r="O490" s="150"/>
      <c r="P490" s="164"/>
      <c r="Q490" s="154"/>
      <c r="R490" s="174"/>
      <c r="S490" s="523"/>
      <c r="T490" s="523"/>
      <c r="U490" s="154"/>
      <c r="V490" s="155"/>
      <c r="W490" s="156"/>
      <c r="X490" s="154"/>
      <c r="Y490" s="155"/>
      <c r="Z490" s="155"/>
      <c r="AA490" s="157"/>
      <c r="AB490" s="217"/>
      <c r="AC490" s="150"/>
      <c r="AD490" s="151"/>
      <c r="AE490" s="152"/>
      <c r="AF490" s="506"/>
      <c r="AG490" s="463"/>
      <c r="AH490" s="150"/>
      <c r="AI490" s="152"/>
      <c r="AJ490" s="150"/>
      <c r="AK490" s="152"/>
      <c r="AL490" s="150"/>
      <c r="AM490" s="152"/>
      <c r="AN490" s="150"/>
      <c r="AO490" s="151"/>
      <c r="AP490" s="151"/>
      <c r="AQ490" s="169"/>
      <c r="AR490" s="169"/>
      <c r="AS490" s="149"/>
      <c r="AT490" s="324"/>
      <c r="AU490" s="324"/>
      <c r="AV490" s="324"/>
      <c r="AW490" s="324"/>
      <c r="AX490" s="324"/>
      <c r="AY490" s="324"/>
      <c r="AZ490" s="154"/>
      <c r="BA490" s="419"/>
      <c r="BB490" s="419"/>
      <c r="BC490" s="419"/>
      <c r="BD490" s="419"/>
      <c r="BE490" s="418"/>
      <c r="BF490" s="154"/>
      <c r="BG490" s="419"/>
      <c r="BH490" s="419"/>
      <c r="BI490" s="419"/>
      <c r="BJ490" s="419"/>
      <c r="BK490" s="418"/>
      <c r="BL490" s="36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431"/>
    </row>
    <row r="491" spans="1:74" s="2" customFormat="1" ht="24.9" customHeight="1">
      <c r="A491" s="147" t="s">
        <v>85</v>
      </c>
      <c r="B491" s="158"/>
      <c r="C491" s="179"/>
      <c r="D491" s="158"/>
      <c r="E491" s="160"/>
      <c r="F491" s="161"/>
      <c r="G491" s="161"/>
      <c r="H491" s="161"/>
      <c r="I491" s="154"/>
      <c r="J491" s="418"/>
      <c r="K491" s="419"/>
      <c r="L491" s="154"/>
      <c r="M491" s="418"/>
      <c r="N491" s="419"/>
      <c r="O491" s="150"/>
      <c r="P491" s="164"/>
      <c r="Q491" s="154"/>
      <c r="R491" s="174"/>
      <c r="S491" s="523"/>
      <c r="T491" s="523"/>
      <c r="U491" s="154"/>
      <c r="V491" s="155"/>
      <c r="W491" s="156"/>
      <c r="X491" s="154"/>
      <c r="Y491" s="155"/>
      <c r="Z491" s="155"/>
      <c r="AA491" s="157"/>
      <c r="AB491" s="217"/>
      <c r="AC491" s="150"/>
      <c r="AD491" s="151"/>
      <c r="AE491" s="152"/>
      <c r="AF491" s="506"/>
      <c r="AG491" s="463"/>
      <c r="AH491" s="150"/>
      <c r="AI491" s="152"/>
      <c r="AJ491" s="150"/>
      <c r="AK491" s="152"/>
      <c r="AL491" s="150"/>
      <c r="AM491" s="152"/>
      <c r="AN491" s="150"/>
      <c r="AO491" s="151"/>
      <c r="AP491" s="151"/>
      <c r="AQ491" s="169"/>
      <c r="AR491" s="169"/>
      <c r="AS491" s="149"/>
      <c r="AT491" s="324"/>
      <c r="AU491" s="324"/>
      <c r="AV491" s="324"/>
      <c r="AW491" s="324"/>
      <c r="AX491" s="324"/>
      <c r="AY491" s="324"/>
      <c r="AZ491" s="154"/>
      <c r="BA491" s="419"/>
      <c r="BB491" s="419"/>
      <c r="BC491" s="419"/>
      <c r="BD491" s="419"/>
      <c r="BE491" s="418"/>
      <c r="BF491" s="154"/>
      <c r="BG491" s="419"/>
      <c r="BH491" s="419"/>
      <c r="BI491" s="419"/>
      <c r="BJ491" s="419"/>
      <c r="BK491" s="418"/>
      <c r="BL491" s="36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561"/>
    </row>
    <row r="492" spans="1:74" s="2" customFormat="1" ht="24.9" customHeight="1">
      <c r="A492" s="147" t="s">
        <v>85</v>
      </c>
      <c r="B492" s="158"/>
      <c r="C492" s="179"/>
      <c r="D492" s="158"/>
      <c r="E492" s="160"/>
      <c r="F492" s="161"/>
      <c r="G492" s="161"/>
      <c r="H492" s="161"/>
      <c r="I492" s="154"/>
      <c r="J492" s="418"/>
      <c r="K492" s="419"/>
      <c r="L492" s="154"/>
      <c r="M492" s="418"/>
      <c r="N492" s="419"/>
      <c r="O492" s="150"/>
      <c r="P492" s="164"/>
      <c r="Q492" s="154"/>
      <c r="R492" s="151"/>
      <c r="S492" s="522"/>
      <c r="T492" s="522"/>
      <c r="U492" s="154"/>
      <c r="V492" s="155"/>
      <c r="W492" s="156"/>
      <c r="X492" s="154"/>
      <c r="Y492" s="155"/>
      <c r="Z492" s="155"/>
      <c r="AA492" s="157"/>
      <c r="AB492" s="217"/>
      <c r="AC492" s="150"/>
      <c r="AD492" s="151"/>
      <c r="AE492" s="152"/>
      <c r="AF492" s="506"/>
      <c r="AG492" s="463"/>
      <c r="AH492" s="150"/>
      <c r="AI492" s="152"/>
      <c r="AJ492" s="150"/>
      <c r="AK492" s="152"/>
      <c r="AL492" s="150"/>
      <c r="AM492" s="152"/>
      <c r="AN492" s="150"/>
      <c r="AO492" s="151"/>
      <c r="AP492" s="151"/>
      <c r="AQ492" s="169"/>
      <c r="AR492" s="169"/>
      <c r="AS492" s="149"/>
      <c r="AT492" s="324"/>
      <c r="AU492" s="324"/>
      <c r="AV492" s="324"/>
      <c r="AW492" s="324"/>
      <c r="AX492" s="324"/>
      <c r="AY492" s="324"/>
      <c r="AZ492" s="154"/>
      <c r="BA492" s="419"/>
      <c r="BB492" s="419"/>
      <c r="BC492" s="419"/>
      <c r="BD492" s="419"/>
      <c r="BE492" s="418"/>
      <c r="BF492" s="154"/>
      <c r="BG492" s="419"/>
      <c r="BH492" s="419"/>
      <c r="BI492" s="419"/>
      <c r="BJ492" s="419"/>
      <c r="BK492" s="418"/>
      <c r="BL492" s="36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563"/>
    </row>
    <row r="493" spans="1:74" s="2" customFormat="1" ht="24.9" customHeight="1">
      <c r="A493" s="147" t="s">
        <v>85</v>
      </c>
      <c r="B493" s="158"/>
      <c r="C493" s="179"/>
      <c r="D493" s="158"/>
      <c r="E493" s="160"/>
      <c r="F493" s="161"/>
      <c r="G493" s="161"/>
      <c r="H493" s="161"/>
      <c r="I493" s="154"/>
      <c r="J493" s="418"/>
      <c r="K493" s="419"/>
      <c r="L493" s="154"/>
      <c r="M493" s="418"/>
      <c r="N493" s="419"/>
      <c r="O493" s="150"/>
      <c r="P493" s="164"/>
      <c r="Q493" s="154"/>
      <c r="R493" s="174"/>
      <c r="S493" s="523"/>
      <c r="T493" s="523"/>
      <c r="U493" s="154"/>
      <c r="V493" s="155"/>
      <c r="W493" s="156"/>
      <c r="X493" s="154"/>
      <c r="Y493" s="155"/>
      <c r="Z493" s="155"/>
      <c r="AA493" s="157"/>
      <c r="AB493" s="217"/>
      <c r="AC493" s="150"/>
      <c r="AD493" s="151"/>
      <c r="AE493" s="152"/>
      <c r="AF493" s="506"/>
      <c r="AG493" s="463"/>
      <c r="AH493" s="150"/>
      <c r="AI493" s="152"/>
      <c r="AJ493" s="150"/>
      <c r="AK493" s="152"/>
      <c r="AL493" s="150"/>
      <c r="AM493" s="152"/>
      <c r="AN493" s="150"/>
      <c r="AO493" s="151"/>
      <c r="AP493" s="151"/>
      <c r="AQ493" s="169"/>
      <c r="AR493" s="169"/>
      <c r="AS493" s="149"/>
      <c r="AT493" s="324"/>
      <c r="AU493" s="324"/>
      <c r="AV493" s="324"/>
      <c r="AW493" s="324"/>
      <c r="AX493" s="324"/>
      <c r="AY493" s="324"/>
      <c r="AZ493" s="154"/>
      <c r="BA493" s="419"/>
      <c r="BB493" s="419"/>
      <c r="BC493" s="419"/>
      <c r="BD493" s="419"/>
      <c r="BE493" s="418"/>
      <c r="BF493" s="154"/>
      <c r="BG493" s="419"/>
      <c r="BH493" s="419"/>
      <c r="BI493" s="419"/>
      <c r="BJ493" s="419"/>
      <c r="BK493" s="418"/>
      <c r="BL493" s="36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565"/>
    </row>
    <row r="494" spans="1:74" s="2" customFormat="1" ht="24.9" customHeight="1">
      <c r="A494" s="147" t="s">
        <v>85</v>
      </c>
      <c r="B494" s="158"/>
      <c r="C494" s="179"/>
      <c r="D494" s="158"/>
      <c r="E494" s="160"/>
      <c r="F494" s="161"/>
      <c r="G494" s="161"/>
      <c r="H494" s="161"/>
      <c r="I494" s="154"/>
      <c r="J494" s="418"/>
      <c r="K494" s="419"/>
      <c r="L494" s="154"/>
      <c r="M494" s="418"/>
      <c r="N494" s="419"/>
      <c r="O494" s="150"/>
      <c r="P494" s="164"/>
      <c r="Q494" s="154"/>
      <c r="R494" s="174"/>
      <c r="S494" s="523"/>
      <c r="T494" s="523"/>
      <c r="U494" s="154"/>
      <c r="V494" s="155"/>
      <c r="W494" s="156"/>
      <c r="X494" s="154"/>
      <c r="Y494" s="155"/>
      <c r="Z494" s="155"/>
      <c r="AA494" s="157"/>
      <c r="AB494" s="217"/>
      <c r="AC494" s="150"/>
      <c r="AD494" s="151"/>
      <c r="AE494" s="152"/>
      <c r="AF494" s="506"/>
      <c r="AG494" s="463"/>
      <c r="AH494" s="150"/>
      <c r="AI494" s="152"/>
      <c r="AJ494" s="150"/>
      <c r="AK494" s="152"/>
      <c r="AL494" s="150"/>
      <c r="AM494" s="152"/>
      <c r="AN494" s="150"/>
      <c r="AO494" s="151"/>
      <c r="AP494" s="151"/>
      <c r="AQ494" s="169"/>
      <c r="AR494" s="169"/>
      <c r="AS494" s="149"/>
      <c r="AT494" s="324"/>
      <c r="AU494" s="324"/>
      <c r="AV494" s="324"/>
      <c r="AW494" s="324"/>
      <c r="AX494" s="324"/>
      <c r="AY494" s="324"/>
      <c r="AZ494" s="154"/>
      <c r="BA494" s="419"/>
      <c r="BB494" s="419"/>
      <c r="BC494" s="419"/>
      <c r="BD494" s="419"/>
      <c r="BE494" s="418"/>
      <c r="BF494" s="154"/>
      <c r="BG494" s="419"/>
      <c r="BH494" s="419"/>
      <c r="BI494" s="419"/>
      <c r="BJ494" s="419"/>
      <c r="BK494" s="418"/>
      <c r="BL494" s="36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564"/>
    </row>
    <row r="495" spans="1:74" s="2" customFormat="1" ht="24.9" customHeight="1">
      <c r="A495" s="147" t="s">
        <v>85</v>
      </c>
      <c r="B495" s="158"/>
      <c r="C495" s="179"/>
      <c r="D495" s="158"/>
      <c r="E495" s="160"/>
      <c r="F495" s="161"/>
      <c r="G495" s="161"/>
      <c r="H495" s="161"/>
      <c r="I495" s="154"/>
      <c r="J495" s="418"/>
      <c r="K495" s="419"/>
      <c r="L495" s="154"/>
      <c r="M495" s="418"/>
      <c r="N495" s="419"/>
      <c r="O495" s="150"/>
      <c r="P495" s="164"/>
      <c r="Q495" s="154"/>
      <c r="R495" s="174"/>
      <c r="S495" s="523"/>
      <c r="T495" s="523"/>
      <c r="U495" s="154"/>
      <c r="V495" s="155"/>
      <c r="W495" s="156"/>
      <c r="X495" s="154"/>
      <c r="Y495" s="155"/>
      <c r="Z495" s="155"/>
      <c r="AA495" s="157"/>
      <c r="AB495" s="217"/>
      <c r="AC495" s="150"/>
      <c r="AD495" s="151"/>
      <c r="AE495" s="152"/>
      <c r="AF495" s="506"/>
      <c r="AG495" s="463"/>
      <c r="AH495" s="150"/>
      <c r="AI495" s="152"/>
      <c r="AJ495" s="150"/>
      <c r="AK495" s="152"/>
      <c r="AL495" s="150"/>
      <c r="AM495" s="152"/>
      <c r="AN495" s="150"/>
      <c r="AO495" s="151"/>
      <c r="AP495" s="151"/>
      <c r="AQ495" s="169"/>
      <c r="AR495" s="169"/>
      <c r="AS495" s="149"/>
      <c r="AT495" s="324"/>
      <c r="AU495" s="324"/>
      <c r="AV495" s="324"/>
      <c r="AW495" s="324"/>
      <c r="AX495" s="324"/>
      <c r="AY495" s="324"/>
      <c r="AZ495" s="154"/>
      <c r="BA495" s="419"/>
      <c r="BB495" s="419"/>
      <c r="BC495" s="419"/>
      <c r="BD495" s="419"/>
      <c r="BE495" s="418"/>
      <c r="BF495" s="154"/>
      <c r="BG495" s="419"/>
      <c r="BH495" s="419"/>
      <c r="BI495" s="419"/>
      <c r="BJ495" s="419"/>
      <c r="BK495" s="418"/>
      <c r="BL495" s="36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431"/>
    </row>
    <row r="496" spans="1:74" s="2" customFormat="1" ht="24.9" customHeight="1">
      <c r="A496" s="147" t="s">
        <v>85</v>
      </c>
      <c r="B496" s="158"/>
      <c r="C496" s="179"/>
      <c r="D496" s="158"/>
      <c r="E496" s="160"/>
      <c r="F496" s="161"/>
      <c r="G496" s="161"/>
      <c r="H496" s="161"/>
      <c r="I496" s="154"/>
      <c r="J496" s="418"/>
      <c r="K496" s="419"/>
      <c r="L496" s="154"/>
      <c r="M496" s="418"/>
      <c r="N496" s="419"/>
      <c r="O496" s="150"/>
      <c r="P496" s="164"/>
      <c r="Q496" s="154"/>
      <c r="R496" s="174"/>
      <c r="S496" s="523"/>
      <c r="T496" s="523"/>
      <c r="U496" s="154"/>
      <c r="V496" s="155"/>
      <c r="W496" s="156"/>
      <c r="X496" s="154"/>
      <c r="Y496" s="155"/>
      <c r="Z496" s="155"/>
      <c r="AA496" s="157"/>
      <c r="AB496" s="217"/>
      <c r="AC496" s="150"/>
      <c r="AD496" s="151"/>
      <c r="AE496" s="152"/>
      <c r="AF496" s="506"/>
      <c r="AG496" s="463"/>
      <c r="AH496" s="150"/>
      <c r="AI496" s="152"/>
      <c r="AJ496" s="150"/>
      <c r="AK496" s="152"/>
      <c r="AL496" s="150"/>
      <c r="AM496" s="152"/>
      <c r="AN496" s="150"/>
      <c r="AO496" s="151"/>
      <c r="AP496" s="151"/>
      <c r="AQ496" s="169"/>
      <c r="AR496" s="169"/>
      <c r="AS496" s="149"/>
      <c r="AT496" s="324"/>
      <c r="AU496" s="324"/>
      <c r="AV496" s="324"/>
      <c r="AW496" s="324"/>
      <c r="AX496" s="324"/>
      <c r="AY496" s="324"/>
      <c r="AZ496" s="154"/>
      <c r="BA496" s="419"/>
      <c r="BB496" s="419"/>
      <c r="BC496" s="419"/>
      <c r="BD496" s="419"/>
      <c r="BE496" s="418"/>
      <c r="BF496" s="154"/>
      <c r="BG496" s="419"/>
      <c r="BH496" s="419"/>
      <c r="BI496" s="419"/>
      <c r="BJ496" s="419"/>
      <c r="BK496" s="418"/>
      <c r="BL496" s="36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561"/>
    </row>
    <row r="497" spans="1:74" s="2" customFormat="1" ht="24.9" customHeight="1">
      <c r="A497" s="147" t="s">
        <v>85</v>
      </c>
      <c r="B497" s="158"/>
      <c r="C497" s="179"/>
      <c r="D497" s="158"/>
      <c r="E497" s="160"/>
      <c r="F497" s="161"/>
      <c r="G497" s="161"/>
      <c r="H497" s="161"/>
      <c r="I497" s="154"/>
      <c r="J497" s="418"/>
      <c r="K497" s="419"/>
      <c r="L497" s="154"/>
      <c r="M497" s="418"/>
      <c r="N497" s="419"/>
      <c r="O497" s="150"/>
      <c r="P497" s="164"/>
      <c r="Q497" s="154"/>
      <c r="R497" s="174"/>
      <c r="S497" s="523"/>
      <c r="T497" s="523"/>
      <c r="U497" s="154"/>
      <c r="V497" s="155"/>
      <c r="W497" s="156"/>
      <c r="X497" s="154"/>
      <c r="Y497" s="155"/>
      <c r="Z497" s="155"/>
      <c r="AA497" s="157"/>
      <c r="AB497" s="217"/>
      <c r="AC497" s="150"/>
      <c r="AD497" s="151"/>
      <c r="AE497" s="152"/>
      <c r="AF497" s="506"/>
      <c r="AG497" s="463"/>
      <c r="AH497" s="150"/>
      <c r="AI497" s="152"/>
      <c r="AJ497" s="150"/>
      <c r="AK497" s="152"/>
      <c r="AL497" s="150"/>
      <c r="AM497" s="152"/>
      <c r="AN497" s="150"/>
      <c r="AO497" s="151"/>
      <c r="AP497" s="151"/>
      <c r="AQ497" s="169"/>
      <c r="AR497" s="169"/>
      <c r="AS497" s="149"/>
      <c r="AT497" s="324"/>
      <c r="AU497" s="324"/>
      <c r="AV497" s="324"/>
      <c r="AW497" s="324"/>
      <c r="AX497" s="324"/>
      <c r="AY497" s="324"/>
      <c r="AZ497" s="154"/>
      <c r="BA497" s="419"/>
      <c r="BB497" s="419"/>
      <c r="BC497" s="419"/>
      <c r="BD497" s="419"/>
      <c r="BE497" s="418"/>
      <c r="BF497" s="154"/>
      <c r="BG497" s="419"/>
      <c r="BH497" s="419"/>
      <c r="BI497" s="419"/>
      <c r="BJ497" s="419"/>
      <c r="BK497" s="418"/>
      <c r="BL497" s="36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431"/>
    </row>
    <row r="498" spans="1:74" s="2" customFormat="1" ht="24.9" customHeight="1">
      <c r="A498" s="147" t="s">
        <v>85</v>
      </c>
      <c r="B498" s="158"/>
      <c r="C498" s="179"/>
      <c r="D498" s="158"/>
      <c r="E498" s="160"/>
      <c r="F498" s="161"/>
      <c r="G498" s="161"/>
      <c r="H498" s="161"/>
      <c r="I498" s="154"/>
      <c r="J498" s="418"/>
      <c r="K498" s="419"/>
      <c r="L498" s="154"/>
      <c r="M498" s="418"/>
      <c r="N498" s="419"/>
      <c r="O498" s="150"/>
      <c r="P498" s="164"/>
      <c r="Q498" s="154"/>
      <c r="R498" s="174"/>
      <c r="S498" s="523"/>
      <c r="T498" s="523"/>
      <c r="U498" s="154"/>
      <c r="V498" s="155"/>
      <c r="W498" s="156"/>
      <c r="X498" s="154"/>
      <c r="Y498" s="155"/>
      <c r="Z498" s="155"/>
      <c r="AA498" s="157"/>
      <c r="AB498" s="217"/>
      <c r="AC498" s="150"/>
      <c r="AD498" s="151"/>
      <c r="AE498" s="152"/>
      <c r="AF498" s="506"/>
      <c r="AG498" s="463"/>
      <c r="AH498" s="150"/>
      <c r="AI498" s="152"/>
      <c r="AJ498" s="150"/>
      <c r="AK498" s="152"/>
      <c r="AL498" s="150"/>
      <c r="AM498" s="152"/>
      <c r="AN498" s="150"/>
      <c r="AO498" s="151"/>
      <c r="AP498" s="151"/>
      <c r="AQ498" s="169"/>
      <c r="AR498" s="169"/>
      <c r="AS498" s="149"/>
      <c r="AT498" s="324"/>
      <c r="AU498" s="324"/>
      <c r="AV498" s="324"/>
      <c r="AW498" s="324"/>
      <c r="AX498" s="324"/>
      <c r="AY498" s="324"/>
      <c r="AZ498" s="154"/>
      <c r="BA498" s="419"/>
      <c r="BB498" s="419"/>
      <c r="BC498" s="419"/>
      <c r="BD498" s="419"/>
      <c r="BE498" s="418"/>
      <c r="BF498" s="154"/>
      <c r="BG498" s="419"/>
      <c r="BH498" s="419"/>
      <c r="BI498" s="419"/>
      <c r="BJ498" s="419"/>
      <c r="BK498" s="418"/>
      <c r="BL498" s="36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561"/>
    </row>
    <row r="499" spans="1:74" s="2" customFormat="1" ht="24.9" customHeight="1">
      <c r="A499" s="147" t="s">
        <v>85</v>
      </c>
      <c r="B499" s="158"/>
      <c r="C499" s="179"/>
      <c r="D499" s="158"/>
      <c r="E499" s="160"/>
      <c r="F499" s="161"/>
      <c r="G499" s="161"/>
      <c r="H499" s="161"/>
      <c r="I499" s="154"/>
      <c r="J499" s="418"/>
      <c r="K499" s="419"/>
      <c r="L499" s="154"/>
      <c r="M499" s="418"/>
      <c r="N499" s="419"/>
      <c r="O499" s="150"/>
      <c r="P499" s="164"/>
      <c r="Q499" s="154"/>
      <c r="R499" s="151"/>
      <c r="S499" s="522"/>
      <c r="T499" s="522"/>
      <c r="U499" s="154"/>
      <c r="V499" s="155"/>
      <c r="W499" s="156"/>
      <c r="X499" s="154"/>
      <c r="Y499" s="155"/>
      <c r="Z499" s="155"/>
      <c r="AA499" s="157"/>
      <c r="AB499" s="217"/>
      <c r="AC499" s="150"/>
      <c r="AD499" s="151"/>
      <c r="AE499" s="152"/>
      <c r="AF499" s="506"/>
      <c r="AG499" s="463"/>
      <c r="AH499" s="150"/>
      <c r="AI499" s="152"/>
      <c r="AJ499" s="150"/>
      <c r="AK499" s="152"/>
      <c r="AL499" s="150"/>
      <c r="AM499" s="152"/>
      <c r="AN499" s="150"/>
      <c r="AO499" s="151"/>
      <c r="AP499" s="151"/>
      <c r="AQ499" s="169"/>
      <c r="AR499" s="169"/>
      <c r="AS499" s="149"/>
      <c r="AT499" s="324"/>
      <c r="AU499" s="324"/>
      <c r="AV499" s="324"/>
      <c r="AW499" s="324"/>
      <c r="AX499" s="324"/>
      <c r="AY499" s="324"/>
      <c r="AZ499" s="154"/>
      <c r="BA499" s="419"/>
      <c r="BB499" s="419"/>
      <c r="BC499" s="419"/>
      <c r="BD499" s="419"/>
      <c r="BE499" s="418"/>
      <c r="BF499" s="154"/>
      <c r="BG499" s="419"/>
      <c r="BH499" s="419"/>
      <c r="BI499" s="419"/>
      <c r="BJ499" s="419"/>
      <c r="BK499" s="418"/>
      <c r="BL499" s="36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431"/>
    </row>
    <row r="500" spans="1:74" s="2" customFormat="1" ht="24.9" customHeight="1">
      <c r="A500" s="147" t="s">
        <v>85</v>
      </c>
      <c r="B500" s="158"/>
      <c r="C500" s="179"/>
      <c r="D500" s="158"/>
      <c r="E500" s="160"/>
      <c r="F500" s="161"/>
      <c r="G500" s="161"/>
      <c r="H500" s="161"/>
      <c r="I500" s="154"/>
      <c r="J500" s="418"/>
      <c r="K500" s="419"/>
      <c r="L500" s="154"/>
      <c r="M500" s="418"/>
      <c r="N500" s="419"/>
      <c r="O500" s="150"/>
      <c r="P500" s="164"/>
      <c r="Q500" s="154"/>
      <c r="R500" s="174"/>
      <c r="S500" s="523"/>
      <c r="T500" s="523"/>
      <c r="U500" s="154"/>
      <c r="V500" s="155"/>
      <c r="W500" s="156"/>
      <c r="X500" s="154"/>
      <c r="Y500" s="155"/>
      <c r="Z500" s="155"/>
      <c r="AA500" s="157"/>
      <c r="AB500" s="217"/>
      <c r="AC500" s="150"/>
      <c r="AD500" s="151"/>
      <c r="AE500" s="152"/>
      <c r="AF500" s="506"/>
      <c r="AG500" s="463"/>
      <c r="AH500" s="150"/>
      <c r="AI500" s="152"/>
      <c r="AJ500" s="150"/>
      <c r="AK500" s="152"/>
      <c r="AL500" s="150"/>
      <c r="AM500" s="152"/>
      <c r="AN500" s="150"/>
      <c r="AO500" s="151"/>
      <c r="AP500" s="151"/>
      <c r="AQ500" s="169"/>
      <c r="AR500" s="169"/>
      <c r="AS500" s="149"/>
      <c r="AT500" s="324"/>
      <c r="AU500" s="324"/>
      <c r="AV500" s="324"/>
      <c r="AW500" s="324"/>
      <c r="AX500" s="324"/>
      <c r="AY500" s="324"/>
      <c r="AZ500" s="154"/>
      <c r="BA500" s="419"/>
      <c r="BB500" s="419"/>
      <c r="BC500" s="419"/>
      <c r="BD500" s="419"/>
      <c r="BE500" s="418"/>
      <c r="BF500" s="154"/>
      <c r="BG500" s="419"/>
      <c r="BH500" s="419"/>
      <c r="BI500" s="419"/>
      <c r="BJ500" s="419"/>
      <c r="BK500" s="418"/>
      <c r="BL500" s="36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432"/>
    </row>
    <row r="501" spans="1:74" s="2" customFormat="1" ht="24.9" customHeight="1">
      <c r="A501" s="147" t="s">
        <v>85</v>
      </c>
      <c r="B501" s="158"/>
      <c r="C501" s="179"/>
      <c r="D501" s="158"/>
      <c r="E501" s="160"/>
      <c r="F501" s="161"/>
      <c r="G501" s="161"/>
      <c r="H501" s="161"/>
      <c r="I501" s="154"/>
      <c r="J501" s="418"/>
      <c r="K501" s="419"/>
      <c r="L501" s="154"/>
      <c r="M501" s="418"/>
      <c r="N501" s="419"/>
      <c r="O501" s="150"/>
      <c r="P501" s="164"/>
      <c r="Q501" s="154"/>
      <c r="R501" s="174"/>
      <c r="S501" s="523"/>
      <c r="T501" s="523"/>
      <c r="U501" s="154"/>
      <c r="V501" s="155"/>
      <c r="W501" s="156"/>
      <c r="X501" s="154"/>
      <c r="Y501" s="155"/>
      <c r="Z501" s="155"/>
      <c r="AA501" s="157"/>
      <c r="AB501" s="217"/>
      <c r="AC501" s="150"/>
      <c r="AD501" s="151"/>
      <c r="AE501" s="152"/>
      <c r="AF501" s="506"/>
      <c r="AG501" s="463"/>
      <c r="AH501" s="150"/>
      <c r="AI501" s="152"/>
      <c r="AJ501" s="150"/>
      <c r="AK501" s="152"/>
      <c r="AL501" s="150"/>
      <c r="AM501" s="152"/>
      <c r="AN501" s="150"/>
      <c r="AO501" s="151"/>
      <c r="AP501" s="151"/>
      <c r="AQ501" s="169"/>
      <c r="AR501" s="169"/>
      <c r="AS501" s="149"/>
      <c r="AT501" s="324"/>
      <c r="AU501" s="324"/>
      <c r="AV501" s="324"/>
      <c r="AW501" s="324"/>
      <c r="AX501" s="324"/>
      <c r="AY501" s="324"/>
      <c r="AZ501" s="154"/>
      <c r="BA501" s="419"/>
      <c r="BB501" s="419"/>
      <c r="BC501" s="419"/>
      <c r="BD501" s="419"/>
      <c r="BE501" s="418"/>
      <c r="BF501" s="154"/>
      <c r="BG501" s="419"/>
      <c r="BH501" s="419"/>
      <c r="BI501" s="419"/>
      <c r="BJ501" s="419"/>
      <c r="BK501" s="418"/>
      <c r="BL501" s="36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561"/>
    </row>
    <row r="502" spans="1:74" s="2" customFormat="1" ht="24.9" customHeight="1">
      <c r="A502" s="147" t="s">
        <v>85</v>
      </c>
      <c r="B502" s="158"/>
      <c r="C502" s="179"/>
      <c r="D502" s="158"/>
      <c r="E502" s="160"/>
      <c r="F502" s="161"/>
      <c r="G502" s="161"/>
      <c r="H502" s="161"/>
      <c r="I502" s="154"/>
      <c r="J502" s="418"/>
      <c r="K502" s="419"/>
      <c r="L502" s="154"/>
      <c r="M502" s="418"/>
      <c r="N502" s="419"/>
      <c r="O502" s="150"/>
      <c r="P502" s="164"/>
      <c r="Q502" s="154"/>
      <c r="R502" s="174"/>
      <c r="S502" s="523"/>
      <c r="T502" s="523"/>
      <c r="U502" s="154"/>
      <c r="V502" s="155"/>
      <c r="W502" s="156"/>
      <c r="X502" s="154"/>
      <c r="Y502" s="155"/>
      <c r="Z502" s="155"/>
      <c r="AA502" s="157"/>
      <c r="AB502" s="217"/>
      <c r="AC502" s="150"/>
      <c r="AD502" s="151"/>
      <c r="AE502" s="152"/>
      <c r="AF502" s="506"/>
      <c r="AG502" s="463"/>
      <c r="AH502" s="150"/>
      <c r="AI502" s="152"/>
      <c r="AJ502" s="150"/>
      <c r="AK502" s="152"/>
      <c r="AL502" s="150"/>
      <c r="AM502" s="152"/>
      <c r="AN502" s="150"/>
      <c r="AO502" s="151"/>
      <c r="AP502" s="151"/>
      <c r="AQ502" s="169"/>
      <c r="AR502" s="169"/>
      <c r="AS502" s="149"/>
      <c r="AT502" s="324"/>
      <c r="AU502" s="324"/>
      <c r="AV502" s="324"/>
      <c r="AW502" s="324"/>
      <c r="AX502" s="324"/>
      <c r="AY502" s="324"/>
      <c r="AZ502" s="154"/>
      <c r="BA502" s="419"/>
      <c r="BB502" s="419"/>
      <c r="BC502" s="419"/>
      <c r="BD502" s="419"/>
      <c r="BE502" s="418"/>
      <c r="BF502" s="154"/>
      <c r="BG502" s="419"/>
      <c r="BH502" s="419"/>
      <c r="BI502" s="419"/>
      <c r="BJ502" s="419"/>
      <c r="BK502" s="418"/>
      <c r="BL502" s="36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431"/>
    </row>
    <row r="503" spans="1:74" s="2" customFormat="1" ht="24.9" customHeight="1">
      <c r="A503" s="147" t="s">
        <v>85</v>
      </c>
      <c r="B503" s="158"/>
      <c r="C503" s="179"/>
      <c r="D503" s="158"/>
      <c r="E503" s="160"/>
      <c r="F503" s="161"/>
      <c r="G503" s="161"/>
      <c r="H503" s="161"/>
      <c r="I503" s="154"/>
      <c r="J503" s="418"/>
      <c r="K503" s="419"/>
      <c r="L503" s="154"/>
      <c r="M503" s="418"/>
      <c r="N503" s="419"/>
      <c r="O503" s="150"/>
      <c r="P503" s="164"/>
      <c r="Q503" s="154"/>
      <c r="R503" s="174"/>
      <c r="S503" s="523"/>
      <c r="T503" s="523"/>
      <c r="U503" s="154"/>
      <c r="V503" s="155"/>
      <c r="W503" s="156"/>
      <c r="X503" s="154"/>
      <c r="Y503" s="155"/>
      <c r="Z503" s="155"/>
      <c r="AA503" s="157"/>
      <c r="AB503" s="217"/>
      <c r="AC503" s="150"/>
      <c r="AD503" s="151"/>
      <c r="AE503" s="152"/>
      <c r="AF503" s="506"/>
      <c r="AG503" s="463"/>
      <c r="AH503" s="150"/>
      <c r="AI503" s="152"/>
      <c r="AJ503" s="150"/>
      <c r="AK503" s="152"/>
      <c r="AL503" s="150"/>
      <c r="AM503" s="152"/>
      <c r="AN503" s="150"/>
      <c r="AO503" s="151"/>
      <c r="AP503" s="151"/>
      <c r="AQ503" s="169"/>
      <c r="AR503" s="169"/>
      <c r="AS503" s="149"/>
      <c r="AT503" s="324"/>
      <c r="AU503" s="324"/>
      <c r="AV503" s="324"/>
      <c r="AW503" s="324"/>
      <c r="AX503" s="324"/>
      <c r="AY503" s="324"/>
      <c r="AZ503" s="154"/>
      <c r="BA503" s="419"/>
      <c r="BB503" s="419"/>
      <c r="BC503" s="419"/>
      <c r="BD503" s="419"/>
      <c r="BE503" s="418"/>
      <c r="BF503" s="154"/>
      <c r="BG503" s="419"/>
      <c r="BH503" s="419"/>
      <c r="BI503" s="419"/>
      <c r="BJ503" s="419"/>
      <c r="BK503" s="418"/>
      <c r="BL503" s="36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561"/>
    </row>
    <row r="504" spans="1:74" s="2" customFormat="1" ht="24.9" customHeight="1">
      <c r="A504" s="147" t="s">
        <v>85</v>
      </c>
      <c r="B504" s="158"/>
      <c r="C504" s="179"/>
      <c r="D504" s="158"/>
      <c r="E504" s="160"/>
      <c r="F504" s="161"/>
      <c r="G504" s="161"/>
      <c r="H504" s="161"/>
      <c r="I504" s="154"/>
      <c r="J504" s="418"/>
      <c r="K504" s="419"/>
      <c r="L504" s="154"/>
      <c r="M504" s="418"/>
      <c r="N504" s="419"/>
      <c r="O504" s="150"/>
      <c r="P504" s="164"/>
      <c r="Q504" s="154"/>
      <c r="R504" s="174"/>
      <c r="S504" s="523"/>
      <c r="T504" s="523"/>
      <c r="U504" s="154"/>
      <c r="V504" s="155"/>
      <c r="W504" s="156"/>
      <c r="X504" s="154"/>
      <c r="Y504" s="155"/>
      <c r="Z504" s="155"/>
      <c r="AA504" s="157"/>
      <c r="AB504" s="217"/>
      <c r="AC504" s="150"/>
      <c r="AD504" s="151"/>
      <c r="AE504" s="152"/>
      <c r="AF504" s="506"/>
      <c r="AG504" s="463"/>
      <c r="AH504" s="150"/>
      <c r="AI504" s="152"/>
      <c r="AJ504" s="150"/>
      <c r="AK504" s="152"/>
      <c r="AL504" s="150"/>
      <c r="AM504" s="152"/>
      <c r="AN504" s="150"/>
      <c r="AO504" s="151"/>
      <c r="AP504" s="151"/>
      <c r="AQ504" s="169"/>
      <c r="AR504" s="169"/>
      <c r="AS504" s="149"/>
      <c r="AT504" s="324"/>
      <c r="AU504" s="324"/>
      <c r="AV504" s="324"/>
      <c r="AW504" s="324"/>
      <c r="AX504" s="324"/>
      <c r="AY504" s="324"/>
      <c r="AZ504" s="154"/>
      <c r="BA504" s="419"/>
      <c r="BB504" s="419"/>
      <c r="BC504" s="419"/>
      <c r="BD504" s="419"/>
      <c r="BE504" s="418"/>
      <c r="BF504" s="154"/>
      <c r="BG504" s="419"/>
      <c r="BH504" s="419"/>
      <c r="BI504" s="419"/>
      <c r="BJ504" s="419"/>
      <c r="BK504" s="418"/>
      <c r="BL504" s="36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431"/>
    </row>
    <row r="505" spans="1:74" s="2" customFormat="1" ht="24.9" customHeight="1">
      <c r="A505" s="147" t="s">
        <v>85</v>
      </c>
      <c r="B505" s="158"/>
      <c r="C505" s="179"/>
      <c r="D505" s="158"/>
      <c r="E505" s="160"/>
      <c r="F505" s="161"/>
      <c r="G505" s="161"/>
      <c r="H505" s="161"/>
      <c r="I505" s="154"/>
      <c r="J505" s="418"/>
      <c r="K505" s="419"/>
      <c r="L505" s="154"/>
      <c r="M505" s="418"/>
      <c r="N505" s="419"/>
      <c r="O505" s="150"/>
      <c r="P505" s="164"/>
      <c r="Q505" s="154"/>
      <c r="R505" s="174"/>
      <c r="S505" s="523"/>
      <c r="T505" s="523"/>
      <c r="U505" s="154"/>
      <c r="V505" s="155"/>
      <c r="W505" s="156"/>
      <c r="X505" s="154"/>
      <c r="Y505" s="155"/>
      <c r="Z505" s="155"/>
      <c r="AA505" s="157"/>
      <c r="AB505" s="217"/>
      <c r="AC505" s="150"/>
      <c r="AD505" s="151"/>
      <c r="AE505" s="152"/>
      <c r="AF505" s="506"/>
      <c r="AG505" s="463"/>
      <c r="AH505" s="150"/>
      <c r="AI505" s="152"/>
      <c r="AJ505" s="150"/>
      <c r="AK505" s="152"/>
      <c r="AL505" s="150"/>
      <c r="AM505" s="152"/>
      <c r="AN505" s="150"/>
      <c r="AO505" s="151"/>
      <c r="AP505" s="151"/>
      <c r="AQ505" s="169"/>
      <c r="AR505" s="169"/>
      <c r="AS505" s="149"/>
      <c r="AT505" s="324"/>
      <c r="AU505" s="324"/>
      <c r="AV505" s="324"/>
      <c r="AW505" s="324"/>
      <c r="AX505" s="324"/>
      <c r="AY505" s="324"/>
      <c r="AZ505" s="154"/>
      <c r="BA505" s="419"/>
      <c r="BB505" s="419"/>
      <c r="BC505" s="419"/>
      <c r="BD505" s="419"/>
      <c r="BE505" s="418"/>
      <c r="BF505" s="154"/>
      <c r="BG505" s="419"/>
      <c r="BH505" s="419"/>
      <c r="BI505" s="419"/>
      <c r="BJ505" s="419"/>
      <c r="BK505" s="418"/>
      <c r="BL505" s="36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561"/>
    </row>
    <row r="506" spans="1:74" s="2" customFormat="1" ht="24.9" customHeight="1">
      <c r="A506" s="147" t="s">
        <v>85</v>
      </c>
      <c r="B506" s="158"/>
      <c r="C506" s="179"/>
      <c r="D506" s="158"/>
      <c r="E506" s="160"/>
      <c r="F506" s="161"/>
      <c r="G506" s="161"/>
      <c r="H506" s="161"/>
      <c r="I506" s="154"/>
      <c r="J506" s="418"/>
      <c r="K506" s="419"/>
      <c r="L506" s="154"/>
      <c r="M506" s="418"/>
      <c r="N506" s="419"/>
      <c r="O506" s="150"/>
      <c r="P506" s="164"/>
      <c r="Q506" s="154"/>
      <c r="R506" s="174"/>
      <c r="S506" s="523"/>
      <c r="T506" s="523"/>
      <c r="U506" s="154"/>
      <c r="V506" s="155"/>
      <c r="W506" s="156"/>
      <c r="X506" s="154"/>
      <c r="Y506" s="155"/>
      <c r="Z506" s="155"/>
      <c r="AA506" s="157"/>
      <c r="AB506" s="217"/>
      <c r="AC506" s="150"/>
      <c r="AD506" s="151"/>
      <c r="AE506" s="152"/>
      <c r="AF506" s="506"/>
      <c r="AG506" s="463"/>
      <c r="AH506" s="150"/>
      <c r="AI506" s="152"/>
      <c r="AJ506" s="150"/>
      <c r="AK506" s="152"/>
      <c r="AL506" s="150"/>
      <c r="AM506" s="152"/>
      <c r="AN506" s="150"/>
      <c r="AO506" s="151"/>
      <c r="AP506" s="151"/>
      <c r="AQ506" s="169"/>
      <c r="AR506" s="169"/>
      <c r="AS506" s="149"/>
      <c r="AT506" s="324"/>
      <c r="AU506" s="324"/>
      <c r="AV506" s="324"/>
      <c r="AW506" s="324"/>
      <c r="AX506" s="324"/>
      <c r="AY506" s="324"/>
      <c r="AZ506" s="154"/>
      <c r="BA506" s="419"/>
      <c r="BB506" s="419"/>
      <c r="BC506" s="419"/>
      <c r="BD506" s="419"/>
      <c r="BE506" s="418"/>
      <c r="BF506" s="154"/>
      <c r="BG506" s="419"/>
      <c r="BH506" s="419"/>
      <c r="BI506" s="419"/>
      <c r="BJ506" s="419"/>
      <c r="BK506" s="418"/>
      <c r="BL506" s="36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431"/>
    </row>
    <row r="507" spans="1:74" s="2" customFormat="1" ht="24.9" customHeight="1">
      <c r="A507" s="147" t="s">
        <v>85</v>
      </c>
      <c r="B507" s="158"/>
      <c r="C507" s="179"/>
      <c r="D507" s="158"/>
      <c r="E507" s="160"/>
      <c r="F507" s="161"/>
      <c r="G507" s="161"/>
      <c r="H507" s="161"/>
      <c r="I507" s="154"/>
      <c r="J507" s="418"/>
      <c r="K507" s="419"/>
      <c r="L507" s="154"/>
      <c r="M507" s="418"/>
      <c r="N507" s="419"/>
      <c r="O507" s="150"/>
      <c r="P507" s="164"/>
      <c r="Q507" s="154"/>
      <c r="R507" s="151"/>
      <c r="S507" s="522"/>
      <c r="T507" s="522"/>
      <c r="U507" s="154"/>
      <c r="V507" s="155"/>
      <c r="W507" s="156"/>
      <c r="X507" s="154"/>
      <c r="Y507" s="155"/>
      <c r="Z507" s="155"/>
      <c r="AA507" s="157"/>
      <c r="AB507" s="217"/>
      <c r="AC507" s="150"/>
      <c r="AD507" s="151"/>
      <c r="AE507" s="152"/>
      <c r="AF507" s="506"/>
      <c r="AG507" s="463"/>
      <c r="AH507" s="150"/>
      <c r="AI507" s="152"/>
      <c r="AJ507" s="150"/>
      <c r="AK507" s="152"/>
      <c r="AL507" s="150"/>
      <c r="AM507" s="152"/>
      <c r="AN507" s="150"/>
      <c r="AO507" s="151"/>
      <c r="AP507" s="151"/>
      <c r="AQ507" s="169"/>
      <c r="AR507" s="169"/>
      <c r="AS507" s="149"/>
      <c r="AT507" s="324"/>
      <c r="AU507" s="324"/>
      <c r="AV507" s="324"/>
      <c r="AW507" s="324"/>
      <c r="AX507" s="324"/>
      <c r="AY507" s="324"/>
      <c r="AZ507" s="154"/>
      <c r="BA507" s="419"/>
      <c r="BB507" s="419"/>
      <c r="BC507" s="419"/>
      <c r="BD507" s="419"/>
      <c r="BE507" s="418"/>
      <c r="BF507" s="154"/>
      <c r="BG507" s="419"/>
      <c r="BH507" s="419"/>
      <c r="BI507" s="419"/>
      <c r="BJ507" s="419"/>
      <c r="BK507" s="418"/>
      <c r="BL507" s="36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432"/>
    </row>
    <row r="508" spans="1:74" s="2" customFormat="1" ht="24.9" customHeight="1">
      <c r="A508" s="147" t="s">
        <v>85</v>
      </c>
      <c r="B508" s="158"/>
      <c r="C508" s="179"/>
      <c r="D508" s="158"/>
      <c r="E508" s="160"/>
      <c r="F508" s="161"/>
      <c r="G508" s="161"/>
      <c r="H508" s="161"/>
      <c r="I508" s="154"/>
      <c r="J508" s="418"/>
      <c r="K508" s="419"/>
      <c r="L508" s="154"/>
      <c r="M508" s="418"/>
      <c r="N508" s="419"/>
      <c r="O508" s="150"/>
      <c r="P508" s="164"/>
      <c r="Q508" s="154"/>
      <c r="R508" s="174"/>
      <c r="S508" s="523"/>
      <c r="T508" s="523"/>
      <c r="U508" s="154"/>
      <c r="V508" s="155"/>
      <c r="W508" s="156"/>
      <c r="X508" s="154"/>
      <c r="Y508" s="155"/>
      <c r="Z508" s="155"/>
      <c r="AA508" s="157"/>
      <c r="AB508" s="217"/>
      <c r="AC508" s="150"/>
      <c r="AD508" s="151"/>
      <c r="AE508" s="152"/>
      <c r="AF508" s="506"/>
      <c r="AG508" s="463"/>
      <c r="AH508" s="150"/>
      <c r="AI508" s="152"/>
      <c r="AJ508" s="150"/>
      <c r="AK508" s="152"/>
      <c r="AL508" s="150"/>
      <c r="AM508" s="152"/>
      <c r="AN508" s="150"/>
      <c r="AO508" s="151"/>
      <c r="AP508" s="151"/>
      <c r="AQ508" s="169"/>
      <c r="AR508" s="169"/>
      <c r="AS508" s="149"/>
      <c r="AT508" s="324"/>
      <c r="AU508" s="324"/>
      <c r="AV508" s="324"/>
      <c r="AW508" s="324"/>
      <c r="AX508" s="324"/>
      <c r="AY508" s="324"/>
      <c r="AZ508" s="154"/>
      <c r="BA508" s="419"/>
      <c r="BB508" s="419"/>
      <c r="BC508" s="419"/>
      <c r="BD508" s="419"/>
      <c r="BE508" s="418"/>
      <c r="BF508" s="154"/>
      <c r="BG508" s="419"/>
      <c r="BH508" s="419"/>
      <c r="BI508" s="419"/>
      <c r="BJ508" s="419"/>
      <c r="BK508" s="418"/>
      <c r="BL508" s="36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432"/>
    </row>
    <row r="509" spans="1:74" s="2" customFormat="1" ht="24.9" customHeight="1">
      <c r="A509" s="147" t="s">
        <v>85</v>
      </c>
      <c r="B509" s="158"/>
      <c r="C509" s="179"/>
      <c r="D509" s="158"/>
      <c r="E509" s="160"/>
      <c r="F509" s="161"/>
      <c r="G509" s="161"/>
      <c r="H509" s="161"/>
      <c r="I509" s="154"/>
      <c r="J509" s="418"/>
      <c r="K509" s="419"/>
      <c r="L509" s="154"/>
      <c r="M509" s="418"/>
      <c r="N509" s="419"/>
      <c r="O509" s="150"/>
      <c r="P509" s="164"/>
      <c r="Q509" s="154"/>
      <c r="R509" s="151"/>
      <c r="S509" s="522"/>
      <c r="T509" s="522"/>
      <c r="U509" s="154"/>
      <c r="V509" s="155"/>
      <c r="W509" s="156"/>
      <c r="X509" s="154"/>
      <c r="Y509" s="155"/>
      <c r="Z509" s="155"/>
      <c r="AA509" s="157"/>
      <c r="AB509" s="217"/>
      <c r="AC509" s="150"/>
      <c r="AD509" s="151"/>
      <c r="AE509" s="152"/>
      <c r="AF509" s="506"/>
      <c r="AG509" s="463"/>
      <c r="AH509" s="150"/>
      <c r="AI509" s="152"/>
      <c r="AJ509" s="150"/>
      <c r="AK509" s="152"/>
      <c r="AL509" s="150"/>
      <c r="AM509" s="152"/>
      <c r="AN509" s="150"/>
      <c r="AO509" s="151"/>
      <c r="AP509" s="151"/>
      <c r="AQ509" s="169"/>
      <c r="AR509" s="169"/>
      <c r="AS509" s="149"/>
      <c r="AT509" s="324"/>
      <c r="AU509" s="324"/>
      <c r="AV509" s="324"/>
      <c r="AW509" s="324"/>
      <c r="AX509" s="324"/>
      <c r="AY509" s="324"/>
      <c r="AZ509" s="154"/>
      <c r="BA509" s="419"/>
      <c r="BB509" s="419"/>
      <c r="BC509" s="419"/>
      <c r="BD509" s="419"/>
      <c r="BE509" s="418"/>
      <c r="BF509" s="154"/>
      <c r="BG509" s="419"/>
      <c r="BH509" s="419"/>
      <c r="BI509" s="419"/>
      <c r="BJ509" s="419"/>
      <c r="BK509" s="418"/>
      <c r="BL509" s="36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561"/>
    </row>
    <row r="510" spans="1:74" s="2" customFormat="1" ht="24.9" customHeight="1">
      <c r="A510" s="147" t="s">
        <v>85</v>
      </c>
      <c r="B510" s="158"/>
      <c r="C510" s="179"/>
      <c r="D510" s="158"/>
      <c r="E510" s="160"/>
      <c r="F510" s="161"/>
      <c r="G510" s="161"/>
      <c r="H510" s="161"/>
      <c r="I510" s="154"/>
      <c r="J510" s="418"/>
      <c r="K510" s="419"/>
      <c r="L510" s="154"/>
      <c r="M510" s="418"/>
      <c r="N510" s="419"/>
      <c r="O510" s="150"/>
      <c r="P510" s="164"/>
      <c r="Q510" s="154"/>
      <c r="R510" s="174"/>
      <c r="S510" s="523"/>
      <c r="T510" s="523"/>
      <c r="U510" s="154"/>
      <c r="V510" s="155"/>
      <c r="W510" s="156"/>
      <c r="X510" s="154"/>
      <c r="Y510" s="155"/>
      <c r="Z510" s="155"/>
      <c r="AA510" s="157"/>
      <c r="AB510" s="217"/>
      <c r="AC510" s="150"/>
      <c r="AD510" s="151"/>
      <c r="AE510" s="152"/>
      <c r="AF510" s="506"/>
      <c r="AG510" s="463"/>
      <c r="AH510" s="150"/>
      <c r="AI510" s="152"/>
      <c r="AJ510" s="150"/>
      <c r="AK510" s="152"/>
      <c r="AL510" s="150"/>
      <c r="AM510" s="152"/>
      <c r="AN510" s="150"/>
      <c r="AO510" s="151"/>
      <c r="AP510" s="151"/>
      <c r="AQ510" s="169"/>
      <c r="AR510" s="169"/>
      <c r="AS510" s="149"/>
      <c r="AT510" s="324"/>
      <c r="AU510" s="324"/>
      <c r="AV510" s="324"/>
      <c r="AW510" s="324"/>
      <c r="AX510" s="324"/>
      <c r="AY510" s="324"/>
      <c r="AZ510" s="154"/>
      <c r="BA510" s="419"/>
      <c r="BB510" s="419"/>
      <c r="BC510" s="419"/>
      <c r="BD510" s="419"/>
      <c r="BE510" s="418"/>
      <c r="BF510" s="154"/>
      <c r="BG510" s="419"/>
      <c r="BH510" s="419"/>
      <c r="BI510" s="419"/>
      <c r="BJ510" s="419"/>
      <c r="BK510" s="418"/>
      <c r="BL510" s="36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431"/>
    </row>
    <row r="511" spans="1:74" s="2" customFormat="1" ht="24.9" customHeight="1">
      <c r="A511" s="147" t="s">
        <v>85</v>
      </c>
      <c r="B511" s="158"/>
      <c r="C511" s="179"/>
      <c r="D511" s="158"/>
      <c r="E511" s="160"/>
      <c r="F511" s="161"/>
      <c r="G511" s="161"/>
      <c r="H511" s="161"/>
      <c r="I511" s="154"/>
      <c r="J511" s="418"/>
      <c r="K511" s="419"/>
      <c r="L511" s="154"/>
      <c r="M511" s="418"/>
      <c r="N511" s="419"/>
      <c r="O511" s="150"/>
      <c r="P511" s="164"/>
      <c r="Q511" s="154"/>
      <c r="R511" s="174"/>
      <c r="S511" s="523"/>
      <c r="T511" s="523"/>
      <c r="U511" s="154"/>
      <c r="V511" s="155"/>
      <c r="W511" s="156"/>
      <c r="X511" s="154"/>
      <c r="Y511" s="155"/>
      <c r="Z511" s="155"/>
      <c r="AA511" s="157"/>
      <c r="AB511" s="217"/>
      <c r="AC511" s="150"/>
      <c r="AD511" s="151"/>
      <c r="AE511" s="152"/>
      <c r="AF511" s="506"/>
      <c r="AG511" s="463"/>
      <c r="AH511" s="150"/>
      <c r="AI511" s="152"/>
      <c r="AJ511" s="150"/>
      <c r="AK511" s="152"/>
      <c r="AL511" s="150"/>
      <c r="AM511" s="152"/>
      <c r="AN511" s="150"/>
      <c r="AO511" s="151"/>
      <c r="AP511" s="151"/>
      <c r="AQ511" s="169"/>
      <c r="AR511" s="169"/>
      <c r="AS511" s="149"/>
      <c r="AT511" s="324"/>
      <c r="AU511" s="324"/>
      <c r="AV511" s="324"/>
      <c r="AW511" s="324"/>
      <c r="AX511" s="324"/>
      <c r="AY511" s="324"/>
      <c r="AZ511" s="154"/>
      <c r="BA511" s="419"/>
      <c r="BB511" s="419"/>
      <c r="BC511" s="419"/>
      <c r="BD511" s="419"/>
      <c r="BE511" s="418"/>
      <c r="BF511" s="154"/>
      <c r="BG511" s="419"/>
      <c r="BH511" s="419"/>
      <c r="BI511" s="419"/>
      <c r="BJ511" s="419"/>
      <c r="BK511" s="418"/>
      <c r="BL511" s="36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561"/>
    </row>
    <row r="512" spans="1:74" s="2" customFormat="1" ht="24.9" customHeight="1">
      <c r="A512" s="147" t="s">
        <v>85</v>
      </c>
      <c r="B512" s="158"/>
      <c r="C512" s="179"/>
      <c r="D512" s="158"/>
      <c r="E512" s="160"/>
      <c r="F512" s="161"/>
      <c r="G512" s="161"/>
      <c r="H512" s="161"/>
      <c r="I512" s="154"/>
      <c r="J512" s="418"/>
      <c r="K512" s="419"/>
      <c r="L512" s="154"/>
      <c r="M512" s="418"/>
      <c r="N512" s="419"/>
      <c r="O512" s="150"/>
      <c r="P512" s="164"/>
      <c r="Q512" s="154"/>
      <c r="R512" s="174"/>
      <c r="S512" s="523"/>
      <c r="T512" s="523"/>
      <c r="U512" s="154"/>
      <c r="V512" s="155"/>
      <c r="W512" s="156"/>
      <c r="X512" s="154"/>
      <c r="Y512" s="155"/>
      <c r="Z512" s="155"/>
      <c r="AA512" s="157"/>
      <c r="AB512" s="217"/>
      <c r="AC512" s="150"/>
      <c r="AD512" s="151"/>
      <c r="AE512" s="152"/>
      <c r="AF512" s="506"/>
      <c r="AG512" s="463"/>
      <c r="AH512" s="150"/>
      <c r="AI512" s="152"/>
      <c r="AJ512" s="150"/>
      <c r="AK512" s="152"/>
      <c r="AL512" s="150"/>
      <c r="AM512" s="152"/>
      <c r="AN512" s="150"/>
      <c r="AO512" s="151"/>
      <c r="AP512" s="151"/>
      <c r="AQ512" s="169"/>
      <c r="AR512" s="169"/>
      <c r="AS512" s="149"/>
      <c r="AT512" s="324"/>
      <c r="AU512" s="324"/>
      <c r="AV512" s="324"/>
      <c r="AW512" s="324"/>
      <c r="AX512" s="324"/>
      <c r="AY512" s="324"/>
      <c r="AZ512" s="154"/>
      <c r="BA512" s="419"/>
      <c r="BB512" s="419"/>
      <c r="BC512" s="419"/>
      <c r="BD512" s="419"/>
      <c r="BE512" s="418"/>
      <c r="BF512" s="154"/>
      <c r="BG512" s="419"/>
      <c r="BH512" s="419"/>
      <c r="BI512" s="419"/>
      <c r="BJ512" s="419"/>
      <c r="BK512" s="418"/>
      <c r="BL512" s="36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431"/>
    </row>
    <row r="513" spans="1:74" s="2" customFormat="1" ht="24.9" customHeight="1">
      <c r="A513" s="147" t="s">
        <v>85</v>
      </c>
      <c r="B513" s="158"/>
      <c r="C513" s="179"/>
      <c r="D513" s="158"/>
      <c r="E513" s="160"/>
      <c r="F513" s="161"/>
      <c r="G513" s="161"/>
      <c r="H513" s="161"/>
      <c r="I513" s="154"/>
      <c r="J513" s="418"/>
      <c r="K513" s="419"/>
      <c r="L513" s="154"/>
      <c r="M513" s="418"/>
      <c r="N513" s="419"/>
      <c r="O513" s="150"/>
      <c r="P513" s="164"/>
      <c r="Q513" s="154"/>
      <c r="R513" s="174"/>
      <c r="S513" s="523"/>
      <c r="T513" s="523"/>
      <c r="U513" s="154"/>
      <c r="V513" s="155"/>
      <c r="W513" s="156"/>
      <c r="X513" s="154"/>
      <c r="Y513" s="155"/>
      <c r="Z513" s="155"/>
      <c r="AA513" s="157"/>
      <c r="AB513" s="217"/>
      <c r="AC513" s="150"/>
      <c r="AD513" s="151"/>
      <c r="AE513" s="152"/>
      <c r="AF513" s="506"/>
      <c r="AG513" s="463"/>
      <c r="AH513" s="150"/>
      <c r="AI513" s="152"/>
      <c r="AJ513" s="150"/>
      <c r="AK513" s="152"/>
      <c r="AL513" s="150"/>
      <c r="AM513" s="152"/>
      <c r="AN513" s="150"/>
      <c r="AO513" s="151"/>
      <c r="AP513" s="151"/>
      <c r="AQ513" s="169"/>
      <c r="AR513" s="169"/>
      <c r="AS513" s="149"/>
      <c r="AT513" s="324"/>
      <c r="AU513" s="324"/>
      <c r="AV513" s="324"/>
      <c r="AW513" s="324"/>
      <c r="AX513" s="324"/>
      <c r="AY513" s="324"/>
      <c r="AZ513" s="154"/>
      <c r="BA513" s="419"/>
      <c r="BB513" s="419"/>
      <c r="BC513" s="419"/>
      <c r="BD513" s="419"/>
      <c r="BE513" s="418"/>
      <c r="BF513" s="154"/>
      <c r="BG513" s="419"/>
      <c r="BH513" s="419"/>
      <c r="BI513" s="419"/>
      <c r="BJ513" s="419"/>
      <c r="BK513" s="418"/>
      <c r="BL513" s="36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561"/>
    </row>
    <row r="514" spans="1:74" s="2" customFormat="1" ht="24.9" customHeight="1">
      <c r="A514" s="147" t="s">
        <v>85</v>
      </c>
      <c r="B514" s="158"/>
      <c r="C514" s="179"/>
      <c r="D514" s="158"/>
      <c r="E514" s="160"/>
      <c r="F514" s="161"/>
      <c r="G514" s="161"/>
      <c r="H514" s="161"/>
      <c r="I514" s="154"/>
      <c r="J514" s="418"/>
      <c r="K514" s="419"/>
      <c r="L514" s="154"/>
      <c r="M514" s="418"/>
      <c r="N514" s="419"/>
      <c r="O514" s="150"/>
      <c r="P514" s="164"/>
      <c r="Q514" s="154"/>
      <c r="R514" s="174"/>
      <c r="S514" s="523"/>
      <c r="T514" s="523"/>
      <c r="U514" s="154"/>
      <c r="V514" s="155"/>
      <c r="W514" s="156"/>
      <c r="X514" s="154"/>
      <c r="Y514" s="155"/>
      <c r="Z514" s="155"/>
      <c r="AA514" s="157"/>
      <c r="AB514" s="217"/>
      <c r="AC514" s="150"/>
      <c r="AD514" s="151"/>
      <c r="AE514" s="152"/>
      <c r="AF514" s="506"/>
      <c r="AG514" s="463"/>
      <c r="AH514" s="150"/>
      <c r="AI514" s="152"/>
      <c r="AJ514" s="150"/>
      <c r="AK514" s="152"/>
      <c r="AL514" s="150"/>
      <c r="AM514" s="152"/>
      <c r="AN514" s="150"/>
      <c r="AO514" s="151"/>
      <c r="AP514" s="151"/>
      <c r="AQ514" s="169"/>
      <c r="AR514" s="169"/>
      <c r="AS514" s="149"/>
      <c r="AT514" s="324"/>
      <c r="AU514" s="324"/>
      <c r="AV514" s="324"/>
      <c r="AW514" s="324"/>
      <c r="AX514" s="324"/>
      <c r="AY514" s="324"/>
      <c r="AZ514" s="154"/>
      <c r="BA514" s="419"/>
      <c r="BB514" s="419"/>
      <c r="BC514" s="419"/>
      <c r="BD514" s="419"/>
      <c r="BE514" s="418"/>
      <c r="BF514" s="154"/>
      <c r="BG514" s="419"/>
      <c r="BH514" s="419"/>
      <c r="BI514" s="419"/>
      <c r="BJ514" s="419"/>
      <c r="BK514" s="418"/>
      <c r="BL514" s="36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431"/>
    </row>
    <row r="515" spans="1:74" s="2" customFormat="1" ht="24.9" customHeight="1">
      <c r="A515" s="147" t="s">
        <v>85</v>
      </c>
      <c r="B515" s="158"/>
      <c r="C515" s="179"/>
      <c r="D515" s="158"/>
      <c r="E515" s="160"/>
      <c r="F515" s="161"/>
      <c r="G515" s="161"/>
      <c r="H515" s="161"/>
      <c r="I515" s="154"/>
      <c r="J515" s="418"/>
      <c r="K515" s="419"/>
      <c r="L515" s="154"/>
      <c r="M515" s="418"/>
      <c r="N515" s="419"/>
      <c r="O515" s="150"/>
      <c r="P515" s="164"/>
      <c r="Q515" s="154"/>
      <c r="R515" s="151"/>
      <c r="S515" s="522"/>
      <c r="T515" s="522"/>
      <c r="U515" s="154"/>
      <c r="V515" s="155"/>
      <c r="W515" s="156"/>
      <c r="X515" s="154"/>
      <c r="Y515" s="155"/>
      <c r="Z515" s="155"/>
      <c r="AA515" s="157"/>
      <c r="AB515" s="217"/>
      <c r="AC515" s="150"/>
      <c r="AD515" s="151"/>
      <c r="AE515" s="152"/>
      <c r="AF515" s="506"/>
      <c r="AG515" s="463"/>
      <c r="AH515" s="150"/>
      <c r="AI515" s="152"/>
      <c r="AJ515" s="150"/>
      <c r="AK515" s="152"/>
      <c r="AL515" s="150"/>
      <c r="AM515" s="152"/>
      <c r="AN515" s="150"/>
      <c r="AO515" s="151"/>
      <c r="AP515" s="151"/>
      <c r="AQ515" s="169"/>
      <c r="AR515" s="169"/>
      <c r="AS515" s="149"/>
      <c r="AT515" s="324"/>
      <c r="AU515" s="324"/>
      <c r="AV515" s="324"/>
      <c r="AW515" s="324"/>
      <c r="AX515" s="324"/>
      <c r="AY515" s="324"/>
      <c r="AZ515" s="154"/>
      <c r="BA515" s="419"/>
      <c r="BB515" s="419"/>
      <c r="BC515" s="419"/>
      <c r="BD515" s="419"/>
      <c r="BE515" s="418"/>
      <c r="BF515" s="154"/>
      <c r="BG515" s="419"/>
      <c r="BH515" s="419"/>
      <c r="BI515" s="419"/>
      <c r="BJ515" s="419"/>
      <c r="BK515" s="418"/>
      <c r="BL515" s="36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432"/>
    </row>
    <row r="516" spans="1:74" s="2" customFormat="1" ht="24.9" customHeight="1">
      <c r="A516" s="147" t="s">
        <v>85</v>
      </c>
      <c r="B516" s="158"/>
      <c r="C516" s="179"/>
      <c r="D516" s="158"/>
      <c r="E516" s="160"/>
      <c r="F516" s="161"/>
      <c r="G516" s="161"/>
      <c r="H516" s="161"/>
      <c r="I516" s="154"/>
      <c r="J516" s="418"/>
      <c r="K516" s="419"/>
      <c r="L516" s="154"/>
      <c r="M516" s="418"/>
      <c r="N516" s="419"/>
      <c r="O516" s="150"/>
      <c r="P516" s="164"/>
      <c r="Q516" s="154"/>
      <c r="R516" s="174"/>
      <c r="S516" s="523"/>
      <c r="T516" s="523"/>
      <c r="U516" s="154"/>
      <c r="V516" s="155"/>
      <c r="W516" s="156"/>
      <c r="X516" s="154"/>
      <c r="Y516" s="155"/>
      <c r="Z516" s="155"/>
      <c r="AA516" s="157"/>
      <c r="AB516" s="217"/>
      <c r="AC516" s="150"/>
      <c r="AD516" s="151"/>
      <c r="AE516" s="152"/>
      <c r="AF516" s="506"/>
      <c r="AG516" s="463"/>
      <c r="AH516" s="150"/>
      <c r="AI516" s="152"/>
      <c r="AJ516" s="150"/>
      <c r="AK516" s="152"/>
      <c r="AL516" s="150"/>
      <c r="AM516" s="152"/>
      <c r="AN516" s="150"/>
      <c r="AO516" s="151"/>
      <c r="AP516" s="151"/>
      <c r="AQ516" s="169"/>
      <c r="AR516" s="169"/>
      <c r="AS516" s="149"/>
      <c r="AT516" s="324"/>
      <c r="AU516" s="324"/>
      <c r="AV516" s="324"/>
      <c r="AW516" s="324"/>
      <c r="AX516" s="324"/>
      <c r="AY516" s="324"/>
      <c r="AZ516" s="154"/>
      <c r="BA516" s="419"/>
      <c r="BB516" s="419"/>
      <c r="BC516" s="419"/>
      <c r="BD516" s="419"/>
      <c r="BE516" s="418"/>
      <c r="BF516" s="154"/>
      <c r="BG516" s="419"/>
      <c r="BH516" s="419"/>
      <c r="BI516" s="419"/>
      <c r="BJ516" s="419"/>
      <c r="BK516" s="418"/>
      <c r="BL516" s="36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561"/>
    </row>
    <row r="517" spans="1:74" s="2" customFormat="1" ht="24.9" customHeight="1">
      <c r="A517" s="147" t="s">
        <v>85</v>
      </c>
      <c r="B517" s="158"/>
      <c r="C517" s="179"/>
      <c r="D517" s="158"/>
      <c r="E517" s="160"/>
      <c r="F517" s="161"/>
      <c r="G517" s="161"/>
      <c r="H517" s="161"/>
      <c r="I517" s="154"/>
      <c r="J517" s="418"/>
      <c r="K517" s="419"/>
      <c r="L517" s="154"/>
      <c r="M517" s="418"/>
      <c r="N517" s="419"/>
      <c r="O517" s="150"/>
      <c r="P517" s="164"/>
      <c r="Q517" s="154"/>
      <c r="R517" s="174"/>
      <c r="S517" s="523"/>
      <c r="T517" s="523"/>
      <c r="U517" s="154"/>
      <c r="V517" s="155"/>
      <c r="W517" s="156"/>
      <c r="X517" s="154"/>
      <c r="Y517" s="155"/>
      <c r="Z517" s="155"/>
      <c r="AA517" s="157"/>
      <c r="AB517" s="217"/>
      <c r="AC517" s="150"/>
      <c r="AD517" s="151"/>
      <c r="AE517" s="152"/>
      <c r="AF517" s="506"/>
      <c r="AG517" s="463"/>
      <c r="AH517" s="150"/>
      <c r="AI517" s="152"/>
      <c r="AJ517" s="150"/>
      <c r="AK517" s="152"/>
      <c r="AL517" s="150"/>
      <c r="AM517" s="152"/>
      <c r="AN517" s="150"/>
      <c r="AO517" s="151"/>
      <c r="AP517" s="151"/>
      <c r="AQ517" s="169"/>
      <c r="AR517" s="169"/>
      <c r="AS517" s="149"/>
      <c r="AT517" s="324"/>
      <c r="AU517" s="324"/>
      <c r="AV517" s="324"/>
      <c r="AW517" s="324"/>
      <c r="AX517" s="324"/>
      <c r="AY517" s="324"/>
      <c r="AZ517" s="154"/>
      <c r="BA517" s="419"/>
      <c r="BB517" s="419"/>
      <c r="BC517" s="419"/>
      <c r="BD517" s="419"/>
      <c r="BE517" s="418"/>
      <c r="BF517" s="154"/>
      <c r="BG517" s="419"/>
      <c r="BH517" s="419"/>
      <c r="BI517" s="419"/>
      <c r="BJ517" s="419"/>
      <c r="BK517" s="418"/>
      <c r="BL517" s="36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431"/>
    </row>
    <row r="518" spans="1:74" s="2" customFormat="1" ht="24.9" customHeight="1">
      <c r="A518" s="147" t="s">
        <v>85</v>
      </c>
      <c r="B518" s="158"/>
      <c r="C518" s="179"/>
      <c r="D518" s="158"/>
      <c r="E518" s="160"/>
      <c r="F518" s="161"/>
      <c r="G518" s="161"/>
      <c r="H518" s="161"/>
      <c r="I518" s="154"/>
      <c r="J518" s="418"/>
      <c r="K518" s="419"/>
      <c r="L518" s="154"/>
      <c r="M518" s="418"/>
      <c r="N518" s="419"/>
      <c r="O518" s="150"/>
      <c r="P518" s="164"/>
      <c r="Q518" s="154"/>
      <c r="R518" s="174"/>
      <c r="S518" s="523"/>
      <c r="T518" s="523"/>
      <c r="U518" s="154"/>
      <c r="V518" s="155"/>
      <c r="W518" s="156"/>
      <c r="X518" s="154"/>
      <c r="Y518" s="155"/>
      <c r="Z518" s="155"/>
      <c r="AA518" s="157"/>
      <c r="AB518" s="217"/>
      <c r="AC518" s="150"/>
      <c r="AD518" s="151"/>
      <c r="AE518" s="152"/>
      <c r="AF518" s="506"/>
      <c r="AG518" s="463"/>
      <c r="AH518" s="150"/>
      <c r="AI518" s="152"/>
      <c r="AJ518" s="150"/>
      <c r="AK518" s="152"/>
      <c r="AL518" s="150"/>
      <c r="AM518" s="152"/>
      <c r="AN518" s="150"/>
      <c r="AO518" s="151"/>
      <c r="AP518" s="151"/>
      <c r="AQ518" s="169"/>
      <c r="AR518" s="169"/>
      <c r="AS518" s="149"/>
      <c r="AT518" s="324"/>
      <c r="AU518" s="324"/>
      <c r="AV518" s="324"/>
      <c r="AW518" s="324"/>
      <c r="AX518" s="324"/>
      <c r="AY518" s="324"/>
      <c r="AZ518" s="154"/>
      <c r="BA518" s="419"/>
      <c r="BB518" s="419"/>
      <c r="BC518" s="419"/>
      <c r="BD518" s="419"/>
      <c r="BE518" s="418"/>
      <c r="BF518" s="154"/>
      <c r="BG518" s="419"/>
      <c r="BH518" s="419"/>
      <c r="BI518" s="419"/>
      <c r="BJ518" s="419"/>
      <c r="BK518" s="418"/>
      <c r="BL518" s="36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561"/>
    </row>
    <row r="519" spans="1:74" s="2" customFormat="1" ht="24.9" customHeight="1">
      <c r="A519" s="147" t="s">
        <v>85</v>
      </c>
      <c r="B519" s="158"/>
      <c r="C519" s="179"/>
      <c r="D519" s="158"/>
      <c r="E519" s="160"/>
      <c r="F519" s="161"/>
      <c r="G519" s="161"/>
      <c r="H519" s="161"/>
      <c r="I519" s="154"/>
      <c r="J519" s="418"/>
      <c r="K519" s="419"/>
      <c r="L519" s="154"/>
      <c r="M519" s="418"/>
      <c r="N519" s="419"/>
      <c r="O519" s="150"/>
      <c r="P519" s="164"/>
      <c r="Q519" s="154"/>
      <c r="R519" s="174"/>
      <c r="S519" s="523"/>
      <c r="T519" s="523"/>
      <c r="U519" s="154"/>
      <c r="V519" s="155"/>
      <c r="W519" s="156"/>
      <c r="X519" s="154"/>
      <c r="Y519" s="155"/>
      <c r="Z519" s="155"/>
      <c r="AA519" s="157"/>
      <c r="AB519" s="217"/>
      <c r="AC519" s="150"/>
      <c r="AD519" s="151"/>
      <c r="AE519" s="152"/>
      <c r="AF519" s="506"/>
      <c r="AG519" s="463"/>
      <c r="AH519" s="150"/>
      <c r="AI519" s="152"/>
      <c r="AJ519" s="150"/>
      <c r="AK519" s="152"/>
      <c r="AL519" s="150"/>
      <c r="AM519" s="152"/>
      <c r="AN519" s="150"/>
      <c r="AO519" s="151"/>
      <c r="AP519" s="151"/>
      <c r="AQ519" s="169"/>
      <c r="AR519" s="169"/>
      <c r="AS519" s="149"/>
      <c r="AT519" s="324"/>
      <c r="AU519" s="324"/>
      <c r="AV519" s="324"/>
      <c r="AW519" s="324"/>
      <c r="AX519" s="324"/>
      <c r="AY519" s="324"/>
      <c r="AZ519" s="154"/>
      <c r="BA519" s="419"/>
      <c r="BB519" s="419"/>
      <c r="BC519" s="419"/>
      <c r="BD519" s="419"/>
      <c r="BE519" s="418"/>
      <c r="BF519" s="154"/>
      <c r="BG519" s="419"/>
      <c r="BH519" s="419"/>
      <c r="BI519" s="419"/>
      <c r="BJ519" s="419"/>
      <c r="BK519" s="418"/>
      <c r="BL519" s="36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431"/>
    </row>
    <row r="520" spans="1:74" s="2" customFormat="1" ht="24.9" customHeight="1">
      <c r="A520" s="147" t="s">
        <v>85</v>
      </c>
      <c r="B520" s="158"/>
      <c r="C520" s="179"/>
      <c r="D520" s="158"/>
      <c r="E520" s="160"/>
      <c r="F520" s="161"/>
      <c r="G520" s="161"/>
      <c r="H520" s="161"/>
      <c r="I520" s="154"/>
      <c r="J520" s="418"/>
      <c r="K520" s="419"/>
      <c r="L520" s="154"/>
      <c r="M520" s="418"/>
      <c r="N520" s="419"/>
      <c r="O520" s="150"/>
      <c r="P520" s="164"/>
      <c r="Q520" s="154"/>
      <c r="R520" s="174"/>
      <c r="S520" s="523"/>
      <c r="T520" s="523"/>
      <c r="U520" s="154"/>
      <c r="V520" s="155"/>
      <c r="W520" s="156"/>
      <c r="X520" s="154"/>
      <c r="Y520" s="155"/>
      <c r="Z520" s="155"/>
      <c r="AA520" s="157"/>
      <c r="AB520" s="217"/>
      <c r="AC520" s="150"/>
      <c r="AD520" s="151"/>
      <c r="AE520" s="152"/>
      <c r="AF520" s="506"/>
      <c r="AG520" s="463"/>
      <c r="AH520" s="150"/>
      <c r="AI520" s="152"/>
      <c r="AJ520" s="150"/>
      <c r="AK520" s="152"/>
      <c r="AL520" s="150"/>
      <c r="AM520" s="152"/>
      <c r="AN520" s="150"/>
      <c r="AO520" s="151"/>
      <c r="AP520" s="151"/>
      <c r="AQ520" s="169"/>
      <c r="AR520" s="169"/>
      <c r="AS520" s="149"/>
      <c r="AT520" s="324"/>
      <c r="AU520" s="324"/>
      <c r="AV520" s="324"/>
      <c r="AW520" s="324"/>
      <c r="AX520" s="324"/>
      <c r="AY520" s="324"/>
      <c r="AZ520" s="154"/>
      <c r="BA520" s="419"/>
      <c r="BB520" s="419"/>
      <c r="BC520" s="419"/>
      <c r="BD520" s="419"/>
      <c r="BE520" s="418"/>
      <c r="BF520" s="154"/>
      <c r="BG520" s="419"/>
      <c r="BH520" s="419"/>
      <c r="BI520" s="419"/>
      <c r="BJ520" s="419"/>
      <c r="BK520" s="418"/>
      <c r="BL520" s="36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561"/>
    </row>
    <row r="521" spans="1:74" s="2" customFormat="1" ht="24.9" customHeight="1">
      <c r="A521" s="147" t="s">
        <v>85</v>
      </c>
      <c r="B521" s="158"/>
      <c r="C521" s="179"/>
      <c r="D521" s="158"/>
      <c r="E521" s="160"/>
      <c r="F521" s="161"/>
      <c r="G521" s="161"/>
      <c r="H521" s="161"/>
      <c r="I521" s="154"/>
      <c r="J521" s="418"/>
      <c r="K521" s="419"/>
      <c r="L521" s="154"/>
      <c r="M521" s="418"/>
      <c r="N521" s="419"/>
      <c r="O521" s="150"/>
      <c r="P521" s="164"/>
      <c r="Q521" s="154"/>
      <c r="R521" s="174"/>
      <c r="S521" s="523"/>
      <c r="T521" s="523"/>
      <c r="U521" s="154"/>
      <c r="V521" s="155"/>
      <c r="W521" s="156"/>
      <c r="X521" s="154"/>
      <c r="Y521" s="155"/>
      <c r="Z521" s="155"/>
      <c r="AA521" s="157"/>
      <c r="AB521" s="217"/>
      <c r="AC521" s="150"/>
      <c r="AD521" s="151"/>
      <c r="AE521" s="152"/>
      <c r="AF521" s="506"/>
      <c r="AG521" s="463"/>
      <c r="AH521" s="150"/>
      <c r="AI521" s="152"/>
      <c r="AJ521" s="150"/>
      <c r="AK521" s="152"/>
      <c r="AL521" s="150"/>
      <c r="AM521" s="152"/>
      <c r="AN521" s="150"/>
      <c r="AO521" s="151"/>
      <c r="AP521" s="151"/>
      <c r="AQ521" s="169"/>
      <c r="AR521" s="169"/>
      <c r="AS521" s="149"/>
      <c r="AT521" s="324"/>
      <c r="AU521" s="324"/>
      <c r="AV521" s="324"/>
      <c r="AW521" s="324"/>
      <c r="AX521" s="324"/>
      <c r="AY521" s="324"/>
      <c r="AZ521" s="154"/>
      <c r="BA521" s="419"/>
      <c r="BB521" s="419"/>
      <c r="BC521" s="419"/>
      <c r="BD521" s="419"/>
      <c r="BE521" s="418"/>
      <c r="BF521" s="154"/>
      <c r="BG521" s="419"/>
      <c r="BH521" s="419"/>
      <c r="BI521" s="419"/>
      <c r="BJ521" s="419"/>
      <c r="BK521" s="418"/>
      <c r="BL521" s="36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431"/>
    </row>
    <row r="522" spans="1:74" s="2" customFormat="1" ht="24.9" customHeight="1">
      <c r="A522" s="147" t="s">
        <v>85</v>
      </c>
      <c r="B522" s="158"/>
      <c r="C522" s="179"/>
      <c r="D522" s="158"/>
      <c r="E522" s="160"/>
      <c r="F522" s="161"/>
      <c r="G522" s="161"/>
      <c r="H522" s="161"/>
      <c r="I522" s="154"/>
      <c r="J522" s="418"/>
      <c r="K522" s="419"/>
      <c r="L522" s="154"/>
      <c r="M522" s="418"/>
      <c r="N522" s="419"/>
      <c r="O522" s="150"/>
      <c r="P522" s="164"/>
      <c r="Q522" s="154"/>
      <c r="R522" s="151"/>
      <c r="S522" s="522"/>
      <c r="T522" s="522"/>
      <c r="U522" s="154"/>
      <c r="V522" s="155"/>
      <c r="W522" s="156"/>
      <c r="X522" s="154"/>
      <c r="Y522" s="155"/>
      <c r="Z522" s="155"/>
      <c r="AA522" s="157"/>
      <c r="AB522" s="217"/>
      <c r="AC522" s="150"/>
      <c r="AD522" s="151"/>
      <c r="AE522" s="152"/>
      <c r="AF522" s="506"/>
      <c r="AG522" s="463"/>
      <c r="AH522" s="150"/>
      <c r="AI522" s="152"/>
      <c r="AJ522" s="150"/>
      <c r="AK522" s="152"/>
      <c r="AL522" s="150"/>
      <c r="AM522" s="152"/>
      <c r="AN522" s="150"/>
      <c r="AO522" s="151"/>
      <c r="AP522" s="151"/>
      <c r="AQ522" s="169"/>
      <c r="AR522" s="169"/>
      <c r="AS522" s="149"/>
      <c r="AT522" s="324"/>
      <c r="AU522" s="324"/>
      <c r="AV522" s="324"/>
      <c r="AW522" s="324"/>
      <c r="AX522" s="324"/>
      <c r="AY522" s="324"/>
      <c r="AZ522" s="154"/>
      <c r="BA522" s="419"/>
      <c r="BB522" s="419"/>
      <c r="BC522" s="419"/>
      <c r="BD522" s="419"/>
      <c r="BE522" s="418"/>
      <c r="BF522" s="154"/>
      <c r="BG522" s="419"/>
      <c r="BH522" s="419"/>
      <c r="BI522" s="419"/>
      <c r="BJ522" s="419"/>
      <c r="BK522" s="418"/>
      <c r="BL522" s="36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432"/>
    </row>
    <row r="523" spans="1:74" s="2" customFormat="1" ht="24.9" customHeight="1">
      <c r="A523" s="147" t="s">
        <v>85</v>
      </c>
      <c r="B523" s="158"/>
      <c r="C523" s="179"/>
      <c r="D523" s="158"/>
      <c r="E523" s="160"/>
      <c r="F523" s="161"/>
      <c r="G523" s="161"/>
      <c r="H523" s="161"/>
      <c r="I523" s="154"/>
      <c r="J523" s="418"/>
      <c r="K523" s="419"/>
      <c r="L523" s="154"/>
      <c r="M523" s="418"/>
      <c r="N523" s="419"/>
      <c r="O523" s="150"/>
      <c r="P523" s="164"/>
      <c r="Q523" s="154"/>
      <c r="R523" s="174"/>
      <c r="S523" s="523"/>
      <c r="T523" s="523"/>
      <c r="U523" s="154"/>
      <c r="V523" s="155"/>
      <c r="W523" s="156"/>
      <c r="X523" s="154"/>
      <c r="Y523" s="155"/>
      <c r="Z523" s="155"/>
      <c r="AA523" s="157"/>
      <c r="AB523" s="217"/>
      <c r="AC523" s="150"/>
      <c r="AD523" s="151"/>
      <c r="AE523" s="152"/>
      <c r="AF523" s="506"/>
      <c r="AG523" s="463"/>
      <c r="AH523" s="150"/>
      <c r="AI523" s="152"/>
      <c r="AJ523" s="150"/>
      <c r="AK523" s="152"/>
      <c r="AL523" s="150"/>
      <c r="AM523" s="152"/>
      <c r="AN523" s="150"/>
      <c r="AO523" s="151"/>
      <c r="AP523" s="151"/>
      <c r="AQ523" s="169"/>
      <c r="AR523" s="169"/>
      <c r="AS523" s="149"/>
      <c r="AT523" s="324"/>
      <c r="AU523" s="324"/>
      <c r="AV523" s="324"/>
      <c r="AW523" s="324"/>
      <c r="AX523" s="324"/>
      <c r="AY523" s="324"/>
      <c r="AZ523" s="154"/>
      <c r="BA523" s="419"/>
      <c r="BB523" s="419"/>
      <c r="BC523" s="419"/>
      <c r="BD523" s="419"/>
      <c r="BE523" s="418"/>
      <c r="BF523" s="154"/>
      <c r="BG523" s="419"/>
      <c r="BH523" s="419"/>
      <c r="BI523" s="419"/>
      <c r="BJ523" s="419"/>
      <c r="BK523" s="418"/>
      <c r="BL523" s="36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561"/>
    </row>
    <row r="524" spans="1:74" s="2" customFormat="1" ht="24.9" customHeight="1">
      <c r="A524" s="147" t="s">
        <v>85</v>
      </c>
      <c r="B524" s="158"/>
      <c r="C524" s="179"/>
      <c r="D524" s="158"/>
      <c r="E524" s="160"/>
      <c r="F524" s="161"/>
      <c r="G524" s="161"/>
      <c r="H524" s="161"/>
      <c r="I524" s="154"/>
      <c r="J524" s="418"/>
      <c r="K524" s="419"/>
      <c r="L524" s="154"/>
      <c r="M524" s="418"/>
      <c r="N524" s="419"/>
      <c r="O524" s="150"/>
      <c r="P524" s="164"/>
      <c r="Q524" s="154"/>
      <c r="R524" s="174"/>
      <c r="S524" s="523"/>
      <c r="T524" s="523"/>
      <c r="U524" s="154"/>
      <c r="V524" s="155"/>
      <c r="W524" s="156"/>
      <c r="X524" s="154"/>
      <c r="Y524" s="155"/>
      <c r="Z524" s="155"/>
      <c r="AA524" s="157"/>
      <c r="AB524" s="217"/>
      <c r="AC524" s="150"/>
      <c r="AD524" s="151"/>
      <c r="AE524" s="152"/>
      <c r="AF524" s="506"/>
      <c r="AG524" s="463"/>
      <c r="AH524" s="150"/>
      <c r="AI524" s="152"/>
      <c r="AJ524" s="150"/>
      <c r="AK524" s="152"/>
      <c r="AL524" s="150"/>
      <c r="AM524" s="152"/>
      <c r="AN524" s="150"/>
      <c r="AO524" s="151"/>
      <c r="AP524" s="151"/>
      <c r="AQ524" s="169"/>
      <c r="AR524" s="169"/>
      <c r="AS524" s="149"/>
      <c r="AT524" s="324"/>
      <c r="AU524" s="324"/>
      <c r="AV524" s="324"/>
      <c r="AW524" s="324"/>
      <c r="AX524" s="324"/>
      <c r="AY524" s="324"/>
      <c r="AZ524" s="154"/>
      <c r="BA524" s="419"/>
      <c r="BB524" s="419"/>
      <c r="BC524" s="419"/>
      <c r="BD524" s="419"/>
      <c r="BE524" s="418"/>
      <c r="BF524" s="154"/>
      <c r="BG524" s="419"/>
      <c r="BH524" s="419"/>
      <c r="BI524" s="419"/>
      <c r="BJ524" s="419"/>
      <c r="BK524" s="418"/>
      <c r="BL524" s="36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431"/>
    </row>
    <row r="525" spans="1:74" s="2" customFormat="1" ht="24.9" customHeight="1">
      <c r="A525" s="147" t="s">
        <v>85</v>
      </c>
      <c r="B525" s="158"/>
      <c r="C525" s="179"/>
      <c r="D525" s="158"/>
      <c r="E525" s="160"/>
      <c r="F525" s="161"/>
      <c r="G525" s="161"/>
      <c r="H525" s="161"/>
      <c r="I525" s="154"/>
      <c r="J525" s="418"/>
      <c r="K525" s="419"/>
      <c r="L525" s="154"/>
      <c r="M525" s="418"/>
      <c r="N525" s="419"/>
      <c r="O525" s="150"/>
      <c r="P525" s="164"/>
      <c r="Q525" s="154"/>
      <c r="R525" s="174"/>
      <c r="S525" s="523"/>
      <c r="T525" s="523"/>
      <c r="U525" s="154"/>
      <c r="V525" s="155"/>
      <c r="W525" s="156"/>
      <c r="X525" s="154"/>
      <c r="Y525" s="155"/>
      <c r="Z525" s="155"/>
      <c r="AA525" s="157"/>
      <c r="AB525" s="217"/>
      <c r="AC525" s="150"/>
      <c r="AD525" s="151"/>
      <c r="AE525" s="152"/>
      <c r="AF525" s="506"/>
      <c r="AG525" s="463"/>
      <c r="AH525" s="150"/>
      <c r="AI525" s="152"/>
      <c r="AJ525" s="150"/>
      <c r="AK525" s="152"/>
      <c r="AL525" s="150"/>
      <c r="AM525" s="152"/>
      <c r="AN525" s="150"/>
      <c r="AO525" s="151"/>
      <c r="AP525" s="151"/>
      <c r="AQ525" s="169"/>
      <c r="AR525" s="169"/>
      <c r="AS525" s="149"/>
      <c r="AT525" s="324"/>
      <c r="AU525" s="324"/>
      <c r="AV525" s="324"/>
      <c r="AW525" s="324"/>
      <c r="AX525" s="324"/>
      <c r="AY525" s="324"/>
      <c r="AZ525" s="154"/>
      <c r="BA525" s="419"/>
      <c r="BB525" s="419"/>
      <c r="BC525" s="419"/>
      <c r="BD525" s="419"/>
      <c r="BE525" s="418"/>
      <c r="BF525" s="154"/>
      <c r="BG525" s="419"/>
      <c r="BH525" s="419"/>
      <c r="BI525" s="419"/>
      <c r="BJ525" s="419"/>
      <c r="BK525" s="418"/>
      <c r="BL525" s="36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432"/>
    </row>
    <row r="526" spans="1:74" s="2" customFormat="1" ht="24.9" customHeight="1">
      <c r="A526" s="147" t="s">
        <v>85</v>
      </c>
      <c r="B526" s="158"/>
      <c r="C526" s="179"/>
      <c r="D526" s="158"/>
      <c r="E526" s="160"/>
      <c r="F526" s="161"/>
      <c r="G526" s="161"/>
      <c r="H526" s="161"/>
      <c r="I526" s="154"/>
      <c r="J526" s="418"/>
      <c r="K526" s="419"/>
      <c r="L526" s="154"/>
      <c r="M526" s="418"/>
      <c r="N526" s="419"/>
      <c r="O526" s="150"/>
      <c r="P526" s="164"/>
      <c r="Q526" s="154"/>
      <c r="R526" s="151"/>
      <c r="S526" s="522"/>
      <c r="T526" s="522"/>
      <c r="U526" s="154"/>
      <c r="V526" s="155"/>
      <c r="W526" s="156"/>
      <c r="X526" s="154"/>
      <c r="Y526" s="155"/>
      <c r="Z526" s="155"/>
      <c r="AA526" s="157"/>
      <c r="AB526" s="217"/>
      <c r="AC526" s="150"/>
      <c r="AD526" s="151"/>
      <c r="AE526" s="152"/>
      <c r="AF526" s="506"/>
      <c r="AG526" s="463"/>
      <c r="AH526" s="150"/>
      <c r="AI526" s="152"/>
      <c r="AJ526" s="150"/>
      <c r="AK526" s="152"/>
      <c r="AL526" s="150"/>
      <c r="AM526" s="152"/>
      <c r="AN526" s="150"/>
      <c r="AO526" s="151"/>
      <c r="AP526" s="151"/>
      <c r="AQ526" s="169"/>
      <c r="AR526" s="169"/>
      <c r="AS526" s="149"/>
      <c r="AT526" s="324"/>
      <c r="AU526" s="324"/>
      <c r="AV526" s="324"/>
      <c r="AW526" s="324"/>
      <c r="AX526" s="324"/>
      <c r="AY526" s="324"/>
      <c r="AZ526" s="154"/>
      <c r="BA526" s="419"/>
      <c r="BB526" s="419"/>
      <c r="BC526" s="419"/>
      <c r="BD526" s="419"/>
      <c r="BE526" s="418"/>
      <c r="BF526" s="154"/>
      <c r="BG526" s="419"/>
      <c r="BH526" s="419"/>
      <c r="BI526" s="419"/>
      <c r="BJ526" s="419"/>
      <c r="BK526" s="418"/>
      <c r="BL526" s="36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561"/>
    </row>
    <row r="527" spans="1:74" s="2" customFormat="1" ht="24.9" customHeight="1">
      <c r="A527" s="147" t="s">
        <v>85</v>
      </c>
      <c r="B527" s="158"/>
      <c r="C527" s="179"/>
      <c r="D527" s="158"/>
      <c r="E527" s="160"/>
      <c r="F527" s="161"/>
      <c r="G527" s="161"/>
      <c r="H527" s="161"/>
      <c r="I527" s="154"/>
      <c r="J527" s="418"/>
      <c r="K527" s="419"/>
      <c r="L527" s="154"/>
      <c r="M527" s="418"/>
      <c r="N527" s="419"/>
      <c r="O527" s="150"/>
      <c r="P527" s="164"/>
      <c r="Q527" s="154"/>
      <c r="R527" s="174"/>
      <c r="S527" s="523"/>
      <c r="T527" s="523"/>
      <c r="U527" s="154"/>
      <c r="V527" s="155"/>
      <c r="W527" s="156"/>
      <c r="X527" s="154"/>
      <c r="Y527" s="155"/>
      <c r="Z527" s="155"/>
      <c r="AA527" s="157"/>
      <c r="AB527" s="217"/>
      <c r="AC527" s="150"/>
      <c r="AD527" s="151"/>
      <c r="AE527" s="152"/>
      <c r="AF527" s="506"/>
      <c r="AG527" s="463"/>
      <c r="AH527" s="150"/>
      <c r="AI527" s="152"/>
      <c r="AJ527" s="150"/>
      <c r="AK527" s="152"/>
      <c r="AL527" s="150"/>
      <c r="AM527" s="152"/>
      <c r="AN527" s="150"/>
      <c r="AO527" s="151"/>
      <c r="AP527" s="151"/>
      <c r="AQ527" s="169"/>
      <c r="AR527" s="169"/>
      <c r="AS527" s="149"/>
      <c r="AT527" s="324"/>
      <c r="AU527" s="324"/>
      <c r="AV527" s="324"/>
      <c r="AW527" s="324"/>
      <c r="AX527" s="324"/>
      <c r="AY527" s="324"/>
      <c r="AZ527" s="154"/>
      <c r="BA527" s="419"/>
      <c r="BB527" s="419"/>
      <c r="BC527" s="419"/>
      <c r="BD527" s="419"/>
      <c r="BE527" s="418"/>
      <c r="BF527" s="154"/>
      <c r="BG527" s="419"/>
      <c r="BH527" s="419"/>
      <c r="BI527" s="419"/>
      <c r="BJ527" s="419"/>
      <c r="BK527" s="418"/>
      <c r="BL527" s="36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431"/>
    </row>
    <row r="528" spans="1:74" s="2" customFormat="1" ht="24.9" customHeight="1">
      <c r="A528" s="147" t="s">
        <v>85</v>
      </c>
      <c r="B528" s="158"/>
      <c r="C528" s="179"/>
      <c r="D528" s="158"/>
      <c r="E528" s="160"/>
      <c r="F528" s="161"/>
      <c r="G528" s="161"/>
      <c r="H528" s="161"/>
      <c r="I528" s="154"/>
      <c r="J528" s="418"/>
      <c r="K528" s="419"/>
      <c r="L528" s="154"/>
      <c r="M528" s="418"/>
      <c r="N528" s="419"/>
      <c r="O528" s="150"/>
      <c r="P528" s="164"/>
      <c r="Q528" s="154"/>
      <c r="R528" s="174"/>
      <c r="S528" s="523"/>
      <c r="T528" s="523"/>
      <c r="U528" s="154"/>
      <c r="V528" s="155"/>
      <c r="W528" s="156"/>
      <c r="X528" s="154"/>
      <c r="Y528" s="155"/>
      <c r="Z528" s="155"/>
      <c r="AA528" s="157"/>
      <c r="AB528" s="217"/>
      <c r="AC528" s="150"/>
      <c r="AD528" s="151"/>
      <c r="AE528" s="152"/>
      <c r="AF528" s="506"/>
      <c r="AG528" s="463"/>
      <c r="AH528" s="150"/>
      <c r="AI528" s="152"/>
      <c r="AJ528" s="150"/>
      <c r="AK528" s="152"/>
      <c r="AL528" s="150"/>
      <c r="AM528" s="152"/>
      <c r="AN528" s="150"/>
      <c r="AO528" s="151"/>
      <c r="AP528" s="151"/>
      <c r="AQ528" s="169"/>
      <c r="AR528" s="169"/>
      <c r="AS528" s="149"/>
      <c r="AT528" s="324"/>
      <c r="AU528" s="324"/>
      <c r="AV528" s="324"/>
      <c r="AW528" s="324"/>
      <c r="AX528" s="324"/>
      <c r="AY528" s="324"/>
      <c r="AZ528" s="154"/>
      <c r="BA528" s="419"/>
      <c r="BB528" s="419"/>
      <c r="BC528" s="419"/>
      <c r="BD528" s="419"/>
      <c r="BE528" s="418"/>
      <c r="BF528" s="154"/>
      <c r="BG528" s="419"/>
      <c r="BH528" s="419"/>
      <c r="BI528" s="419"/>
      <c r="BJ528" s="419"/>
      <c r="BK528" s="418"/>
      <c r="BL528" s="36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561"/>
    </row>
    <row r="529" spans="1:74" s="2" customFormat="1" ht="24.9" customHeight="1">
      <c r="A529" s="147" t="s">
        <v>85</v>
      </c>
      <c r="B529" s="158"/>
      <c r="C529" s="179"/>
      <c r="D529" s="158"/>
      <c r="E529" s="160"/>
      <c r="F529" s="161"/>
      <c r="G529" s="161"/>
      <c r="H529" s="161"/>
      <c r="I529" s="154"/>
      <c r="J529" s="418"/>
      <c r="K529" s="419"/>
      <c r="L529" s="154"/>
      <c r="M529" s="418"/>
      <c r="N529" s="419"/>
      <c r="O529" s="150"/>
      <c r="P529" s="164"/>
      <c r="Q529" s="154"/>
      <c r="R529" s="174"/>
      <c r="S529" s="523"/>
      <c r="T529" s="523"/>
      <c r="U529" s="154"/>
      <c r="V529" s="155"/>
      <c r="W529" s="156"/>
      <c r="X529" s="154"/>
      <c r="Y529" s="155"/>
      <c r="Z529" s="155"/>
      <c r="AA529" s="157"/>
      <c r="AB529" s="217"/>
      <c r="AC529" s="150"/>
      <c r="AD529" s="151"/>
      <c r="AE529" s="152"/>
      <c r="AF529" s="506"/>
      <c r="AG529" s="463"/>
      <c r="AH529" s="150"/>
      <c r="AI529" s="152"/>
      <c r="AJ529" s="150"/>
      <c r="AK529" s="152"/>
      <c r="AL529" s="150"/>
      <c r="AM529" s="152"/>
      <c r="AN529" s="150"/>
      <c r="AO529" s="151"/>
      <c r="AP529" s="151"/>
      <c r="AQ529" s="169"/>
      <c r="AR529" s="169"/>
      <c r="AS529" s="149"/>
      <c r="AT529" s="324"/>
      <c r="AU529" s="324"/>
      <c r="AV529" s="324"/>
      <c r="AW529" s="324"/>
      <c r="AX529" s="324"/>
      <c r="AY529" s="324"/>
      <c r="AZ529" s="154"/>
      <c r="BA529" s="419"/>
      <c r="BB529" s="419"/>
      <c r="BC529" s="419"/>
      <c r="BD529" s="419"/>
      <c r="BE529" s="418"/>
      <c r="BF529" s="154"/>
      <c r="BG529" s="419"/>
      <c r="BH529" s="419"/>
      <c r="BI529" s="419"/>
      <c r="BJ529" s="419"/>
      <c r="BK529" s="418"/>
      <c r="BL529" s="36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431"/>
    </row>
    <row r="530" spans="1:74" s="2" customFormat="1" ht="24.9" customHeight="1">
      <c r="A530" s="147" t="s">
        <v>85</v>
      </c>
      <c r="B530" s="158"/>
      <c r="C530" s="179"/>
      <c r="D530" s="158"/>
      <c r="E530" s="160"/>
      <c r="F530" s="161"/>
      <c r="G530" s="161"/>
      <c r="H530" s="161"/>
      <c r="I530" s="154"/>
      <c r="J530" s="418"/>
      <c r="K530" s="419"/>
      <c r="L530" s="154"/>
      <c r="M530" s="418"/>
      <c r="N530" s="419"/>
      <c r="O530" s="150"/>
      <c r="P530" s="164"/>
      <c r="Q530" s="154"/>
      <c r="R530" s="151"/>
      <c r="S530" s="522"/>
      <c r="T530" s="522"/>
      <c r="U530" s="154"/>
      <c r="V530" s="155"/>
      <c r="W530" s="156"/>
      <c r="X530" s="154"/>
      <c r="Y530" s="155"/>
      <c r="Z530" s="155"/>
      <c r="AA530" s="157"/>
      <c r="AB530" s="217"/>
      <c r="AC530" s="150"/>
      <c r="AD530" s="151"/>
      <c r="AE530" s="152"/>
      <c r="AF530" s="506"/>
      <c r="AG530" s="463"/>
      <c r="AH530" s="150"/>
      <c r="AI530" s="152"/>
      <c r="AJ530" s="150"/>
      <c r="AK530" s="152"/>
      <c r="AL530" s="150"/>
      <c r="AM530" s="152"/>
      <c r="AN530" s="150"/>
      <c r="AO530" s="151"/>
      <c r="AP530" s="151"/>
      <c r="AQ530" s="169"/>
      <c r="AR530" s="169"/>
      <c r="AS530" s="149"/>
      <c r="AT530" s="324"/>
      <c r="AU530" s="324"/>
      <c r="AV530" s="324"/>
      <c r="AW530" s="324"/>
      <c r="AX530" s="324"/>
      <c r="AY530" s="324"/>
      <c r="AZ530" s="154"/>
      <c r="BA530" s="419"/>
      <c r="BB530" s="419"/>
      <c r="BC530" s="419"/>
      <c r="BD530" s="419"/>
      <c r="BE530" s="418"/>
      <c r="BF530" s="154"/>
      <c r="BG530" s="419"/>
      <c r="BH530" s="419"/>
      <c r="BI530" s="419"/>
      <c r="BJ530" s="419"/>
      <c r="BK530" s="418"/>
      <c r="BL530" s="36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432"/>
    </row>
    <row r="531" spans="1:74" s="2" customFormat="1" ht="24.9" customHeight="1">
      <c r="A531" s="147" t="s">
        <v>85</v>
      </c>
      <c r="B531" s="158"/>
      <c r="C531" s="179"/>
      <c r="D531" s="158"/>
      <c r="E531" s="160"/>
      <c r="F531" s="161"/>
      <c r="G531" s="161"/>
      <c r="H531" s="161"/>
      <c r="I531" s="154"/>
      <c r="J531" s="418"/>
      <c r="K531" s="419"/>
      <c r="L531" s="154"/>
      <c r="M531" s="418"/>
      <c r="N531" s="419"/>
      <c r="O531" s="150"/>
      <c r="P531" s="164"/>
      <c r="Q531" s="154"/>
      <c r="R531" s="174"/>
      <c r="S531" s="523"/>
      <c r="T531" s="523"/>
      <c r="U531" s="154"/>
      <c r="V531" s="155"/>
      <c r="W531" s="156"/>
      <c r="X531" s="154"/>
      <c r="Y531" s="155"/>
      <c r="Z531" s="155"/>
      <c r="AA531" s="157"/>
      <c r="AB531" s="217"/>
      <c r="AC531" s="150"/>
      <c r="AD531" s="151"/>
      <c r="AE531" s="152"/>
      <c r="AF531" s="506"/>
      <c r="AG531" s="463"/>
      <c r="AH531" s="150"/>
      <c r="AI531" s="152"/>
      <c r="AJ531" s="150"/>
      <c r="AK531" s="152"/>
      <c r="AL531" s="150"/>
      <c r="AM531" s="152"/>
      <c r="AN531" s="150"/>
      <c r="AO531" s="151"/>
      <c r="AP531" s="151"/>
      <c r="AQ531" s="169"/>
      <c r="AR531" s="169"/>
      <c r="AS531" s="149"/>
      <c r="AT531" s="324"/>
      <c r="AU531" s="324"/>
      <c r="AV531" s="324"/>
      <c r="AW531" s="324"/>
      <c r="AX531" s="324"/>
      <c r="AY531" s="324"/>
      <c r="AZ531" s="154"/>
      <c r="BA531" s="419"/>
      <c r="BB531" s="419"/>
      <c r="BC531" s="419"/>
      <c r="BD531" s="419"/>
      <c r="BE531" s="418"/>
      <c r="BF531" s="154"/>
      <c r="BG531" s="419"/>
      <c r="BH531" s="419"/>
      <c r="BI531" s="419"/>
      <c r="BJ531" s="419"/>
      <c r="BK531" s="418"/>
      <c r="BL531" s="36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432"/>
    </row>
    <row r="532" spans="1:74" s="2" customFormat="1" ht="24.9" customHeight="1">
      <c r="A532" s="147" t="s">
        <v>85</v>
      </c>
      <c r="B532" s="158"/>
      <c r="C532" s="179"/>
      <c r="D532" s="158"/>
      <c r="E532" s="160"/>
      <c r="F532" s="161"/>
      <c r="G532" s="161"/>
      <c r="H532" s="161"/>
      <c r="I532" s="154"/>
      <c r="J532" s="418"/>
      <c r="K532" s="419"/>
      <c r="L532" s="154"/>
      <c r="M532" s="418"/>
      <c r="N532" s="419"/>
      <c r="O532" s="150"/>
      <c r="P532" s="164"/>
      <c r="Q532" s="154"/>
      <c r="R532" s="151"/>
      <c r="S532" s="522"/>
      <c r="T532" s="522"/>
      <c r="U532" s="154"/>
      <c r="V532" s="155"/>
      <c r="W532" s="156"/>
      <c r="X532" s="154"/>
      <c r="Y532" s="155"/>
      <c r="Z532" s="155"/>
      <c r="AA532" s="157"/>
      <c r="AB532" s="217"/>
      <c r="AC532" s="150"/>
      <c r="AD532" s="151"/>
      <c r="AE532" s="152"/>
      <c r="AF532" s="506"/>
      <c r="AG532" s="463"/>
      <c r="AH532" s="150"/>
      <c r="AI532" s="152"/>
      <c r="AJ532" s="150"/>
      <c r="AK532" s="152"/>
      <c r="AL532" s="150"/>
      <c r="AM532" s="152"/>
      <c r="AN532" s="150"/>
      <c r="AO532" s="151"/>
      <c r="AP532" s="151"/>
      <c r="AQ532" s="169"/>
      <c r="AR532" s="169"/>
      <c r="AS532" s="149"/>
      <c r="AT532" s="324"/>
      <c r="AU532" s="324"/>
      <c r="AV532" s="324"/>
      <c r="AW532" s="324"/>
      <c r="AX532" s="324"/>
      <c r="AY532" s="324"/>
      <c r="AZ532" s="154"/>
      <c r="BA532" s="419"/>
      <c r="BB532" s="419"/>
      <c r="BC532" s="419"/>
      <c r="BD532" s="419"/>
      <c r="BE532" s="418"/>
      <c r="BF532" s="154"/>
      <c r="BG532" s="419"/>
      <c r="BH532" s="419"/>
      <c r="BI532" s="419"/>
      <c r="BJ532" s="419"/>
      <c r="BK532" s="418"/>
      <c r="BL532" s="36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561"/>
    </row>
    <row r="533" spans="1:74" s="2" customFormat="1" ht="24.9" customHeight="1">
      <c r="A533" s="147" t="s">
        <v>85</v>
      </c>
      <c r="B533" s="158"/>
      <c r="C533" s="179"/>
      <c r="D533" s="158"/>
      <c r="E533" s="160"/>
      <c r="F533" s="161"/>
      <c r="G533" s="161"/>
      <c r="H533" s="161"/>
      <c r="I533" s="154"/>
      <c r="J533" s="418"/>
      <c r="K533" s="419"/>
      <c r="L533" s="154"/>
      <c r="M533" s="418"/>
      <c r="N533" s="419"/>
      <c r="O533" s="150"/>
      <c r="P533" s="164"/>
      <c r="Q533" s="154"/>
      <c r="R533" s="151"/>
      <c r="S533" s="522"/>
      <c r="T533" s="522"/>
      <c r="U533" s="154"/>
      <c r="V533" s="155"/>
      <c r="W533" s="156"/>
      <c r="X533" s="154"/>
      <c r="Y533" s="155"/>
      <c r="Z533" s="155"/>
      <c r="AA533" s="157"/>
      <c r="AB533" s="217"/>
      <c r="AC533" s="150"/>
      <c r="AD533" s="151"/>
      <c r="AE533" s="152"/>
      <c r="AF533" s="506"/>
      <c r="AG533" s="463"/>
      <c r="AH533" s="150"/>
      <c r="AI533" s="152"/>
      <c r="AJ533" s="150"/>
      <c r="AK533" s="152"/>
      <c r="AL533" s="150"/>
      <c r="AM533" s="152"/>
      <c r="AN533" s="150"/>
      <c r="AO533" s="151"/>
      <c r="AP533" s="151"/>
      <c r="AQ533" s="169"/>
      <c r="AR533" s="169"/>
      <c r="AS533" s="149"/>
      <c r="AT533" s="324"/>
      <c r="AU533" s="324"/>
      <c r="AV533" s="324"/>
      <c r="AW533" s="324"/>
      <c r="AX533" s="324"/>
      <c r="AY533" s="324"/>
      <c r="AZ533" s="154"/>
      <c r="BA533" s="419"/>
      <c r="BB533" s="419"/>
      <c r="BC533" s="419"/>
      <c r="BD533" s="419"/>
      <c r="BE533" s="418"/>
      <c r="BF533" s="154"/>
      <c r="BG533" s="419"/>
      <c r="BH533" s="419"/>
      <c r="BI533" s="419"/>
      <c r="BJ533" s="419"/>
      <c r="BK533" s="418"/>
      <c r="BL533" s="36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431"/>
    </row>
    <row r="534" spans="1:74" s="2" customFormat="1" ht="24.9" customHeight="1">
      <c r="A534" s="147" t="s">
        <v>85</v>
      </c>
      <c r="B534" s="158"/>
      <c r="C534" s="179"/>
      <c r="D534" s="158"/>
      <c r="E534" s="160"/>
      <c r="F534" s="161"/>
      <c r="G534" s="161"/>
      <c r="H534" s="161"/>
      <c r="I534" s="154"/>
      <c r="J534" s="418"/>
      <c r="K534" s="419"/>
      <c r="L534" s="154"/>
      <c r="M534" s="418"/>
      <c r="N534" s="419"/>
      <c r="O534" s="150"/>
      <c r="P534" s="164"/>
      <c r="Q534" s="154"/>
      <c r="R534" s="174"/>
      <c r="S534" s="523"/>
      <c r="T534" s="523"/>
      <c r="U534" s="154"/>
      <c r="V534" s="155"/>
      <c r="W534" s="156"/>
      <c r="X534" s="154"/>
      <c r="Y534" s="155"/>
      <c r="Z534" s="155"/>
      <c r="AA534" s="157"/>
      <c r="AB534" s="217"/>
      <c r="AC534" s="150"/>
      <c r="AD534" s="151"/>
      <c r="AE534" s="152"/>
      <c r="AF534" s="506"/>
      <c r="AG534" s="463"/>
      <c r="AH534" s="150"/>
      <c r="AI534" s="152"/>
      <c r="AJ534" s="150"/>
      <c r="AK534" s="152"/>
      <c r="AL534" s="150"/>
      <c r="AM534" s="152"/>
      <c r="AN534" s="150"/>
      <c r="AO534" s="151"/>
      <c r="AP534" s="151"/>
      <c r="AQ534" s="169"/>
      <c r="AR534" s="169"/>
      <c r="AS534" s="149"/>
      <c r="AT534" s="324"/>
      <c r="AU534" s="324"/>
      <c r="AV534" s="324"/>
      <c r="AW534" s="324"/>
      <c r="AX534" s="324"/>
      <c r="AY534" s="324"/>
      <c r="AZ534" s="154"/>
      <c r="BA534" s="419"/>
      <c r="BB534" s="419"/>
      <c r="BC534" s="419"/>
      <c r="BD534" s="419"/>
      <c r="BE534" s="418"/>
      <c r="BF534" s="154"/>
      <c r="BG534" s="419"/>
      <c r="BH534" s="419"/>
      <c r="BI534" s="419"/>
      <c r="BJ534" s="419"/>
      <c r="BK534" s="418"/>
      <c r="BL534" s="36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432"/>
    </row>
    <row r="535" spans="1:74" s="2" customFormat="1" ht="24.9" customHeight="1">
      <c r="A535" s="147" t="s">
        <v>85</v>
      </c>
      <c r="B535" s="158"/>
      <c r="C535" s="179"/>
      <c r="D535" s="158"/>
      <c r="E535" s="160"/>
      <c r="F535" s="161"/>
      <c r="G535" s="161"/>
      <c r="H535" s="161"/>
      <c r="I535" s="154"/>
      <c r="J535" s="418"/>
      <c r="K535" s="419"/>
      <c r="L535" s="154"/>
      <c r="M535" s="418"/>
      <c r="N535" s="419"/>
      <c r="O535" s="150"/>
      <c r="P535" s="164"/>
      <c r="Q535" s="154"/>
      <c r="R535" s="174"/>
      <c r="S535" s="523"/>
      <c r="T535" s="523"/>
      <c r="U535" s="154"/>
      <c r="V535" s="155"/>
      <c r="W535" s="156"/>
      <c r="X535" s="154"/>
      <c r="Y535" s="155"/>
      <c r="Z535" s="155"/>
      <c r="AA535" s="157"/>
      <c r="AB535" s="217"/>
      <c r="AC535" s="150"/>
      <c r="AD535" s="151"/>
      <c r="AE535" s="152"/>
      <c r="AF535" s="506"/>
      <c r="AG535" s="463"/>
      <c r="AH535" s="150"/>
      <c r="AI535" s="152"/>
      <c r="AJ535" s="150"/>
      <c r="AK535" s="152"/>
      <c r="AL535" s="150"/>
      <c r="AM535" s="152"/>
      <c r="AN535" s="150"/>
      <c r="AO535" s="151"/>
      <c r="AP535" s="151"/>
      <c r="AQ535" s="169"/>
      <c r="AR535" s="169"/>
      <c r="AS535" s="149"/>
      <c r="AT535" s="324"/>
      <c r="AU535" s="324"/>
      <c r="AV535" s="324"/>
      <c r="AW535" s="324"/>
      <c r="AX535" s="324"/>
      <c r="AY535" s="324"/>
      <c r="AZ535" s="154"/>
      <c r="BA535" s="419"/>
      <c r="BB535" s="419"/>
      <c r="BC535" s="419"/>
      <c r="BD535" s="419"/>
      <c r="BE535" s="418"/>
      <c r="BF535" s="154"/>
      <c r="BG535" s="419"/>
      <c r="BH535" s="419"/>
      <c r="BI535" s="419"/>
      <c r="BJ535" s="419"/>
      <c r="BK535" s="418"/>
      <c r="BL535" s="36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561"/>
    </row>
    <row r="536" spans="1:74" s="2" customFormat="1" ht="24.9" customHeight="1">
      <c r="A536" s="147" t="s">
        <v>85</v>
      </c>
      <c r="B536" s="158"/>
      <c r="C536" s="179"/>
      <c r="D536" s="158"/>
      <c r="E536" s="160"/>
      <c r="F536" s="161"/>
      <c r="G536" s="161"/>
      <c r="H536" s="161"/>
      <c r="I536" s="154"/>
      <c r="J536" s="418"/>
      <c r="K536" s="419"/>
      <c r="L536" s="154"/>
      <c r="M536" s="418"/>
      <c r="N536" s="419"/>
      <c r="O536" s="150"/>
      <c r="P536" s="164"/>
      <c r="Q536" s="154"/>
      <c r="R536" s="174"/>
      <c r="S536" s="523"/>
      <c r="T536" s="523"/>
      <c r="U536" s="154"/>
      <c r="V536" s="155"/>
      <c r="W536" s="156"/>
      <c r="X536" s="154"/>
      <c r="Y536" s="155"/>
      <c r="Z536" s="155"/>
      <c r="AA536" s="157"/>
      <c r="AB536" s="217"/>
      <c r="AC536" s="150"/>
      <c r="AD536" s="151"/>
      <c r="AE536" s="152"/>
      <c r="AF536" s="506"/>
      <c r="AG536" s="463"/>
      <c r="AH536" s="150"/>
      <c r="AI536" s="152"/>
      <c r="AJ536" s="150"/>
      <c r="AK536" s="152"/>
      <c r="AL536" s="150"/>
      <c r="AM536" s="152"/>
      <c r="AN536" s="150"/>
      <c r="AO536" s="151"/>
      <c r="AP536" s="151"/>
      <c r="AQ536" s="169"/>
      <c r="AR536" s="169"/>
      <c r="AS536" s="149"/>
      <c r="AT536" s="324"/>
      <c r="AU536" s="324"/>
      <c r="AV536" s="324"/>
      <c r="AW536" s="324"/>
      <c r="AX536" s="324"/>
      <c r="AY536" s="324"/>
      <c r="AZ536" s="154"/>
      <c r="BA536" s="419"/>
      <c r="BB536" s="419"/>
      <c r="BC536" s="419"/>
      <c r="BD536" s="419"/>
      <c r="BE536" s="418"/>
      <c r="BF536" s="154"/>
      <c r="BG536" s="419"/>
      <c r="BH536" s="419"/>
      <c r="BI536" s="419"/>
      <c r="BJ536" s="419"/>
      <c r="BK536" s="418"/>
      <c r="BL536" s="36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431"/>
    </row>
    <row r="537" spans="1:74" s="2" customFormat="1" ht="24.9" customHeight="1">
      <c r="A537" s="147" t="s">
        <v>85</v>
      </c>
      <c r="B537" s="158"/>
      <c r="C537" s="179"/>
      <c r="D537" s="158"/>
      <c r="E537" s="160"/>
      <c r="F537" s="161"/>
      <c r="G537" s="161"/>
      <c r="H537" s="161"/>
      <c r="I537" s="154"/>
      <c r="J537" s="418"/>
      <c r="K537" s="419"/>
      <c r="L537" s="154"/>
      <c r="M537" s="418"/>
      <c r="N537" s="419"/>
      <c r="O537" s="150"/>
      <c r="P537" s="164"/>
      <c r="Q537" s="154"/>
      <c r="R537" s="174"/>
      <c r="S537" s="523"/>
      <c r="T537" s="523"/>
      <c r="U537" s="154"/>
      <c r="V537" s="155"/>
      <c r="W537" s="156"/>
      <c r="X537" s="154"/>
      <c r="Y537" s="155"/>
      <c r="Z537" s="155"/>
      <c r="AA537" s="157"/>
      <c r="AB537" s="217"/>
      <c r="AC537" s="150"/>
      <c r="AD537" s="151"/>
      <c r="AE537" s="152"/>
      <c r="AF537" s="506"/>
      <c r="AG537" s="463"/>
      <c r="AH537" s="150"/>
      <c r="AI537" s="152"/>
      <c r="AJ537" s="150"/>
      <c r="AK537" s="152"/>
      <c r="AL537" s="150"/>
      <c r="AM537" s="152"/>
      <c r="AN537" s="150"/>
      <c r="AO537" s="151"/>
      <c r="AP537" s="151"/>
      <c r="AQ537" s="169"/>
      <c r="AR537" s="169"/>
      <c r="AS537" s="149"/>
      <c r="AT537" s="324"/>
      <c r="AU537" s="324"/>
      <c r="AV537" s="324"/>
      <c r="AW537" s="324"/>
      <c r="AX537" s="324"/>
      <c r="AY537" s="324"/>
      <c r="AZ537" s="154"/>
      <c r="BA537" s="419"/>
      <c r="BB537" s="419"/>
      <c r="BC537" s="419"/>
      <c r="BD537" s="419"/>
      <c r="BE537" s="418"/>
      <c r="BF537" s="154"/>
      <c r="BG537" s="419"/>
      <c r="BH537" s="419"/>
      <c r="BI537" s="419"/>
      <c r="BJ537" s="419"/>
      <c r="BK537" s="418"/>
      <c r="BL537" s="36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561"/>
    </row>
    <row r="538" spans="1:74" s="2" customFormat="1" ht="24.9" customHeight="1">
      <c r="A538" s="147" t="s">
        <v>85</v>
      </c>
      <c r="B538" s="158"/>
      <c r="C538" s="179"/>
      <c r="D538" s="158"/>
      <c r="E538" s="160"/>
      <c r="F538" s="161"/>
      <c r="G538" s="161"/>
      <c r="H538" s="161"/>
      <c r="I538" s="154"/>
      <c r="J538" s="418"/>
      <c r="K538" s="419"/>
      <c r="L538" s="154"/>
      <c r="M538" s="418"/>
      <c r="N538" s="419"/>
      <c r="O538" s="150"/>
      <c r="P538" s="164"/>
      <c r="Q538" s="154"/>
      <c r="R538" s="174"/>
      <c r="S538" s="523"/>
      <c r="T538" s="523"/>
      <c r="U538" s="154"/>
      <c r="V538" s="155"/>
      <c r="W538" s="156"/>
      <c r="X538" s="154"/>
      <c r="Y538" s="155"/>
      <c r="Z538" s="155"/>
      <c r="AA538" s="157"/>
      <c r="AB538" s="217"/>
      <c r="AC538" s="150"/>
      <c r="AD538" s="151"/>
      <c r="AE538" s="152"/>
      <c r="AF538" s="506"/>
      <c r="AG538" s="463"/>
      <c r="AH538" s="150"/>
      <c r="AI538" s="152"/>
      <c r="AJ538" s="150"/>
      <c r="AK538" s="152"/>
      <c r="AL538" s="150"/>
      <c r="AM538" s="152"/>
      <c r="AN538" s="150"/>
      <c r="AO538" s="151"/>
      <c r="AP538" s="151"/>
      <c r="AQ538" s="169"/>
      <c r="AR538" s="169"/>
      <c r="AS538" s="149"/>
      <c r="AT538" s="324"/>
      <c r="AU538" s="324"/>
      <c r="AV538" s="324"/>
      <c r="AW538" s="324"/>
      <c r="AX538" s="324"/>
      <c r="AY538" s="324"/>
      <c r="AZ538" s="154"/>
      <c r="BA538" s="419"/>
      <c r="BB538" s="419"/>
      <c r="BC538" s="419"/>
      <c r="BD538" s="419"/>
      <c r="BE538" s="418"/>
      <c r="BF538" s="154"/>
      <c r="BG538" s="419"/>
      <c r="BH538" s="419"/>
      <c r="BI538" s="419"/>
      <c r="BJ538" s="419"/>
      <c r="BK538" s="418"/>
      <c r="BL538" s="36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431"/>
    </row>
    <row r="539" spans="1:74" s="2" customFormat="1" ht="24.9" customHeight="1">
      <c r="A539" s="147" t="s">
        <v>85</v>
      </c>
      <c r="B539" s="158"/>
      <c r="C539" s="179"/>
      <c r="D539" s="158"/>
      <c r="E539" s="160"/>
      <c r="F539" s="161"/>
      <c r="G539" s="161"/>
      <c r="H539" s="161"/>
      <c r="I539" s="154"/>
      <c r="J539" s="418"/>
      <c r="K539" s="419"/>
      <c r="L539" s="154"/>
      <c r="M539" s="418"/>
      <c r="N539" s="419"/>
      <c r="O539" s="150"/>
      <c r="P539" s="164"/>
      <c r="Q539" s="154"/>
      <c r="R539" s="151"/>
      <c r="S539" s="522"/>
      <c r="T539" s="522"/>
      <c r="U539" s="154"/>
      <c r="V539" s="155"/>
      <c r="W539" s="156"/>
      <c r="X539" s="154"/>
      <c r="Y539" s="155"/>
      <c r="Z539" s="155"/>
      <c r="AA539" s="157"/>
      <c r="AB539" s="217"/>
      <c r="AC539" s="150"/>
      <c r="AD539" s="151"/>
      <c r="AE539" s="152"/>
      <c r="AF539" s="506"/>
      <c r="AG539" s="463"/>
      <c r="AH539" s="150"/>
      <c r="AI539" s="152"/>
      <c r="AJ539" s="150"/>
      <c r="AK539" s="152"/>
      <c r="AL539" s="150"/>
      <c r="AM539" s="152"/>
      <c r="AN539" s="150"/>
      <c r="AO539" s="151"/>
      <c r="AP539" s="151"/>
      <c r="AQ539" s="169"/>
      <c r="AR539" s="169"/>
      <c r="AS539" s="149"/>
      <c r="AT539" s="324"/>
      <c r="AU539" s="324"/>
      <c r="AV539" s="324"/>
      <c r="AW539" s="324"/>
      <c r="AX539" s="324"/>
      <c r="AY539" s="324"/>
      <c r="AZ539" s="154"/>
      <c r="BA539" s="419"/>
      <c r="BB539" s="419"/>
      <c r="BC539" s="419"/>
      <c r="BD539" s="419"/>
      <c r="BE539" s="418"/>
      <c r="BF539" s="154"/>
      <c r="BG539" s="419"/>
      <c r="BH539" s="419"/>
      <c r="BI539" s="419"/>
      <c r="BJ539" s="419"/>
      <c r="BK539" s="418"/>
      <c r="BL539" s="36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432"/>
    </row>
    <row r="540" spans="1:74" s="2" customFormat="1" ht="24.9" customHeight="1">
      <c r="A540" s="147" t="s">
        <v>85</v>
      </c>
      <c r="B540" s="158"/>
      <c r="C540" s="179"/>
      <c r="D540" s="158"/>
      <c r="E540" s="160"/>
      <c r="F540" s="161"/>
      <c r="G540" s="161"/>
      <c r="H540" s="161"/>
      <c r="I540" s="154"/>
      <c r="J540" s="418"/>
      <c r="K540" s="419"/>
      <c r="L540" s="154"/>
      <c r="M540" s="418"/>
      <c r="N540" s="419"/>
      <c r="O540" s="150"/>
      <c r="P540" s="164"/>
      <c r="Q540" s="154"/>
      <c r="R540" s="174"/>
      <c r="S540" s="523"/>
      <c r="T540" s="523"/>
      <c r="U540" s="154"/>
      <c r="V540" s="155"/>
      <c r="W540" s="156"/>
      <c r="X540" s="154"/>
      <c r="Y540" s="155"/>
      <c r="Z540" s="155"/>
      <c r="AA540" s="157"/>
      <c r="AB540" s="217"/>
      <c r="AC540" s="150"/>
      <c r="AD540" s="151"/>
      <c r="AE540" s="152"/>
      <c r="AF540" s="506"/>
      <c r="AG540" s="463"/>
      <c r="AH540" s="150"/>
      <c r="AI540" s="152"/>
      <c r="AJ540" s="150"/>
      <c r="AK540" s="152"/>
      <c r="AL540" s="150"/>
      <c r="AM540" s="152"/>
      <c r="AN540" s="150"/>
      <c r="AO540" s="151"/>
      <c r="AP540" s="151"/>
      <c r="AQ540" s="169"/>
      <c r="AR540" s="169"/>
      <c r="AS540" s="149"/>
      <c r="AT540" s="324"/>
      <c r="AU540" s="324"/>
      <c r="AV540" s="324"/>
      <c r="AW540" s="324"/>
      <c r="AX540" s="324"/>
      <c r="AY540" s="324"/>
      <c r="AZ540" s="154"/>
      <c r="BA540" s="419"/>
      <c r="BB540" s="419"/>
      <c r="BC540" s="419"/>
      <c r="BD540" s="419"/>
      <c r="BE540" s="418"/>
      <c r="BF540" s="154"/>
      <c r="BG540" s="419"/>
      <c r="BH540" s="419"/>
      <c r="BI540" s="419"/>
      <c r="BJ540" s="419"/>
      <c r="BK540" s="418"/>
      <c r="BL540" s="36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432"/>
    </row>
    <row r="541" spans="1:74" s="2" customFormat="1" ht="24.9" customHeight="1">
      <c r="A541" s="147" t="s">
        <v>85</v>
      </c>
      <c r="B541" s="158"/>
      <c r="C541" s="179"/>
      <c r="D541" s="158"/>
      <c r="E541" s="160"/>
      <c r="F541" s="161"/>
      <c r="G541" s="161"/>
      <c r="H541" s="161"/>
      <c r="I541" s="154"/>
      <c r="J541" s="418"/>
      <c r="K541" s="419"/>
      <c r="L541" s="154"/>
      <c r="M541" s="418"/>
      <c r="N541" s="419"/>
      <c r="O541" s="150"/>
      <c r="P541" s="164"/>
      <c r="Q541" s="154"/>
      <c r="R541" s="151"/>
      <c r="S541" s="522"/>
      <c r="T541" s="522"/>
      <c r="U541" s="154"/>
      <c r="V541" s="155"/>
      <c r="W541" s="156"/>
      <c r="X541" s="154"/>
      <c r="Y541" s="155"/>
      <c r="Z541" s="155"/>
      <c r="AA541" s="157"/>
      <c r="AB541" s="217"/>
      <c r="AC541" s="150"/>
      <c r="AD541" s="151"/>
      <c r="AE541" s="152"/>
      <c r="AF541" s="506"/>
      <c r="AG541" s="463"/>
      <c r="AH541" s="150"/>
      <c r="AI541" s="152"/>
      <c r="AJ541" s="150"/>
      <c r="AK541" s="152"/>
      <c r="AL541" s="150"/>
      <c r="AM541" s="152"/>
      <c r="AN541" s="150"/>
      <c r="AO541" s="151"/>
      <c r="AP541" s="151"/>
      <c r="AQ541" s="169"/>
      <c r="AR541" s="169"/>
      <c r="AS541" s="149"/>
      <c r="AT541" s="324"/>
      <c r="AU541" s="324"/>
      <c r="AV541" s="324"/>
      <c r="AW541" s="324"/>
      <c r="AX541" s="324"/>
      <c r="AY541" s="324"/>
      <c r="AZ541" s="154"/>
      <c r="BA541" s="419"/>
      <c r="BB541" s="419"/>
      <c r="BC541" s="419"/>
      <c r="BD541" s="419"/>
      <c r="BE541" s="418"/>
      <c r="BF541" s="154"/>
      <c r="BG541" s="419"/>
      <c r="BH541" s="419"/>
      <c r="BI541" s="419"/>
      <c r="BJ541" s="419"/>
      <c r="BK541" s="418"/>
      <c r="BL541" s="36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561"/>
    </row>
    <row r="542" spans="1:74" s="2" customFormat="1" ht="24.9" customHeight="1">
      <c r="A542" s="147" t="s">
        <v>85</v>
      </c>
      <c r="B542" s="158"/>
      <c r="C542" s="179"/>
      <c r="D542" s="158"/>
      <c r="E542" s="160"/>
      <c r="F542" s="161"/>
      <c r="G542" s="161"/>
      <c r="H542" s="161"/>
      <c r="I542" s="154"/>
      <c r="J542" s="418"/>
      <c r="K542" s="419"/>
      <c r="L542" s="154"/>
      <c r="M542" s="418"/>
      <c r="N542" s="419"/>
      <c r="O542" s="150"/>
      <c r="P542" s="164"/>
      <c r="Q542" s="154"/>
      <c r="R542" s="174"/>
      <c r="S542" s="523"/>
      <c r="T542" s="523"/>
      <c r="U542" s="154"/>
      <c r="V542" s="155"/>
      <c r="W542" s="156"/>
      <c r="X542" s="154"/>
      <c r="Y542" s="155"/>
      <c r="Z542" s="155"/>
      <c r="AA542" s="157"/>
      <c r="AB542" s="217"/>
      <c r="AC542" s="150"/>
      <c r="AD542" s="151"/>
      <c r="AE542" s="152"/>
      <c r="AF542" s="506"/>
      <c r="AG542" s="463"/>
      <c r="AH542" s="150"/>
      <c r="AI542" s="152"/>
      <c r="AJ542" s="150"/>
      <c r="AK542" s="152"/>
      <c r="AL542" s="150"/>
      <c r="AM542" s="152"/>
      <c r="AN542" s="150"/>
      <c r="AO542" s="151"/>
      <c r="AP542" s="151"/>
      <c r="AQ542" s="169"/>
      <c r="AR542" s="169"/>
      <c r="AS542" s="149"/>
      <c r="AT542" s="324"/>
      <c r="AU542" s="324"/>
      <c r="AV542" s="324"/>
      <c r="AW542" s="324"/>
      <c r="AX542" s="324"/>
      <c r="AY542" s="324"/>
      <c r="AZ542" s="154"/>
      <c r="BA542" s="419"/>
      <c r="BB542" s="419"/>
      <c r="BC542" s="419"/>
      <c r="BD542" s="419"/>
      <c r="BE542" s="418"/>
      <c r="BF542" s="154"/>
      <c r="BG542" s="419"/>
      <c r="BH542" s="419"/>
      <c r="BI542" s="419"/>
      <c r="BJ542" s="419"/>
      <c r="BK542" s="418"/>
      <c r="BL542" s="36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431"/>
    </row>
    <row r="543" spans="1:74" s="2" customFormat="1" ht="24.9" customHeight="1">
      <c r="A543" s="147" t="s">
        <v>85</v>
      </c>
      <c r="B543" s="158"/>
      <c r="C543" s="179"/>
      <c r="D543" s="158"/>
      <c r="E543" s="160"/>
      <c r="F543" s="161"/>
      <c r="G543" s="161"/>
      <c r="H543" s="161"/>
      <c r="I543" s="154"/>
      <c r="J543" s="418"/>
      <c r="K543" s="419"/>
      <c r="L543" s="154"/>
      <c r="M543" s="418"/>
      <c r="N543" s="419"/>
      <c r="O543" s="150"/>
      <c r="P543" s="164"/>
      <c r="Q543" s="154"/>
      <c r="R543" s="174"/>
      <c r="S543" s="523"/>
      <c r="T543" s="523"/>
      <c r="U543" s="154"/>
      <c r="V543" s="155"/>
      <c r="W543" s="156"/>
      <c r="X543" s="154"/>
      <c r="Y543" s="155"/>
      <c r="Z543" s="155"/>
      <c r="AA543" s="157"/>
      <c r="AB543" s="217"/>
      <c r="AC543" s="150"/>
      <c r="AD543" s="151"/>
      <c r="AE543" s="152"/>
      <c r="AF543" s="506"/>
      <c r="AG543" s="463"/>
      <c r="AH543" s="150"/>
      <c r="AI543" s="152"/>
      <c r="AJ543" s="150"/>
      <c r="AK543" s="152"/>
      <c r="AL543" s="150"/>
      <c r="AM543" s="152"/>
      <c r="AN543" s="150"/>
      <c r="AO543" s="151"/>
      <c r="AP543" s="151"/>
      <c r="AQ543" s="169"/>
      <c r="AR543" s="169"/>
      <c r="AS543" s="149"/>
      <c r="AT543" s="324"/>
      <c r="AU543" s="324"/>
      <c r="AV543" s="324"/>
      <c r="AW543" s="324"/>
      <c r="AX543" s="324"/>
      <c r="AY543" s="324"/>
      <c r="AZ543" s="154"/>
      <c r="BA543" s="419"/>
      <c r="BB543" s="419"/>
      <c r="BC543" s="419"/>
      <c r="BD543" s="419"/>
      <c r="BE543" s="418"/>
      <c r="BF543" s="154"/>
      <c r="BG543" s="419"/>
      <c r="BH543" s="419"/>
      <c r="BI543" s="419"/>
      <c r="BJ543" s="419"/>
      <c r="BK543" s="418"/>
      <c r="BL543" s="36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561"/>
    </row>
    <row r="544" spans="1:74" s="2" customFormat="1" ht="24.9" customHeight="1">
      <c r="A544" s="147" t="s">
        <v>85</v>
      </c>
      <c r="B544" s="158"/>
      <c r="C544" s="179"/>
      <c r="D544" s="158"/>
      <c r="E544" s="160"/>
      <c r="F544" s="161"/>
      <c r="G544" s="161"/>
      <c r="H544" s="161"/>
      <c r="I544" s="154"/>
      <c r="J544" s="418"/>
      <c r="K544" s="419"/>
      <c r="L544" s="154"/>
      <c r="M544" s="418"/>
      <c r="N544" s="419"/>
      <c r="O544" s="150"/>
      <c r="P544" s="164"/>
      <c r="Q544" s="154"/>
      <c r="R544" s="174"/>
      <c r="S544" s="523"/>
      <c r="T544" s="523"/>
      <c r="U544" s="154"/>
      <c r="V544" s="155"/>
      <c r="W544" s="156"/>
      <c r="X544" s="154"/>
      <c r="Y544" s="155"/>
      <c r="Z544" s="155"/>
      <c r="AA544" s="157"/>
      <c r="AB544" s="217"/>
      <c r="AC544" s="150"/>
      <c r="AD544" s="151"/>
      <c r="AE544" s="152"/>
      <c r="AF544" s="506"/>
      <c r="AG544" s="463"/>
      <c r="AH544" s="150"/>
      <c r="AI544" s="152"/>
      <c r="AJ544" s="150"/>
      <c r="AK544" s="152"/>
      <c r="AL544" s="150"/>
      <c r="AM544" s="152"/>
      <c r="AN544" s="150"/>
      <c r="AO544" s="151"/>
      <c r="AP544" s="151"/>
      <c r="AQ544" s="169"/>
      <c r="AR544" s="169"/>
      <c r="AS544" s="149"/>
      <c r="AT544" s="324"/>
      <c r="AU544" s="324"/>
      <c r="AV544" s="324"/>
      <c r="AW544" s="324"/>
      <c r="AX544" s="324"/>
      <c r="AY544" s="324"/>
      <c r="AZ544" s="154"/>
      <c r="BA544" s="419"/>
      <c r="BB544" s="419"/>
      <c r="BC544" s="419"/>
      <c r="BD544" s="419"/>
      <c r="BE544" s="418"/>
      <c r="BF544" s="154"/>
      <c r="BG544" s="419"/>
      <c r="BH544" s="419"/>
      <c r="BI544" s="419"/>
      <c r="BJ544" s="419"/>
      <c r="BK544" s="418"/>
      <c r="BL544" s="36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431"/>
    </row>
    <row r="545" spans="1:74" s="2" customFormat="1" ht="24.9" customHeight="1">
      <c r="A545" s="147" t="s">
        <v>85</v>
      </c>
      <c r="B545" s="158"/>
      <c r="C545" s="179"/>
      <c r="D545" s="158"/>
      <c r="E545" s="160"/>
      <c r="F545" s="161"/>
      <c r="G545" s="161"/>
      <c r="H545" s="161"/>
      <c r="I545" s="154"/>
      <c r="J545" s="418"/>
      <c r="K545" s="419"/>
      <c r="L545" s="154"/>
      <c r="M545" s="418"/>
      <c r="N545" s="419"/>
      <c r="O545" s="150"/>
      <c r="P545" s="164"/>
      <c r="Q545" s="154"/>
      <c r="R545" s="174"/>
      <c r="S545" s="523"/>
      <c r="T545" s="523"/>
      <c r="U545" s="154"/>
      <c r="V545" s="155"/>
      <c r="W545" s="156"/>
      <c r="X545" s="154"/>
      <c r="Y545" s="155"/>
      <c r="Z545" s="155"/>
      <c r="AA545" s="157"/>
      <c r="AB545" s="217"/>
      <c r="AC545" s="150"/>
      <c r="AD545" s="151"/>
      <c r="AE545" s="152"/>
      <c r="AF545" s="506"/>
      <c r="AG545" s="463"/>
      <c r="AH545" s="150"/>
      <c r="AI545" s="152"/>
      <c r="AJ545" s="150"/>
      <c r="AK545" s="152"/>
      <c r="AL545" s="150"/>
      <c r="AM545" s="152"/>
      <c r="AN545" s="150"/>
      <c r="AO545" s="151"/>
      <c r="AP545" s="151"/>
      <c r="AQ545" s="169"/>
      <c r="AR545" s="169"/>
      <c r="AS545" s="149"/>
      <c r="AT545" s="324"/>
      <c r="AU545" s="324"/>
      <c r="AV545" s="324"/>
      <c r="AW545" s="324"/>
      <c r="AX545" s="324"/>
      <c r="AY545" s="324"/>
      <c r="AZ545" s="154"/>
      <c r="BA545" s="419"/>
      <c r="BB545" s="419"/>
      <c r="BC545" s="419"/>
      <c r="BD545" s="419"/>
      <c r="BE545" s="418"/>
      <c r="BF545" s="154"/>
      <c r="BG545" s="419"/>
      <c r="BH545" s="419"/>
      <c r="BI545" s="419"/>
      <c r="BJ545" s="419"/>
      <c r="BK545" s="418"/>
      <c r="BL545" s="36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561"/>
    </row>
    <row r="546" spans="1:74" s="2" customFormat="1" ht="24.9" customHeight="1">
      <c r="A546" s="147" t="s">
        <v>85</v>
      </c>
      <c r="B546" s="158"/>
      <c r="C546" s="179"/>
      <c r="D546" s="158"/>
      <c r="E546" s="160"/>
      <c r="F546" s="161"/>
      <c r="G546" s="161"/>
      <c r="H546" s="161"/>
      <c r="I546" s="154"/>
      <c r="J546" s="418"/>
      <c r="K546" s="419"/>
      <c r="L546" s="154"/>
      <c r="M546" s="418"/>
      <c r="N546" s="419"/>
      <c r="O546" s="150"/>
      <c r="P546" s="164"/>
      <c r="Q546" s="154"/>
      <c r="R546" s="174"/>
      <c r="S546" s="523"/>
      <c r="T546" s="523"/>
      <c r="U546" s="154"/>
      <c r="V546" s="155"/>
      <c r="W546" s="156"/>
      <c r="X546" s="154"/>
      <c r="Y546" s="155"/>
      <c r="Z546" s="155"/>
      <c r="AA546" s="157"/>
      <c r="AB546" s="217"/>
      <c r="AC546" s="150"/>
      <c r="AD546" s="151"/>
      <c r="AE546" s="152"/>
      <c r="AF546" s="506"/>
      <c r="AG546" s="463"/>
      <c r="AH546" s="150"/>
      <c r="AI546" s="152"/>
      <c r="AJ546" s="150"/>
      <c r="AK546" s="152"/>
      <c r="AL546" s="150"/>
      <c r="AM546" s="152"/>
      <c r="AN546" s="150"/>
      <c r="AO546" s="151"/>
      <c r="AP546" s="151"/>
      <c r="AQ546" s="169"/>
      <c r="AR546" s="169"/>
      <c r="AS546" s="149"/>
      <c r="AT546" s="324"/>
      <c r="AU546" s="324"/>
      <c r="AV546" s="324"/>
      <c r="AW546" s="324"/>
      <c r="AX546" s="324"/>
      <c r="AY546" s="324"/>
      <c r="AZ546" s="154"/>
      <c r="BA546" s="419"/>
      <c r="BB546" s="419"/>
      <c r="BC546" s="419"/>
      <c r="BD546" s="419"/>
      <c r="BE546" s="418"/>
      <c r="BF546" s="154"/>
      <c r="BG546" s="419"/>
      <c r="BH546" s="419"/>
      <c r="BI546" s="419"/>
      <c r="BJ546" s="419"/>
      <c r="BK546" s="418"/>
      <c r="BL546" s="36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431"/>
    </row>
    <row r="547" spans="1:74" s="2" customFormat="1" ht="24.9" customHeight="1">
      <c r="A547" s="147" t="s">
        <v>85</v>
      </c>
      <c r="B547" s="158"/>
      <c r="C547" s="179"/>
      <c r="D547" s="158"/>
      <c r="E547" s="160"/>
      <c r="F547" s="161"/>
      <c r="G547" s="161"/>
      <c r="H547" s="161"/>
      <c r="I547" s="154"/>
      <c r="J547" s="418"/>
      <c r="K547" s="419"/>
      <c r="L547" s="154"/>
      <c r="M547" s="418"/>
      <c r="N547" s="419"/>
      <c r="O547" s="150"/>
      <c r="P547" s="164"/>
      <c r="Q547" s="154"/>
      <c r="R547" s="151"/>
      <c r="S547" s="522"/>
      <c r="T547" s="522"/>
      <c r="U547" s="154"/>
      <c r="V547" s="155"/>
      <c r="W547" s="156"/>
      <c r="X547" s="154"/>
      <c r="Y547" s="155"/>
      <c r="Z547" s="155"/>
      <c r="AA547" s="157"/>
      <c r="AB547" s="217"/>
      <c r="AC547" s="150"/>
      <c r="AD547" s="151"/>
      <c r="AE547" s="152"/>
      <c r="AF547" s="507"/>
      <c r="AG547" s="465"/>
      <c r="AH547" s="150"/>
      <c r="AI547" s="152"/>
      <c r="AJ547" s="150"/>
      <c r="AK547" s="152"/>
      <c r="AL547" s="150"/>
      <c r="AM547" s="152"/>
      <c r="AN547" s="150"/>
      <c r="AO547" s="151"/>
      <c r="AP547" s="151"/>
      <c r="AQ547" s="169"/>
      <c r="AR547" s="169"/>
      <c r="AS547" s="149"/>
      <c r="AT547" s="324"/>
      <c r="AU547" s="324"/>
      <c r="AV547" s="324"/>
      <c r="AW547" s="324"/>
      <c r="AX547" s="324"/>
      <c r="AY547" s="324"/>
      <c r="AZ547" s="154"/>
      <c r="BA547" s="419"/>
      <c r="BB547" s="419"/>
      <c r="BC547" s="419"/>
      <c r="BD547" s="419"/>
      <c r="BE547" s="418"/>
      <c r="BF547" s="154"/>
      <c r="BG547" s="419"/>
      <c r="BH547" s="419"/>
      <c r="BI547" s="419"/>
      <c r="BJ547" s="419"/>
      <c r="BK547" s="418"/>
      <c r="BL547" s="36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432"/>
    </row>
    <row r="548" spans="1:74" s="2" customFormat="1" ht="24.9" customHeight="1">
      <c r="A548" s="147" t="s">
        <v>85</v>
      </c>
      <c r="B548" s="158"/>
      <c r="C548" s="179"/>
      <c r="D548" s="158"/>
      <c r="E548" s="160"/>
      <c r="F548" s="161"/>
      <c r="G548" s="161"/>
      <c r="H548" s="161"/>
      <c r="I548" s="154"/>
      <c r="J548" s="418"/>
      <c r="K548" s="419"/>
      <c r="L548" s="154"/>
      <c r="M548" s="418"/>
      <c r="N548" s="419"/>
      <c r="O548" s="150"/>
      <c r="P548" s="164"/>
      <c r="Q548" s="154"/>
      <c r="R548" s="174"/>
      <c r="S548" s="523"/>
      <c r="T548" s="523"/>
      <c r="U548" s="154"/>
      <c r="V548" s="155"/>
      <c r="W548" s="156"/>
      <c r="X548" s="154"/>
      <c r="Y548" s="155"/>
      <c r="Z548" s="155"/>
      <c r="AA548" s="157"/>
      <c r="AB548" s="217"/>
      <c r="AC548" s="150"/>
      <c r="AD548" s="151"/>
      <c r="AE548" s="152"/>
      <c r="AF548" s="506"/>
      <c r="AG548" s="463"/>
      <c r="AH548" s="150"/>
      <c r="AI548" s="152"/>
      <c r="AJ548" s="150"/>
      <c r="AK548" s="152"/>
      <c r="AL548" s="150"/>
      <c r="AM548" s="152"/>
      <c r="AN548" s="150"/>
      <c r="AO548" s="151"/>
      <c r="AP548" s="151"/>
      <c r="AQ548" s="169"/>
      <c r="AR548" s="169"/>
      <c r="AS548" s="149"/>
      <c r="AT548" s="324"/>
      <c r="AU548" s="324"/>
      <c r="AV548" s="324"/>
      <c r="AW548" s="324"/>
      <c r="AX548" s="324"/>
      <c r="AY548" s="324"/>
      <c r="AZ548" s="154"/>
      <c r="BA548" s="419"/>
      <c r="BB548" s="419"/>
      <c r="BC548" s="419"/>
      <c r="BD548" s="419"/>
      <c r="BE548" s="418"/>
      <c r="BF548" s="154"/>
      <c r="BG548" s="419"/>
      <c r="BH548" s="419"/>
      <c r="BI548" s="419"/>
      <c r="BJ548" s="419"/>
      <c r="BK548" s="418"/>
      <c r="BL548" s="36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432"/>
    </row>
    <row r="549" spans="1:74" s="2" customFormat="1" ht="24.9" customHeight="1">
      <c r="A549" s="147" t="s">
        <v>85</v>
      </c>
      <c r="B549" s="158"/>
      <c r="C549" s="179"/>
      <c r="D549" s="158"/>
      <c r="E549" s="160"/>
      <c r="F549" s="161"/>
      <c r="G549" s="161"/>
      <c r="H549" s="161"/>
      <c r="I549" s="154"/>
      <c r="J549" s="418"/>
      <c r="K549" s="419"/>
      <c r="L549" s="154"/>
      <c r="M549" s="418"/>
      <c r="N549" s="419"/>
      <c r="O549" s="150"/>
      <c r="P549" s="164"/>
      <c r="Q549" s="154"/>
      <c r="R549" s="151"/>
      <c r="S549" s="522"/>
      <c r="T549" s="522"/>
      <c r="U549" s="154"/>
      <c r="V549" s="155"/>
      <c r="W549" s="156"/>
      <c r="X549" s="154"/>
      <c r="Y549" s="155"/>
      <c r="Z549" s="155"/>
      <c r="AA549" s="157"/>
      <c r="AB549" s="217"/>
      <c r="AC549" s="150"/>
      <c r="AD549" s="151"/>
      <c r="AE549" s="152"/>
      <c r="AF549" s="506"/>
      <c r="AG549" s="463"/>
      <c r="AH549" s="150"/>
      <c r="AI549" s="152"/>
      <c r="AJ549" s="150"/>
      <c r="AK549" s="152"/>
      <c r="AL549" s="150"/>
      <c r="AM549" s="152"/>
      <c r="AN549" s="150"/>
      <c r="AO549" s="151"/>
      <c r="AP549" s="151"/>
      <c r="AQ549" s="169"/>
      <c r="AR549" s="169"/>
      <c r="AS549" s="149"/>
      <c r="AT549" s="324"/>
      <c r="AU549" s="324"/>
      <c r="AV549" s="324"/>
      <c r="AW549" s="324"/>
      <c r="AX549" s="324"/>
      <c r="AY549" s="324"/>
      <c r="AZ549" s="154"/>
      <c r="BA549" s="419"/>
      <c r="BB549" s="419"/>
      <c r="BC549" s="419"/>
      <c r="BD549" s="419"/>
      <c r="BE549" s="418"/>
      <c r="BF549" s="154"/>
      <c r="BG549" s="419"/>
      <c r="BH549" s="419"/>
      <c r="BI549" s="419"/>
      <c r="BJ549" s="419"/>
      <c r="BK549" s="418"/>
      <c r="BL549" s="36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561"/>
    </row>
    <row r="550" spans="1:74" s="2" customFormat="1" ht="24.9" customHeight="1">
      <c r="A550" s="147" t="s">
        <v>85</v>
      </c>
      <c r="B550" s="158"/>
      <c r="C550" s="179"/>
      <c r="D550" s="158"/>
      <c r="E550" s="160"/>
      <c r="F550" s="161"/>
      <c r="G550" s="161"/>
      <c r="H550" s="161"/>
      <c r="I550" s="154"/>
      <c r="J550" s="418"/>
      <c r="K550" s="419"/>
      <c r="L550" s="154"/>
      <c r="M550" s="418"/>
      <c r="N550" s="419"/>
      <c r="O550" s="150"/>
      <c r="P550" s="164"/>
      <c r="Q550" s="154"/>
      <c r="R550" s="174"/>
      <c r="S550" s="523"/>
      <c r="T550" s="523"/>
      <c r="U550" s="154"/>
      <c r="V550" s="155"/>
      <c r="W550" s="156"/>
      <c r="X550" s="154"/>
      <c r="Y550" s="155"/>
      <c r="Z550" s="155"/>
      <c r="AA550" s="157"/>
      <c r="AB550" s="217"/>
      <c r="AC550" s="150"/>
      <c r="AD550" s="151"/>
      <c r="AE550" s="152"/>
      <c r="AF550" s="506"/>
      <c r="AG550" s="463"/>
      <c r="AH550" s="150"/>
      <c r="AI550" s="152"/>
      <c r="AJ550" s="150"/>
      <c r="AK550" s="152"/>
      <c r="AL550" s="150"/>
      <c r="AM550" s="152"/>
      <c r="AN550" s="150"/>
      <c r="AO550" s="151"/>
      <c r="AP550" s="151"/>
      <c r="AQ550" s="169"/>
      <c r="AR550" s="169"/>
      <c r="AS550" s="149"/>
      <c r="AT550" s="324"/>
      <c r="AU550" s="324"/>
      <c r="AV550" s="324"/>
      <c r="AW550" s="324"/>
      <c r="AX550" s="324"/>
      <c r="AY550" s="324"/>
      <c r="AZ550" s="154"/>
      <c r="BA550" s="419"/>
      <c r="BB550" s="419"/>
      <c r="BC550" s="419"/>
      <c r="BD550" s="419"/>
      <c r="BE550" s="418"/>
      <c r="BF550" s="154"/>
      <c r="BG550" s="419"/>
      <c r="BH550" s="419"/>
      <c r="BI550" s="419"/>
      <c r="BJ550" s="419"/>
      <c r="BK550" s="418"/>
      <c r="BL550" s="36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431"/>
    </row>
    <row r="551" spans="1:74" s="2" customFormat="1" ht="24.9" customHeight="1">
      <c r="A551" s="147" t="s">
        <v>85</v>
      </c>
      <c r="B551" s="158"/>
      <c r="C551" s="179"/>
      <c r="D551" s="158"/>
      <c r="E551" s="160"/>
      <c r="F551" s="161"/>
      <c r="G551" s="161"/>
      <c r="H551" s="161"/>
      <c r="I551" s="154"/>
      <c r="J551" s="418"/>
      <c r="K551" s="419"/>
      <c r="L551" s="154"/>
      <c r="M551" s="418"/>
      <c r="N551" s="419"/>
      <c r="O551" s="150"/>
      <c r="P551" s="164"/>
      <c r="Q551" s="154"/>
      <c r="R551" s="174"/>
      <c r="S551" s="523"/>
      <c r="T551" s="523"/>
      <c r="U551" s="154"/>
      <c r="V551" s="155"/>
      <c r="W551" s="156"/>
      <c r="X551" s="154"/>
      <c r="Y551" s="155"/>
      <c r="Z551" s="155"/>
      <c r="AA551" s="157"/>
      <c r="AB551" s="217"/>
      <c r="AC551" s="150"/>
      <c r="AD551" s="151"/>
      <c r="AE551" s="152"/>
      <c r="AF551" s="506"/>
      <c r="AG551" s="463"/>
      <c r="AH551" s="150"/>
      <c r="AI551" s="152"/>
      <c r="AJ551" s="150"/>
      <c r="AK551" s="152"/>
      <c r="AL551" s="150"/>
      <c r="AM551" s="152"/>
      <c r="AN551" s="150"/>
      <c r="AO551" s="151"/>
      <c r="AP551" s="151"/>
      <c r="AQ551" s="169"/>
      <c r="AR551" s="169"/>
      <c r="AS551" s="149"/>
      <c r="AT551" s="324"/>
      <c r="AU551" s="324"/>
      <c r="AV551" s="324"/>
      <c r="AW551" s="324"/>
      <c r="AX551" s="324"/>
      <c r="AY551" s="324"/>
      <c r="AZ551" s="154"/>
      <c r="BA551" s="419"/>
      <c r="BB551" s="419"/>
      <c r="BC551" s="419"/>
      <c r="BD551" s="419"/>
      <c r="BE551" s="418"/>
      <c r="BF551" s="154"/>
      <c r="BG551" s="419"/>
      <c r="BH551" s="419"/>
      <c r="BI551" s="419"/>
      <c r="BJ551" s="419"/>
      <c r="BK551" s="418"/>
      <c r="BL551" s="36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561"/>
    </row>
    <row r="552" spans="1:74" s="2" customFormat="1" ht="24.9" customHeight="1">
      <c r="A552" s="147" t="s">
        <v>85</v>
      </c>
      <c r="B552" s="158"/>
      <c r="C552" s="179"/>
      <c r="D552" s="158"/>
      <c r="E552" s="160"/>
      <c r="F552" s="161"/>
      <c r="G552" s="161"/>
      <c r="H552" s="161"/>
      <c r="I552" s="154"/>
      <c r="J552" s="418"/>
      <c r="K552" s="419"/>
      <c r="L552" s="154"/>
      <c r="M552" s="418"/>
      <c r="N552" s="419"/>
      <c r="O552" s="150"/>
      <c r="P552" s="164"/>
      <c r="Q552" s="154"/>
      <c r="R552" s="174"/>
      <c r="S552" s="523"/>
      <c r="T552" s="523"/>
      <c r="U552" s="154"/>
      <c r="V552" s="155"/>
      <c r="W552" s="156"/>
      <c r="X552" s="154"/>
      <c r="Y552" s="155"/>
      <c r="Z552" s="155"/>
      <c r="AA552" s="157"/>
      <c r="AB552" s="217"/>
      <c r="AC552" s="150"/>
      <c r="AD552" s="151"/>
      <c r="AE552" s="152"/>
      <c r="AF552" s="506"/>
      <c r="AG552" s="463"/>
      <c r="AH552" s="150"/>
      <c r="AI552" s="152"/>
      <c r="AJ552" s="150"/>
      <c r="AK552" s="152"/>
      <c r="AL552" s="150"/>
      <c r="AM552" s="152"/>
      <c r="AN552" s="150"/>
      <c r="AO552" s="151"/>
      <c r="AP552" s="151"/>
      <c r="AQ552" s="169"/>
      <c r="AR552" s="169"/>
      <c r="AS552" s="149"/>
      <c r="AT552" s="324"/>
      <c r="AU552" s="324"/>
      <c r="AV552" s="324"/>
      <c r="AW552" s="324"/>
      <c r="AX552" s="324"/>
      <c r="AY552" s="324"/>
      <c r="AZ552" s="154"/>
      <c r="BA552" s="419"/>
      <c r="BB552" s="419"/>
      <c r="BC552" s="419"/>
      <c r="BD552" s="419"/>
      <c r="BE552" s="418"/>
      <c r="BF552" s="154"/>
      <c r="BG552" s="419"/>
      <c r="BH552" s="419"/>
      <c r="BI552" s="419"/>
      <c r="BJ552" s="419"/>
      <c r="BK552" s="418"/>
      <c r="BL552" s="36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431"/>
    </row>
    <row r="553" spans="1:74" s="2" customFormat="1" ht="24.9" customHeight="1">
      <c r="A553" s="147" t="s">
        <v>85</v>
      </c>
      <c r="B553" s="158"/>
      <c r="C553" s="179"/>
      <c r="D553" s="158"/>
      <c r="E553" s="160"/>
      <c r="F553" s="161"/>
      <c r="G553" s="161"/>
      <c r="H553" s="161"/>
      <c r="I553" s="154"/>
      <c r="J553" s="418"/>
      <c r="K553" s="419"/>
      <c r="L553" s="154"/>
      <c r="M553" s="418"/>
      <c r="N553" s="419"/>
      <c r="O553" s="150"/>
      <c r="P553" s="164"/>
      <c r="Q553" s="154"/>
      <c r="R553" s="174"/>
      <c r="S553" s="523"/>
      <c r="T553" s="523"/>
      <c r="U553" s="154"/>
      <c r="V553" s="155"/>
      <c r="W553" s="156"/>
      <c r="X553" s="154"/>
      <c r="Y553" s="155"/>
      <c r="Z553" s="155"/>
      <c r="AA553" s="157"/>
      <c r="AB553" s="217"/>
      <c r="AC553" s="150"/>
      <c r="AD553" s="151"/>
      <c r="AE553" s="152"/>
      <c r="AF553" s="506"/>
      <c r="AG553" s="463"/>
      <c r="AH553" s="150"/>
      <c r="AI553" s="152"/>
      <c r="AJ553" s="150"/>
      <c r="AK553" s="152"/>
      <c r="AL553" s="150"/>
      <c r="AM553" s="152"/>
      <c r="AN553" s="150"/>
      <c r="AO553" s="151"/>
      <c r="AP553" s="151"/>
      <c r="AQ553" s="169"/>
      <c r="AR553" s="169"/>
      <c r="AS553" s="149"/>
      <c r="AT553" s="324"/>
      <c r="AU553" s="324"/>
      <c r="AV553" s="324"/>
      <c r="AW553" s="324"/>
      <c r="AX553" s="324"/>
      <c r="AY553" s="324"/>
      <c r="AZ553" s="154"/>
      <c r="BA553" s="419"/>
      <c r="BB553" s="419"/>
      <c r="BC553" s="419"/>
      <c r="BD553" s="419"/>
      <c r="BE553" s="418"/>
      <c r="BF553" s="154"/>
      <c r="BG553" s="419"/>
      <c r="BH553" s="419"/>
      <c r="BI553" s="419"/>
      <c r="BJ553" s="419"/>
      <c r="BK553" s="418"/>
      <c r="BL553" s="36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561"/>
    </row>
    <row r="554" spans="1:74" s="2" customFormat="1" ht="24.9" customHeight="1">
      <c r="A554" s="147" t="s">
        <v>85</v>
      </c>
      <c r="B554" s="158"/>
      <c r="C554" s="179"/>
      <c r="D554" s="158"/>
      <c r="E554" s="160"/>
      <c r="F554" s="161"/>
      <c r="G554" s="161"/>
      <c r="H554" s="161"/>
      <c r="I554" s="154"/>
      <c r="J554" s="418"/>
      <c r="K554" s="419"/>
      <c r="L554" s="154"/>
      <c r="M554" s="418"/>
      <c r="N554" s="419"/>
      <c r="O554" s="150"/>
      <c r="P554" s="164"/>
      <c r="Q554" s="154"/>
      <c r="R554" s="174"/>
      <c r="S554" s="523"/>
      <c r="T554" s="523"/>
      <c r="U554" s="154"/>
      <c r="V554" s="155"/>
      <c r="W554" s="156"/>
      <c r="X554" s="154"/>
      <c r="Y554" s="155"/>
      <c r="Z554" s="155"/>
      <c r="AA554" s="157"/>
      <c r="AB554" s="217"/>
      <c r="AC554" s="150"/>
      <c r="AD554" s="151"/>
      <c r="AE554" s="152"/>
      <c r="AF554" s="506"/>
      <c r="AG554" s="463"/>
      <c r="AH554" s="150"/>
      <c r="AI554" s="152"/>
      <c r="AJ554" s="150"/>
      <c r="AK554" s="152"/>
      <c r="AL554" s="150"/>
      <c r="AM554" s="152"/>
      <c r="AN554" s="150"/>
      <c r="AO554" s="151"/>
      <c r="AP554" s="151"/>
      <c r="AQ554" s="169"/>
      <c r="AR554" s="169"/>
      <c r="AS554" s="149"/>
      <c r="AT554" s="324"/>
      <c r="AU554" s="324"/>
      <c r="AV554" s="324"/>
      <c r="AW554" s="324"/>
      <c r="AX554" s="324"/>
      <c r="AY554" s="324"/>
      <c r="AZ554" s="154"/>
      <c r="BA554" s="419"/>
      <c r="BB554" s="419"/>
      <c r="BC554" s="419"/>
      <c r="BD554" s="419"/>
      <c r="BE554" s="418"/>
      <c r="BF554" s="154"/>
      <c r="BG554" s="419"/>
      <c r="BH554" s="419"/>
      <c r="BI554" s="419"/>
      <c r="BJ554" s="419"/>
      <c r="BK554" s="418"/>
      <c r="BL554" s="36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431"/>
    </row>
    <row r="555" spans="1:74" s="2" customFormat="1" ht="24.9" customHeight="1">
      <c r="A555" s="147" t="s">
        <v>85</v>
      </c>
      <c r="B555" s="158"/>
      <c r="C555" s="179"/>
      <c r="D555" s="158"/>
      <c r="E555" s="160"/>
      <c r="F555" s="161"/>
      <c r="G555" s="161"/>
      <c r="H555" s="161"/>
      <c r="I555" s="154"/>
      <c r="J555" s="418"/>
      <c r="K555" s="419"/>
      <c r="L555" s="154"/>
      <c r="M555" s="418"/>
      <c r="N555" s="419"/>
      <c r="O555" s="150"/>
      <c r="P555" s="164"/>
      <c r="Q555" s="154"/>
      <c r="R555" s="151"/>
      <c r="S555" s="522"/>
      <c r="T555" s="522"/>
      <c r="U555" s="154"/>
      <c r="V555" s="155"/>
      <c r="W555" s="156"/>
      <c r="X555" s="154"/>
      <c r="Y555" s="155"/>
      <c r="Z555" s="155"/>
      <c r="AA555" s="157"/>
      <c r="AB555" s="217"/>
      <c r="AC555" s="150"/>
      <c r="AD555" s="151"/>
      <c r="AE555" s="152"/>
      <c r="AF555" s="506"/>
      <c r="AG555" s="463"/>
      <c r="AH555" s="150"/>
      <c r="AI555" s="152"/>
      <c r="AJ555" s="150"/>
      <c r="AK555" s="152"/>
      <c r="AL555" s="150"/>
      <c r="AM555" s="152"/>
      <c r="AN555" s="150"/>
      <c r="AO555" s="151"/>
      <c r="AP555" s="151"/>
      <c r="AQ555" s="169"/>
      <c r="AR555" s="169"/>
      <c r="AS555" s="149"/>
      <c r="AT555" s="324"/>
      <c r="AU555" s="324"/>
      <c r="AV555" s="324"/>
      <c r="AW555" s="324"/>
      <c r="AX555" s="324"/>
      <c r="AY555" s="324"/>
      <c r="AZ555" s="154"/>
      <c r="BA555" s="419"/>
      <c r="BB555" s="419"/>
      <c r="BC555" s="419"/>
      <c r="BD555" s="419"/>
      <c r="BE555" s="418"/>
      <c r="BF555" s="154"/>
      <c r="BG555" s="419"/>
      <c r="BH555" s="419"/>
      <c r="BI555" s="419"/>
      <c r="BJ555" s="419"/>
      <c r="BK555" s="418"/>
      <c r="BL555" s="36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432"/>
    </row>
    <row r="556" spans="1:74" s="2" customFormat="1" ht="24.9" customHeight="1">
      <c r="A556" s="147" t="s">
        <v>85</v>
      </c>
      <c r="B556" s="158"/>
      <c r="C556" s="179"/>
      <c r="D556" s="158"/>
      <c r="E556" s="160"/>
      <c r="F556" s="161"/>
      <c r="G556" s="161"/>
      <c r="H556" s="161"/>
      <c r="I556" s="154"/>
      <c r="J556" s="418"/>
      <c r="K556" s="419"/>
      <c r="L556" s="154"/>
      <c r="M556" s="418"/>
      <c r="N556" s="419"/>
      <c r="O556" s="150"/>
      <c r="P556" s="164"/>
      <c r="Q556" s="154"/>
      <c r="R556" s="174"/>
      <c r="S556" s="523"/>
      <c r="T556" s="523"/>
      <c r="U556" s="154"/>
      <c r="V556" s="155"/>
      <c r="W556" s="156"/>
      <c r="X556" s="154"/>
      <c r="Y556" s="155"/>
      <c r="Z556" s="155"/>
      <c r="AA556" s="157"/>
      <c r="AB556" s="217"/>
      <c r="AC556" s="150"/>
      <c r="AD556" s="151"/>
      <c r="AE556" s="152"/>
      <c r="AF556" s="506"/>
      <c r="AG556" s="463"/>
      <c r="AH556" s="150"/>
      <c r="AI556" s="152"/>
      <c r="AJ556" s="150"/>
      <c r="AK556" s="152"/>
      <c r="AL556" s="150"/>
      <c r="AM556" s="152"/>
      <c r="AN556" s="150"/>
      <c r="AO556" s="151"/>
      <c r="AP556" s="151"/>
      <c r="AQ556" s="169"/>
      <c r="AR556" s="169"/>
      <c r="AS556" s="149"/>
      <c r="AT556" s="324"/>
      <c r="AU556" s="324"/>
      <c r="AV556" s="324"/>
      <c r="AW556" s="324"/>
      <c r="AX556" s="324"/>
      <c r="AY556" s="324"/>
      <c r="AZ556" s="154"/>
      <c r="BA556" s="419"/>
      <c r="BB556" s="419"/>
      <c r="BC556" s="419"/>
      <c r="BD556" s="419"/>
      <c r="BE556" s="418"/>
      <c r="BF556" s="154"/>
      <c r="BG556" s="419"/>
      <c r="BH556" s="419"/>
      <c r="BI556" s="419"/>
      <c r="BJ556" s="419"/>
      <c r="BK556" s="418"/>
      <c r="BL556" s="36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561"/>
    </row>
    <row r="557" spans="1:74" s="2" customFormat="1" ht="24.9" customHeight="1">
      <c r="A557" s="147" t="s">
        <v>85</v>
      </c>
      <c r="B557" s="158"/>
      <c r="C557" s="179"/>
      <c r="D557" s="158"/>
      <c r="E557" s="160"/>
      <c r="F557" s="161"/>
      <c r="G557" s="161"/>
      <c r="H557" s="161"/>
      <c r="I557" s="154"/>
      <c r="J557" s="418"/>
      <c r="K557" s="419"/>
      <c r="L557" s="154"/>
      <c r="M557" s="418"/>
      <c r="N557" s="419"/>
      <c r="O557" s="150"/>
      <c r="P557" s="164"/>
      <c r="Q557" s="154"/>
      <c r="R557" s="174"/>
      <c r="S557" s="523"/>
      <c r="T557" s="523"/>
      <c r="U557" s="154"/>
      <c r="V557" s="155"/>
      <c r="W557" s="156"/>
      <c r="X557" s="154"/>
      <c r="Y557" s="155"/>
      <c r="Z557" s="155"/>
      <c r="AA557" s="157"/>
      <c r="AB557" s="217"/>
      <c r="AC557" s="150"/>
      <c r="AD557" s="151"/>
      <c r="AE557" s="152"/>
      <c r="AF557" s="506"/>
      <c r="AG557" s="463"/>
      <c r="AH557" s="150"/>
      <c r="AI557" s="152"/>
      <c r="AJ557" s="150"/>
      <c r="AK557" s="152"/>
      <c r="AL557" s="150"/>
      <c r="AM557" s="152"/>
      <c r="AN557" s="150"/>
      <c r="AO557" s="151"/>
      <c r="AP557" s="151"/>
      <c r="AQ557" s="169"/>
      <c r="AR557" s="169"/>
      <c r="AS557" s="149"/>
      <c r="AT557" s="324"/>
      <c r="AU557" s="324"/>
      <c r="AV557" s="324"/>
      <c r="AW557" s="324"/>
      <c r="AX557" s="324"/>
      <c r="AY557" s="324"/>
      <c r="AZ557" s="154"/>
      <c r="BA557" s="419"/>
      <c r="BB557" s="419"/>
      <c r="BC557" s="419"/>
      <c r="BD557" s="419"/>
      <c r="BE557" s="418"/>
      <c r="BF557" s="154"/>
      <c r="BG557" s="419"/>
      <c r="BH557" s="419"/>
      <c r="BI557" s="419"/>
      <c r="BJ557" s="419"/>
      <c r="BK557" s="418"/>
      <c r="BL557" s="36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431"/>
    </row>
    <row r="558" spans="1:74" s="2" customFormat="1" ht="24.9" customHeight="1">
      <c r="A558" s="147" t="s">
        <v>85</v>
      </c>
      <c r="B558" s="158"/>
      <c r="C558" s="179"/>
      <c r="D558" s="158"/>
      <c r="E558" s="160"/>
      <c r="F558" s="161"/>
      <c r="G558" s="161"/>
      <c r="H558" s="161"/>
      <c r="I558" s="154"/>
      <c r="J558" s="418"/>
      <c r="K558" s="419"/>
      <c r="L558" s="154"/>
      <c r="M558" s="418"/>
      <c r="N558" s="419"/>
      <c r="O558" s="150"/>
      <c r="P558" s="164"/>
      <c r="Q558" s="154"/>
      <c r="R558" s="174"/>
      <c r="S558" s="523"/>
      <c r="T558" s="523"/>
      <c r="U558" s="154"/>
      <c r="V558" s="155"/>
      <c r="W558" s="156"/>
      <c r="X558" s="154"/>
      <c r="Y558" s="155"/>
      <c r="Z558" s="155"/>
      <c r="AA558" s="157"/>
      <c r="AB558" s="217"/>
      <c r="AC558" s="150"/>
      <c r="AD558" s="151"/>
      <c r="AE558" s="152"/>
      <c r="AF558" s="506"/>
      <c r="AG558" s="463"/>
      <c r="AH558" s="150"/>
      <c r="AI558" s="152"/>
      <c r="AJ558" s="150"/>
      <c r="AK558" s="152"/>
      <c r="AL558" s="150"/>
      <c r="AM558" s="152"/>
      <c r="AN558" s="150"/>
      <c r="AO558" s="151"/>
      <c r="AP558" s="151"/>
      <c r="AQ558" s="169"/>
      <c r="AR558" s="169"/>
      <c r="AS558" s="149"/>
      <c r="AT558" s="324"/>
      <c r="AU558" s="324"/>
      <c r="AV558" s="324"/>
      <c r="AW558" s="324"/>
      <c r="AX558" s="324"/>
      <c r="AY558" s="324"/>
      <c r="AZ558" s="154"/>
      <c r="BA558" s="419"/>
      <c r="BB558" s="419"/>
      <c r="BC558" s="419"/>
      <c r="BD558" s="419"/>
      <c r="BE558" s="418"/>
      <c r="BF558" s="154"/>
      <c r="BG558" s="419"/>
      <c r="BH558" s="419"/>
      <c r="BI558" s="419"/>
      <c r="BJ558" s="419"/>
      <c r="BK558" s="418"/>
      <c r="BL558" s="36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561"/>
    </row>
    <row r="559" spans="1:74" s="2" customFormat="1" ht="24.9" customHeight="1">
      <c r="A559" s="147" t="s">
        <v>85</v>
      </c>
      <c r="B559" s="158"/>
      <c r="C559" s="179"/>
      <c r="D559" s="158"/>
      <c r="E559" s="160"/>
      <c r="F559" s="161"/>
      <c r="G559" s="161"/>
      <c r="H559" s="161"/>
      <c r="I559" s="154"/>
      <c r="J559" s="418"/>
      <c r="K559" s="419"/>
      <c r="L559" s="154"/>
      <c r="M559" s="418"/>
      <c r="N559" s="419"/>
      <c r="O559" s="150"/>
      <c r="P559" s="164"/>
      <c r="Q559" s="154"/>
      <c r="R559" s="174"/>
      <c r="S559" s="523"/>
      <c r="T559" s="523"/>
      <c r="U559" s="154"/>
      <c r="V559" s="155"/>
      <c r="W559" s="156"/>
      <c r="X559" s="154"/>
      <c r="Y559" s="155"/>
      <c r="Z559" s="155"/>
      <c r="AA559" s="157"/>
      <c r="AB559" s="217"/>
      <c r="AC559" s="150"/>
      <c r="AD559" s="151"/>
      <c r="AE559" s="152"/>
      <c r="AF559" s="506"/>
      <c r="AG559" s="463"/>
      <c r="AH559" s="150"/>
      <c r="AI559" s="152"/>
      <c r="AJ559" s="150"/>
      <c r="AK559" s="152"/>
      <c r="AL559" s="150"/>
      <c r="AM559" s="152"/>
      <c r="AN559" s="150"/>
      <c r="AO559" s="151"/>
      <c r="AP559" s="151"/>
      <c r="AQ559" s="169"/>
      <c r="AR559" s="169"/>
      <c r="AS559" s="149"/>
      <c r="AT559" s="324"/>
      <c r="AU559" s="324"/>
      <c r="AV559" s="324"/>
      <c r="AW559" s="324"/>
      <c r="AX559" s="324"/>
      <c r="AY559" s="324"/>
      <c r="AZ559" s="154"/>
      <c r="BA559" s="419"/>
      <c r="BB559" s="419"/>
      <c r="BC559" s="419"/>
      <c r="BD559" s="419"/>
      <c r="BE559" s="418"/>
      <c r="BF559" s="154"/>
      <c r="BG559" s="419"/>
      <c r="BH559" s="419"/>
      <c r="BI559" s="419"/>
      <c r="BJ559" s="419"/>
      <c r="BK559" s="418"/>
      <c r="BL559" s="36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431"/>
    </row>
    <row r="560" spans="1:74" s="2" customFormat="1" ht="24.9" customHeight="1">
      <c r="A560" s="147" t="s">
        <v>85</v>
      </c>
      <c r="B560" s="158"/>
      <c r="C560" s="179"/>
      <c r="D560" s="158"/>
      <c r="E560" s="160"/>
      <c r="F560" s="161"/>
      <c r="G560" s="161"/>
      <c r="H560" s="161"/>
      <c r="I560" s="154"/>
      <c r="J560" s="418"/>
      <c r="K560" s="419"/>
      <c r="L560" s="154"/>
      <c r="M560" s="418"/>
      <c r="N560" s="419"/>
      <c r="O560" s="150"/>
      <c r="P560" s="164"/>
      <c r="Q560" s="154"/>
      <c r="R560" s="174"/>
      <c r="S560" s="523"/>
      <c r="T560" s="523"/>
      <c r="U560" s="154"/>
      <c r="V560" s="155"/>
      <c r="W560" s="156"/>
      <c r="X560" s="154"/>
      <c r="Y560" s="155"/>
      <c r="Z560" s="155"/>
      <c r="AA560" s="157"/>
      <c r="AB560" s="217"/>
      <c r="AC560" s="150"/>
      <c r="AD560" s="151"/>
      <c r="AE560" s="152"/>
      <c r="AF560" s="506"/>
      <c r="AG560" s="463"/>
      <c r="AH560" s="150"/>
      <c r="AI560" s="152"/>
      <c r="AJ560" s="150"/>
      <c r="AK560" s="152"/>
      <c r="AL560" s="150"/>
      <c r="AM560" s="152"/>
      <c r="AN560" s="150"/>
      <c r="AO560" s="151"/>
      <c r="AP560" s="151"/>
      <c r="AQ560" s="169"/>
      <c r="AR560" s="169"/>
      <c r="AS560" s="149"/>
      <c r="AT560" s="324"/>
      <c r="AU560" s="324"/>
      <c r="AV560" s="324"/>
      <c r="AW560" s="324"/>
      <c r="AX560" s="324"/>
      <c r="AY560" s="324"/>
      <c r="AZ560" s="154"/>
      <c r="BA560" s="419"/>
      <c r="BB560" s="419"/>
      <c r="BC560" s="419"/>
      <c r="BD560" s="419"/>
      <c r="BE560" s="418"/>
      <c r="BF560" s="154"/>
      <c r="BG560" s="419"/>
      <c r="BH560" s="419"/>
      <c r="BI560" s="419"/>
      <c r="BJ560" s="419"/>
      <c r="BK560" s="418"/>
      <c r="BL560" s="36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561"/>
    </row>
    <row r="561" spans="1:74" s="2" customFormat="1" ht="24.9" customHeight="1">
      <c r="A561" s="147" t="s">
        <v>85</v>
      </c>
      <c r="B561" s="158"/>
      <c r="C561" s="179"/>
      <c r="D561" s="158"/>
      <c r="E561" s="160"/>
      <c r="F561" s="161"/>
      <c r="G561" s="161"/>
      <c r="H561" s="161"/>
      <c r="I561" s="154"/>
      <c r="J561" s="418"/>
      <c r="K561" s="419"/>
      <c r="L561" s="154"/>
      <c r="M561" s="418"/>
      <c r="N561" s="419"/>
      <c r="O561" s="150"/>
      <c r="P561" s="164"/>
      <c r="Q561" s="154"/>
      <c r="R561" s="174"/>
      <c r="S561" s="523"/>
      <c r="T561" s="523"/>
      <c r="U561" s="154"/>
      <c r="V561" s="155"/>
      <c r="W561" s="156"/>
      <c r="X561" s="154"/>
      <c r="Y561" s="155"/>
      <c r="Z561" s="155"/>
      <c r="AA561" s="157"/>
      <c r="AB561" s="217"/>
      <c r="AC561" s="150"/>
      <c r="AD561" s="151"/>
      <c r="AE561" s="152"/>
      <c r="AF561" s="506"/>
      <c r="AG561" s="463"/>
      <c r="AH561" s="150"/>
      <c r="AI561" s="152"/>
      <c r="AJ561" s="150"/>
      <c r="AK561" s="152"/>
      <c r="AL561" s="150"/>
      <c r="AM561" s="152"/>
      <c r="AN561" s="150"/>
      <c r="AO561" s="151"/>
      <c r="AP561" s="151"/>
      <c r="AQ561" s="169"/>
      <c r="AR561" s="169"/>
      <c r="AS561" s="149"/>
      <c r="AT561" s="324"/>
      <c r="AU561" s="324"/>
      <c r="AV561" s="324"/>
      <c r="AW561" s="324"/>
      <c r="AX561" s="324"/>
      <c r="AY561" s="324"/>
      <c r="AZ561" s="154"/>
      <c r="BA561" s="419"/>
      <c r="BB561" s="419"/>
      <c r="BC561" s="419"/>
      <c r="BD561" s="419"/>
      <c r="BE561" s="418"/>
      <c r="BF561" s="154"/>
      <c r="BG561" s="419"/>
      <c r="BH561" s="419"/>
      <c r="BI561" s="419"/>
      <c r="BJ561" s="419"/>
      <c r="BK561" s="418"/>
      <c r="BL561" s="36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431"/>
    </row>
    <row r="562" spans="1:74" s="2" customFormat="1" ht="24.9" customHeight="1">
      <c r="A562" s="147" t="s">
        <v>85</v>
      </c>
      <c r="B562" s="158"/>
      <c r="C562" s="179"/>
      <c r="D562" s="158"/>
      <c r="E562" s="160"/>
      <c r="F562" s="161"/>
      <c r="G562" s="161"/>
      <c r="H562" s="161"/>
      <c r="I562" s="154"/>
      <c r="J562" s="418"/>
      <c r="K562" s="419"/>
      <c r="L562" s="154"/>
      <c r="M562" s="418"/>
      <c r="N562" s="419"/>
      <c r="O562" s="150"/>
      <c r="P562" s="164"/>
      <c r="Q562" s="154"/>
      <c r="R562" s="151"/>
      <c r="S562" s="522"/>
      <c r="T562" s="522"/>
      <c r="U562" s="154"/>
      <c r="V562" s="155"/>
      <c r="W562" s="156"/>
      <c r="X562" s="154"/>
      <c r="Y562" s="155"/>
      <c r="Z562" s="155"/>
      <c r="AA562" s="157"/>
      <c r="AB562" s="217"/>
      <c r="AC562" s="150"/>
      <c r="AD562" s="151"/>
      <c r="AE562" s="152"/>
      <c r="AF562" s="506"/>
      <c r="AG562" s="464"/>
      <c r="AH562" s="150"/>
      <c r="AI562" s="152"/>
      <c r="AJ562" s="150"/>
      <c r="AK562" s="152"/>
      <c r="AL562" s="150"/>
      <c r="AM562" s="152"/>
      <c r="AN562" s="150"/>
      <c r="AO562" s="151"/>
      <c r="AP562" s="151"/>
      <c r="AQ562" s="169"/>
      <c r="AR562" s="169"/>
      <c r="AS562" s="149"/>
      <c r="AT562" s="324"/>
      <c r="AU562" s="324"/>
      <c r="AV562" s="324"/>
      <c r="AW562" s="324"/>
      <c r="AX562" s="324"/>
      <c r="AY562" s="324"/>
      <c r="AZ562" s="154"/>
      <c r="BA562" s="419"/>
      <c r="BB562" s="419"/>
      <c r="BC562" s="419"/>
      <c r="BD562" s="419"/>
      <c r="BE562" s="418"/>
      <c r="BF562" s="154"/>
      <c r="BG562" s="419"/>
      <c r="BH562" s="419"/>
      <c r="BI562" s="419"/>
      <c r="BJ562" s="419"/>
      <c r="BK562" s="418"/>
      <c r="BL562" s="36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432"/>
    </row>
    <row r="563" spans="1:74" s="2" customFormat="1" ht="24.9" customHeight="1">
      <c r="A563" s="147" t="s">
        <v>85</v>
      </c>
      <c r="B563" s="158"/>
      <c r="C563" s="179"/>
      <c r="D563" s="158"/>
      <c r="E563" s="160"/>
      <c r="F563" s="161"/>
      <c r="G563" s="161"/>
      <c r="H563" s="161"/>
      <c r="I563" s="154"/>
      <c r="J563" s="418"/>
      <c r="K563" s="419"/>
      <c r="L563" s="154"/>
      <c r="M563" s="418"/>
      <c r="N563" s="419"/>
      <c r="O563" s="150"/>
      <c r="P563" s="164"/>
      <c r="Q563" s="154"/>
      <c r="R563" s="151"/>
      <c r="S563" s="522"/>
      <c r="T563" s="522"/>
      <c r="U563" s="154"/>
      <c r="V563" s="155"/>
      <c r="W563" s="156"/>
      <c r="X563" s="154"/>
      <c r="Y563" s="155"/>
      <c r="Z563" s="155"/>
      <c r="AA563" s="157"/>
      <c r="AB563" s="217"/>
      <c r="AC563" s="150"/>
      <c r="AD563" s="151"/>
      <c r="AE563" s="152"/>
      <c r="AF563" s="506"/>
      <c r="AG563" s="463"/>
      <c r="AH563" s="150"/>
      <c r="AI563" s="152"/>
      <c r="AJ563" s="150"/>
      <c r="AK563" s="152"/>
      <c r="AL563" s="150"/>
      <c r="AM563" s="152"/>
      <c r="AN563" s="150"/>
      <c r="AO563" s="151"/>
      <c r="AP563" s="151"/>
      <c r="AQ563" s="169"/>
      <c r="AR563" s="169"/>
      <c r="AS563" s="149"/>
      <c r="AT563" s="324"/>
      <c r="AU563" s="324"/>
      <c r="AV563" s="324"/>
      <c r="AW563" s="324"/>
      <c r="AX563" s="324"/>
      <c r="AY563" s="324"/>
      <c r="AZ563" s="154"/>
      <c r="BA563" s="419"/>
      <c r="BB563" s="419"/>
      <c r="BC563" s="419"/>
      <c r="BD563" s="419"/>
      <c r="BE563" s="418"/>
      <c r="BF563" s="154"/>
      <c r="BG563" s="419"/>
      <c r="BH563" s="419"/>
      <c r="BI563" s="419"/>
      <c r="BJ563" s="419"/>
      <c r="BK563" s="418"/>
      <c r="BL563" s="36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432"/>
    </row>
    <row r="564" spans="1:74" s="2" customFormat="1" ht="24.9" customHeight="1">
      <c r="A564" s="147" t="s">
        <v>85</v>
      </c>
      <c r="B564" s="158"/>
      <c r="C564" s="179"/>
      <c r="D564" s="158"/>
      <c r="E564" s="160"/>
      <c r="F564" s="161"/>
      <c r="G564" s="161"/>
      <c r="H564" s="161"/>
      <c r="I564" s="154"/>
      <c r="J564" s="418"/>
      <c r="K564" s="419"/>
      <c r="L564" s="154"/>
      <c r="M564" s="418"/>
      <c r="N564" s="419"/>
      <c r="O564" s="150"/>
      <c r="P564" s="164"/>
      <c r="Q564" s="154"/>
      <c r="R564" s="174"/>
      <c r="S564" s="523"/>
      <c r="T564" s="523"/>
      <c r="U564" s="154"/>
      <c r="V564" s="155"/>
      <c r="W564" s="156"/>
      <c r="X564" s="154"/>
      <c r="Y564" s="155"/>
      <c r="Z564" s="155"/>
      <c r="AA564" s="157"/>
      <c r="AB564" s="217"/>
      <c r="AC564" s="150"/>
      <c r="AD564" s="151"/>
      <c r="AE564" s="152"/>
      <c r="AF564" s="506"/>
      <c r="AG564" s="463"/>
      <c r="AH564" s="150"/>
      <c r="AI564" s="152"/>
      <c r="AJ564" s="150"/>
      <c r="AK564" s="152"/>
      <c r="AL564" s="150"/>
      <c r="AM564" s="152"/>
      <c r="AN564" s="150"/>
      <c r="AO564" s="151"/>
      <c r="AP564" s="151"/>
      <c r="AQ564" s="169"/>
      <c r="AR564" s="169"/>
      <c r="AS564" s="149"/>
      <c r="AT564" s="324"/>
      <c r="AU564" s="324"/>
      <c r="AV564" s="324"/>
      <c r="AW564" s="324"/>
      <c r="AX564" s="324"/>
      <c r="AY564" s="324"/>
      <c r="AZ564" s="154"/>
      <c r="BA564" s="419"/>
      <c r="BB564" s="419"/>
      <c r="BC564" s="419"/>
      <c r="BD564" s="419"/>
      <c r="BE564" s="418"/>
      <c r="BF564" s="154"/>
      <c r="BG564" s="419"/>
      <c r="BH564" s="419"/>
      <c r="BI564" s="419"/>
      <c r="BJ564" s="419"/>
      <c r="BK564" s="418"/>
      <c r="BL564" s="36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561"/>
    </row>
    <row r="565" spans="1:74" s="2" customFormat="1" ht="24.9" customHeight="1">
      <c r="A565" s="147" t="s">
        <v>85</v>
      </c>
      <c r="B565" s="158"/>
      <c r="C565" s="179"/>
      <c r="D565" s="158"/>
      <c r="E565" s="160"/>
      <c r="F565" s="161"/>
      <c r="G565" s="161"/>
      <c r="H565" s="161"/>
      <c r="I565" s="154"/>
      <c r="J565" s="418"/>
      <c r="K565" s="419"/>
      <c r="L565" s="154"/>
      <c r="M565" s="418"/>
      <c r="N565" s="419"/>
      <c r="O565" s="150"/>
      <c r="P565" s="164"/>
      <c r="Q565" s="154"/>
      <c r="R565" s="174"/>
      <c r="S565" s="523"/>
      <c r="T565" s="523"/>
      <c r="U565" s="154"/>
      <c r="V565" s="155"/>
      <c r="W565" s="156"/>
      <c r="X565" s="154"/>
      <c r="Y565" s="155"/>
      <c r="Z565" s="155"/>
      <c r="AA565" s="157"/>
      <c r="AB565" s="217"/>
      <c r="AC565" s="150"/>
      <c r="AD565" s="151"/>
      <c r="AE565" s="152"/>
      <c r="AF565" s="506"/>
      <c r="AG565" s="464"/>
      <c r="AH565" s="150"/>
      <c r="AI565" s="152"/>
      <c r="AJ565" s="150"/>
      <c r="AK565" s="152"/>
      <c r="AL565" s="150"/>
      <c r="AM565" s="152"/>
      <c r="AN565" s="150"/>
      <c r="AO565" s="151"/>
      <c r="AP565" s="151"/>
      <c r="AQ565" s="169"/>
      <c r="AR565" s="169"/>
      <c r="AS565" s="149"/>
      <c r="AT565" s="324"/>
      <c r="AU565" s="324"/>
      <c r="AV565" s="324"/>
      <c r="AW565" s="324"/>
      <c r="AX565" s="324"/>
      <c r="AY565" s="324"/>
      <c r="AZ565" s="154"/>
      <c r="BA565" s="419"/>
      <c r="BB565" s="419"/>
      <c r="BC565" s="419"/>
      <c r="BD565" s="419"/>
      <c r="BE565" s="418"/>
      <c r="BF565" s="154"/>
      <c r="BG565" s="419"/>
      <c r="BH565" s="419"/>
      <c r="BI565" s="419"/>
      <c r="BJ565" s="419"/>
      <c r="BK565" s="418"/>
      <c r="BL565" s="36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431"/>
    </row>
    <row r="566" spans="1:74" s="2" customFormat="1" ht="24.9" customHeight="1">
      <c r="A566" s="147" t="s">
        <v>85</v>
      </c>
      <c r="B566" s="158"/>
      <c r="C566" s="179"/>
      <c r="D566" s="158"/>
      <c r="E566" s="160"/>
      <c r="F566" s="161"/>
      <c r="G566" s="161"/>
      <c r="H566" s="161"/>
      <c r="I566" s="154"/>
      <c r="J566" s="418"/>
      <c r="K566" s="419"/>
      <c r="L566" s="154"/>
      <c r="M566" s="418"/>
      <c r="N566" s="419"/>
      <c r="O566" s="150"/>
      <c r="P566" s="164"/>
      <c r="Q566" s="154"/>
      <c r="R566" s="151"/>
      <c r="S566" s="522"/>
      <c r="T566" s="522"/>
      <c r="U566" s="154"/>
      <c r="V566" s="155"/>
      <c r="W566" s="156"/>
      <c r="X566" s="154"/>
      <c r="Y566" s="155"/>
      <c r="Z566" s="155"/>
      <c r="AA566" s="157"/>
      <c r="AB566" s="217"/>
      <c r="AC566" s="150"/>
      <c r="AD566" s="151"/>
      <c r="AE566" s="152"/>
      <c r="AF566" s="506"/>
      <c r="AG566" s="464"/>
      <c r="AH566" s="150"/>
      <c r="AI566" s="152"/>
      <c r="AJ566" s="150"/>
      <c r="AK566" s="152"/>
      <c r="AL566" s="150"/>
      <c r="AM566" s="152"/>
      <c r="AN566" s="150"/>
      <c r="AO566" s="151"/>
      <c r="AP566" s="151"/>
      <c r="AQ566" s="169"/>
      <c r="AR566" s="169"/>
      <c r="AS566" s="149"/>
      <c r="AT566" s="324"/>
      <c r="AU566" s="324"/>
      <c r="AV566" s="324"/>
      <c r="AW566" s="324"/>
      <c r="AX566" s="324"/>
      <c r="AY566" s="324"/>
      <c r="AZ566" s="154"/>
      <c r="BA566" s="419"/>
      <c r="BB566" s="419"/>
      <c r="BC566" s="419"/>
      <c r="BD566" s="419"/>
      <c r="BE566" s="418"/>
      <c r="BF566" s="154"/>
      <c r="BG566" s="419"/>
      <c r="BH566" s="419"/>
      <c r="BI566" s="419"/>
      <c r="BJ566" s="419"/>
      <c r="BK566" s="418"/>
      <c r="BL566" s="36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432"/>
    </row>
    <row r="567" spans="1:74" s="2" customFormat="1" ht="24.9" customHeight="1">
      <c r="A567" s="147" t="s">
        <v>85</v>
      </c>
      <c r="B567" s="158"/>
      <c r="C567" s="179"/>
      <c r="D567" s="158"/>
      <c r="E567" s="160"/>
      <c r="F567" s="161"/>
      <c r="G567" s="161"/>
      <c r="H567" s="161"/>
      <c r="I567" s="154"/>
      <c r="J567" s="418"/>
      <c r="K567" s="419"/>
      <c r="L567" s="154"/>
      <c r="M567" s="418"/>
      <c r="N567" s="419"/>
      <c r="O567" s="150"/>
      <c r="P567" s="164"/>
      <c r="Q567" s="154"/>
      <c r="R567" s="151"/>
      <c r="S567" s="522"/>
      <c r="T567" s="522"/>
      <c r="U567" s="154"/>
      <c r="V567" s="155"/>
      <c r="W567" s="156"/>
      <c r="X567" s="154"/>
      <c r="Y567" s="155"/>
      <c r="Z567" s="155"/>
      <c r="AA567" s="157"/>
      <c r="AB567" s="217"/>
      <c r="AC567" s="150"/>
      <c r="AD567" s="151"/>
      <c r="AE567" s="152"/>
      <c r="AF567" s="506"/>
      <c r="AG567" s="466"/>
      <c r="AH567" s="150"/>
      <c r="AI567" s="152"/>
      <c r="AJ567" s="150"/>
      <c r="AK567" s="152"/>
      <c r="AL567" s="150"/>
      <c r="AM567" s="152"/>
      <c r="AN567" s="150"/>
      <c r="AO567" s="151"/>
      <c r="AP567" s="151"/>
      <c r="AQ567" s="169"/>
      <c r="AR567" s="169"/>
      <c r="AS567" s="149"/>
      <c r="AT567" s="324"/>
      <c r="AU567" s="324"/>
      <c r="AV567" s="324"/>
      <c r="AW567" s="324"/>
      <c r="AX567" s="324"/>
      <c r="AY567" s="324"/>
      <c r="AZ567" s="154"/>
      <c r="BA567" s="419"/>
      <c r="BB567" s="419"/>
      <c r="BC567" s="419"/>
      <c r="BD567" s="419"/>
      <c r="BE567" s="418"/>
      <c r="BF567" s="154"/>
      <c r="BG567" s="419"/>
      <c r="BH567" s="419"/>
      <c r="BI567" s="419"/>
      <c r="BJ567" s="419"/>
      <c r="BK567" s="418"/>
      <c r="BL567" s="36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432"/>
    </row>
    <row r="568" spans="1:74" s="2" customFormat="1" ht="24.9" customHeight="1">
      <c r="A568" s="147" t="s">
        <v>85</v>
      </c>
      <c r="B568" s="158"/>
      <c r="C568" s="179"/>
      <c r="D568" s="157"/>
      <c r="E568" s="160"/>
      <c r="F568" s="161"/>
      <c r="G568" s="161"/>
      <c r="H568" s="161"/>
      <c r="I568" s="154"/>
      <c r="J568" s="418"/>
      <c r="K568" s="419"/>
      <c r="L568" s="154"/>
      <c r="M568" s="418"/>
      <c r="N568" s="419"/>
      <c r="O568" s="150"/>
      <c r="P568" s="164"/>
      <c r="Q568" s="154"/>
      <c r="R568" s="151"/>
      <c r="S568" s="522"/>
      <c r="T568" s="522"/>
      <c r="U568" s="154"/>
      <c r="V568" s="155"/>
      <c r="W568" s="156"/>
      <c r="X568" s="154"/>
      <c r="Y568" s="155"/>
      <c r="Z568" s="155"/>
      <c r="AA568" s="157"/>
      <c r="AB568" s="217"/>
      <c r="AC568" s="150"/>
      <c r="AD568" s="151"/>
      <c r="AE568" s="152"/>
      <c r="AF568" s="506"/>
      <c r="AG568" s="466"/>
      <c r="AH568" s="150"/>
      <c r="AI568" s="152"/>
      <c r="AJ568" s="150"/>
      <c r="AK568" s="152"/>
      <c r="AL568" s="150"/>
      <c r="AM568" s="152"/>
      <c r="AN568" s="150"/>
      <c r="AO568" s="151"/>
      <c r="AP568" s="151"/>
      <c r="AQ568" s="169"/>
      <c r="AR568" s="169"/>
      <c r="AS568" s="149"/>
      <c r="AT568" s="324"/>
      <c r="AU568" s="324"/>
      <c r="AV568" s="324"/>
      <c r="AW568" s="324"/>
      <c r="AX568" s="324"/>
      <c r="AY568" s="324"/>
      <c r="AZ568" s="154"/>
      <c r="BA568" s="419"/>
      <c r="BB568" s="419"/>
      <c r="BC568" s="419"/>
      <c r="BD568" s="419"/>
      <c r="BE568" s="418"/>
      <c r="BF568" s="154"/>
      <c r="BG568" s="419"/>
      <c r="BH568" s="419"/>
      <c r="BI568" s="419"/>
      <c r="BJ568" s="419"/>
      <c r="BK568" s="418"/>
      <c r="BL568" s="36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432"/>
    </row>
    <row r="569" spans="1:74" s="2" customFormat="1" ht="24.9" customHeight="1">
      <c r="A569" s="147" t="s">
        <v>85</v>
      </c>
      <c r="B569" s="158"/>
      <c r="C569" s="179"/>
      <c r="D569" s="158"/>
      <c r="E569" s="160"/>
      <c r="F569" s="161"/>
      <c r="G569" s="161"/>
      <c r="H569" s="161"/>
      <c r="I569" s="154"/>
      <c r="J569" s="418"/>
      <c r="K569" s="419"/>
      <c r="L569" s="154"/>
      <c r="M569" s="418"/>
      <c r="N569" s="419"/>
      <c r="O569" s="150"/>
      <c r="P569" s="164"/>
      <c r="Q569" s="154"/>
      <c r="R569" s="151"/>
      <c r="S569" s="522"/>
      <c r="T569" s="522"/>
      <c r="U569" s="154"/>
      <c r="V569" s="155"/>
      <c r="W569" s="156"/>
      <c r="X569" s="154"/>
      <c r="Y569" s="155"/>
      <c r="Z569" s="155"/>
      <c r="AA569" s="157"/>
      <c r="AB569" s="217"/>
      <c r="AC569" s="150"/>
      <c r="AD569" s="151"/>
      <c r="AE569" s="152"/>
      <c r="AF569" s="506"/>
      <c r="AG569" s="464"/>
      <c r="AH569" s="150"/>
      <c r="AI569" s="152"/>
      <c r="AJ569" s="150"/>
      <c r="AK569" s="152"/>
      <c r="AL569" s="150"/>
      <c r="AM569" s="152"/>
      <c r="AN569" s="150"/>
      <c r="AO569" s="151"/>
      <c r="AP569" s="151"/>
      <c r="AQ569" s="169"/>
      <c r="AR569" s="169"/>
      <c r="AS569" s="149"/>
      <c r="AT569" s="324"/>
      <c r="AU569" s="324"/>
      <c r="AV569" s="324"/>
      <c r="AW569" s="324"/>
      <c r="AX569" s="324"/>
      <c r="AY569" s="324"/>
      <c r="AZ569" s="154"/>
      <c r="BA569" s="419"/>
      <c r="BB569" s="419"/>
      <c r="BC569" s="419"/>
      <c r="BD569" s="419"/>
      <c r="BE569" s="418"/>
      <c r="BF569" s="154"/>
      <c r="BG569" s="419"/>
      <c r="BH569" s="419"/>
      <c r="BI569" s="419"/>
      <c r="BJ569" s="419"/>
      <c r="BK569" s="418"/>
      <c r="BL569" s="36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432"/>
    </row>
    <row r="570" spans="1:74" s="2" customFormat="1" ht="24.9" customHeight="1">
      <c r="A570" s="147" t="s">
        <v>85</v>
      </c>
      <c r="B570" s="158"/>
      <c r="C570" s="179"/>
      <c r="D570" s="158"/>
      <c r="E570" s="160"/>
      <c r="F570" s="161"/>
      <c r="G570" s="161"/>
      <c r="H570" s="161"/>
      <c r="I570" s="154"/>
      <c r="J570" s="418"/>
      <c r="K570" s="419"/>
      <c r="L570" s="154"/>
      <c r="M570" s="418"/>
      <c r="N570" s="419"/>
      <c r="O570" s="150"/>
      <c r="P570" s="164"/>
      <c r="Q570" s="154"/>
      <c r="R570" s="151"/>
      <c r="S570" s="522"/>
      <c r="T570" s="522"/>
      <c r="U570" s="154"/>
      <c r="V570" s="155"/>
      <c r="W570" s="156"/>
      <c r="X570" s="154"/>
      <c r="Y570" s="155"/>
      <c r="Z570" s="155"/>
      <c r="AA570" s="157"/>
      <c r="AB570" s="217"/>
      <c r="AC570" s="150"/>
      <c r="AD570" s="151"/>
      <c r="AE570" s="152"/>
      <c r="AF570" s="506"/>
      <c r="AG570" s="464"/>
      <c r="AH570" s="150"/>
      <c r="AI570" s="152"/>
      <c r="AJ570" s="150"/>
      <c r="AK570" s="152"/>
      <c r="AL570" s="150"/>
      <c r="AM570" s="152"/>
      <c r="AN570" s="150"/>
      <c r="AO570" s="151"/>
      <c r="AP570" s="151"/>
      <c r="AQ570" s="169"/>
      <c r="AR570" s="169"/>
      <c r="AS570" s="149"/>
      <c r="AT570" s="324"/>
      <c r="AU570" s="324"/>
      <c r="AV570" s="324"/>
      <c r="AW570" s="324"/>
      <c r="AX570" s="324"/>
      <c r="AY570" s="324"/>
      <c r="AZ570" s="154"/>
      <c r="BA570" s="419"/>
      <c r="BB570" s="419"/>
      <c r="BC570" s="419"/>
      <c r="BD570" s="419"/>
      <c r="BE570" s="418"/>
      <c r="BF570" s="154"/>
      <c r="BG570" s="419"/>
      <c r="BH570" s="419"/>
      <c r="BI570" s="419"/>
      <c r="BJ570" s="419"/>
      <c r="BK570" s="418"/>
      <c r="BL570" s="36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432"/>
    </row>
    <row r="571" spans="1:74" s="2" customFormat="1" ht="24.9" customHeight="1">
      <c r="A571" s="147" t="s">
        <v>85</v>
      </c>
      <c r="B571" s="158"/>
      <c r="C571" s="179"/>
      <c r="D571" s="158"/>
      <c r="E571" s="160"/>
      <c r="F571" s="161"/>
      <c r="G571" s="161"/>
      <c r="H571" s="161"/>
      <c r="I571" s="154"/>
      <c r="J571" s="418"/>
      <c r="K571" s="419"/>
      <c r="L571" s="154"/>
      <c r="M571" s="418"/>
      <c r="N571" s="419"/>
      <c r="O571" s="150"/>
      <c r="P571" s="164"/>
      <c r="Q571" s="154"/>
      <c r="R571" s="151"/>
      <c r="S571" s="522"/>
      <c r="T571" s="522"/>
      <c r="U571" s="154"/>
      <c r="V571" s="155"/>
      <c r="W571" s="156"/>
      <c r="X571" s="154"/>
      <c r="Y571" s="155"/>
      <c r="Z571" s="155"/>
      <c r="AA571" s="157"/>
      <c r="AB571" s="217"/>
      <c r="AC571" s="150"/>
      <c r="AD571" s="151"/>
      <c r="AE571" s="152"/>
      <c r="AF571" s="506"/>
      <c r="AG571" s="464"/>
      <c r="AH571" s="150"/>
      <c r="AI571" s="152"/>
      <c r="AJ571" s="150"/>
      <c r="AK571" s="152"/>
      <c r="AL571" s="150"/>
      <c r="AM571" s="152"/>
      <c r="AN571" s="150"/>
      <c r="AO571" s="151"/>
      <c r="AP571" s="151"/>
      <c r="AQ571" s="169"/>
      <c r="AR571" s="169"/>
      <c r="AS571" s="149"/>
      <c r="AT571" s="324"/>
      <c r="AU571" s="324"/>
      <c r="AV571" s="324"/>
      <c r="AW571" s="324"/>
      <c r="AX571" s="324"/>
      <c r="AY571" s="324"/>
      <c r="AZ571" s="154"/>
      <c r="BA571" s="419"/>
      <c r="BB571" s="419"/>
      <c r="BC571" s="419"/>
      <c r="BD571" s="419"/>
      <c r="BE571" s="418"/>
      <c r="BF571" s="154"/>
      <c r="BG571" s="419"/>
      <c r="BH571" s="419"/>
      <c r="BI571" s="419"/>
      <c r="BJ571" s="419"/>
      <c r="BK571" s="418"/>
      <c r="BL571" s="36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432"/>
    </row>
    <row r="572" spans="1:74" s="2" customFormat="1" ht="24.9" customHeight="1">
      <c r="A572" s="147" t="s">
        <v>85</v>
      </c>
      <c r="B572" s="158"/>
      <c r="C572" s="179"/>
      <c r="D572" s="158"/>
      <c r="E572" s="160"/>
      <c r="F572" s="161"/>
      <c r="G572" s="161"/>
      <c r="H572" s="161"/>
      <c r="I572" s="154"/>
      <c r="J572" s="418"/>
      <c r="K572" s="419"/>
      <c r="L572" s="154"/>
      <c r="M572" s="418"/>
      <c r="N572" s="419"/>
      <c r="O572" s="150"/>
      <c r="P572" s="164"/>
      <c r="Q572" s="154"/>
      <c r="R572" s="151"/>
      <c r="S572" s="522"/>
      <c r="T572" s="522"/>
      <c r="U572" s="154"/>
      <c r="V572" s="155"/>
      <c r="W572" s="156"/>
      <c r="X572" s="154"/>
      <c r="Y572" s="155"/>
      <c r="Z572" s="155"/>
      <c r="AA572" s="157"/>
      <c r="AB572" s="217"/>
      <c r="AC572" s="150"/>
      <c r="AD572" s="151"/>
      <c r="AE572" s="152"/>
      <c r="AF572" s="506"/>
      <c r="AG572" s="464"/>
      <c r="AH572" s="150"/>
      <c r="AI572" s="152"/>
      <c r="AJ572" s="150"/>
      <c r="AK572" s="152"/>
      <c r="AL572" s="150"/>
      <c r="AM572" s="152"/>
      <c r="AN572" s="150"/>
      <c r="AO572" s="151"/>
      <c r="AP572" s="151"/>
      <c r="AQ572" s="169"/>
      <c r="AR572" s="169"/>
      <c r="AS572" s="149"/>
      <c r="AT572" s="324"/>
      <c r="AU572" s="324"/>
      <c r="AV572" s="324"/>
      <c r="AW572" s="324"/>
      <c r="AX572" s="324"/>
      <c r="AY572" s="324"/>
      <c r="AZ572" s="154"/>
      <c r="BA572" s="419"/>
      <c r="BB572" s="419"/>
      <c r="BC572" s="419"/>
      <c r="BD572" s="419"/>
      <c r="BE572" s="418"/>
      <c r="BF572" s="154"/>
      <c r="BG572" s="419"/>
      <c r="BH572" s="419"/>
      <c r="BI572" s="419"/>
      <c r="BJ572" s="419"/>
      <c r="BK572" s="418"/>
      <c r="BL572" s="36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432"/>
    </row>
    <row r="573" spans="1:74" s="2" customFormat="1" ht="24.9" customHeight="1">
      <c r="A573" s="147" t="s">
        <v>85</v>
      </c>
      <c r="B573" s="158"/>
      <c r="C573" s="179"/>
      <c r="D573" s="158"/>
      <c r="E573" s="160"/>
      <c r="F573" s="161"/>
      <c r="G573" s="161"/>
      <c r="H573" s="161"/>
      <c r="I573" s="154"/>
      <c r="J573" s="418"/>
      <c r="K573" s="419"/>
      <c r="L573" s="154"/>
      <c r="M573" s="418"/>
      <c r="N573" s="419"/>
      <c r="O573" s="150"/>
      <c r="P573" s="164"/>
      <c r="Q573" s="154"/>
      <c r="R573" s="151"/>
      <c r="S573" s="522"/>
      <c r="T573" s="522"/>
      <c r="U573" s="154"/>
      <c r="V573" s="155"/>
      <c r="W573" s="156"/>
      <c r="X573" s="154"/>
      <c r="Y573" s="155"/>
      <c r="Z573" s="155"/>
      <c r="AA573" s="157"/>
      <c r="AB573" s="217"/>
      <c r="AC573" s="150"/>
      <c r="AD573" s="151"/>
      <c r="AE573" s="152"/>
      <c r="AF573" s="506"/>
      <c r="AG573" s="464"/>
      <c r="AH573" s="150"/>
      <c r="AI573" s="152"/>
      <c r="AJ573" s="150"/>
      <c r="AK573" s="152"/>
      <c r="AL573" s="150"/>
      <c r="AM573" s="152"/>
      <c r="AN573" s="150"/>
      <c r="AO573" s="151"/>
      <c r="AP573" s="151"/>
      <c r="AQ573" s="169"/>
      <c r="AR573" s="169"/>
      <c r="AS573" s="149"/>
      <c r="AT573" s="324"/>
      <c r="AU573" s="324"/>
      <c r="AV573" s="324"/>
      <c r="AW573" s="324"/>
      <c r="AX573" s="324"/>
      <c r="AY573" s="324"/>
      <c r="AZ573" s="154"/>
      <c r="BA573" s="419"/>
      <c r="BB573" s="419"/>
      <c r="BC573" s="419"/>
      <c r="BD573" s="419"/>
      <c r="BE573" s="418"/>
      <c r="BF573" s="154"/>
      <c r="BG573" s="419"/>
      <c r="BH573" s="419"/>
      <c r="BI573" s="419"/>
      <c r="BJ573" s="419"/>
      <c r="BK573" s="418"/>
      <c r="BL573" s="36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432"/>
    </row>
    <row r="574" spans="1:74" s="2" customFormat="1" ht="24.9" customHeight="1">
      <c r="A574" s="147" t="s">
        <v>85</v>
      </c>
      <c r="B574" s="158"/>
      <c r="C574" s="179"/>
      <c r="D574" s="158"/>
      <c r="E574" s="160"/>
      <c r="F574" s="161"/>
      <c r="G574" s="161"/>
      <c r="H574" s="161"/>
      <c r="I574" s="154"/>
      <c r="J574" s="418"/>
      <c r="K574" s="419"/>
      <c r="L574" s="154"/>
      <c r="M574" s="418"/>
      <c r="N574" s="419"/>
      <c r="O574" s="150"/>
      <c r="P574" s="164"/>
      <c r="Q574" s="154"/>
      <c r="R574" s="151"/>
      <c r="S574" s="522"/>
      <c r="T574" s="522"/>
      <c r="U574" s="154"/>
      <c r="V574" s="155"/>
      <c r="W574" s="156"/>
      <c r="X574" s="154"/>
      <c r="Y574" s="155"/>
      <c r="Z574" s="155"/>
      <c r="AA574" s="157"/>
      <c r="AB574" s="217"/>
      <c r="AC574" s="150"/>
      <c r="AD574" s="151"/>
      <c r="AE574" s="152"/>
      <c r="AF574" s="506"/>
      <c r="AG574" s="464"/>
      <c r="AH574" s="150"/>
      <c r="AI574" s="152"/>
      <c r="AJ574" s="150"/>
      <c r="AK574" s="152"/>
      <c r="AL574" s="150"/>
      <c r="AM574" s="152"/>
      <c r="AN574" s="150"/>
      <c r="AO574" s="151"/>
      <c r="AP574" s="151"/>
      <c r="AQ574" s="169"/>
      <c r="AR574" s="169"/>
      <c r="AS574" s="149"/>
      <c r="AT574" s="324"/>
      <c r="AU574" s="324"/>
      <c r="AV574" s="324"/>
      <c r="AW574" s="324"/>
      <c r="AX574" s="324"/>
      <c r="AY574" s="324"/>
      <c r="AZ574" s="154"/>
      <c r="BA574" s="419"/>
      <c r="BB574" s="419"/>
      <c r="BC574" s="419"/>
      <c r="BD574" s="419"/>
      <c r="BE574" s="418"/>
      <c r="BF574" s="154"/>
      <c r="BG574" s="419"/>
      <c r="BH574" s="419"/>
      <c r="BI574" s="419"/>
      <c r="BJ574" s="419"/>
      <c r="BK574" s="418"/>
      <c r="BL574" s="36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432"/>
    </row>
    <row r="575" spans="1:74" s="2" customFormat="1" ht="24.9" customHeight="1">
      <c r="A575" s="147" t="s">
        <v>85</v>
      </c>
      <c r="B575" s="158"/>
      <c r="C575" s="179"/>
      <c r="D575" s="158"/>
      <c r="E575" s="160"/>
      <c r="F575" s="161"/>
      <c r="G575" s="161"/>
      <c r="H575" s="161"/>
      <c r="I575" s="154"/>
      <c r="J575" s="418"/>
      <c r="K575" s="419"/>
      <c r="L575" s="154"/>
      <c r="M575" s="418"/>
      <c r="N575" s="419"/>
      <c r="O575" s="150"/>
      <c r="P575" s="164"/>
      <c r="Q575" s="154"/>
      <c r="R575" s="151"/>
      <c r="S575" s="522"/>
      <c r="T575" s="522"/>
      <c r="U575" s="154"/>
      <c r="V575" s="155"/>
      <c r="W575" s="156"/>
      <c r="X575" s="154"/>
      <c r="Y575" s="155"/>
      <c r="Z575" s="155"/>
      <c r="AA575" s="157"/>
      <c r="AB575" s="217"/>
      <c r="AC575" s="150"/>
      <c r="AD575" s="151"/>
      <c r="AE575" s="152"/>
      <c r="AF575" s="506"/>
      <c r="AG575" s="464"/>
      <c r="AH575" s="150"/>
      <c r="AI575" s="152"/>
      <c r="AJ575" s="150"/>
      <c r="AK575" s="152"/>
      <c r="AL575" s="150"/>
      <c r="AM575" s="152"/>
      <c r="AN575" s="150"/>
      <c r="AO575" s="151"/>
      <c r="AP575" s="151"/>
      <c r="AQ575" s="169"/>
      <c r="AR575" s="169"/>
      <c r="AS575" s="149"/>
      <c r="AT575" s="324"/>
      <c r="AU575" s="324"/>
      <c r="AV575" s="324"/>
      <c r="AW575" s="324"/>
      <c r="AX575" s="324"/>
      <c r="AY575" s="324"/>
      <c r="AZ575" s="154"/>
      <c r="BA575" s="419"/>
      <c r="BB575" s="419"/>
      <c r="BC575" s="419"/>
      <c r="BD575" s="419"/>
      <c r="BE575" s="418"/>
      <c r="BF575" s="154"/>
      <c r="BG575" s="419"/>
      <c r="BH575" s="419"/>
      <c r="BI575" s="419"/>
      <c r="BJ575" s="419"/>
      <c r="BK575" s="418"/>
      <c r="BL575" s="36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432"/>
    </row>
    <row r="576" spans="1:74" s="2" customFormat="1" ht="24.9" customHeight="1">
      <c r="A576" s="147" t="s">
        <v>85</v>
      </c>
      <c r="B576" s="158"/>
      <c r="C576" s="179"/>
      <c r="D576" s="158"/>
      <c r="E576" s="160"/>
      <c r="F576" s="161"/>
      <c r="G576" s="161"/>
      <c r="H576" s="161"/>
      <c r="I576" s="154"/>
      <c r="J576" s="418"/>
      <c r="K576" s="419"/>
      <c r="L576" s="154"/>
      <c r="M576" s="418"/>
      <c r="N576" s="419"/>
      <c r="O576" s="150"/>
      <c r="P576" s="164"/>
      <c r="Q576" s="154"/>
      <c r="R576" s="151"/>
      <c r="S576" s="522"/>
      <c r="T576" s="522"/>
      <c r="U576" s="154"/>
      <c r="V576" s="155"/>
      <c r="W576" s="156"/>
      <c r="X576" s="154"/>
      <c r="Y576" s="155"/>
      <c r="Z576" s="155"/>
      <c r="AA576" s="157"/>
      <c r="AB576" s="217"/>
      <c r="AC576" s="150"/>
      <c r="AD576" s="151"/>
      <c r="AE576" s="152"/>
      <c r="AF576" s="506"/>
      <c r="AG576" s="464"/>
      <c r="AH576" s="150"/>
      <c r="AI576" s="152"/>
      <c r="AJ576" s="150"/>
      <c r="AK576" s="152"/>
      <c r="AL576" s="150"/>
      <c r="AM576" s="152"/>
      <c r="AN576" s="150"/>
      <c r="AO576" s="151"/>
      <c r="AP576" s="151"/>
      <c r="AQ576" s="169"/>
      <c r="AR576" s="169"/>
      <c r="AS576" s="149"/>
      <c r="AT576" s="324"/>
      <c r="AU576" s="324"/>
      <c r="AV576" s="324"/>
      <c r="AW576" s="324"/>
      <c r="AX576" s="324"/>
      <c r="AY576" s="324"/>
      <c r="AZ576" s="154"/>
      <c r="BA576" s="419"/>
      <c r="BB576" s="419"/>
      <c r="BC576" s="419"/>
      <c r="BD576" s="419"/>
      <c r="BE576" s="418"/>
      <c r="BF576" s="154"/>
      <c r="BG576" s="419"/>
      <c r="BH576" s="419"/>
      <c r="BI576" s="419"/>
      <c r="BJ576" s="419"/>
      <c r="BK576" s="418"/>
      <c r="BL576" s="36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432"/>
    </row>
    <row r="577" spans="1:74" s="2" customFormat="1" ht="24.9" customHeight="1">
      <c r="A577" s="147" t="s">
        <v>85</v>
      </c>
      <c r="B577" s="158"/>
      <c r="C577" s="179"/>
      <c r="D577" s="158"/>
      <c r="E577" s="160"/>
      <c r="F577" s="161"/>
      <c r="G577" s="161"/>
      <c r="H577" s="161"/>
      <c r="I577" s="154"/>
      <c r="J577" s="418"/>
      <c r="K577" s="419"/>
      <c r="L577" s="154"/>
      <c r="M577" s="418"/>
      <c r="N577" s="419"/>
      <c r="O577" s="150"/>
      <c r="P577" s="164"/>
      <c r="Q577" s="154"/>
      <c r="R577" s="151"/>
      <c r="S577" s="522"/>
      <c r="T577" s="522"/>
      <c r="U577" s="154"/>
      <c r="V577" s="155"/>
      <c r="W577" s="156"/>
      <c r="X577" s="154"/>
      <c r="Y577" s="155"/>
      <c r="Z577" s="155"/>
      <c r="AA577" s="157"/>
      <c r="AB577" s="217"/>
      <c r="AC577" s="150"/>
      <c r="AD577" s="151"/>
      <c r="AE577" s="152"/>
      <c r="AF577" s="506"/>
      <c r="AG577" s="464"/>
      <c r="AH577" s="150"/>
      <c r="AI577" s="152"/>
      <c r="AJ577" s="150"/>
      <c r="AK577" s="152"/>
      <c r="AL577" s="150"/>
      <c r="AM577" s="152"/>
      <c r="AN577" s="150"/>
      <c r="AO577" s="151"/>
      <c r="AP577" s="151"/>
      <c r="AQ577" s="169"/>
      <c r="AR577" s="169"/>
      <c r="AS577" s="149"/>
      <c r="AT577" s="324"/>
      <c r="AU577" s="324"/>
      <c r="AV577" s="324"/>
      <c r="AW577" s="324"/>
      <c r="AX577" s="324"/>
      <c r="AY577" s="324"/>
      <c r="AZ577" s="154"/>
      <c r="BA577" s="419"/>
      <c r="BB577" s="419"/>
      <c r="BC577" s="419"/>
      <c r="BD577" s="419"/>
      <c r="BE577" s="418"/>
      <c r="BF577" s="154"/>
      <c r="BG577" s="419"/>
      <c r="BH577" s="419"/>
      <c r="BI577" s="419"/>
      <c r="BJ577" s="419"/>
      <c r="BK577" s="418"/>
      <c r="BL577" s="36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432"/>
    </row>
    <row r="578" spans="1:74" s="2" customFormat="1" ht="24.9" customHeight="1">
      <c r="A578" s="147" t="s">
        <v>85</v>
      </c>
      <c r="B578" s="158"/>
      <c r="C578" s="179"/>
      <c r="D578" s="158"/>
      <c r="E578" s="160"/>
      <c r="F578" s="161"/>
      <c r="G578" s="161"/>
      <c r="H578" s="161"/>
      <c r="I578" s="154"/>
      <c r="J578" s="418"/>
      <c r="K578" s="419"/>
      <c r="L578" s="154"/>
      <c r="M578" s="418"/>
      <c r="N578" s="419"/>
      <c r="O578" s="150"/>
      <c r="P578" s="164"/>
      <c r="Q578" s="154"/>
      <c r="R578" s="151"/>
      <c r="S578" s="522"/>
      <c r="T578" s="522"/>
      <c r="U578" s="154"/>
      <c r="V578" s="155"/>
      <c r="W578" s="156"/>
      <c r="X578" s="154"/>
      <c r="Y578" s="155"/>
      <c r="Z578" s="155"/>
      <c r="AA578" s="157"/>
      <c r="AB578" s="217"/>
      <c r="AC578" s="150"/>
      <c r="AD578" s="151"/>
      <c r="AE578" s="152"/>
      <c r="AF578" s="506"/>
      <c r="AG578" s="464"/>
      <c r="AH578" s="150"/>
      <c r="AI578" s="152"/>
      <c r="AJ578" s="150"/>
      <c r="AK578" s="152"/>
      <c r="AL578" s="150"/>
      <c r="AM578" s="152"/>
      <c r="AN578" s="150"/>
      <c r="AO578" s="151"/>
      <c r="AP578" s="151"/>
      <c r="AQ578" s="169"/>
      <c r="AR578" s="169"/>
      <c r="AS578" s="149"/>
      <c r="AT578" s="324"/>
      <c r="AU578" s="324"/>
      <c r="AV578" s="324"/>
      <c r="AW578" s="324"/>
      <c r="AX578" s="324"/>
      <c r="AY578" s="324"/>
      <c r="AZ578" s="154"/>
      <c r="BA578" s="419"/>
      <c r="BB578" s="419"/>
      <c r="BC578" s="419"/>
      <c r="BD578" s="419"/>
      <c r="BE578" s="418"/>
      <c r="BF578" s="154"/>
      <c r="BG578" s="419"/>
      <c r="BH578" s="419"/>
      <c r="BI578" s="419"/>
      <c r="BJ578" s="419"/>
      <c r="BK578" s="418"/>
      <c r="BL578" s="36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432"/>
    </row>
    <row r="579" spans="1:74" s="2" customFormat="1" ht="24.9" customHeight="1">
      <c r="A579" s="147" t="s">
        <v>85</v>
      </c>
      <c r="B579" s="158"/>
      <c r="C579" s="179"/>
      <c r="D579" s="158"/>
      <c r="E579" s="160"/>
      <c r="F579" s="161"/>
      <c r="G579" s="161"/>
      <c r="H579" s="161"/>
      <c r="I579" s="154"/>
      <c r="J579" s="418"/>
      <c r="K579" s="419"/>
      <c r="L579" s="154"/>
      <c r="M579" s="418"/>
      <c r="N579" s="419"/>
      <c r="O579" s="150"/>
      <c r="P579" s="164"/>
      <c r="Q579" s="154"/>
      <c r="R579" s="151"/>
      <c r="S579" s="522"/>
      <c r="T579" s="522"/>
      <c r="U579" s="154"/>
      <c r="V579" s="155"/>
      <c r="W579" s="156"/>
      <c r="X579" s="154"/>
      <c r="Y579" s="155"/>
      <c r="Z579" s="155"/>
      <c r="AA579" s="157"/>
      <c r="AB579" s="217"/>
      <c r="AC579" s="150"/>
      <c r="AD579" s="151"/>
      <c r="AE579" s="152"/>
      <c r="AF579" s="506"/>
      <c r="AG579" s="464"/>
      <c r="AH579" s="150"/>
      <c r="AI579" s="152"/>
      <c r="AJ579" s="150"/>
      <c r="AK579" s="152"/>
      <c r="AL579" s="150"/>
      <c r="AM579" s="152"/>
      <c r="AN579" s="150"/>
      <c r="AO579" s="151"/>
      <c r="AP579" s="151"/>
      <c r="AQ579" s="169"/>
      <c r="AR579" s="169"/>
      <c r="AS579" s="149"/>
      <c r="AT579" s="324"/>
      <c r="AU579" s="324"/>
      <c r="AV579" s="324"/>
      <c r="AW579" s="324"/>
      <c r="AX579" s="324"/>
      <c r="AY579" s="324"/>
      <c r="AZ579" s="154"/>
      <c r="BA579" s="419"/>
      <c r="BB579" s="419"/>
      <c r="BC579" s="419"/>
      <c r="BD579" s="419"/>
      <c r="BE579" s="418"/>
      <c r="BF579" s="154"/>
      <c r="BG579" s="419"/>
      <c r="BH579" s="419"/>
      <c r="BI579" s="419"/>
      <c r="BJ579" s="419"/>
      <c r="BK579" s="418"/>
      <c r="BL579" s="36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432"/>
    </row>
    <row r="580" spans="1:74" s="2" customFormat="1" ht="24.9" customHeight="1">
      <c r="A580" s="147" t="s">
        <v>85</v>
      </c>
      <c r="B580" s="158"/>
      <c r="C580" s="179"/>
      <c r="D580" s="158"/>
      <c r="E580" s="160"/>
      <c r="F580" s="161"/>
      <c r="G580" s="161"/>
      <c r="H580" s="161"/>
      <c r="I580" s="154"/>
      <c r="J580" s="418"/>
      <c r="K580" s="419"/>
      <c r="L580" s="154"/>
      <c r="M580" s="418"/>
      <c r="N580" s="419"/>
      <c r="O580" s="150"/>
      <c r="P580" s="164"/>
      <c r="Q580" s="154"/>
      <c r="R580" s="151"/>
      <c r="S580" s="522"/>
      <c r="T580" s="522"/>
      <c r="U580" s="154"/>
      <c r="V580" s="155"/>
      <c r="W580" s="156"/>
      <c r="X580" s="154"/>
      <c r="Y580" s="155"/>
      <c r="Z580" s="155"/>
      <c r="AA580" s="157"/>
      <c r="AB580" s="217"/>
      <c r="AC580" s="150"/>
      <c r="AD580" s="151"/>
      <c r="AE580" s="152"/>
      <c r="AF580" s="506"/>
      <c r="AG580" s="464"/>
      <c r="AH580" s="150"/>
      <c r="AI580" s="152"/>
      <c r="AJ580" s="150"/>
      <c r="AK580" s="152"/>
      <c r="AL580" s="150"/>
      <c r="AM580" s="152"/>
      <c r="AN580" s="150"/>
      <c r="AO580" s="151"/>
      <c r="AP580" s="151"/>
      <c r="AQ580" s="169"/>
      <c r="AR580" s="169"/>
      <c r="AS580" s="149"/>
      <c r="AT580" s="324"/>
      <c r="AU580" s="324"/>
      <c r="AV580" s="324"/>
      <c r="AW580" s="324"/>
      <c r="AX580" s="324"/>
      <c r="AY580" s="324"/>
      <c r="AZ580" s="154"/>
      <c r="BA580" s="419"/>
      <c r="BB580" s="419"/>
      <c r="BC580" s="419"/>
      <c r="BD580" s="419"/>
      <c r="BE580" s="418"/>
      <c r="BF580" s="154"/>
      <c r="BG580" s="419"/>
      <c r="BH580" s="419"/>
      <c r="BI580" s="419"/>
      <c r="BJ580" s="419"/>
      <c r="BK580" s="418"/>
      <c r="BL580" s="36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432"/>
    </row>
    <row r="581" spans="1:74" s="2" customFormat="1" ht="24.9" customHeight="1">
      <c r="A581" s="147" t="s">
        <v>85</v>
      </c>
      <c r="B581" s="158"/>
      <c r="C581" s="179"/>
      <c r="D581" s="158"/>
      <c r="E581" s="160"/>
      <c r="F581" s="161"/>
      <c r="G581" s="161"/>
      <c r="H581" s="161"/>
      <c r="I581" s="154"/>
      <c r="J581" s="418"/>
      <c r="K581" s="419"/>
      <c r="L581" s="154"/>
      <c r="M581" s="418"/>
      <c r="N581" s="419"/>
      <c r="O581" s="150"/>
      <c r="P581" s="164"/>
      <c r="Q581" s="154"/>
      <c r="R581" s="151"/>
      <c r="S581" s="522"/>
      <c r="T581" s="522"/>
      <c r="U581" s="154"/>
      <c r="V581" s="155"/>
      <c r="W581" s="156"/>
      <c r="X581" s="154"/>
      <c r="Y581" s="155"/>
      <c r="Z581" s="155"/>
      <c r="AA581" s="157"/>
      <c r="AB581" s="217"/>
      <c r="AC581" s="150"/>
      <c r="AD581" s="151"/>
      <c r="AE581" s="152"/>
      <c r="AF581" s="506"/>
      <c r="AG581" s="464"/>
      <c r="AH581" s="150"/>
      <c r="AI581" s="152"/>
      <c r="AJ581" s="150"/>
      <c r="AK581" s="152"/>
      <c r="AL581" s="150"/>
      <c r="AM581" s="152"/>
      <c r="AN581" s="150"/>
      <c r="AO581" s="151"/>
      <c r="AP581" s="151"/>
      <c r="AQ581" s="169"/>
      <c r="AR581" s="169"/>
      <c r="AS581" s="149"/>
      <c r="AT581" s="324"/>
      <c r="AU581" s="324"/>
      <c r="AV581" s="324"/>
      <c r="AW581" s="324"/>
      <c r="AX581" s="324"/>
      <c r="AY581" s="324"/>
      <c r="AZ581" s="154"/>
      <c r="BA581" s="419"/>
      <c r="BB581" s="419"/>
      <c r="BC581" s="419"/>
      <c r="BD581" s="419"/>
      <c r="BE581" s="418"/>
      <c r="BF581" s="154"/>
      <c r="BG581" s="419"/>
      <c r="BH581" s="419"/>
      <c r="BI581" s="419"/>
      <c r="BJ581" s="419"/>
      <c r="BK581" s="418"/>
      <c r="BL581" s="36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432"/>
    </row>
    <row r="582" spans="1:74" s="2" customFormat="1" ht="24.9" customHeight="1">
      <c r="A582" s="147" t="s">
        <v>85</v>
      </c>
      <c r="B582" s="158"/>
      <c r="C582" s="179"/>
      <c r="D582" s="158"/>
      <c r="E582" s="160"/>
      <c r="F582" s="161"/>
      <c r="G582" s="161"/>
      <c r="H582" s="161"/>
      <c r="I582" s="154"/>
      <c r="J582" s="418"/>
      <c r="K582" s="419"/>
      <c r="L582" s="154"/>
      <c r="M582" s="418"/>
      <c r="N582" s="419"/>
      <c r="O582" s="150"/>
      <c r="P582" s="164"/>
      <c r="Q582" s="154"/>
      <c r="R582" s="151"/>
      <c r="S582" s="522"/>
      <c r="T582" s="522"/>
      <c r="U582" s="154"/>
      <c r="V582" s="155"/>
      <c r="W582" s="156"/>
      <c r="X582" s="154"/>
      <c r="Y582" s="155"/>
      <c r="Z582" s="155"/>
      <c r="AA582" s="157"/>
      <c r="AB582" s="217"/>
      <c r="AC582" s="150"/>
      <c r="AD582" s="151"/>
      <c r="AE582" s="152"/>
      <c r="AF582" s="506"/>
      <c r="AG582" s="463"/>
      <c r="AH582" s="150"/>
      <c r="AI582" s="152"/>
      <c r="AJ582" s="150"/>
      <c r="AK582" s="152"/>
      <c r="AL582" s="150"/>
      <c r="AM582" s="152"/>
      <c r="AN582" s="150"/>
      <c r="AO582" s="151"/>
      <c r="AP582" s="151"/>
      <c r="AQ582" s="169"/>
      <c r="AR582" s="169"/>
      <c r="AS582" s="149"/>
      <c r="AT582" s="324"/>
      <c r="AU582" s="324"/>
      <c r="AV582" s="324"/>
      <c r="AW582" s="324"/>
      <c r="AX582" s="324"/>
      <c r="AY582" s="324"/>
      <c r="AZ582" s="154"/>
      <c r="BA582" s="419"/>
      <c r="BB582" s="419"/>
      <c r="BC582" s="419"/>
      <c r="BD582" s="419"/>
      <c r="BE582" s="418"/>
      <c r="BF582" s="154"/>
      <c r="BG582" s="419"/>
      <c r="BH582" s="419"/>
      <c r="BI582" s="419"/>
      <c r="BJ582" s="419"/>
      <c r="BK582" s="418"/>
      <c r="BL582" s="36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432"/>
    </row>
    <row r="583" spans="1:74" s="2" customFormat="1" ht="24.9" customHeight="1">
      <c r="A583" s="147" t="s">
        <v>85</v>
      </c>
      <c r="B583" s="158"/>
      <c r="C583" s="179"/>
      <c r="D583" s="158"/>
      <c r="E583" s="160"/>
      <c r="F583" s="161"/>
      <c r="G583" s="161"/>
      <c r="H583" s="161"/>
      <c r="I583" s="154"/>
      <c r="J583" s="418"/>
      <c r="K583" s="419"/>
      <c r="L583" s="154"/>
      <c r="M583" s="418"/>
      <c r="N583" s="419"/>
      <c r="O583" s="150"/>
      <c r="P583" s="164"/>
      <c r="Q583" s="154"/>
      <c r="R583" s="151"/>
      <c r="S583" s="522"/>
      <c r="T583" s="522"/>
      <c r="U583" s="154"/>
      <c r="V583" s="155"/>
      <c r="W583" s="156"/>
      <c r="X583" s="154"/>
      <c r="Y583" s="155"/>
      <c r="Z583" s="155"/>
      <c r="AA583" s="157"/>
      <c r="AB583" s="217"/>
      <c r="AC583" s="150"/>
      <c r="AD583" s="151"/>
      <c r="AE583" s="152"/>
      <c r="AF583" s="506"/>
      <c r="AG583" s="464"/>
      <c r="AH583" s="150"/>
      <c r="AI583" s="152"/>
      <c r="AJ583" s="150"/>
      <c r="AK583" s="152"/>
      <c r="AL583" s="150"/>
      <c r="AM583" s="152"/>
      <c r="AN583" s="150"/>
      <c r="AO583" s="151"/>
      <c r="AP583" s="151"/>
      <c r="AQ583" s="169"/>
      <c r="AR583" s="169"/>
      <c r="AS583" s="149"/>
      <c r="AT583" s="324"/>
      <c r="AU583" s="324"/>
      <c r="AV583" s="324"/>
      <c r="AW583" s="324"/>
      <c r="AX583" s="324"/>
      <c r="AY583" s="324"/>
      <c r="AZ583" s="154"/>
      <c r="BA583" s="419"/>
      <c r="BB583" s="419"/>
      <c r="BC583" s="419"/>
      <c r="BD583" s="419"/>
      <c r="BE583" s="418"/>
      <c r="BF583" s="154"/>
      <c r="BG583" s="419"/>
      <c r="BH583" s="419"/>
      <c r="BI583" s="419"/>
      <c r="BJ583" s="419"/>
      <c r="BK583" s="418"/>
      <c r="BL583" s="36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432"/>
    </row>
    <row r="584" spans="1:74" s="2" customFormat="1" ht="24.9" customHeight="1">
      <c r="A584" s="147" t="s">
        <v>85</v>
      </c>
      <c r="B584" s="158"/>
      <c r="C584" s="179"/>
      <c r="D584" s="158"/>
      <c r="E584" s="160"/>
      <c r="F584" s="161"/>
      <c r="G584" s="161"/>
      <c r="H584" s="161"/>
      <c r="I584" s="154"/>
      <c r="J584" s="418"/>
      <c r="K584" s="419"/>
      <c r="L584" s="154"/>
      <c r="M584" s="418"/>
      <c r="N584" s="419"/>
      <c r="O584" s="150"/>
      <c r="P584" s="164"/>
      <c r="Q584" s="154"/>
      <c r="R584" s="151"/>
      <c r="S584" s="522"/>
      <c r="T584" s="522"/>
      <c r="U584" s="154"/>
      <c r="V584" s="155"/>
      <c r="W584" s="156"/>
      <c r="X584" s="154"/>
      <c r="Y584" s="155"/>
      <c r="Z584" s="155"/>
      <c r="AA584" s="157"/>
      <c r="AB584" s="217"/>
      <c r="AC584" s="150"/>
      <c r="AD584" s="151"/>
      <c r="AE584" s="152"/>
      <c r="AF584" s="506"/>
      <c r="AG584" s="464"/>
      <c r="AH584" s="150"/>
      <c r="AI584" s="152"/>
      <c r="AJ584" s="150"/>
      <c r="AK584" s="152"/>
      <c r="AL584" s="150"/>
      <c r="AM584" s="152"/>
      <c r="AN584" s="150"/>
      <c r="AO584" s="151"/>
      <c r="AP584" s="151"/>
      <c r="AQ584" s="169"/>
      <c r="AR584" s="169"/>
      <c r="AS584" s="149"/>
      <c r="AT584" s="324"/>
      <c r="AU584" s="324"/>
      <c r="AV584" s="324"/>
      <c r="AW584" s="324"/>
      <c r="AX584" s="324"/>
      <c r="AY584" s="324"/>
      <c r="AZ584" s="154"/>
      <c r="BA584" s="419"/>
      <c r="BB584" s="419"/>
      <c r="BC584" s="419"/>
      <c r="BD584" s="419"/>
      <c r="BE584" s="418"/>
      <c r="BF584" s="154"/>
      <c r="BG584" s="419"/>
      <c r="BH584" s="419"/>
      <c r="BI584" s="419"/>
      <c r="BJ584" s="419"/>
      <c r="BK584" s="418"/>
      <c r="BL584" s="36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432"/>
    </row>
    <row r="585" spans="1:74" s="2" customFormat="1" ht="24.9" customHeight="1">
      <c r="A585" s="147" t="s">
        <v>85</v>
      </c>
      <c r="B585" s="158"/>
      <c r="C585" s="179"/>
      <c r="D585" s="158"/>
      <c r="E585" s="160"/>
      <c r="F585" s="161"/>
      <c r="G585" s="161"/>
      <c r="H585" s="161"/>
      <c r="I585" s="154"/>
      <c r="J585" s="418"/>
      <c r="K585" s="419"/>
      <c r="L585" s="154"/>
      <c r="M585" s="418"/>
      <c r="N585" s="419"/>
      <c r="O585" s="150"/>
      <c r="P585" s="164"/>
      <c r="Q585" s="154"/>
      <c r="R585" s="151"/>
      <c r="S585" s="522"/>
      <c r="T585" s="522"/>
      <c r="U585" s="154"/>
      <c r="V585" s="155"/>
      <c r="W585" s="156"/>
      <c r="X585" s="154"/>
      <c r="Y585" s="155"/>
      <c r="Z585" s="155"/>
      <c r="AA585" s="157"/>
      <c r="AB585" s="217"/>
      <c r="AC585" s="150"/>
      <c r="AD585" s="151"/>
      <c r="AE585" s="152"/>
      <c r="AF585" s="506"/>
      <c r="AG585" s="464"/>
      <c r="AH585" s="150"/>
      <c r="AI585" s="152"/>
      <c r="AJ585" s="150"/>
      <c r="AK585" s="152"/>
      <c r="AL585" s="150"/>
      <c r="AM585" s="152"/>
      <c r="AN585" s="150"/>
      <c r="AO585" s="151"/>
      <c r="AP585" s="151"/>
      <c r="AQ585" s="169"/>
      <c r="AR585" s="169"/>
      <c r="AS585" s="149"/>
      <c r="AT585" s="324"/>
      <c r="AU585" s="324"/>
      <c r="AV585" s="324"/>
      <c r="AW585" s="324"/>
      <c r="AX585" s="324"/>
      <c r="AY585" s="324"/>
      <c r="AZ585" s="154"/>
      <c r="BA585" s="419"/>
      <c r="BB585" s="419"/>
      <c r="BC585" s="419"/>
      <c r="BD585" s="419"/>
      <c r="BE585" s="418"/>
      <c r="BF585" s="154"/>
      <c r="BG585" s="419"/>
      <c r="BH585" s="419"/>
      <c r="BI585" s="419"/>
      <c r="BJ585" s="419"/>
      <c r="BK585" s="418"/>
      <c r="BL585" s="36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432"/>
    </row>
    <row r="586" spans="1:74" s="2" customFormat="1" ht="24.9" customHeight="1">
      <c r="A586" s="147" t="s">
        <v>85</v>
      </c>
      <c r="B586" s="158"/>
      <c r="C586" s="179"/>
      <c r="D586" s="158"/>
      <c r="E586" s="160"/>
      <c r="F586" s="161"/>
      <c r="G586" s="161"/>
      <c r="H586" s="161"/>
      <c r="I586" s="154"/>
      <c r="J586" s="418"/>
      <c r="K586" s="419"/>
      <c r="L586" s="154"/>
      <c r="M586" s="418"/>
      <c r="N586" s="419"/>
      <c r="O586" s="150"/>
      <c r="P586" s="164"/>
      <c r="Q586" s="154"/>
      <c r="R586" s="151"/>
      <c r="S586" s="522"/>
      <c r="T586" s="522"/>
      <c r="U586" s="154"/>
      <c r="V586" s="155"/>
      <c r="W586" s="156"/>
      <c r="X586" s="154"/>
      <c r="Y586" s="155"/>
      <c r="Z586" s="155"/>
      <c r="AA586" s="157"/>
      <c r="AB586" s="217"/>
      <c r="AC586" s="150"/>
      <c r="AD586" s="151"/>
      <c r="AE586" s="152"/>
      <c r="AF586" s="506"/>
      <c r="AG586" s="464"/>
      <c r="AH586" s="150"/>
      <c r="AI586" s="152"/>
      <c r="AJ586" s="150"/>
      <c r="AK586" s="152"/>
      <c r="AL586" s="150"/>
      <c r="AM586" s="152"/>
      <c r="AN586" s="150"/>
      <c r="AO586" s="151"/>
      <c r="AP586" s="151"/>
      <c r="AQ586" s="169"/>
      <c r="AR586" s="169"/>
      <c r="AS586" s="149"/>
      <c r="AT586" s="324"/>
      <c r="AU586" s="324"/>
      <c r="AV586" s="324"/>
      <c r="AW586" s="324"/>
      <c r="AX586" s="324"/>
      <c r="AY586" s="324"/>
      <c r="AZ586" s="154"/>
      <c r="BA586" s="419"/>
      <c r="BB586" s="419"/>
      <c r="BC586" s="419"/>
      <c r="BD586" s="419"/>
      <c r="BE586" s="418"/>
      <c r="BF586" s="154"/>
      <c r="BG586" s="419"/>
      <c r="BH586" s="419"/>
      <c r="BI586" s="419"/>
      <c r="BJ586" s="419"/>
      <c r="BK586" s="418"/>
      <c r="BL586" s="36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432"/>
    </row>
    <row r="587" spans="1:74" s="2" customFormat="1" ht="24.9" customHeight="1">
      <c r="A587" s="147" t="s">
        <v>85</v>
      </c>
      <c r="B587" s="158"/>
      <c r="C587" s="179"/>
      <c r="D587" s="158"/>
      <c r="E587" s="160"/>
      <c r="F587" s="161"/>
      <c r="G587" s="161"/>
      <c r="H587" s="161"/>
      <c r="I587" s="154"/>
      <c r="J587" s="418"/>
      <c r="K587" s="419"/>
      <c r="L587" s="154"/>
      <c r="M587" s="418"/>
      <c r="N587" s="419"/>
      <c r="O587" s="150"/>
      <c r="P587" s="164"/>
      <c r="Q587" s="154"/>
      <c r="R587" s="151"/>
      <c r="S587" s="522"/>
      <c r="T587" s="522"/>
      <c r="U587" s="154"/>
      <c r="V587" s="155"/>
      <c r="W587" s="156"/>
      <c r="X587" s="154"/>
      <c r="Y587" s="155"/>
      <c r="Z587" s="155"/>
      <c r="AA587" s="157"/>
      <c r="AB587" s="217"/>
      <c r="AC587" s="150"/>
      <c r="AD587" s="151"/>
      <c r="AE587" s="152"/>
      <c r="AF587" s="506"/>
      <c r="AG587" s="464"/>
      <c r="AH587" s="150"/>
      <c r="AI587" s="152"/>
      <c r="AJ587" s="150"/>
      <c r="AK587" s="152"/>
      <c r="AL587" s="150"/>
      <c r="AM587" s="152"/>
      <c r="AN587" s="150"/>
      <c r="AO587" s="151"/>
      <c r="AP587" s="151"/>
      <c r="AQ587" s="169"/>
      <c r="AR587" s="169"/>
      <c r="AS587" s="149"/>
      <c r="AT587" s="324"/>
      <c r="AU587" s="324"/>
      <c r="AV587" s="324"/>
      <c r="AW587" s="324"/>
      <c r="AX587" s="324"/>
      <c r="AY587" s="324"/>
      <c r="AZ587" s="154"/>
      <c r="BA587" s="419"/>
      <c r="BB587" s="419"/>
      <c r="BC587" s="419"/>
      <c r="BD587" s="419"/>
      <c r="BE587" s="418"/>
      <c r="BF587" s="154"/>
      <c r="BG587" s="419"/>
      <c r="BH587" s="419"/>
      <c r="BI587" s="419"/>
      <c r="BJ587" s="419"/>
      <c r="BK587" s="418"/>
      <c r="BL587" s="36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432"/>
    </row>
    <row r="588" spans="1:74" s="2" customFormat="1" ht="24.9" customHeight="1">
      <c r="A588" s="147" t="s">
        <v>85</v>
      </c>
      <c r="B588" s="158"/>
      <c r="C588" s="179"/>
      <c r="D588" s="158"/>
      <c r="E588" s="160"/>
      <c r="F588" s="161"/>
      <c r="G588" s="161"/>
      <c r="H588" s="161"/>
      <c r="I588" s="154"/>
      <c r="J588" s="418"/>
      <c r="K588" s="419"/>
      <c r="L588" s="154"/>
      <c r="M588" s="418"/>
      <c r="N588" s="419"/>
      <c r="O588" s="150"/>
      <c r="P588" s="164"/>
      <c r="Q588" s="154"/>
      <c r="R588" s="151"/>
      <c r="S588" s="522"/>
      <c r="T588" s="522"/>
      <c r="U588" s="154"/>
      <c r="V588" s="155"/>
      <c r="W588" s="156"/>
      <c r="X588" s="154"/>
      <c r="Y588" s="155"/>
      <c r="Z588" s="155"/>
      <c r="AA588" s="157"/>
      <c r="AB588" s="217"/>
      <c r="AC588" s="150"/>
      <c r="AD588" s="151"/>
      <c r="AE588" s="152"/>
      <c r="AF588" s="506"/>
      <c r="AG588" s="464"/>
      <c r="AH588" s="150"/>
      <c r="AI588" s="152"/>
      <c r="AJ588" s="150"/>
      <c r="AK588" s="152"/>
      <c r="AL588" s="150"/>
      <c r="AM588" s="152"/>
      <c r="AN588" s="150"/>
      <c r="AO588" s="151"/>
      <c r="AP588" s="151"/>
      <c r="AQ588" s="169"/>
      <c r="AR588" s="169"/>
      <c r="AS588" s="149"/>
      <c r="AT588" s="324"/>
      <c r="AU588" s="324"/>
      <c r="AV588" s="324"/>
      <c r="AW588" s="324"/>
      <c r="AX588" s="324"/>
      <c r="AY588" s="324"/>
      <c r="AZ588" s="154"/>
      <c r="BA588" s="419"/>
      <c r="BB588" s="419"/>
      <c r="BC588" s="419"/>
      <c r="BD588" s="419"/>
      <c r="BE588" s="418"/>
      <c r="BF588" s="154"/>
      <c r="BG588" s="419"/>
      <c r="BH588" s="419"/>
      <c r="BI588" s="419"/>
      <c r="BJ588" s="419"/>
      <c r="BK588" s="418"/>
      <c r="BL588" s="36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432"/>
    </row>
    <row r="589" spans="1:74" s="2" customFormat="1" ht="24.9" customHeight="1">
      <c r="A589" s="147" t="s">
        <v>85</v>
      </c>
      <c r="B589" s="158"/>
      <c r="C589" s="179"/>
      <c r="D589" s="158"/>
      <c r="E589" s="160"/>
      <c r="F589" s="161"/>
      <c r="G589" s="161"/>
      <c r="H589" s="161"/>
      <c r="I589" s="154"/>
      <c r="J589" s="418"/>
      <c r="K589" s="419"/>
      <c r="L589" s="154"/>
      <c r="M589" s="418"/>
      <c r="N589" s="419"/>
      <c r="O589" s="150"/>
      <c r="P589" s="164"/>
      <c r="Q589" s="154"/>
      <c r="R589" s="151"/>
      <c r="S589" s="522"/>
      <c r="T589" s="522"/>
      <c r="U589" s="154"/>
      <c r="V589" s="155"/>
      <c r="W589" s="156"/>
      <c r="X589" s="154"/>
      <c r="Y589" s="155"/>
      <c r="Z589" s="155"/>
      <c r="AA589" s="157"/>
      <c r="AB589" s="217"/>
      <c r="AC589" s="150"/>
      <c r="AD589" s="151"/>
      <c r="AE589" s="152"/>
      <c r="AF589" s="506"/>
      <c r="AG589" s="464"/>
      <c r="AH589" s="150"/>
      <c r="AI589" s="152"/>
      <c r="AJ589" s="150"/>
      <c r="AK589" s="152"/>
      <c r="AL589" s="150"/>
      <c r="AM589" s="152"/>
      <c r="AN589" s="150"/>
      <c r="AO589" s="151"/>
      <c r="AP589" s="151"/>
      <c r="AQ589" s="169"/>
      <c r="AR589" s="169"/>
      <c r="AS589" s="149"/>
      <c r="AT589" s="324"/>
      <c r="AU589" s="324"/>
      <c r="AV589" s="324"/>
      <c r="AW589" s="324"/>
      <c r="AX589" s="324"/>
      <c r="AY589" s="324"/>
      <c r="AZ589" s="154"/>
      <c r="BA589" s="419"/>
      <c r="BB589" s="419"/>
      <c r="BC589" s="419"/>
      <c r="BD589" s="419"/>
      <c r="BE589" s="418"/>
      <c r="BF589" s="154"/>
      <c r="BG589" s="419"/>
      <c r="BH589" s="419"/>
      <c r="BI589" s="419"/>
      <c r="BJ589" s="419"/>
      <c r="BK589" s="418"/>
      <c r="BL589" s="36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432"/>
    </row>
    <row r="590" spans="1:74" s="2" customFormat="1" ht="24.9" customHeight="1">
      <c r="A590" s="147" t="s">
        <v>85</v>
      </c>
      <c r="B590" s="158"/>
      <c r="C590" s="179"/>
      <c r="D590" s="158"/>
      <c r="E590" s="160"/>
      <c r="F590" s="161"/>
      <c r="G590" s="161"/>
      <c r="H590" s="161"/>
      <c r="I590" s="154"/>
      <c r="J590" s="418"/>
      <c r="K590" s="419"/>
      <c r="L590" s="154"/>
      <c r="M590" s="418"/>
      <c r="N590" s="419"/>
      <c r="O590" s="150"/>
      <c r="P590" s="164"/>
      <c r="Q590" s="154"/>
      <c r="R590" s="151"/>
      <c r="S590" s="522"/>
      <c r="T590" s="522"/>
      <c r="U590" s="154"/>
      <c r="V590" s="155"/>
      <c r="W590" s="156"/>
      <c r="X590" s="154"/>
      <c r="Y590" s="155"/>
      <c r="Z590" s="155"/>
      <c r="AA590" s="157"/>
      <c r="AB590" s="217"/>
      <c r="AC590" s="150"/>
      <c r="AD590" s="151"/>
      <c r="AE590" s="152"/>
      <c r="AF590" s="506"/>
      <c r="AG590" s="466"/>
      <c r="AH590" s="150"/>
      <c r="AI590" s="152"/>
      <c r="AJ590" s="150"/>
      <c r="AK590" s="152"/>
      <c r="AL590" s="150"/>
      <c r="AM590" s="152"/>
      <c r="AN590" s="150"/>
      <c r="AO590" s="151"/>
      <c r="AP590" s="151"/>
      <c r="AQ590" s="169"/>
      <c r="AR590" s="169"/>
      <c r="AS590" s="149"/>
      <c r="AT590" s="324"/>
      <c r="AU590" s="324"/>
      <c r="AV590" s="324"/>
      <c r="AW590" s="324"/>
      <c r="AX590" s="324"/>
      <c r="AY590" s="324"/>
      <c r="AZ590" s="154"/>
      <c r="BA590" s="419"/>
      <c r="BB590" s="419"/>
      <c r="BC590" s="419"/>
      <c r="BD590" s="419"/>
      <c r="BE590" s="418"/>
      <c r="BF590" s="154"/>
      <c r="BG590" s="419"/>
      <c r="BH590" s="419"/>
      <c r="BI590" s="419"/>
      <c r="BJ590" s="419"/>
      <c r="BK590" s="418"/>
      <c r="BL590" s="36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432"/>
    </row>
    <row r="591" spans="1:74" s="2" customFormat="1" ht="24.9" customHeight="1">
      <c r="A591" s="147" t="s">
        <v>85</v>
      </c>
      <c r="B591" s="158"/>
      <c r="C591" s="179"/>
      <c r="D591" s="158"/>
      <c r="E591" s="160"/>
      <c r="F591" s="161"/>
      <c r="G591" s="161"/>
      <c r="H591" s="161"/>
      <c r="I591" s="154"/>
      <c r="J591" s="418"/>
      <c r="K591" s="419"/>
      <c r="L591" s="154"/>
      <c r="M591" s="418"/>
      <c r="N591" s="419"/>
      <c r="O591" s="150"/>
      <c r="P591" s="164"/>
      <c r="Q591" s="154"/>
      <c r="R591" s="151"/>
      <c r="S591" s="522"/>
      <c r="T591" s="522"/>
      <c r="U591" s="154"/>
      <c r="V591" s="155"/>
      <c r="W591" s="156"/>
      <c r="X591" s="154"/>
      <c r="Y591" s="155"/>
      <c r="Z591" s="155"/>
      <c r="AA591" s="157"/>
      <c r="AB591" s="217"/>
      <c r="AC591" s="150"/>
      <c r="AD591" s="151"/>
      <c r="AE591" s="152"/>
      <c r="AF591" s="506"/>
      <c r="AG591" s="464"/>
      <c r="AH591" s="150"/>
      <c r="AI591" s="152"/>
      <c r="AJ591" s="150"/>
      <c r="AK591" s="152"/>
      <c r="AL591" s="150"/>
      <c r="AM591" s="152"/>
      <c r="AN591" s="150"/>
      <c r="AO591" s="151"/>
      <c r="AP591" s="151"/>
      <c r="AQ591" s="169"/>
      <c r="AR591" s="169"/>
      <c r="AS591" s="149"/>
      <c r="AT591" s="324"/>
      <c r="AU591" s="324"/>
      <c r="AV591" s="324"/>
      <c r="AW591" s="324"/>
      <c r="AX591" s="324"/>
      <c r="AY591" s="324"/>
      <c r="AZ591" s="154"/>
      <c r="BA591" s="419"/>
      <c r="BB591" s="419"/>
      <c r="BC591" s="419"/>
      <c r="BD591" s="419"/>
      <c r="BE591" s="418"/>
      <c r="BF591" s="154"/>
      <c r="BG591" s="419"/>
      <c r="BH591" s="419"/>
      <c r="BI591" s="419"/>
      <c r="BJ591" s="419"/>
      <c r="BK591" s="418"/>
      <c r="BL591" s="36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432"/>
    </row>
    <row r="592" spans="1:74" s="2" customFormat="1" ht="24.9" customHeight="1">
      <c r="A592" s="147" t="s">
        <v>85</v>
      </c>
      <c r="B592" s="158"/>
      <c r="C592" s="179"/>
      <c r="D592" s="158"/>
      <c r="E592" s="160"/>
      <c r="F592" s="161"/>
      <c r="G592" s="161"/>
      <c r="H592" s="161"/>
      <c r="I592" s="154"/>
      <c r="J592" s="418"/>
      <c r="K592" s="419"/>
      <c r="L592" s="154"/>
      <c r="M592" s="418"/>
      <c r="N592" s="419"/>
      <c r="O592" s="150"/>
      <c r="P592" s="164"/>
      <c r="Q592" s="154"/>
      <c r="R592" s="174"/>
      <c r="S592" s="523"/>
      <c r="T592" s="523"/>
      <c r="U592" s="154"/>
      <c r="V592" s="155"/>
      <c r="W592" s="156"/>
      <c r="X592" s="154"/>
      <c r="Y592" s="155"/>
      <c r="Z592" s="155"/>
      <c r="AA592" s="157"/>
      <c r="AB592" s="217"/>
      <c r="AC592" s="150"/>
      <c r="AD592" s="151"/>
      <c r="AE592" s="152"/>
      <c r="AF592" s="506"/>
      <c r="AG592" s="463"/>
      <c r="AH592" s="150"/>
      <c r="AI592" s="152"/>
      <c r="AJ592" s="150"/>
      <c r="AK592" s="152"/>
      <c r="AL592" s="150"/>
      <c r="AM592" s="152"/>
      <c r="AN592" s="150"/>
      <c r="AO592" s="151"/>
      <c r="AP592" s="151"/>
      <c r="AQ592" s="169"/>
      <c r="AR592" s="169"/>
      <c r="AS592" s="149"/>
      <c r="AT592" s="324"/>
      <c r="AU592" s="324"/>
      <c r="AV592" s="324"/>
      <c r="AW592" s="324"/>
      <c r="AX592" s="324"/>
      <c r="AY592" s="324"/>
      <c r="AZ592" s="154"/>
      <c r="BA592" s="419"/>
      <c r="BB592" s="419"/>
      <c r="BC592" s="419"/>
      <c r="BD592" s="419"/>
      <c r="BE592" s="418"/>
      <c r="BF592" s="154"/>
      <c r="BG592" s="419"/>
      <c r="BH592" s="419"/>
      <c r="BI592" s="419"/>
      <c r="BJ592" s="419"/>
      <c r="BK592" s="418"/>
      <c r="BL592" s="36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561"/>
    </row>
    <row r="593" spans="1:74" s="2" customFormat="1" ht="24.9" customHeight="1">
      <c r="A593" s="147" t="s">
        <v>85</v>
      </c>
      <c r="B593" s="158"/>
      <c r="C593" s="179"/>
      <c r="D593" s="158"/>
      <c r="E593" s="160"/>
      <c r="F593" s="161"/>
      <c r="G593" s="161"/>
      <c r="H593" s="161"/>
      <c r="I593" s="154"/>
      <c r="J593" s="418"/>
      <c r="K593" s="419"/>
      <c r="L593" s="154"/>
      <c r="M593" s="418"/>
      <c r="N593" s="419"/>
      <c r="O593" s="150"/>
      <c r="P593" s="164"/>
      <c r="Q593" s="154"/>
      <c r="R593" s="174"/>
      <c r="S593" s="523"/>
      <c r="T593" s="523"/>
      <c r="U593" s="154"/>
      <c r="V593" s="155"/>
      <c r="W593" s="156"/>
      <c r="X593" s="154"/>
      <c r="Y593" s="155"/>
      <c r="Z593" s="155"/>
      <c r="AA593" s="157"/>
      <c r="AB593" s="217"/>
      <c r="AC593" s="150"/>
      <c r="AD593" s="151"/>
      <c r="AE593" s="152"/>
      <c r="AF593" s="506"/>
      <c r="AG593" s="463"/>
      <c r="AH593" s="150"/>
      <c r="AI593" s="152"/>
      <c r="AJ593" s="150"/>
      <c r="AK593" s="152"/>
      <c r="AL593" s="150"/>
      <c r="AM593" s="152"/>
      <c r="AN593" s="150"/>
      <c r="AO593" s="151"/>
      <c r="AP593" s="151"/>
      <c r="AQ593" s="169"/>
      <c r="AR593" s="169"/>
      <c r="AS593" s="149"/>
      <c r="AT593" s="324"/>
      <c r="AU593" s="324"/>
      <c r="AV593" s="324"/>
      <c r="AW593" s="324"/>
      <c r="AX593" s="324"/>
      <c r="AY593" s="324"/>
      <c r="AZ593" s="154"/>
      <c r="BA593" s="419"/>
      <c r="BB593" s="419"/>
      <c r="BC593" s="419"/>
      <c r="BD593" s="419"/>
      <c r="BE593" s="418"/>
      <c r="BF593" s="154"/>
      <c r="BG593" s="419"/>
      <c r="BH593" s="419"/>
      <c r="BI593" s="419"/>
      <c r="BJ593" s="419"/>
      <c r="BK593" s="418"/>
      <c r="BL593" s="36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431"/>
    </row>
    <row r="594" spans="1:74" s="2" customFormat="1" ht="24.9" customHeight="1">
      <c r="A594" s="147" t="s">
        <v>85</v>
      </c>
      <c r="B594" s="158"/>
      <c r="C594" s="179"/>
      <c r="D594" s="158"/>
      <c r="E594" s="160"/>
      <c r="F594" s="161"/>
      <c r="G594" s="161"/>
      <c r="H594" s="161"/>
      <c r="I594" s="154"/>
      <c r="J594" s="418"/>
      <c r="K594" s="419"/>
      <c r="L594" s="154"/>
      <c r="M594" s="418"/>
      <c r="N594" s="419"/>
      <c r="O594" s="150"/>
      <c r="P594" s="164"/>
      <c r="Q594" s="154"/>
      <c r="R594" s="174"/>
      <c r="S594" s="523"/>
      <c r="T594" s="523"/>
      <c r="U594" s="154"/>
      <c r="V594" s="155"/>
      <c r="W594" s="156"/>
      <c r="X594" s="154"/>
      <c r="Y594" s="155"/>
      <c r="Z594" s="155"/>
      <c r="AA594" s="157"/>
      <c r="AB594" s="217"/>
      <c r="AC594" s="150"/>
      <c r="AD594" s="151"/>
      <c r="AE594" s="152"/>
      <c r="AF594" s="506"/>
      <c r="AG594" s="463"/>
      <c r="AH594" s="150"/>
      <c r="AI594" s="152"/>
      <c r="AJ594" s="150"/>
      <c r="AK594" s="152"/>
      <c r="AL594" s="150"/>
      <c r="AM594" s="152"/>
      <c r="AN594" s="150"/>
      <c r="AO594" s="151"/>
      <c r="AP594" s="151"/>
      <c r="AQ594" s="169"/>
      <c r="AR594" s="169"/>
      <c r="AS594" s="149"/>
      <c r="AT594" s="324"/>
      <c r="AU594" s="324"/>
      <c r="AV594" s="324"/>
      <c r="AW594" s="324"/>
      <c r="AX594" s="324"/>
      <c r="AY594" s="324"/>
      <c r="AZ594" s="154"/>
      <c r="BA594" s="419"/>
      <c r="BB594" s="419"/>
      <c r="BC594" s="419"/>
      <c r="BD594" s="419"/>
      <c r="BE594" s="418"/>
      <c r="BF594" s="154"/>
      <c r="BG594" s="419"/>
      <c r="BH594" s="419"/>
      <c r="BI594" s="419"/>
      <c r="BJ594" s="419"/>
      <c r="BK594" s="418"/>
      <c r="BL594" s="36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561"/>
    </row>
    <row r="595" spans="1:74" s="2" customFormat="1" ht="24.9" customHeight="1">
      <c r="A595" s="147" t="s">
        <v>85</v>
      </c>
      <c r="B595" s="158"/>
      <c r="C595" s="179"/>
      <c r="D595" s="158"/>
      <c r="E595" s="160"/>
      <c r="F595" s="161"/>
      <c r="G595" s="161"/>
      <c r="H595" s="161"/>
      <c r="I595" s="154"/>
      <c r="J595" s="418"/>
      <c r="K595" s="419"/>
      <c r="L595" s="154"/>
      <c r="M595" s="418"/>
      <c r="N595" s="419"/>
      <c r="O595" s="150"/>
      <c r="P595" s="164"/>
      <c r="Q595" s="154"/>
      <c r="R595" s="174"/>
      <c r="S595" s="523"/>
      <c r="T595" s="523"/>
      <c r="U595" s="154"/>
      <c r="V595" s="155"/>
      <c r="W595" s="156"/>
      <c r="X595" s="154"/>
      <c r="Y595" s="155"/>
      <c r="Z595" s="155"/>
      <c r="AA595" s="157"/>
      <c r="AB595" s="217"/>
      <c r="AC595" s="150"/>
      <c r="AD595" s="151"/>
      <c r="AE595" s="152"/>
      <c r="AF595" s="506"/>
      <c r="AG595" s="463"/>
      <c r="AH595" s="150"/>
      <c r="AI595" s="152"/>
      <c r="AJ595" s="150"/>
      <c r="AK595" s="152"/>
      <c r="AL595" s="150"/>
      <c r="AM595" s="152"/>
      <c r="AN595" s="150"/>
      <c r="AO595" s="151"/>
      <c r="AP595" s="151"/>
      <c r="AQ595" s="169"/>
      <c r="AR595" s="169"/>
      <c r="AS595" s="149"/>
      <c r="AT595" s="324"/>
      <c r="AU595" s="324"/>
      <c r="AV595" s="324"/>
      <c r="AW595" s="324"/>
      <c r="AX595" s="324"/>
      <c r="AY595" s="324"/>
      <c r="AZ595" s="154"/>
      <c r="BA595" s="419"/>
      <c r="BB595" s="419"/>
      <c r="BC595" s="419"/>
      <c r="BD595" s="419"/>
      <c r="BE595" s="418"/>
      <c r="BF595" s="154"/>
      <c r="BG595" s="419"/>
      <c r="BH595" s="419"/>
      <c r="BI595" s="419"/>
      <c r="BJ595" s="419"/>
      <c r="BK595" s="418"/>
      <c r="BL595" s="36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431"/>
    </row>
    <row r="596" spans="1:74" s="2" customFormat="1" ht="24.9" customHeight="1">
      <c r="A596" s="147" t="s">
        <v>85</v>
      </c>
      <c r="B596" s="158"/>
      <c r="C596" s="179"/>
      <c r="D596" s="158"/>
      <c r="E596" s="160"/>
      <c r="F596" s="161"/>
      <c r="G596" s="161"/>
      <c r="H596" s="161"/>
      <c r="I596" s="154"/>
      <c r="J596" s="418"/>
      <c r="K596" s="419"/>
      <c r="L596" s="154"/>
      <c r="M596" s="418"/>
      <c r="N596" s="419"/>
      <c r="O596" s="150"/>
      <c r="P596" s="164"/>
      <c r="Q596" s="154"/>
      <c r="R596" s="151"/>
      <c r="S596" s="522"/>
      <c r="T596" s="522"/>
      <c r="U596" s="154"/>
      <c r="V596" s="155"/>
      <c r="W596" s="156"/>
      <c r="X596" s="154"/>
      <c r="Y596" s="155"/>
      <c r="Z596" s="155"/>
      <c r="AA596" s="157"/>
      <c r="AB596" s="217"/>
      <c r="AC596" s="150"/>
      <c r="AD596" s="151"/>
      <c r="AE596" s="152"/>
      <c r="AF596" s="506"/>
      <c r="AG596" s="463"/>
      <c r="AH596" s="150"/>
      <c r="AI596" s="152"/>
      <c r="AJ596" s="150"/>
      <c r="AK596" s="152"/>
      <c r="AL596" s="150"/>
      <c r="AM596" s="152"/>
      <c r="AN596" s="150"/>
      <c r="AO596" s="151"/>
      <c r="AP596" s="151"/>
      <c r="AQ596" s="169"/>
      <c r="AR596" s="169"/>
      <c r="AS596" s="149"/>
      <c r="AT596" s="324"/>
      <c r="AU596" s="324"/>
      <c r="AV596" s="324"/>
      <c r="AW596" s="324"/>
      <c r="AX596" s="324"/>
      <c r="AY596" s="324"/>
      <c r="AZ596" s="154"/>
      <c r="BA596" s="419"/>
      <c r="BB596" s="419"/>
      <c r="BC596" s="419"/>
      <c r="BD596" s="419"/>
      <c r="BE596" s="418"/>
      <c r="BF596" s="154"/>
      <c r="BG596" s="419"/>
      <c r="BH596" s="419"/>
      <c r="BI596" s="419"/>
      <c r="BJ596" s="419"/>
      <c r="BK596" s="418"/>
      <c r="BL596" s="36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432"/>
    </row>
    <row r="597" spans="1:74" s="2" customFormat="1" ht="24.9" customHeight="1">
      <c r="A597" s="147" t="s">
        <v>85</v>
      </c>
      <c r="B597" s="158"/>
      <c r="C597" s="179"/>
      <c r="D597" s="158"/>
      <c r="E597" s="160"/>
      <c r="F597" s="161"/>
      <c r="G597" s="161"/>
      <c r="H597" s="161"/>
      <c r="I597" s="154"/>
      <c r="J597" s="418"/>
      <c r="K597" s="419"/>
      <c r="L597" s="154"/>
      <c r="M597" s="418"/>
      <c r="N597" s="419"/>
      <c r="O597" s="150"/>
      <c r="P597" s="164"/>
      <c r="Q597" s="154"/>
      <c r="R597" s="174"/>
      <c r="S597" s="523"/>
      <c r="T597" s="523"/>
      <c r="U597" s="154"/>
      <c r="V597" s="155"/>
      <c r="W597" s="156"/>
      <c r="X597" s="154"/>
      <c r="Y597" s="155"/>
      <c r="Z597" s="155"/>
      <c r="AA597" s="157"/>
      <c r="AB597" s="217"/>
      <c r="AC597" s="150"/>
      <c r="AD597" s="151"/>
      <c r="AE597" s="152"/>
      <c r="AF597" s="506"/>
      <c r="AG597" s="463"/>
      <c r="AH597" s="150"/>
      <c r="AI597" s="152"/>
      <c r="AJ597" s="150"/>
      <c r="AK597" s="152"/>
      <c r="AL597" s="150"/>
      <c r="AM597" s="152"/>
      <c r="AN597" s="150"/>
      <c r="AO597" s="151"/>
      <c r="AP597" s="151"/>
      <c r="AQ597" s="169"/>
      <c r="AR597" s="169"/>
      <c r="AS597" s="149"/>
      <c r="AT597" s="324"/>
      <c r="AU597" s="324"/>
      <c r="AV597" s="324"/>
      <c r="AW597" s="324"/>
      <c r="AX597" s="324"/>
      <c r="AY597" s="324"/>
      <c r="AZ597" s="154"/>
      <c r="BA597" s="419"/>
      <c r="BB597" s="419"/>
      <c r="BC597" s="419"/>
      <c r="BD597" s="419"/>
      <c r="BE597" s="418"/>
      <c r="BF597" s="154"/>
      <c r="BG597" s="419"/>
      <c r="BH597" s="419"/>
      <c r="BI597" s="419"/>
      <c r="BJ597" s="419"/>
      <c r="BK597" s="418"/>
      <c r="BL597" s="36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561"/>
    </row>
    <row r="598" spans="1:74" s="2" customFormat="1" ht="24.9" customHeight="1">
      <c r="A598" s="147" t="s">
        <v>85</v>
      </c>
      <c r="B598" s="158"/>
      <c r="C598" s="179"/>
      <c r="D598" s="158"/>
      <c r="E598" s="160"/>
      <c r="F598" s="161"/>
      <c r="G598" s="161"/>
      <c r="H598" s="161"/>
      <c r="I598" s="154"/>
      <c r="J598" s="418"/>
      <c r="K598" s="419"/>
      <c r="L598" s="154"/>
      <c r="M598" s="418"/>
      <c r="N598" s="419"/>
      <c r="O598" s="150"/>
      <c r="P598" s="164"/>
      <c r="Q598" s="154"/>
      <c r="R598" s="174"/>
      <c r="S598" s="523"/>
      <c r="T598" s="523"/>
      <c r="U598" s="154"/>
      <c r="V598" s="155"/>
      <c r="W598" s="156"/>
      <c r="X598" s="154"/>
      <c r="Y598" s="155"/>
      <c r="Z598" s="155"/>
      <c r="AA598" s="157"/>
      <c r="AB598" s="217"/>
      <c r="AC598" s="150"/>
      <c r="AD598" s="151"/>
      <c r="AE598" s="152"/>
      <c r="AF598" s="506"/>
      <c r="AG598" s="463"/>
      <c r="AH598" s="150"/>
      <c r="AI598" s="152"/>
      <c r="AJ598" s="150"/>
      <c r="AK598" s="152"/>
      <c r="AL598" s="150"/>
      <c r="AM598" s="152"/>
      <c r="AN598" s="150"/>
      <c r="AO598" s="151"/>
      <c r="AP598" s="151"/>
      <c r="AQ598" s="169"/>
      <c r="AR598" s="169"/>
      <c r="AS598" s="149"/>
      <c r="AT598" s="324"/>
      <c r="AU598" s="324"/>
      <c r="AV598" s="324"/>
      <c r="AW598" s="324"/>
      <c r="AX598" s="324"/>
      <c r="AY598" s="324"/>
      <c r="AZ598" s="154"/>
      <c r="BA598" s="419"/>
      <c r="BB598" s="419"/>
      <c r="BC598" s="419"/>
      <c r="BD598" s="419"/>
      <c r="BE598" s="418"/>
      <c r="BF598" s="154"/>
      <c r="BG598" s="419"/>
      <c r="BH598" s="419"/>
      <c r="BI598" s="419"/>
      <c r="BJ598" s="419"/>
      <c r="BK598" s="418"/>
      <c r="BL598" s="36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431"/>
    </row>
    <row r="599" spans="1:74" s="2" customFormat="1" ht="24.9" customHeight="1">
      <c r="A599" s="147" t="s">
        <v>85</v>
      </c>
      <c r="B599" s="158"/>
      <c r="C599" s="179"/>
      <c r="D599" s="158"/>
      <c r="E599" s="160"/>
      <c r="F599" s="161"/>
      <c r="G599" s="161"/>
      <c r="H599" s="161"/>
      <c r="I599" s="154"/>
      <c r="J599" s="418"/>
      <c r="K599" s="419"/>
      <c r="L599" s="154"/>
      <c r="M599" s="418"/>
      <c r="N599" s="419"/>
      <c r="O599" s="150"/>
      <c r="P599" s="164"/>
      <c r="Q599" s="154"/>
      <c r="R599" s="174"/>
      <c r="S599" s="523"/>
      <c r="T599" s="523"/>
      <c r="U599" s="154"/>
      <c r="V599" s="155"/>
      <c r="W599" s="156"/>
      <c r="X599" s="154"/>
      <c r="Y599" s="155"/>
      <c r="Z599" s="155"/>
      <c r="AA599" s="157"/>
      <c r="AB599" s="217"/>
      <c r="AC599" s="150"/>
      <c r="AD599" s="151"/>
      <c r="AE599" s="152"/>
      <c r="AF599" s="506"/>
      <c r="AG599" s="463"/>
      <c r="AH599" s="150"/>
      <c r="AI599" s="152"/>
      <c r="AJ599" s="150"/>
      <c r="AK599" s="152"/>
      <c r="AL599" s="150"/>
      <c r="AM599" s="152"/>
      <c r="AN599" s="150"/>
      <c r="AO599" s="151"/>
      <c r="AP599" s="151"/>
      <c r="AQ599" s="169"/>
      <c r="AR599" s="169"/>
      <c r="AS599" s="149"/>
      <c r="AT599" s="324"/>
      <c r="AU599" s="324"/>
      <c r="AV599" s="324"/>
      <c r="AW599" s="324"/>
      <c r="AX599" s="324"/>
      <c r="AY599" s="324"/>
      <c r="AZ599" s="154"/>
      <c r="BA599" s="419"/>
      <c r="BB599" s="419"/>
      <c r="BC599" s="419"/>
      <c r="BD599" s="419"/>
      <c r="BE599" s="418"/>
      <c r="BF599" s="154"/>
      <c r="BG599" s="419"/>
      <c r="BH599" s="419"/>
      <c r="BI599" s="419"/>
      <c r="BJ599" s="419"/>
      <c r="BK599" s="418"/>
      <c r="BL599" s="36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561"/>
    </row>
    <row r="600" spans="1:74" s="2" customFormat="1" ht="24.9" customHeight="1">
      <c r="A600" s="147" t="s">
        <v>85</v>
      </c>
      <c r="B600" s="158"/>
      <c r="C600" s="179"/>
      <c r="D600" s="158"/>
      <c r="E600" s="160"/>
      <c r="F600" s="161"/>
      <c r="G600" s="161"/>
      <c r="H600" s="161"/>
      <c r="I600" s="154"/>
      <c r="J600" s="418"/>
      <c r="K600" s="419"/>
      <c r="L600" s="154"/>
      <c r="M600" s="418"/>
      <c r="N600" s="419"/>
      <c r="O600" s="150"/>
      <c r="P600" s="164"/>
      <c r="Q600" s="154"/>
      <c r="R600" s="174"/>
      <c r="S600" s="523"/>
      <c r="T600" s="523"/>
      <c r="U600" s="154"/>
      <c r="V600" s="155"/>
      <c r="W600" s="156"/>
      <c r="X600" s="154"/>
      <c r="Y600" s="155"/>
      <c r="Z600" s="155"/>
      <c r="AA600" s="157"/>
      <c r="AB600" s="217"/>
      <c r="AC600" s="150"/>
      <c r="AD600" s="151"/>
      <c r="AE600" s="152"/>
      <c r="AF600" s="506"/>
      <c r="AG600" s="463"/>
      <c r="AH600" s="150"/>
      <c r="AI600" s="152"/>
      <c r="AJ600" s="150"/>
      <c r="AK600" s="152"/>
      <c r="AL600" s="150"/>
      <c r="AM600" s="152"/>
      <c r="AN600" s="150"/>
      <c r="AO600" s="151"/>
      <c r="AP600" s="151"/>
      <c r="AQ600" s="169"/>
      <c r="AR600" s="169"/>
      <c r="AS600" s="149"/>
      <c r="AT600" s="324"/>
      <c r="AU600" s="324"/>
      <c r="AV600" s="324"/>
      <c r="AW600" s="324"/>
      <c r="AX600" s="324"/>
      <c r="AY600" s="324"/>
      <c r="AZ600" s="154"/>
      <c r="BA600" s="419"/>
      <c r="BB600" s="419"/>
      <c r="BC600" s="419"/>
      <c r="BD600" s="419"/>
      <c r="BE600" s="418"/>
      <c r="BF600" s="154"/>
      <c r="BG600" s="419"/>
      <c r="BH600" s="419"/>
      <c r="BI600" s="419"/>
      <c r="BJ600" s="419"/>
      <c r="BK600" s="418"/>
      <c r="BL600" s="36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431"/>
    </row>
    <row r="601" spans="1:74" s="2" customFormat="1" ht="24.9" customHeight="1">
      <c r="A601" s="147" t="s">
        <v>85</v>
      </c>
      <c r="B601" s="158"/>
      <c r="C601" s="179"/>
      <c r="D601" s="158"/>
      <c r="E601" s="160"/>
      <c r="F601" s="161"/>
      <c r="G601" s="161"/>
      <c r="H601" s="161"/>
      <c r="I601" s="154"/>
      <c r="J601" s="418"/>
      <c r="K601" s="419"/>
      <c r="L601" s="154"/>
      <c r="M601" s="418"/>
      <c r="N601" s="419"/>
      <c r="O601" s="150"/>
      <c r="P601" s="164"/>
      <c r="Q601" s="154"/>
      <c r="R601" s="174"/>
      <c r="S601" s="523"/>
      <c r="T601" s="523"/>
      <c r="U601" s="154"/>
      <c r="V601" s="155"/>
      <c r="W601" s="156"/>
      <c r="X601" s="154"/>
      <c r="Y601" s="155"/>
      <c r="Z601" s="155"/>
      <c r="AA601" s="157"/>
      <c r="AB601" s="217"/>
      <c r="AC601" s="150"/>
      <c r="AD601" s="151"/>
      <c r="AE601" s="152"/>
      <c r="AF601" s="506"/>
      <c r="AG601" s="463"/>
      <c r="AH601" s="150"/>
      <c r="AI601" s="152"/>
      <c r="AJ601" s="150"/>
      <c r="AK601" s="152"/>
      <c r="AL601" s="150"/>
      <c r="AM601" s="152"/>
      <c r="AN601" s="150"/>
      <c r="AO601" s="151"/>
      <c r="AP601" s="151"/>
      <c r="AQ601" s="169"/>
      <c r="AR601" s="169"/>
      <c r="AS601" s="149"/>
      <c r="AT601" s="324"/>
      <c r="AU601" s="324"/>
      <c r="AV601" s="324"/>
      <c r="AW601" s="324"/>
      <c r="AX601" s="324"/>
      <c r="AY601" s="324"/>
      <c r="AZ601" s="154"/>
      <c r="BA601" s="419"/>
      <c r="BB601" s="419"/>
      <c r="BC601" s="419"/>
      <c r="BD601" s="419"/>
      <c r="BE601" s="418"/>
      <c r="BF601" s="154"/>
      <c r="BG601" s="419"/>
      <c r="BH601" s="419"/>
      <c r="BI601" s="419"/>
      <c r="BJ601" s="419"/>
      <c r="BK601" s="418"/>
      <c r="BL601" s="36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561"/>
    </row>
    <row r="602" spans="1:74" s="2" customFormat="1" ht="24.9" customHeight="1">
      <c r="A602" s="147" t="s">
        <v>85</v>
      </c>
      <c r="B602" s="158"/>
      <c r="C602" s="179"/>
      <c r="D602" s="158"/>
      <c r="E602" s="160"/>
      <c r="F602" s="161"/>
      <c r="G602" s="161"/>
      <c r="H602" s="161"/>
      <c r="I602" s="154"/>
      <c r="J602" s="418"/>
      <c r="K602" s="419"/>
      <c r="L602" s="154"/>
      <c r="M602" s="418"/>
      <c r="N602" s="419"/>
      <c r="O602" s="150"/>
      <c r="P602" s="164"/>
      <c r="Q602" s="154"/>
      <c r="R602" s="174"/>
      <c r="S602" s="523"/>
      <c r="T602" s="523"/>
      <c r="U602" s="154"/>
      <c r="V602" s="155"/>
      <c r="W602" s="156"/>
      <c r="X602" s="154"/>
      <c r="Y602" s="155"/>
      <c r="Z602" s="155"/>
      <c r="AA602" s="157"/>
      <c r="AB602" s="217"/>
      <c r="AC602" s="150"/>
      <c r="AD602" s="151"/>
      <c r="AE602" s="152"/>
      <c r="AF602" s="506"/>
      <c r="AG602" s="463"/>
      <c r="AH602" s="150"/>
      <c r="AI602" s="152"/>
      <c r="AJ602" s="150"/>
      <c r="AK602" s="152"/>
      <c r="AL602" s="150"/>
      <c r="AM602" s="152"/>
      <c r="AN602" s="150"/>
      <c r="AO602" s="151"/>
      <c r="AP602" s="151"/>
      <c r="AQ602" s="169"/>
      <c r="AR602" s="169"/>
      <c r="AS602" s="149"/>
      <c r="AT602" s="324"/>
      <c r="AU602" s="324"/>
      <c r="AV602" s="324"/>
      <c r="AW602" s="324"/>
      <c r="AX602" s="324"/>
      <c r="AY602" s="324"/>
      <c r="AZ602" s="154"/>
      <c r="BA602" s="419"/>
      <c r="BB602" s="419"/>
      <c r="BC602" s="419"/>
      <c r="BD602" s="419"/>
      <c r="BE602" s="418"/>
      <c r="BF602" s="154"/>
      <c r="BG602" s="419"/>
      <c r="BH602" s="419"/>
      <c r="BI602" s="419"/>
      <c r="BJ602" s="419"/>
      <c r="BK602" s="418"/>
      <c r="BL602" s="36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431"/>
    </row>
    <row r="603" spans="1:74" s="2" customFormat="1" ht="24.9" customHeight="1">
      <c r="A603" s="147" t="s">
        <v>85</v>
      </c>
      <c r="B603" s="158"/>
      <c r="C603" s="179"/>
      <c r="D603" s="158"/>
      <c r="E603" s="160"/>
      <c r="F603" s="161"/>
      <c r="G603" s="161"/>
      <c r="H603" s="161"/>
      <c r="I603" s="154"/>
      <c r="J603" s="418"/>
      <c r="K603" s="419"/>
      <c r="L603" s="154"/>
      <c r="M603" s="418"/>
      <c r="N603" s="419"/>
      <c r="O603" s="150"/>
      <c r="P603" s="164"/>
      <c r="Q603" s="154"/>
      <c r="R603" s="151"/>
      <c r="S603" s="522"/>
      <c r="T603" s="522"/>
      <c r="U603" s="154"/>
      <c r="V603" s="155"/>
      <c r="W603" s="156"/>
      <c r="X603" s="154"/>
      <c r="Y603" s="155"/>
      <c r="Z603" s="155"/>
      <c r="AA603" s="157"/>
      <c r="AB603" s="217"/>
      <c r="AC603" s="150"/>
      <c r="AD603" s="151"/>
      <c r="AE603" s="152"/>
      <c r="AF603" s="506"/>
      <c r="AG603" s="463"/>
      <c r="AH603" s="150"/>
      <c r="AI603" s="152"/>
      <c r="AJ603" s="150"/>
      <c r="AK603" s="152"/>
      <c r="AL603" s="150"/>
      <c r="AM603" s="152"/>
      <c r="AN603" s="150"/>
      <c r="AO603" s="151"/>
      <c r="AP603" s="151"/>
      <c r="AQ603" s="169"/>
      <c r="AR603" s="169"/>
      <c r="AS603" s="149"/>
      <c r="AT603" s="324"/>
      <c r="AU603" s="324"/>
      <c r="AV603" s="324"/>
      <c r="AW603" s="324"/>
      <c r="AX603" s="324"/>
      <c r="AY603" s="324"/>
      <c r="AZ603" s="154"/>
      <c r="BA603" s="419"/>
      <c r="BB603" s="419"/>
      <c r="BC603" s="419"/>
      <c r="BD603" s="419"/>
      <c r="BE603" s="418"/>
      <c r="BF603" s="154"/>
      <c r="BG603" s="419"/>
      <c r="BH603" s="419"/>
      <c r="BI603" s="419"/>
      <c r="BJ603" s="419"/>
      <c r="BK603" s="418"/>
      <c r="BL603" s="36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432"/>
    </row>
    <row r="604" spans="1:74" s="2" customFormat="1" ht="24.9" customHeight="1">
      <c r="A604" s="147" t="s">
        <v>85</v>
      </c>
      <c r="B604" s="158"/>
      <c r="C604" s="179"/>
      <c r="D604" s="158"/>
      <c r="E604" s="160"/>
      <c r="F604" s="161"/>
      <c r="G604" s="161"/>
      <c r="H604" s="161"/>
      <c r="I604" s="154"/>
      <c r="J604" s="418"/>
      <c r="K604" s="419"/>
      <c r="L604" s="154"/>
      <c r="M604" s="418"/>
      <c r="N604" s="419"/>
      <c r="O604" s="150"/>
      <c r="P604" s="164"/>
      <c r="Q604" s="154"/>
      <c r="R604" s="174"/>
      <c r="S604" s="523"/>
      <c r="T604" s="523"/>
      <c r="U604" s="154"/>
      <c r="V604" s="155"/>
      <c r="W604" s="156"/>
      <c r="X604" s="154"/>
      <c r="Y604" s="155"/>
      <c r="Z604" s="155"/>
      <c r="AA604" s="157"/>
      <c r="AB604" s="217"/>
      <c r="AC604" s="150"/>
      <c r="AD604" s="151"/>
      <c r="AE604" s="152"/>
      <c r="AF604" s="506"/>
      <c r="AG604" s="463"/>
      <c r="AH604" s="150"/>
      <c r="AI604" s="152"/>
      <c r="AJ604" s="150"/>
      <c r="AK604" s="152"/>
      <c r="AL604" s="150"/>
      <c r="AM604" s="152"/>
      <c r="AN604" s="150"/>
      <c r="AO604" s="151"/>
      <c r="AP604" s="151"/>
      <c r="AQ604" s="169"/>
      <c r="AR604" s="169"/>
      <c r="AS604" s="149"/>
      <c r="AT604" s="324"/>
      <c r="AU604" s="324"/>
      <c r="AV604" s="324"/>
      <c r="AW604" s="324"/>
      <c r="AX604" s="324"/>
      <c r="AY604" s="324"/>
      <c r="AZ604" s="154"/>
      <c r="BA604" s="419"/>
      <c r="BB604" s="419"/>
      <c r="BC604" s="419"/>
      <c r="BD604" s="419"/>
      <c r="BE604" s="418"/>
      <c r="BF604" s="154"/>
      <c r="BG604" s="419"/>
      <c r="BH604" s="419"/>
      <c r="BI604" s="419"/>
      <c r="BJ604" s="419"/>
      <c r="BK604" s="418"/>
      <c r="BL604" s="36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432"/>
    </row>
    <row r="605" spans="1:74" s="2" customFormat="1" ht="24.9" customHeight="1">
      <c r="A605" s="147" t="s">
        <v>85</v>
      </c>
      <c r="B605" s="158"/>
      <c r="C605" s="179"/>
      <c r="D605" s="158"/>
      <c r="E605" s="160"/>
      <c r="F605" s="161"/>
      <c r="G605" s="161"/>
      <c r="H605" s="161"/>
      <c r="I605" s="154"/>
      <c r="J605" s="418"/>
      <c r="K605" s="419"/>
      <c r="L605" s="154"/>
      <c r="M605" s="418"/>
      <c r="N605" s="419"/>
      <c r="O605" s="150"/>
      <c r="P605" s="164"/>
      <c r="Q605" s="154"/>
      <c r="R605" s="151"/>
      <c r="S605" s="522"/>
      <c r="T605" s="522"/>
      <c r="U605" s="154"/>
      <c r="V605" s="155"/>
      <c r="W605" s="156"/>
      <c r="X605" s="154"/>
      <c r="Y605" s="155"/>
      <c r="Z605" s="155"/>
      <c r="AA605" s="157"/>
      <c r="AB605" s="217"/>
      <c r="AC605" s="150"/>
      <c r="AD605" s="151"/>
      <c r="AE605" s="152"/>
      <c r="AF605" s="506"/>
      <c r="AG605" s="463"/>
      <c r="AH605" s="150"/>
      <c r="AI605" s="152"/>
      <c r="AJ605" s="150"/>
      <c r="AK605" s="152"/>
      <c r="AL605" s="150"/>
      <c r="AM605" s="152"/>
      <c r="AN605" s="150"/>
      <c r="AO605" s="151"/>
      <c r="AP605" s="151"/>
      <c r="AQ605" s="169"/>
      <c r="AR605" s="169"/>
      <c r="AS605" s="149"/>
      <c r="AT605" s="324"/>
      <c r="AU605" s="324"/>
      <c r="AV605" s="324"/>
      <c r="AW605" s="324"/>
      <c r="AX605" s="324"/>
      <c r="AY605" s="324"/>
      <c r="AZ605" s="154"/>
      <c r="BA605" s="419"/>
      <c r="BB605" s="419"/>
      <c r="BC605" s="419"/>
      <c r="BD605" s="419"/>
      <c r="BE605" s="418"/>
      <c r="BF605" s="154"/>
      <c r="BG605" s="419"/>
      <c r="BH605" s="419"/>
      <c r="BI605" s="419"/>
      <c r="BJ605" s="419"/>
      <c r="BK605" s="418"/>
      <c r="BL605" s="36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561"/>
    </row>
    <row r="606" spans="1:74" s="2" customFormat="1" ht="24.9" customHeight="1">
      <c r="A606" s="147" t="s">
        <v>85</v>
      </c>
      <c r="B606" s="158"/>
      <c r="C606" s="179"/>
      <c r="D606" s="158"/>
      <c r="E606" s="160"/>
      <c r="F606" s="161"/>
      <c r="G606" s="161"/>
      <c r="H606" s="161"/>
      <c r="I606" s="154"/>
      <c r="J606" s="418"/>
      <c r="K606" s="419"/>
      <c r="L606" s="154"/>
      <c r="M606" s="418"/>
      <c r="N606" s="419"/>
      <c r="O606" s="150"/>
      <c r="P606" s="164"/>
      <c r="Q606" s="154"/>
      <c r="R606" s="174"/>
      <c r="S606" s="523"/>
      <c r="T606" s="523"/>
      <c r="U606" s="154"/>
      <c r="V606" s="155"/>
      <c r="W606" s="156"/>
      <c r="X606" s="154"/>
      <c r="Y606" s="155"/>
      <c r="Z606" s="155"/>
      <c r="AA606" s="157"/>
      <c r="AB606" s="217"/>
      <c r="AC606" s="150"/>
      <c r="AD606" s="151"/>
      <c r="AE606" s="152"/>
      <c r="AF606" s="506"/>
      <c r="AG606" s="463"/>
      <c r="AH606" s="150"/>
      <c r="AI606" s="152"/>
      <c r="AJ606" s="150"/>
      <c r="AK606" s="152"/>
      <c r="AL606" s="150"/>
      <c r="AM606" s="152"/>
      <c r="AN606" s="150"/>
      <c r="AO606" s="151"/>
      <c r="AP606" s="151"/>
      <c r="AQ606" s="169"/>
      <c r="AR606" s="169"/>
      <c r="AS606" s="149"/>
      <c r="AT606" s="324"/>
      <c r="AU606" s="324"/>
      <c r="AV606" s="324"/>
      <c r="AW606" s="324"/>
      <c r="AX606" s="324"/>
      <c r="AY606" s="324"/>
      <c r="AZ606" s="154"/>
      <c r="BA606" s="419"/>
      <c r="BB606" s="419"/>
      <c r="BC606" s="419"/>
      <c r="BD606" s="419"/>
      <c r="BE606" s="418"/>
      <c r="BF606" s="154"/>
      <c r="BG606" s="419"/>
      <c r="BH606" s="419"/>
      <c r="BI606" s="419"/>
      <c r="BJ606" s="419"/>
      <c r="BK606" s="418"/>
      <c r="BL606" s="36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431"/>
    </row>
    <row r="607" spans="1:74" s="2" customFormat="1" ht="24.9" customHeight="1">
      <c r="A607" s="147" t="s">
        <v>85</v>
      </c>
      <c r="B607" s="158"/>
      <c r="C607" s="179"/>
      <c r="D607" s="158"/>
      <c r="E607" s="160"/>
      <c r="F607" s="161"/>
      <c r="G607" s="161"/>
      <c r="H607" s="161"/>
      <c r="I607" s="154"/>
      <c r="J607" s="418"/>
      <c r="K607" s="419"/>
      <c r="L607" s="154"/>
      <c r="M607" s="418"/>
      <c r="N607" s="419"/>
      <c r="O607" s="150"/>
      <c r="P607" s="164"/>
      <c r="Q607" s="154"/>
      <c r="R607" s="151"/>
      <c r="S607" s="522"/>
      <c r="T607" s="522"/>
      <c r="U607" s="154"/>
      <c r="V607" s="155"/>
      <c r="W607" s="156"/>
      <c r="X607" s="154"/>
      <c r="Y607" s="155"/>
      <c r="Z607" s="155"/>
      <c r="AA607" s="157"/>
      <c r="AB607" s="217"/>
      <c r="AC607" s="150"/>
      <c r="AD607" s="151"/>
      <c r="AE607" s="152"/>
      <c r="AF607" s="506"/>
      <c r="AG607" s="463"/>
      <c r="AH607" s="150"/>
      <c r="AI607" s="152"/>
      <c r="AJ607" s="150"/>
      <c r="AK607" s="152"/>
      <c r="AL607" s="150"/>
      <c r="AM607" s="152"/>
      <c r="AN607" s="150"/>
      <c r="AO607" s="151"/>
      <c r="AP607" s="151"/>
      <c r="AQ607" s="169"/>
      <c r="AR607" s="169"/>
      <c r="AS607" s="149"/>
      <c r="AT607" s="324"/>
      <c r="AU607" s="324"/>
      <c r="AV607" s="324"/>
      <c r="AW607" s="324"/>
      <c r="AX607" s="324"/>
      <c r="AY607" s="324"/>
      <c r="AZ607" s="154"/>
      <c r="BA607" s="419"/>
      <c r="BB607" s="419"/>
      <c r="BC607" s="419"/>
      <c r="BD607" s="419"/>
      <c r="BE607" s="418"/>
      <c r="BF607" s="154"/>
      <c r="BG607" s="419"/>
      <c r="BH607" s="419"/>
      <c r="BI607" s="419"/>
      <c r="BJ607" s="419"/>
      <c r="BK607" s="418"/>
      <c r="BL607" s="36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432"/>
    </row>
    <row r="608" spans="1:74" s="2" customFormat="1" ht="24.9" customHeight="1">
      <c r="A608" s="147" t="s">
        <v>85</v>
      </c>
      <c r="B608" s="158"/>
      <c r="C608" s="179"/>
      <c r="D608" s="158"/>
      <c r="E608" s="160"/>
      <c r="F608" s="161"/>
      <c r="G608" s="161"/>
      <c r="H608" s="161"/>
      <c r="I608" s="154"/>
      <c r="J608" s="418"/>
      <c r="K608" s="419"/>
      <c r="L608" s="154"/>
      <c r="M608" s="418"/>
      <c r="N608" s="419"/>
      <c r="O608" s="150"/>
      <c r="P608" s="164"/>
      <c r="Q608" s="154"/>
      <c r="R608" s="174"/>
      <c r="S608" s="523"/>
      <c r="T608" s="523"/>
      <c r="U608" s="154"/>
      <c r="V608" s="155"/>
      <c r="W608" s="156"/>
      <c r="X608" s="154"/>
      <c r="Y608" s="155"/>
      <c r="Z608" s="155"/>
      <c r="AA608" s="157"/>
      <c r="AB608" s="217"/>
      <c r="AC608" s="150"/>
      <c r="AD608" s="151"/>
      <c r="AE608" s="152"/>
      <c r="AF608" s="506"/>
      <c r="AG608" s="463"/>
      <c r="AH608" s="150"/>
      <c r="AI608" s="152"/>
      <c r="AJ608" s="150"/>
      <c r="AK608" s="152"/>
      <c r="AL608" s="150"/>
      <c r="AM608" s="152"/>
      <c r="AN608" s="150"/>
      <c r="AO608" s="151"/>
      <c r="AP608" s="151"/>
      <c r="AQ608" s="169"/>
      <c r="AR608" s="169"/>
      <c r="AS608" s="149"/>
      <c r="AT608" s="324"/>
      <c r="AU608" s="324"/>
      <c r="AV608" s="324"/>
      <c r="AW608" s="324"/>
      <c r="AX608" s="324"/>
      <c r="AY608" s="324"/>
      <c r="AZ608" s="154"/>
      <c r="BA608" s="419"/>
      <c r="BB608" s="419"/>
      <c r="BC608" s="419"/>
      <c r="BD608" s="419"/>
      <c r="BE608" s="418"/>
      <c r="BF608" s="154"/>
      <c r="BG608" s="419"/>
      <c r="BH608" s="419"/>
      <c r="BI608" s="419"/>
      <c r="BJ608" s="419"/>
      <c r="BK608" s="418"/>
      <c r="BL608" s="36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561"/>
    </row>
    <row r="609" spans="1:74" s="2" customFormat="1" ht="24.9" customHeight="1">
      <c r="A609" s="147" t="s">
        <v>85</v>
      </c>
      <c r="B609" s="158"/>
      <c r="C609" s="179"/>
      <c r="D609" s="158"/>
      <c r="E609" s="160"/>
      <c r="F609" s="161"/>
      <c r="G609" s="161"/>
      <c r="H609" s="161"/>
      <c r="I609" s="154"/>
      <c r="J609" s="418"/>
      <c r="K609" s="419"/>
      <c r="L609" s="154"/>
      <c r="M609" s="418"/>
      <c r="N609" s="419"/>
      <c r="O609" s="150"/>
      <c r="P609" s="164"/>
      <c r="Q609" s="154"/>
      <c r="R609" s="174"/>
      <c r="S609" s="523"/>
      <c r="T609" s="523"/>
      <c r="U609" s="154"/>
      <c r="V609" s="155"/>
      <c r="W609" s="156"/>
      <c r="X609" s="154"/>
      <c r="Y609" s="155"/>
      <c r="Z609" s="155"/>
      <c r="AA609" s="157"/>
      <c r="AB609" s="217"/>
      <c r="AC609" s="150"/>
      <c r="AD609" s="151"/>
      <c r="AE609" s="152"/>
      <c r="AF609" s="506"/>
      <c r="AG609" s="463"/>
      <c r="AH609" s="150"/>
      <c r="AI609" s="152"/>
      <c r="AJ609" s="150"/>
      <c r="AK609" s="152"/>
      <c r="AL609" s="150"/>
      <c r="AM609" s="152"/>
      <c r="AN609" s="150"/>
      <c r="AO609" s="151"/>
      <c r="AP609" s="151"/>
      <c r="AQ609" s="169"/>
      <c r="AR609" s="169"/>
      <c r="AS609" s="149"/>
      <c r="AT609" s="324"/>
      <c r="AU609" s="324"/>
      <c r="AV609" s="324"/>
      <c r="AW609" s="324"/>
      <c r="AX609" s="324"/>
      <c r="AY609" s="324"/>
      <c r="AZ609" s="154"/>
      <c r="BA609" s="419"/>
      <c r="BB609" s="419"/>
      <c r="BC609" s="419"/>
      <c r="BD609" s="419"/>
      <c r="BE609" s="418"/>
      <c r="BF609" s="154"/>
      <c r="BG609" s="419"/>
      <c r="BH609" s="419"/>
      <c r="BI609" s="419"/>
      <c r="BJ609" s="419"/>
      <c r="BK609" s="418"/>
      <c r="BL609" s="36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432"/>
    </row>
    <row r="610" spans="1:74" s="2" customFormat="1" ht="24.9" customHeight="1">
      <c r="A610" s="147" t="s">
        <v>85</v>
      </c>
      <c r="B610" s="158"/>
      <c r="C610" s="179"/>
      <c r="D610" s="158"/>
      <c r="E610" s="160"/>
      <c r="F610" s="161"/>
      <c r="G610" s="161"/>
      <c r="H610" s="161"/>
      <c r="I610" s="154"/>
      <c r="J610" s="418"/>
      <c r="K610" s="419"/>
      <c r="L610" s="154"/>
      <c r="M610" s="418"/>
      <c r="N610" s="419"/>
      <c r="O610" s="150"/>
      <c r="P610" s="164"/>
      <c r="Q610" s="154"/>
      <c r="R610" s="174"/>
      <c r="S610" s="523"/>
      <c r="T610" s="523"/>
      <c r="U610" s="154"/>
      <c r="V610" s="155"/>
      <c r="W610" s="156"/>
      <c r="X610" s="154"/>
      <c r="Y610" s="155"/>
      <c r="Z610" s="155"/>
      <c r="AA610" s="157"/>
      <c r="AB610" s="217"/>
      <c r="AC610" s="150"/>
      <c r="AD610" s="151"/>
      <c r="AE610" s="152"/>
      <c r="AF610" s="506"/>
      <c r="AG610" s="463"/>
      <c r="AH610" s="150"/>
      <c r="AI610" s="152"/>
      <c r="AJ610" s="150"/>
      <c r="AK610" s="152"/>
      <c r="AL610" s="150"/>
      <c r="AM610" s="152"/>
      <c r="AN610" s="150"/>
      <c r="AO610" s="151"/>
      <c r="AP610" s="151"/>
      <c r="AQ610" s="169"/>
      <c r="AR610" s="169"/>
      <c r="AS610" s="149"/>
      <c r="AT610" s="324"/>
      <c r="AU610" s="324"/>
      <c r="AV610" s="324"/>
      <c r="AW610" s="324"/>
      <c r="AX610" s="324"/>
      <c r="AY610" s="324"/>
      <c r="AZ610" s="154"/>
      <c r="BA610" s="419"/>
      <c r="BB610" s="419"/>
      <c r="BC610" s="419"/>
      <c r="BD610" s="419"/>
      <c r="BE610" s="418"/>
      <c r="BF610" s="154"/>
      <c r="BG610" s="419"/>
      <c r="BH610" s="419"/>
      <c r="BI610" s="419"/>
      <c r="BJ610" s="419"/>
      <c r="BK610" s="418"/>
      <c r="BL610" s="36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561"/>
    </row>
    <row r="611" spans="1:74" s="2" customFormat="1" ht="24.9" customHeight="1">
      <c r="A611" s="147" t="s">
        <v>85</v>
      </c>
      <c r="B611" s="158"/>
      <c r="C611" s="179"/>
      <c r="D611" s="158"/>
      <c r="E611" s="160"/>
      <c r="F611" s="161"/>
      <c r="G611" s="161"/>
      <c r="H611" s="161"/>
      <c r="I611" s="154"/>
      <c r="J611" s="418"/>
      <c r="K611" s="419"/>
      <c r="L611" s="154"/>
      <c r="M611" s="418"/>
      <c r="N611" s="419"/>
      <c r="O611" s="150"/>
      <c r="P611" s="164"/>
      <c r="Q611" s="154"/>
      <c r="R611" s="174"/>
      <c r="S611" s="523"/>
      <c r="T611" s="523"/>
      <c r="U611" s="154"/>
      <c r="V611" s="155"/>
      <c r="W611" s="156"/>
      <c r="X611" s="154"/>
      <c r="Y611" s="155"/>
      <c r="Z611" s="155"/>
      <c r="AA611" s="157"/>
      <c r="AB611" s="217"/>
      <c r="AC611" s="150"/>
      <c r="AD611" s="151"/>
      <c r="AE611" s="152"/>
      <c r="AF611" s="506"/>
      <c r="AG611" s="463"/>
      <c r="AH611" s="150"/>
      <c r="AI611" s="152"/>
      <c r="AJ611" s="150"/>
      <c r="AK611" s="152"/>
      <c r="AL611" s="150"/>
      <c r="AM611" s="152"/>
      <c r="AN611" s="150"/>
      <c r="AO611" s="151"/>
      <c r="AP611" s="151"/>
      <c r="AQ611" s="169"/>
      <c r="AR611" s="169"/>
      <c r="AS611" s="149"/>
      <c r="AT611" s="324"/>
      <c r="AU611" s="324"/>
      <c r="AV611" s="324"/>
      <c r="AW611" s="324"/>
      <c r="AX611" s="324"/>
      <c r="AY611" s="324"/>
      <c r="AZ611" s="154"/>
      <c r="BA611" s="419"/>
      <c r="BB611" s="419"/>
      <c r="BC611" s="419"/>
      <c r="BD611" s="419"/>
      <c r="BE611" s="418"/>
      <c r="BF611" s="154"/>
      <c r="BG611" s="419"/>
      <c r="BH611" s="419"/>
      <c r="BI611" s="419"/>
      <c r="BJ611" s="419"/>
      <c r="BK611" s="418"/>
      <c r="BL611" s="36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431"/>
    </row>
    <row r="612" spans="1:74" s="2" customFormat="1" ht="24.9" customHeight="1">
      <c r="A612" s="147" t="s">
        <v>85</v>
      </c>
      <c r="B612" s="158"/>
      <c r="C612" s="179"/>
      <c r="D612" s="158"/>
      <c r="E612" s="160"/>
      <c r="F612" s="161"/>
      <c r="G612" s="161"/>
      <c r="H612" s="161"/>
      <c r="I612" s="154"/>
      <c r="J612" s="418"/>
      <c r="K612" s="419"/>
      <c r="L612" s="154"/>
      <c r="M612" s="418"/>
      <c r="N612" s="419"/>
      <c r="O612" s="150"/>
      <c r="P612" s="164"/>
      <c r="Q612" s="154"/>
      <c r="R612" s="151"/>
      <c r="S612" s="522"/>
      <c r="T612" s="522"/>
      <c r="U612" s="154"/>
      <c r="V612" s="155"/>
      <c r="W612" s="156"/>
      <c r="X612" s="154"/>
      <c r="Y612" s="155"/>
      <c r="Z612" s="155"/>
      <c r="AA612" s="157"/>
      <c r="AB612" s="217"/>
      <c r="AC612" s="150"/>
      <c r="AD612" s="151"/>
      <c r="AE612" s="152"/>
      <c r="AF612" s="506"/>
      <c r="AG612" s="463"/>
      <c r="AH612" s="150"/>
      <c r="AI612" s="152"/>
      <c r="AJ612" s="150"/>
      <c r="AK612" s="152"/>
      <c r="AL612" s="150"/>
      <c r="AM612" s="152"/>
      <c r="AN612" s="150"/>
      <c r="AO612" s="151"/>
      <c r="AP612" s="151"/>
      <c r="AQ612" s="169"/>
      <c r="AR612" s="169"/>
      <c r="AS612" s="149"/>
      <c r="AT612" s="324"/>
      <c r="AU612" s="324"/>
      <c r="AV612" s="324"/>
      <c r="AW612" s="324"/>
      <c r="AX612" s="324"/>
      <c r="AY612" s="324"/>
      <c r="AZ612" s="154"/>
      <c r="BA612" s="419"/>
      <c r="BB612" s="419"/>
      <c r="BC612" s="419"/>
      <c r="BD612" s="419"/>
      <c r="BE612" s="418"/>
      <c r="BF612" s="154"/>
      <c r="BG612" s="419"/>
      <c r="BH612" s="419"/>
      <c r="BI612" s="419"/>
      <c r="BJ612" s="419"/>
      <c r="BK612" s="418"/>
      <c r="BL612" s="36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432"/>
    </row>
    <row r="613" spans="1:74" s="2" customFormat="1" ht="24.9" customHeight="1">
      <c r="A613" s="147" t="s">
        <v>85</v>
      </c>
      <c r="B613" s="158"/>
      <c r="C613" s="179"/>
      <c r="D613" s="158"/>
      <c r="E613" s="160"/>
      <c r="F613" s="161"/>
      <c r="G613" s="161"/>
      <c r="H613" s="161"/>
      <c r="I613" s="154"/>
      <c r="J613" s="418"/>
      <c r="K613" s="419"/>
      <c r="L613" s="154"/>
      <c r="M613" s="418"/>
      <c r="N613" s="419"/>
      <c r="O613" s="150"/>
      <c r="P613" s="164"/>
      <c r="Q613" s="154"/>
      <c r="R613" s="174"/>
      <c r="S613" s="523"/>
      <c r="T613" s="523"/>
      <c r="U613" s="154"/>
      <c r="V613" s="155"/>
      <c r="W613" s="156"/>
      <c r="X613" s="154"/>
      <c r="Y613" s="155"/>
      <c r="Z613" s="155"/>
      <c r="AA613" s="157"/>
      <c r="AB613" s="217"/>
      <c r="AC613" s="150"/>
      <c r="AD613" s="151"/>
      <c r="AE613" s="152"/>
      <c r="AF613" s="506"/>
      <c r="AG613" s="463"/>
      <c r="AH613" s="150"/>
      <c r="AI613" s="152"/>
      <c r="AJ613" s="150"/>
      <c r="AK613" s="152"/>
      <c r="AL613" s="150"/>
      <c r="AM613" s="152"/>
      <c r="AN613" s="150"/>
      <c r="AO613" s="151"/>
      <c r="AP613" s="151"/>
      <c r="AQ613" s="169"/>
      <c r="AR613" s="169"/>
      <c r="AS613" s="149"/>
      <c r="AT613" s="324"/>
      <c r="AU613" s="324"/>
      <c r="AV613" s="324"/>
      <c r="AW613" s="324"/>
      <c r="AX613" s="324"/>
      <c r="AY613" s="324"/>
      <c r="AZ613" s="154"/>
      <c r="BA613" s="419"/>
      <c r="BB613" s="419"/>
      <c r="BC613" s="419"/>
      <c r="BD613" s="419"/>
      <c r="BE613" s="418"/>
      <c r="BF613" s="154"/>
      <c r="BG613" s="419"/>
      <c r="BH613" s="419"/>
      <c r="BI613" s="419"/>
      <c r="BJ613" s="419"/>
      <c r="BK613" s="418"/>
      <c r="BL613" s="36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561"/>
    </row>
    <row r="614" spans="1:74" s="2" customFormat="1" ht="24.9" customHeight="1">
      <c r="A614" s="147" t="s">
        <v>85</v>
      </c>
      <c r="B614" s="158"/>
      <c r="C614" s="179"/>
      <c r="D614" s="158"/>
      <c r="E614" s="160"/>
      <c r="F614" s="161"/>
      <c r="G614" s="161"/>
      <c r="H614" s="161"/>
      <c r="I614" s="154"/>
      <c r="J614" s="418"/>
      <c r="K614" s="419"/>
      <c r="L614" s="154"/>
      <c r="M614" s="418"/>
      <c r="N614" s="419"/>
      <c r="O614" s="150"/>
      <c r="P614" s="164"/>
      <c r="Q614" s="154"/>
      <c r="R614" s="174"/>
      <c r="S614" s="523"/>
      <c r="T614" s="523"/>
      <c r="U614" s="154"/>
      <c r="V614" s="155"/>
      <c r="W614" s="156"/>
      <c r="X614" s="154"/>
      <c r="Y614" s="155"/>
      <c r="Z614" s="155"/>
      <c r="AA614" s="157"/>
      <c r="AB614" s="217"/>
      <c r="AC614" s="150"/>
      <c r="AD614" s="151"/>
      <c r="AE614" s="152"/>
      <c r="AF614" s="506"/>
      <c r="AG614" s="463"/>
      <c r="AH614" s="150"/>
      <c r="AI614" s="152"/>
      <c r="AJ614" s="150"/>
      <c r="AK614" s="152"/>
      <c r="AL614" s="150"/>
      <c r="AM614" s="152"/>
      <c r="AN614" s="150"/>
      <c r="AO614" s="151"/>
      <c r="AP614" s="151"/>
      <c r="AQ614" s="169"/>
      <c r="AR614" s="169"/>
      <c r="AS614" s="149"/>
      <c r="AT614" s="324"/>
      <c r="AU614" s="324"/>
      <c r="AV614" s="324"/>
      <c r="AW614" s="324"/>
      <c r="AX614" s="324"/>
      <c r="AY614" s="324"/>
      <c r="AZ614" s="154"/>
      <c r="BA614" s="419"/>
      <c r="BB614" s="419"/>
      <c r="BC614" s="419"/>
      <c r="BD614" s="419"/>
      <c r="BE614" s="418"/>
      <c r="BF614" s="154"/>
      <c r="BG614" s="419"/>
      <c r="BH614" s="419"/>
      <c r="BI614" s="419"/>
      <c r="BJ614" s="419"/>
      <c r="BK614" s="418"/>
      <c r="BL614" s="36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431"/>
    </row>
    <row r="615" spans="1:74" s="2" customFormat="1" ht="24.9" customHeight="1">
      <c r="A615" s="147" t="s">
        <v>85</v>
      </c>
      <c r="B615" s="158"/>
      <c r="C615" s="179"/>
      <c r="D615" s="158"/>
      <c r="E615" s="160"/>
      <c r="F615" s="161"/>
      <c r="G615" s="161"/>
      <c r="H615" s="161"/>
      <c r="I615" s="154"/>
      <c r="J615" s="418"/>
      <c r="K615" s="419"/>
      <c r="L615" s="154"/>
      <c r="M615" s="418"/>
      <c r="N615" s="419"/>
      <c r="O615" s="150"/>
      <c r="P615" s="164"/>
      <c r="Q615" s="154"/>
      <c r="R615" s="174"/>
      <c r="S615" s="523"/>
      <c r="T615" s="523"/>
      <c r="U615" s="154"/>
      <c r="V615" s="155"/>
      <c r="W615" s="156"/>
      <c r="X615" s="154"/>
      <c r="Y615" s="155"/>
      <c r="Z615" s="155"/>
      <c r="AA615" s="157"/>
      <c r="AB615" s="217"/>
      <c r="AC615" s="150"/>
      <c r="AD615" s="151"/>
      <c r="AE615" s="152"/>
      <c r="AF615" s="506"/>
      <c r="AG615" s="463"/>
      <c r="AH615" s="150"/>
      <c r="AI615" s="152"/>
      <c r="AJ615" s="150"/>
      <c r="AK615" s="152"/>
      <c r="AL615" s="150"/>
      <c r="AM615" s="152"/>
      <c r="AN615" s="150"/>
      <c r="AO615" s="151"/>
      <c r="AP615" s="151"/>
      <c r="AQ615" s="169"/>
      <c r="AR615" s="169"/>
      <c r="AS615" s="149"/>
      <c r="AT615" s="324"/>
      <c r="AU615" s="324"/>
      <c r="AV615" s="324"/>
      <c r="AW615" s="324"/>
      <c r="AX615" s="324"/>
      <c r="AY615" s="324"/>
      <c r="AZ615" s="154"/>
      <c r="BA615" s="419"/>
      <c r="BB615" s="419"/>
      <c r="BC615" s="419"/>
      <c r="BD615" s="419"/>
      <c r="BE615" s="418"/>
      <c r="BF615" s="154"/>
      <c r="BG615" s="419"/>
      <c r="BH615" s="419"/>
      <c r="BI615" s="419"/>
      <c r="BJ615" s="419"/>
      <c r="BK615" s="418"/>
      <c r="BL615" s="36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561"/>
    </row>
    <row r="616" spans="1:74" s="2" customFormat="1" ht="24.9" customHeight="1">
      <c r="A616" s="147" t="s">
        <v>85</v>
      </c>
      <c r="B616" s="158"/>
      <c r="C616" s="179"/>
      <c r="D616" s="158"/>
      <c r="E616" s="160"/>
      <c r="F616" s="161"/>
      <c r="G616" s="161"/>
      <c r="H616" s="161"/>
      <c r="I616" s="154"/>
      <c r="J616" s="418"/>
      <c r="K616" s="419"/>
      <c r="L616" s="154"/>
      <c r="M616" s="418"/>
      <c r="N616" s="419"/>
      <c r="O616" s="150"/>
      <c r="P616" s="164"/>
      <c r="Q616" s="154"/>
      <c r="R616" s="174"/>
      <c r="S616" s="523"/>
      <c r="T616" s="523"/>
      <c r="U616" s="154"/>
      <c r="V616" s="155"/>
      <c r="W616" s="156"/>
      <c r="X616" s="154"/>
      <c r="Y616" s="155"/>
      <c r="Z616" s="155"/>
      <c r="AA616" s="157"/>
      <c r="AB616" s="217"/>
      <c r="AC616" s="150"/>
      <c r="AD616" s="151"/>
      <c r="AE616" s="152"/>
      <c r="AF616" s="506"/>
      <c r="AG616" s="463"/>
      <c r="AH616" s="150"/>
      <c r="AI616" s="152"/>
      <c r="AJ616" s="150"/>
      <c r="AK616" s="152"/>
      <c r="AL616" s="150"/>
      <c r="AM616" s="152"/>
      <c r="AN616" s="150"/>
      <c r="AO616" s="151"/>
      <c r="AP616" s="151"/>
      <c r="AQ616" s="169"/>
      <c r="AR616" s="169"/>
      <c r="AS616" s="149"/>
      <c r="AT616" s="324"/>
      <c r="AU616" s="324"/>
      <c r="AV616" s="324"/>
      <c r="AW616" s="324"/>
      <c r="AX616" s="324"/>
      <c r="AY616" s="324"/>
      <c r="AZ616" s="154"/>
      <c r="BA616" s="419"/>
      <c r="BB616" s="419"/>
      <c r="BC616" s="419"/>
      <c r="BD616" s="419"/>
      <c r="BE616" s="418"/>
      <c r="BF616" s="154"/>
      <c r="BG616" s="419"/>
      <c r="BH616" s="419"/>
      <c r="BI616" s="419"/>
      <c r="BJ616" s="419"/>
      <c r="BK616" s="418"/>
      <c r="BL616" s="36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431"/>
    </row>
    <row r="617" spans="1:74" s="2" customFormat="1" ht="24.9" customHeight="1">
      <c r="A617" s="147" t="s">
        <v>85</v>
      </c>
      <c r="B617" s="158"/>
      <c r="C617" s="179"/>
      <c r="D617" s="158"/>
      <c r="E617" s="160"/>
      <c r="F617" s="161"/>
      <c r="G617" s="161"/>
      <c r="H617" s="161"/>
      <c r="I617" s="154"/>
      <c r="J617" s="418"/>
      <c r="K617" s="419"/>
      <c r="L617" s="154"/>
      <c r="M617" s="418"/>
      <c r="N617" s="419"/>
      <c r="O617" s="150"/>
      <c r="P617" s="164"/>
      <c r="Q617" s="154"/>
      <c r="R617" s="174"/>
      <c r="S617" s="523"/>
      <c r="T617" s="523"/>
      <c r="U617" s="154"/>
      <c r="V617" s="155"/>
      <c r="W617" s="156"/>
      <c r="X617" s="154"/>
      <c r="Y617" s="155"/>
      <c r="Z617" s="155"/>
      <c r="AA617" s="157"/>
      <c r="AB617" s="217"/>
      <c r="AC617" s="150"/>
      <c r="AD617" s="151"/>
      <c r="AE617" s="152"/>
      <c r="AF617" s="506"/>
      <c r="AG617" s="463"/>
      <c r="AH617" s="150"/>
      <c r="AI617" s="152"/>
      <c r="AJ617" s="150"/>
      <c r="AK617" s="152"/>
      <c r="AL617" s="150"/>
      <c r="AM617" s="152"/>
      <c r="AN617" s="150"/>
      <c r="AO617" s="151"/>
      <c r="AP617" s="151"/>
      <c r="AQ617" s="169"/>
      <c r="AR617" s="169"/>
      <c r="AS617" s="149"/>
      <c r="AT617" s="324"/>
      <c r="AU617" s="324"/>
      <c r="AV617" s="324"/>
      <c r="AW617" s="324"/>
      <c r="AX617" s="324"/>
      <c r="AY617" s="324"/>
      <c r="AZ617" s="154"/>
      <c r="BA617" s="419"/>
      <c r="BB617" s="419"/>
      <c r="BC617" s="419"/>
      <c r="BD617" s="419"/>
      <c r="BE617" s="418"/>
      <c r="BF617" s="154"/>
      <c r="BG617" s="419"/>
      <c r="BH617" s="419"/>
      <c r="BI617" s="419"/>
      <c r="BJ617" s="419"/>
      <c r="BK617" s="418"/>
      <c r="BL617" s="36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561"/>
    </row>
    <row r="618" spans="1:74" s="2" customFormat="1" ht="24.9" customHeight="1">
      <c r="A618" s="147" t="s">
        <v>85</v>
      </c>
      <c r="B618" s="158"/>
      <c r="C618" s="179"/>
      <c r="D618" s="158"/>
      <c r="E618" s="160"/>
      <c r="F618" s="161"/>
      <c r="G618" s="161"/>
      <c r="H618" s="161"/>
      <c r="I618" s="154"/>
      <c r="J618" s="418"/>
      <c r="K618" s="419"/>
      <c r="L618" s="154"/>
      <c r="M618" s="418"/>
      <c r="N618" s="419"/>
      <c r="O618" s="150"/>
      <c r="P618" s="164"/>
      <c r="Q618" s="154"/>
      <c r="R618" s="174"/>
      <c r="S618" s="523"/>
      <c r="T618" s="523"/>
      <c r="U618" s="154"/>
      <c r="V618" s="155"/>
      <c r="W618" s="156"/>
      <c r="X618" s="154"/>
      <c r="Y618" s="155"/>
      <c r="Z618" s="155"/>
      <c r="AA618" s="157"/>
      <c r="AB618" s="217"/>
      <c r="AC618" s="150"/>
      <c r="AD618" s="151"/>
      <c r="AE618" s="152"/>
      <c r="AF618" s="506"/>
      <c r="AG618" s="463"/>
      <c r="AH618" s="150"/>
      <c r="AI618" s="152"/>
      <c r="AJ618" s="150"/>
      <c r="AK618" s="152"/>
      <c r="AL618" s="150"/>
      <c r="AM618" s="152"/>
      <c r="AN618" s="150"/>
      <c r="AO618" s="151"/>
      <c r="AP618" s="151"/>
      <c r="AQ618" s="169"/>
      <c r="AR618" s="169"/>
      <c r="AS618" s="149"/>
      <c r="AT618" s="324"/>
      <c r="AU618" s="324"/>
      <c r="AV618" s="324"/>
      <c r="AW618" s="324"/>
      <c r="AX618" s="324"/>
      <c r="AY618" s="324"/>
      <c r="AZ618" s="154"/>
      <c r="BA618" s="419"/>
      <c r="BB618" s="419"/>
      <c r="BC618" s="419"/>
      <c r="BD618" s="419"/>
      <c r="BE618" s="418"/>
      <c r="BF618" s="154"/>
      <c r="BG618" s="419"/>
      <c r="BH618" s="419"/>
      <c r="BI618" s="419"/>
      <c r="BJ618" s="419"/>
      <c r="BK618" s="418"/>
      <c r="BL618" s="36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431"/>
    </row>
    <row r="619" spans="1:74" s="2" customFormat="1" ht="24.9" customHeight="1">
      <c r="A619" s="147" t="s">
        <v>85</v>
      </c>
      <c r="B619" s="158"/>
      <c r="C619" s="179"/>
      <c r="D619" s="158"/>
      <c r="E619" s="160"/>
      <c r="F619" s="161"/>
      <c r="G619" s="161"/>
      <c r="H619" s="161"/>
      <c r="I619" s="154"/>
      <c r="J619" s="418"/>
      <c r="K619" s="419"/>
      <c r="L619" s="154"/>
      <c r="M619" s="418"/>
      <c r="N619" s="419"/>
      <c r="O619" s="150"/>
      <c r="P619" s="164"/>
      <c r="Q619" s="154"/>
      <c r="R619" s="151"/>
      <c r="S619" s="522"/>
      <c r="T619" s="522"/>
      <c r="U619" s="154"/>
      <c r="V619" s="155"/>
      <c r="W619" s="156"/>
      <c r="X619" s="154"/>
      <c r="Y619" s="155"/>
      <c r="Z619" s="155"/>
      <c r="AA619" s="157"/>
      <c r="AB619" s="217"/>
      <c r="AC619" s="150"/>
      <c r="AD619" s="151"/>
      <c r="AE619" s="152"/>
      <c r="AF619" s="506"/>
      <c r="AG619" s="463"/>
      <c r="AH619" s="150"/>
      <c r="AI619" s="152"/>
      <c r="AJ619" s="150"/>
      <c r="AK619" s="152"/>
      <c r="AL619" s="150"/>
      <c r="AM619" s="152"/>
      <c r="AN619" s="150"/>
      <c r="AO619" s="151"/>
      <c r="AP619" s="151"/>
      <c r="AQ619" s="169"/>
      <c r="AR619" s="169"/>
      <c r="AS619" s="149"/>
      <c r="AT619" s="324"/>
      <c r="AU619" s="324"/>
      <c r="AV619" s="324"/>
      <c r="AW619" s="324"/>
      <c r="AX619" s="324"/>
      <c r="AY619" s="324"/>
      <c r="AZ619" s="154"/>
      <c r="BA619" s="419"/>
      <c r="BB619" s="419"/>
      <c r="BC619" s="419"/>
      <c r="BD619" s="419"/>
      <c r="BE619" s="418"/>
      <c r="BF619" s="154"/>
      <c r="BG619" s="419"/>
      <c r="BH619" s="419"/>
      <c r="BI619" s="419"/>
      <c r="BJ619" s="419"/>
      <c r="BK619" s="418"/>
      <c r="BL619" s="36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432"/>
    </row>
    <row r="620" spans="1:74" s="2" customFormat="1" ht="24.9" customHeight="1">
      <c r="A620" s="147" t="s">
        <v>85</v>
      </c>
      <c r="B620" s="158"/>
      <c r="C620" s="179"/>
      <c r="D620" s="158"/>
      <c r="E620" s="160"/>
      <c r="F620" s="161"/>
      <c r="G620" s="161"/>
      <c r="H620" s="161"/>
      <c r="I620" s="154"/>
      <c r="J620" s="418"/>
      <c r="K620" s="419"/>
      <c r="L620" s="154"/>
      <c r="M620" s="418"/>
      <c r="N620" s="419"/>
      <c r="O620" s="150"/>
      <c r="P620" s="164"/>
      <c r="Q620" s="154"/>
      <c r="R620" s="174"/>
      <c r="S620" s="523"/>
      <c r="T620" s="523"/>
      <c r="U620" s="154"/>
      <c r="V620" s="155"/>
      <c r="W620" s="156"/>
      <c r="X620" s="154"/>
      <c r="Y620" s="155"/>
      <c r="Z620" s="155"/>
      <c r="AA620" s="157"/>
      <c r="AB620" s="217"/>
      <c r="AC620" s="150"/>
      <c r="AD620" s="151"/>
      <c r="AE620" s="152"/>
      <c r="AF620" s="506"/>
      <c r="AG620" s="463"/>
      <c r="AH620" s="150"/>
      <c r="AI620" s="152"/>
      <c r="AJ620" s="150"/>
      <c r="AK620" s="152"/>
      <c r="AL620" s="150"/>
      <c r="AM620" s="152"/>
      <c r="AN620" s="150"/>
      <c r="AO620" s="151"/>
      <c r="AP620" s="151"/>
      <c r="AQ620" s="169"/>
      <c r="AR620" s="169"/>
      <c r="AS620" s="149"/>
      <c r="AT620" s="324"/>
      <c r="AU620" s="324"/>
      <c r="AV620" s="324"/>
      <c r="AW620" s="324"/>
      <c r="AX620" s="324"/>
      <c r="AY620" s="324"/>
      <c r="AZ620" s="154"/>
      <c r="BA620" s="419"/>
      <c r="BB620" s="419"/>
      <c r="BC620" s="419"/>
      <c r="BD620" s="419"/>
      <c r="BE620" s="418"/>
      <c r="BF620" s="154"/>
      <c r="BG620" s="419"/>
      <c r="BH620" s="419"/>
      <c r="BI620" s="419"/>
      <c r="BJ620" s="419"/>
      <c r="BK620" s="418"/>
      <c r="BL620" s="36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561"/>
    </row>
    <row r="621" spans="1:74" s="2" customFormat="1" ht="24.9" customHeight="1">
      <c r="A621" s="147" t="s">
        <v>85</v>
      </c>
      <c r="B621" s="158"/>
      <c r="C621" s="179"/>
      <c r="D621" s="158"/>
      <c r="E621" s="160"/>
      <c r="F621" s="161"/>
      <c r="G621" s="161"/>
      <c r="H621" s="161"/>
      <c r="I621" s="154"/>
      <c r="J621" s="418"/>
      <c r="K621" s="419"/>
      <c r="L621" s="154"/>
      <c r="M621" s="418"/>
      <c r="N621" s="419"/>
      <c r="O621" s="150"/>
      <c r="P621" s="164"/>
      <c r="Q621" s="154"/>
      <c r="R621" s="174"/>
      <c r="S621" s="523"/>
      <c r="T621" s="523"/>
      <c r="U621" s="154"/>
      <c r="V621" s="155"/>
      <c r="W621" s="156"/>
      <c r="X621" s="154"/>
      <c r="Y621" s="155"/>
      <c r="Z621" s="155"/>
      <c r="AA621" s="157"/>
      <c r="AB621" s="217"/>
      <c r="AC621" s="150"/>
      <c r="AD621" s="151"/>
      <c r="AE621" s="152"/>
      <c r="AF621" s="506"/>
      <c r="AG621" s="463"/>
      <c r="AH621" s="150"/>
      <c r="AI621" s="152"/>
      <c r="AJ621" s="150"/>
      <c r="AK621" s="152"/>
      <c r="AL621" s="150"/>
      <c r="AM621" s="152"/>
      <c r="AN621" s="150"/>
      <c r="AO621" s="151"/>
      <c r="AP621" s="151"/>
      <c r="AQ621" s="169"/>
      <c r="AR621" s="169"/>
      <c r="AS621" s="149"/>
      <c r="AT621" s="324"/>
      <c r="AU621" s="324"/>
      <c r="AV621" s="324"/>
      <c r="AW621" s="324"/>
      <c r="AX621" s="324"/>
      <c r="AY621" s="324"/>
      <c r="AZ621" s="154"/>
      <c r="BA621" s="419"/>
      <c r="BB621" s="419"/>
      <c r="BC621" s="419"/>
      <c r="BD621" s="419"/>
      <c r="BE621" s="418"/>
      <c r="BF621" s="154"/>
      <c r="BG621" s="419"/>
      <c r="BH621" s="419"/>
      <c r="BI621" s="419"/>
      <c r="BJ621" s="419"/>
      <c r="BK621" s="418"/>
      <c r="BL621" s="36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431"/>
    </row>
    <row r="622" spans="1:74" s="2" customFormat="1" ht="24.9" customHeight="1">
      <c r="A622" s="147" t="s">
        <v>85</v>
      </c>
      <c r="B622" s="158"/>
      <c r="C622" s="179"/>
      <c r="D622" s="158"/>
      <c r="E622" s="160"/>
      <c r="F622" s="161"/>
      <c r="G622" s="161"/>
      <c r="H622" s="161"/>
      <c r="I622" s="154"/>
      <c r="J622" s="418"/>
      <c r="K622" s="419"/>
      <c r="L622" s="154"/>
      <c r="M622" s="418"/>
      <c r="N622" s="419"/>
      <c r="O622" s="150"/>
      <c r="P622" s="164"/>
      <c r="Q622" s="154"/>
      <c r="R622" s="151"/>
      <c r="S622" s="522"/>
      <c r="T622" s="522"/>
      <c r="U622" s="154"/>
      <c r="V622" s="155"/>
      <c r="W622" s="156"/>
      <c r="X622" s="154"/>
      <c r="Y622" s="155"/>
      <c r="Z622" s="155"/>
      <c r="AA622" s="157"/>
      <c r="AB622" s="217"/>
      <c r="AC622" s="150"/>
      <c r="AD622" s="151"/>
      <c r="AE622" s="152"/>
      <c r="AF622" s="506"/>
      <c r="AG622" s="463"/>
      <c r="AH622" s="150"/>
      <c r="AI622" s="152"/>
      <c r="AJ622" s="150"/>
      <c r="AK622" s="152"/>
      <c r="AL622" s="150"/>
      <c r="AM622" s="152"/>
      <c r="AN622" s="150"/>
      <c r="AO622" s="151"/>
      <c r="AP622" s="151"/>
      <c r="AQ622" s="169"/>
      <c r="AR622" s="169"/>
      <c r="AS622" s="149"/>
      <c r="AT622" s="324"/>
      <c r="AU622" s="324"/>
      <c r="AV622" s="324"/>
      <c r="AW622" s="324"/>
      <c r="AX622" s="324"/>
      <c r="AY622" s="324"/>
      <c r="AZ622" s="154"/>
      <c r="BA622" s="419"/>
      <c r="BB622" s="419"/>
      <c r="BC622" s="419"/>
      <c r="BD622" s="419"/>
      <c r="BE622" s="418"/>
      <c r="BF622" s="154"/>
      <c r="BG622" s="419"/>
      <c r="BH622" s="419"/>
      <c r="BI622" s="419"/>
      <c r="BJ622" s="419"/>
      <c r="BK622" s="418"/>
      <c r="BL622" s="36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432"/>
    </row>
    <row r="623" spans="1:74" s="2" customFormat="1" ht="24.9" customHeight="1">
      <c r="A623" s="147" t="s">
        <v>85</v>
      </c>
      <c r="B623" s="158"/>
      <c r="C623" s="179"/>
      <c r="D623" s="158"/>
      <c r="E623" s="160"/>
      <c r="F623" s="161"/>
      <c r="G623" s="161"/>
      <c r="H623" s="161"/>
      <c r="I623" s="154"/>
      <c r="J623" s="418"/>
      <c r="K623" s="419"/>
      <c r="L623" s="154"/>
      <c r="M623" s="418"/>
      <c r="N623" s="419"/>
      <c r="O623" s="150"/>
      <c r="P623" s="164"/>
      <c r="Q623" s="154"/>
      <c r="R623" s="174"/>
      <c r="S623" s="523"/>
      <c r="T623" s="523"/>
      <c r="U623" s="154"/>
      <c r="V623" s="155"/>
      <c r="W623" s="156"/>
      <c r="X623" s="154"/>
      <c r="Y623" s="155"/>
      <c r="Z623" s="155"/>
      <c r="AA623" s="157"/>
      <c r="AB623" s="217"/>
      <c r="AC623" s="150"/>
      <c r="AD623" s="151"/>
      <c r="AE623" s="152"/>
      <c r="AF623" s="506"/>
      <c r="AG623" s="463"/>
      <c r="AH623" s="150"/>
      <c r="AI623" s="152"/>
      <c r="AJ623" s="150"/>
      <c r="AK623" s="152"/>
      <c r="AL623" s="150"/>
      <c r="AM623" s="152"/>
      <c r="AN623" s="150"/>
      <c r="AO623" s="151"/>
      <c r="AP623" s="151"/>
      <c r="AQ623" s="169"/>
      <c r="AR623" s="169"/>
      <c r="AS623" s="149"/>
      <c r="AT623" s="324"/>
      <c r="AU623" s="324"/>
      <c r="AV623" s="324"/>
      <c r="AW623" s="324"/>
      <c r="AX623" s="324"/>
      <c r="AY623" s="324"/>
      <c r="AZ623" s="154"/>
      <c r="BA623" s="419"/>
      <c r="BB623" s="419"/>
      <c r="BC623" s="419"/>
      <c r="BD623" s="419"/>
      <c r="BE623" s="418"/>
      <c r="BF623" s="154"/>
      <c r="BG623" s="419"/>
      <c r="BH623" s="419"/>
      <c r="BI623" s="419"/>
      <c r="BJ623" s="419"/>
      <c r="BK623" s="418"/>
      <c r="BL623" s="36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561"/>
    </row>
    <row r="624" spans="1:74" s="2" customFormat="1" ht="24.9" customHeight="1">
      <c r="A624" s="147" t="s">
        <v>85</v>
      </c>
      <c r="B624" s="158"/>
      <c r="C624" s="179"/>
      <c r="D624" s="158"/>
      <c r="E624" s="160"/>
      <c r="F624" s="161"/>
      <c r="G624" s="161"/>
      <c r="H624" s="161"/>
      <c r="I624" s="154"/>
      <c r="J624" s="418"/>
      <c r="K624" s="419"/>
      <c r="L624" s="154"/>
      <c r="M624" s="418"/>
      <c r="N624" s="419"/>
      <c r="O624" s="150"/>
      <c r="P624" s="164"/>
      <c r="Q624" s="154"/>
      <c r="R624" s="174"/>
      <c r="S624" s="523"/>
      <c r="T624" s="523"/>
      <c r="U624" s="154"/>
      <c r="V624" s="155"/>
      <c r="W624" s="156"/>
      <c r="X624" s="154"/>
      <c r="Y624" s="155"/>
      <c r="Z624" s="155"/>
      <c r="AA624" s="157"/>
      <c r="AB624" s="217"/>
      <c r="AC624" s="150"/>
      <c r="AD624" s="151"/>
      <c r="AE624" s="152"/>
      <c r="AF624" s="506"/>
      <c r="AG624" s="463"/>
      <c r="AH624" s="150"/>
      <c r="AI624" s="152"/>
      <c r="AJ624" s="150"/>
      <c r="AK624" s="152"/>
      <c r="AL624" s="150"/>
      <c r="AM624" s="152"/>
      <c r="AN624" s="150"/>
      <c r="AO624" s="151"/>
      <c r="AP624" s="151"/>
      <c r="AQ624" s="169"/>
      <c r="AR624" s="169"/>
      <c r="AS624" s="149"/>
      <c r="AT624" s="324"/>
      <c r="AU624" s="324"/>
      <c r="AV624" s="324"/>
      <c r="AW624" s="324"/>
      <c r="AX624" s="324"/>
      <c r="AY624" s="324"/>
      <c r="AZ624" s="154"/>
      <c r="BA624" s="419"/>
      <c r="BB624" s="419"/>
      <c r="BC624" s="419"/>
      <c r="BD624" s="419"/>
      <c r="BE624" s="418"/>
      <c r="BF624" s="154"/>
      <c r="BG624" s="419"/>
      <c r="BH624" s="419"/>
      <c r="BI624" s="419"/>
      <c r="BJ624" s="419"/>
      <c r="BK624" s="418"/>
      <c r="BL624" s="36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431"/>
    </row>
    <row r="625" spans="1:74" s="2" customFormat="1" ht="24.9" customHeight="1">
      <c r="A625" s="147" t="s">
        <v>85</v>
      </c>
      <c r="B625" s="158"/>
      <c r="C625" s="179"/>
      <c r="D625" s="158"/>
      <c r="E625" s="160"/>
      <c r="F625" s="161"/>
      <c r="G625" s="161"/>
      <c r="H625" s="161"/>
      <c r="I625" s="154"/>
      <c r="J625" s="418"/>
      <c r="K625" s="419"/>
      <c r="L625" s="154"/>
      <c r="M625" s="418"/>
      <c r="N625" s="419"/>
      <c r="O625" s="150"/>
      <c r="P625" s="164"/>
      <c r="Q625" s="154"/>
      <c r="R625" s="174"/>
      <c r="S625" s="523"/>
      <c r="T625" s="523"/>
      <c r="U625" s="154"/>
      <c r="V625" s="155"/>
      <c r="W625" s="156"/>
      <c r="X625" s="154"/>
      <c r="Y625" s="155"/>
      <c r="Z625" s="155"/>
      <c r="AA625" s="157"/>
      <c r="AB625" s="217"/>
      <c r="AC625" s="150"/>
      <c r="AD625" s="151"/>
      <c r="AE625" s="152"/>
      <c r="AF625" s="506"/>
      <c r="AG625" s="463"/>
      <c r="AH625" s="150"/>
      <c r="AI625" s="152"/>
      <c r="AJ625" s="150"/>
      <c r="AK625" s="152"/>
      <c r="AL625" s="150"/>
      <c r="AM625" s="152"/>
      <c r="AN625" s="150"/>
      <c r="AO625" s="151"/>
      <c r="AP625" s="151"/>
      <c r="AQ625" s="169"/>
      <c r="AR625" s="169"/>
      <c r="AS625" s="149"/>
      <c r="AT625" s="324"/>
      <c r="AU625" s="324"/>
      <c r="AV625" s="324"/>
      <c r="AW625" s="324"/>
      <c r="AX625" s="324"/>
      <c r="AY625" s="324"/>
      <c r="AZ625" s="154"/>
      <c r="BA625" s="419"/>
      <c r="BB625" s="419"/>
      <c r="BC625" s="419"/>
      <c r="BD625" s="419"/>
      <c r="BE625" s="418"/>
      <c r="BF625" s="154"/>
      <c r="BG625" s="419"/>
      <c r="BH625" s="419"/>
      <c r="BI625" s="419"/>
      <c r="BJ625" s="419"/>
      <c r="BK625" s="418"/>
      <c r="BL625" s="36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561"/>
    </row>
    <row r="626" spans="1:74" s="2" customFormat="1" ht="24.9" customHeight="1">
      <c r="A626" s="147"/>
      <c r="B626" s="40"/>
      <c r="C626" s="59"/>
      <c r="D626" s="40"/>
      <c r="E626" s="140"/>
      <c r="F626" s="44"/>
      <c r="G626" s="44"/>
      <c r="H626" s="44"/>
      <c r="I626" s="50" t="s">
        <v>6</v>
      </c>
      <c r="J626" s="145" t="s">
        <v>6</v>
      </c>
      <c r="K626" s="420"/>
      <c r="L626" s="50" t="s">
        <v>6</v>
      </c>
      <c r="M626" s="145" t="s">
        <v>6</v>
      </c>
      <c r="N626" s="420"/>
      <c r="O626" s="46" t="s">
        <v>6</v>
      </c>
      <c r="P626" s="47" t="s">
        <v>6</v>
      </c>
      <c r="Q626" s="50" t="s">
        <v>6</v>
      </c>
      <c r="R626" s="48" t="s">
        <v>6</v>
      </c>
      <c r="S626" s="524"/>
      <c r="T626" s="524"/>
      <c r="U626" s="50" t="s">
        <v>6</v>
      </c>
      <c r="V626" s="51" t="s">
        <v>6</v>
      </c>
      <c r="W626" s="52" t="s">
        <v>6</v>
      </c>
      <c r="X626" s="50" t="s">
        <v>6</v>
      </c>
      <c r="Y626" s="51" t="s">
        <v>6</v>
      </c>
      <c r="Z626" s="51" t="s">
        <v>6</v>
      </c>
      <c r="AA626" s="41" t="s">
        <v>6</v>
      </c>
      <c r="AB626" s="216"/>
      <c r="AC626" s="46" t="s">
        <v>6</v>
      </c>
      <c r="AD626" s="48" t="s">
        <v>6</v>
      </c>
      <c r="AE626" s="53" t="s">
        <v>6</v>
      </c>
      <c r="AF626" s="508"/>
      <c r="AG626" s="146" t="s">
        <v>6</v>
      </c>
      <c r="AH626" s="46" t="s">
        <v>6</v>
      </c>
      <c r="AI626" s="53" t="s">
        <v>6</v>
      </c>
      <c r="AJ626" s="46" t="s">
        <v>6</v>
      </c>
      <c r="AK626" s="53" t="s">
        <v>6</v>
      </c>
      <c r="AL626" s="46" t="s">
        <v>6</v>
      </c>
      <c r="AM626" s="53" t="s">
        <v>6</v>
      </c>
      <c r="AN626" s="46" t="s">
        <v>6</v>
      </c>
      <c r="AO626" s="48" t="s">
        <v>6</v>
      </c>
      <c r="AP626" s="48" t="s">
        <v>6</v>
      </c>
      <c r="AQ626" s="132" t="str">
        <f t="shared" ref="AQ626:AQ632" si="0">IF(AN626=" - "," - ",AP626/AN626)</f>
        <v xml:space="preserve"> - </v>
      </c>
      <c r="AR626" s="132" t="str">
        <f t="shared" ref="AR626:AR632" si="1">IF(AO626=" - "," - ",AP626/AO626)</f>
        <v xml:space="preserve"> - </v>
      </c>
      <c r="AS626" s="49" t="s">
        <v>6</v>
      </c>
      <c r="AT626" s="325"/>
      <c r="AU626" s="325"/>
      <c r="AV626" s="325"/>
      <c r="AW626" s="325"/>
      <c r="AX626" s="325"/>
      <c r="AY626" s="325"/>
      <c r="AZ626" s="50" t="s">
        <v>6</v>
      </c>
      <c r="BA626" s="420"/>
      <c r="BB626" s="420"/>
      <c r="BC626" s="420"/>
      <c r="BD626" s="420"/>
      <c r="BE626" s="145" t="s">
        <v>6</v>
      </c>
      <c r="BF626" s="50" t="s">
        <v>6</v>
      </c>
      <c r="BG626" s="420"/>
      <c r="BH626" s="420"/>
      <c r="BI626" s="420"/>
      <c r="BJ626" s="420"/>
      <c r="BK626" s="145" t="s">
        <v>6</v>
      </c>
      <c r="BL626" s="36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57" t="s">
        <v>6</v>
      </c>
    </row>
    <row r="627" spans="1:74" s="2" customFormat="1" ht="24.9" customHeight="1">
      <c r="A627" s="147"/>
      <c r="B627" s="40"/>
      <c r="C627" s="59"/>
      <c r="D627" s="40"/>
      <c r="E627" s="140"/>
      <c r="F627" s="44"/>
      <c r="G627" s="44"/>
      <c r="H627" s="44"/>
      <c r="I627" s="50" t="s">
        <v>6</v>
      </c>
      <c r="J627" s="145" t="s">
        <v>6</v>
      </c>
      <c r="K627" s="420"/>
      <c r="L627" s="50" t="s">
        <v>6</v>
      </c>
      <c r="M627" s="145" t="s">
        <v>6</v>
      </c>
      <c r="N627" s="420"/>
      <c r="O627" s="46" t="s">
        <v>6</v>
      </c>
      <c r="P627" s="47" t="s">
        <v>6</v>
      </c>
      <c r="Q627" s="46" t="s">
        <v>6</v>
      </c>
      <c r="R627" s="48" t="s">
        <v>6</v>
      </c>
      <c r="S627" s="524"/>
      <c r="T627" s="524"/>
      <c r="U627" s="50" t="s">
        <v>6</v>
      </c>
      <c r="V627" s="51" t="s">
        <v>6</v>
      </c>
      <c r="W627" s="52" t="s">
        <v>6</v>
      </c>
      <c r="X627" s="50" t="s">
        <v>6</v>
      </c>
      <c r="Y627" s="51" t="s">
        <v>6</v>
      </c>
      <c r="Z627" s="51" t="s">
        <v>6</v>
      </c>
      <c r="AA627" s="41" t="s">
        <v>6</v>
      </c>
      <c r="AB627" s="216"/>
      <c r="AC627" s="46" t="s">
        <v>6</v>
      </c>
      <c r="AD627" s="48" t="s">
        <v>6</v>
      </c>
      <c r="AE627" s="53" t="s">
        <v>6</v>
      </c>
      <c r="AF627" s="508"/>
      <c r="AG627" s="146" t="s">
        <v>6</v>
      </c>
      <c r="AH627" s="46" t="s">
        <v>6</v>
      </c>
      <c r="AI627" s="53" t="s">
        <v>6</v>
      </c>
      <c r="AJ627" s="46" t="s">
        <v>6</v>
      </c>
      <c r="AK627" s="53" t="s">
        <v>6</v>
      </c>
      <c r="AL627" s="46" t="s">
        <v>6</v>
      </c>
      <c r="AM627" s="53" t="s">
        <v>6</v>
      </c>
      <c r="AN627" s="46" t="s">
        <v>6</v>
      </c>
      <c r="AO627" s="48" t="s">
        <v>6</v>
      </c>
      <c r="AP627" s="48" t="s">
        <v>6</v>
      </c>
      <c r="AQ627" s="132" t="str">
        <f t="shared" si="0"/>
        <v xml:space="preserve"> - </v>
      </c>
      <c r="AR627" s="132" t="str">
        <f t="shared" si="1"/>
        <v xml:space="preserve"> - </v>
      </c>
      <c r="AS627" s="49" t="s">
        <v>6</v>
      </c>
      <c r="AT627" s="325"/>
      <c r="AU627" s="325"/>
      <c r="AV627" s="325"/>
      <c r="AW627" s="325"/>
      <c r="AX627" s="325"/>
      <c r="AY627" s="325"/>
      <c r="AZ627" s="50" t="s">
        <v>6</v>
      </c>
      <c r="BA627" s="420"/>
      <c r="BB627" s="420"/>
      <c r="BC627" s="420"/>
      <c r="BD627" s="420"/>
      <c r="BE627" s="145" t="s">
        <v>6</v>
      </c>
      <c r="BF627" s="50" t="s">
        <v>6</v>
      </c>
      <c r="BG627" s="420"/>
      <c r="BH627" s="420"/>
      <c r="BI627" s="420"/>
      <c r="BJ627" s="420"/>
      <c r="BK627" s="145" t="s">
        <v>6</v>
      </c>
      <c r="BL627" s="36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57" t="s">
        <v>6</v>
      </c>
    </row>
    <row r="628" spans="1:74" s="2" customFormat="1" ht="24.9" customHeight="1">
      <c r="A628" s="147"/>
      <c r="B628" s="40"/>
      <c r="C628" s="59"/>
      <c r="D628" s="40"/>
      <c r="E628" s="140"/>
      <c r="F628" s="44"/>
      <c r="G628" s="44"/>
      <c r="H628" s="44"/>
      <c r="I628" s="50" t="s">
        <v>6</v>
      </c>
      <c r="J628" s="145" t="s">
        <v>6</v>
      </c>
      <c r="K628" s="420"/>
      <c r="L628" s="50" t="s">
        <v>6</v>
      </c>
      <c r="M628" s="145" t="s">
        <v>6</v>
      </c>
      <c r="N628" s="420"/>
      <c r="O628" s="46" t="s">
        <v>6</v>
      </c>
      <c r="P628" s="47" t="s">
        <v>6</v>
      </c>
      <c r="Q628" s="46" t="s">
        <v>6</v>
      </c>
      <c r="R628" s="48" t="s">
        <v>6</v>
      </c>
      <c r="S628" s="524"/>
      <c r="T628" s="524"/>
      <c r="U628" s="50" t="s">
        <v>6</v>
      </c>
      <c r="V628" s="51" t="s">
        <v>6</v>
      </c>
      <c r="W628" s="52" t="s">
        <v>6</v>
      </c>
      <c r="X628" s="50" t="s">
        <v>6</v>
      </c>
      <c r="Y628" s="51" t="s">
        <v>6</v>
      </c>
      <c r="Z628" s="51" t="s">
        <v>6</v>
      </c>
      <c r="AA628" s="41" t="s">
        <v>6</v>
      </c>
      <c r="AB628" s="216"/>
      <c r="AC628" s="46" t="s">
        <v>6</v>
      </c>
      <c r="AD628" s="48" t="s">
        <v>6</v>
      </c>
      <c r="AE628" s="53" t="s">
        <v>6</v>
      </c>
      <c r="AF628" s="508"/>
      <c r="AG628" s="146" t="s">
        <v>6</v>
      </c>
      <c r="AH628" s="46" t="s">
        <v>6</v>
      </c>
      <c r="AI628" s="53" t="s">
        <v>6</v>
      </c>
      <c r="AJ628" s="46" t="s">
        <v>6</v>
      </c>
      <c r="AK628" s="53" t="s">
        <v>6</v>
      </c>
      <c r="AL628" s="46" t="s">
        <v>6</v>
      </c>
      <c r="AM628" s="53" t="s">
        <v>6</v>
      </c>
      <c r="AN628" s="46" t="s">
        <v>6</v>
      </c>
      <c r="AO628" s="48" t="s">
        <v>6</v>
      </c>
      <c r="AP628" s="48" t="s">
        <v>6</v>
      </c>
      <c r="AQ628" s="132" t="str">
        <f t="shared" si="0"/>
        <v xml:space="preserve"> - </v>
      </c>
      <c r="AR628" s="132" t="str">
        <f t="shared" si="1"/>
        <v xml:space="preserve"> - </v>
      </c>
      <c r="AS628" s="49" t="s">
        <v>6</v>
      </c>
      <c r="AT628" s="325"/>
      <c r="AU628" s="325"/>
      <c r="AV628" s="325"/>
      <c r="AW628" s="325"/>
      <c r="AX628" s="325"/>
      <c r="AY628" s="325"/>
      <c r="AZ628" s="50" t="s">
        <v>6</v>
      </c>
      <c r="BA628" s="420"/>
      <c r="BB628" s="420"/>
      <c r="BC628" s="420"/>
      <c r="BD628" s="420"/>
      <c r="BE628" s="145" t="s">
        <v>6</v>
      </c>
      <c r="BF628" s="50" t="s">
        <v>6</v>
      </c>
      <c r="BG628" s="420"/>
      <c r="BH628" s="420"/>
      <c r="BI628" s="420"/>
      <c r="BJ628" s="420"/>
      <c r="BK628" s="145" t="s">
        <v>6</v>
      </c>
      <c r="BL628" s="36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57" t="s">
        <v>6</v>
      </c>
    </row>
    <row r="629" spans="1:74" s="2" customFormat="1" ht="24.9" customHeight="1">
      <c r="A629" s="40"/>
      <c r="B629" s="40"/>
      <c r="C629" s="59"/>
      <c r="D629" s="40"/>
      <c r="E629" s="43"/>
      <c r="F629" s="44"/>
      <c r="G629" s="44" t="str">
        <f>IF(E629="","",_xlfn.ISOWEEKNUM(E629))</f>
        <v/>
      </c>
      <c r="H629" s="44"/>
      <c r="I629" s="50" t="s">
        <v>6</v>
      </c>
      <c r="J629" s="145" t="s">
        <v>6</v>
      </c>
      <c r="K629" s="420"/>
      <c r="L629" s="50" t="s">
        <v>6</v>
      </c>
      <c r="M629" s="145" t="s">
        <v>6</v>
      </c>
      <c r="N629" s="420"/>
      <c r="O629" s="46" t="s">
        <v>6</v>
      </c>
      <c r="P629" s="47" t="s">
        <v>6</v>
      </c>
      <c r="Q629" s="46" t="s">
        <v>6</v>
      </c>
      <c r="R629" s="48" t="s">
        <v>6</v>
      </c>
      <c r="S629" s="524"/>
      <c r="T629" s="524"/>
      <c r="U629" s="50" t="s">
        <v>6</v>
      </c>
      <c r="V629" s="51" t="s">
        <v>6</v>
      </c>
      <c r="W629" s="52" t="s">
        <v>6</v>
      </c>
      <c r="X629" s="50" t="s">
        <v>6</v>
      </c>
      <c r="Y629" s="51" t="s">
        <v>6</v>
      </c>
      <c r="Z629" s="51" t="s">
        <v>6</v>
      </c>
      <c r="AA629" s="41" t="s">
        <v>6</v>
      </c>
      <c r="AB629" s="216"/>
      <c r="AC629" s="46" t="s">
        <v>6</v>
      </c>
      <c r="AD629" s="48" t="s">
        <v>6</v>
      </c>
      <c r="AE629" s="53" t="s">
        <v>6</v>
      </c>
      <c r="AF629" s="508"/>
      <c r="AG629" s="146" t="s">
        <v>6</v>
      </c>
      <c r="AH629" s="46" t="s">
        <v>6</v>
      </c>
      <c r="AI629" s="53" t="s">
        <v>6</v>
      </c>
      <c r="AJ629" s="46" t="s">
        <v>6</v>
      </c>
      <c r="AK629" s="53" t="s">
        <v>6</v>
      </c>
      <c r="AL629" s="46" t="s">
        <v>6</v>
      </c>
      <c r="AM629" s="53" t="s">
        <v>6</v>
      </c>
      <c r="AN629" s="46" t="s">
        <v>6</v>
      </c>
      <c r="AO629" s="48" t="s">
        <v>6</v>
      </c>
      <c r="AP629" s="48" t="s">
        <v>6</v>
      </c>
      <c r="AQ629" s="132" t="str">
        <f t="shared" si="0"/>
        <v xml:space="preserve"> - </v>
      </c>
      <c r="AR629" s="132" t="str">
        <f t="shared" si="1"/>
        <v xml:space="preserve"> - </v>
      </c>
      <c r="AS629" s="49" t="s">
        <v>6</v>
      </c>
      <c r="AT629" s="325"/>
      <c r="AU629" s="325"/>
      <c r="AV629" s="325"/>
      <c r="AW629" s="325"/>
      <c r="AX629" s="325"/>
      <c r="AY629" s="325"/>
      <c r="AZ629" s="50" t="s">
        <v>6</v>
      </c>
      <c r="BA629" s="420"/>
      <c r="BB629" s="420"/>
      <c r="BC629" s="420"/>
      <c r="BD629" s="420"/>
      <c r="BE629" s="145" t="s">
        <v>6</v>
      </c>
      <c r="BF629" s="50" t="s">
        <v>6</v>
      </c>
      <c r="BG629" s="420"/>
      <c r="BH629" s="420"/>
      <c r="BI629" s="420"/>
      <c r="BJ629" s="420"/>
      <c r="BK629" s="145" t="s">
        <v>6</v>
      </c>
      <c r="BL629" s="36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57" t="s">
        <v>6</v>
      </c>
    </row>
    <row r="630" spans="1:74" s="2" customFormat="1" ht="24.9" customHeight="1">
      <c r="A630" s="40"/>
      <c r="B630" s="40"/>
      <c r="C630" s="59"/>
      <c r="D630" s="40"/>
      <c r="E630" s="43"/>
      <c r="F630" s="44"/>
      <c r="G630" s="50" t="str">
        <f>IF(E630="","",_xlfn.ISOWEEKNUM(E630))</f>
        <v/>
      </c>
      <c r="H630" s="44"/>
      <c r="I630" s="50" t="s">
        <v>6</v>
      </c>
      <c r="J630" s="145" t="s">
        <v>6</v>
      </c>
      <c r="K630" s="420"/>
      <c r="L630" s="50" t="s">
        <v>6</v>
      </c>
      <c r="M630" s="145" t="s">
        <v>6</v>
      </c>
      <c r="N630" s="420"/>
      <c r="O630" s="46" t="s">
        <v>6</v>
      </c>
      <c r="P630" s="47" t="s">
        <v>6</v>
      </c>
      <c r="Q630" s="46" t="s">
        <v>6</v>
      </c>
      <c r="R630" s="48" t="s">
        <v>6</v>
      </c>
      <c r="S630" s="524"/>
      <c r="T630" s="524"/>
      <c r="U630" s="50" t="s">
        <v>6</v>
      </c>
      <c r="V630" s="51" t="s">
        <v>6</v>
      </c>
      <c r="W630" s="52" t="s">
        <v>6</v>
      </c>
      <c r="X630" s="50" t="s">
        <v>6</v>
      </c>
      <c r="Y630" s="51" t="s">
        <v>6</v>
      </c>
      <c r="Z630" s="51" t="s">
        <v>6</v>
      </c>
      <c r="AA630" s="41" t="s">
        <v>6</v>
      </c>
      <c r="AB630" s="216"/>
      <c r="AC630" s="46" t="s">
        <v>6</v>
      </c>
      <c r="AD630" s="48" t="s">
        <v>6</v>
      </c>
      <c r="AE630" s="53" t="s">
        <v>6</v>
      </c>
      <c r="AF630" s="508"/>
      <c r="AG630" s="146" t="s">
        <v>6</v>
      </c>
      <c r="AH630" s="46" t="s">
        <v>6</v>
      </c>
      <c r="AI630" s="53" t="s">
        <v>6</v>
      </c>
      <c r="AJ630" s="46" t="s">
        <v>6</v>
      </c>
      <c r="AK630" s="53" t="s">
        <v>6</v>
      </c>
      <c r="AL630" s="46" t="s">
        <v>6</v>
      </c>
      <c r="AM630" s="53" t="s">
        <v>6</v>
      </c>
      <c r="AN630" s="46" t="s">
        <v>6</v>
      </c>
      <c r="AO630" s="48" t="s">
        <v>6</v>
      </c>
      <c r="AP630" s="48" t="s">
        <v>6</v>
      </c>
      <c r="AQ630" s="132" t="str">
        <f t="shared" si="0"/>
        <v xml:space="preserve"> - </v>
      </c>
      <c r="AR630" s="132" t="str">
        <f t="shared" si="1"/>
        <v xml:space="preserve"> - </v>
      </c>
      <c r="AS630" s="49" t="s">
        <v>6</v>
      </c>
      <c r="AT630" s="325"/>
      <c r="AU630" s="325"/>
      <c r="AV630" s="325"/>
      <c r="AW630" s="325"/>
      <c r="AX630" s="325"/>
      <c r="AY630" s="325"/>
      <c r="AZ630" s="50" t="s">
        <v>6</v>
      </c>
      <c r="BA630" s="420"/>
      <c r="BB630" s="420"/>
      <c r="BC630" s="420"/>
      <c r="BD630" s="420"/>
      <c r="BE630" s="145" t="s">
        <v>6</v>
      </c>
      <c r="BF630" s="50" t="s">
        <v>6</v>
      </c>
      <c r="BG630" s="420"/>
      <c r="BH630" s="420"/>
      <c r="BI630" s="420"/>
      <c r="BJ630" s="420"/>
      <c r="BK630" s="145" t="s">
        <v>6</v>
      </c>
      <c r="BL630" s="36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57" t="s">
        <v>6</v>
      </c>
    </row>
    <row r="631" spans="1:74" s="2" customFormat="1" ht="24.9" customHeight="1">
      <c r="A631" s="40"/>
      <c r="B631" s="40"/>
      <c r="C631" s="59"/>
      <c r="D631" s="40"/>
      <c r="E631" s="43"/>
      <c r="F631" s="44"/>
      <c r="G631" s="50" t="str">
        <f>IF(E631="","",_xlfn.ISOWEEKNUM(E631))</f>
        <v/>
      </c>
      <c r="H631" s="44"/>
      <c r="I631" s="50" t="s">
        <v>6</v>
      </c>
      <c r="J631" s="145" t="s">
        <v>6</v>
      </c>
      <c r="K631" s="420"/>
      <c r="L631" s="50" t="s">
        <v>6</v>
      </c>
      <c r="M631" s="145" t="s">
        <v>6</v>
      </c>
      <c r="N631" s="420"/>
      <c r="O631" s="46" t="s">
        <v>6</v>
      </c>
      <c r="P631" s="47" t="s">
        <v>6</v>
      </c>
      <c r="Q631" s="46" t="s">
        <v>6</v>
      </c>
      <c r="R631" s="48" t="s">
        <v>6</v>
      </c>
      <c r="S631" s="524"/>
      <c r="T631" s="524"/>
      <c r="U631" s="50" t="s">
        <v>6</v>
      </c>
      <c r="V631" s="51" t="s">
        <v>6</v>
      </c>
      <c r="W631" s="52" t="s">
        <v>6</v>
      </c>
      <c r="X631" s="50" t="s">
        <v>6</v>
      </c>
      <c r="Y631" s="51" t="s">
        <v>6</v>
      </c>
      <c r="Z631" s="51" t="s">
        <v>6</v>
      </c>
      <c r="AA631" s="41" t="s">
        <v>6</v>
      </c>
      <c r="AB631" s="216"/>
      <c r="AC631" s="46" t="s">
        <v>6</v>
      </c>
      <c r="AD631" s="48" t="s">
        <v>6</v>
      </c>
      <c r="AE631" s="53" t="s">
        <v>6</v>
      </c>
      <c r="AF631" s="508"/>
      <c r="AG631" s="146" t="s">
        <v>6</v>
      </c>
      <c r="AH631" s="46" t="s">
        <v>6</v>
      </c>
      <c r="AI631" s="53" t="s">
        <v>6</v>
      </c>
      <c r="AJ631" s="46" t="s">
        <v>6</v>
      </c>
      <c r="AK631" s="53" t="s">
        <v>6</v>
      </c>
      <c r="AL631" s="46" t="s">
        <v>6</v>
      </c>
      <c r="AM631" s="53" t="s">
        <v>6</v>
      </c>
      <c r="AN631" s="46" t="s">
        <v>6</v>
      </c>
      <c r="AO631" s="48" t="s">
        <v>6</v>
      </c>
      <c r="AP631" s="48" t="s">
        <v>6</v>
      </c>
      <c r="AQ631" s="132" t="str">
        <f t="shared" si="0"/>
        <v xml:space="preserve"> - </v>
      </c>
      <c r="AR631" s="132" t="str">
        <f t="shared" si="1"/>
        <v xml:space="preserve"> - </v>
      </c>
      <c r="AS631" s="49" t="s">
        <v>6</v>
      </c>
      <c r="AT631" s="325"/>
      <c r="AU631" s="325"/>
      <c r="AV631" s="325"/>
      <c r="AW631" s="325"/>
      <c r="AX631" s="325"/>
      <c r="AY631" s="325"/>
      <c r="AZ631" s="50" t="s">
        <v>6</v>
      </c>
      <c r="BA631" s="420"/>
      <c r="BB631" s="420"/>
      <c r="BC631" s="420"/>
      <c r="BD631" s="420"/>
      <c r="BE631" s="145" t="s">
        <v>6</v>
      </c>
      <c r="BF631" s="50" t="s">
        <v>6</v>
      </c>
      <c r="BG631" s="420"/>
      <c r="BH631" s="420"/>
      <c r="BI631" s="420"/>
      <c r="BJ631" s="420"/>
      <c r="BK631" s="145" t="s">
        <v>6</v>
      </c>
      <c r="BL631" s="36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57" t="s">
        <v>6</v>
      </c>
    </row>
    <row r="632" spans="1:74" s="2" customFormat="1" ht="24.9" customHeight="1">
      <c r="A632" s="40"/>
      <c r="B632" s="40"/>
      <c r="C632" s="59"/>
      <c r="D632" s="40" t="s">
        <v>241</v>
      </c>
      <c r="E632" s="43"/>
      <c r="F632" s="44"/>
      <c r="G632" s="50" t="str">
        <f>IF(E632="","",_xlfn.ISOWEEKNUM(E632))</f>
        <v/>
      </c>
      <c r="H632" s="44"/>
      <c r="I632" s="50" t="s">
        <v>6</v>
      </c>
      <c r="J632" s="145" t="s">
        <v>6</v>
      </c>
      <c r="K632" s="420"/>
      <c r="L632" s="50" t="s">
        <v>6</v>
      </c>
      <c r="M632" s="145" t="s">
        <v>6</v>
      </c>
      <c r="N632" s="420"/>
      <c r="O632" s="46" t="s">
        <v>6</v>
      </c>
      <c r="P632" s="47" t="s">
        <v>6</v>
      </c>
      <c r="Q632" s="46" t="s">
        <v>6</v>
      </c>
      <c r="R632" s="48" t="s">
        <v>6</v>
      </c>
      <c r="S632" s="524"/>
      <c r="T632" s="524"/>
      <c r="U632" s="50" t="s">
        <v>6</v>
      </c>
      <c r="V632" s="51" t="s">
        <v>6</v>
      </c>
      <c r="W632" s="52" t="s">
        <v>6</v>
      </c>
      <c r="X632" s="50" t="s">
        <v>6</v>
      </c>
      <c r="Y632" s="51" t="s">
        <v>6</v>
      </c>
      <c r="Z632" s="51" t="s">
        <v>6</v>
      </c>
      <c r="AA632" s="41" t="s">
        <v>6</v>
      </c>
      <c r="AB632" s="216"/>
      <c r="AC632" s="46" t="s">
        <v>6</v>
      </c>
      <c r="AD632" s="48" t="s">
        <v>6</v>
      </c>
      <c r="AE632" s="53" t="s">
        <v>6</v>
      </c>
      <c r="AF632" s="508"/>
      <c r="AG632" s="146" t="s">
        <v>6</v>
      </c>
      <c r="AH632" s="46" t="s">
        <v>6</v>
      </c>
      <c r="AI632" s="53" t="s">
        <v>6</v>
      </c>
      <c r="AJ632" s="46" t="s">
        <v>6</v>
      </c>
      <c r="AK632" s="53" t="s">
        <v>6</v>
      </c>
      <c r="AL632" s="46" t="s">
        <v>6</v>
      </c>
      <c r="AM632" s="53" t="s">
        <v>6</v>
      </c>
      <c r="AN632" s="46" t="s">
        <v>6</v>
      </c>
      <c r="AO632" s="48" t="s">
        <v>6</v>
      </c>
      <c r="AP632" s="48" t="s">
        <v>6</v>
      </c>
      <c r="AQ632" s="132" t="str">
        <f t="shared" si="0"/>
        <v xml:space="preserve"> - </v>
      </c>
      <c r="AR632" s="132" t="str">
        <f t="shared" si="1"/>
        <v xml:space="preserve"> - </v>
      </c>
      <c r="AS632" s="49" t="s">
        <v>6</v>
      </c>
      <c r="AT632" s="325"/>
      <c r="AU632" s="325"/>
      <c r="AV632" s="325"/>
      <c r="AW632" s="325"/>
      <c r="AX632" s="325"/>
      <c r="AY632" s="325"/>
      <c r="AZ632" s="50" t="s">
        <v>6</v>
      </c>
      <c r="BA632" s="420"/>
      <c r="BB632" s="420"/>
      <c r="BC632" s="420"/>
      <c r="BD632" s="420"/>
      <c r="BE632" s="145" t="s">
        <v>6</v>
      </c>
      <c r="BF632" s="50" t="s">
        <v>6</v>
      </c>
      <c r="BG632" s="420"/>
      <c r="BH632" s="420"/>
      <c r="BI632" s="420"/>
      <c r="BJ632" s="420"/>
      <c r="BK632" s="145" t="s">
        <v>6</v>
      </c>
      <c r="BL632" s="36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57" t="s">
        <v>6</v>
      </c>
    </row>
    <row r="633" spans="1:74" ht="6.9" customHeight="1">
      <c r="A633" s="60" t="s">
        <v>6</v>
      </c>
      <c r="B633" s="60" t="s">
        <v>6</v>
      </c>
      <c r="C633" s="60"/>
      <c r="D633" s="60" t="s">
        <v>6</v>
      </c>
      <c r="E633" s="60" t="s">
        <v>6</v>
      </c>
      <c r="F633" s="44"/>
      <c r="G633" s="60" t="s">
        <v>6</v>
      </c>
      <c r="H633" s="60"/>
      <c r="I633" s="60" t="s">
        <v>6</v>
      </c>
      <c r="J633" s="60" t="s">
        <v>6</v>
      </c>
      <c r="K633" s="60"/>
      <c r="L633" s="60" t="s">
        <v>6</v>
      </c>
      <c r="M633" s="60" t="s">
        <v>6</v>
      </c>
      <c r="N633" s="60"/>
      <c r="O633" s="60" t="s">
        <v>6</v>
      </c>
      <c r="P633" s="60" t="s">
        <v>6</v>
      </c>
      <c r="Q633" s="60" t="s">
        <v>6</v>
      </c>
      <c r="R633" s="60" t="s">
        <v>6</v>
      </c>
      <c r="S633" s="60"/>
      <c r="T633" s="60"/>
      <c r="U633" s="60" t="s">
        <v>6</v>
      </c>
      <c r="V633" s="60" t="s">
        <v>6</v>
      </c>
      <c r="W633" s="60" t="s">
        <v>6</v>
      </c>
      <c r="X633" s="60" t="s">
        <v>6</v>
      </c>
      <c r="Y633" s="60" t="s">
        <v>6</v>
      </c>
      <c r="Z633" s="60" t="s">
        <v>6</v>
      </c>
      <c r="AA633" s="60" t="s">
        <v>6</v>
      </c>
      <c r="AB633" s="60"/>
      <c r="AC633" s="60" t="s">
        <v>6</v>
      </c>
      <c r="AD633" s="60" t="s">
        <v>6</v>
      </c>
      <c r="AE633" s="60" t="s">
        <v>6</v>
      </c>
      <c r="AF633" s="60"/>
      <c r="AG633" s="60" t="s">
        <v>6</v>
      </c>
      <c r="AH633" s="60" t="s">
        <v>6</v>
      </c>
      <c r="AI633" s="60" t="s">
        <v>6</v>
      </c>
      <c r="AJ633" s="60" t="s">
        <v>6</v>
      </c>
      <c r="AK633" s="60" t="s">
        <v>6</v>
      </c>
      <c r="AL633" s="60" t="s">
        <v>6</v>
      </c>
      <c r="AM633" s="60" t="s">
        <v>6</v>
      </c>
      <c r="AN633" s="60" t="s">
        <v>6</v>
      </c>
      <c r="AO633" s="60" t="s">
        <v>6</v>
      </c>
      <c r="AP633" s="60" t="s">
        <v>6</v>
      </c>
      <c r="AQ633" s="61"/>
      <c r="AR633" s="61"/>
      <c r="AS633" s="60" t="s">
        <v>6</v>
      </c>
      <c r="AT633" s="60"/>
      <c r="AU633" s="60"/>
      <c r="AV633" s="60"/>
      <c r="AW633" s="60"/>
      <c r="AX633" s="60"/>
      <c r="AY633" s="60"/>
      <c r="AZ633" s="60" t="s">
        <v>6</v>
      </c>
      <c r="BA633" s="60"/>
      <c r="BB633" s="60"/>
      <c r="BC633" s="60"/>
      <c r="BD633" s="60"/>
      <c r="BE633" s="60" t="s">
        <v>6</v>
      </c>
      <c r="BF633" s="60" t="s">
        <v>6</v>
      </c>
      <c r="BG633" s="60"/>
      <c r="BH633" s="60"/>
      <c r="BI633" s="60"/>
      <c r="BJ633" s="60"/>
      <c r="BK633" s="60" t="s">
        <v>6</v>
      </c>
      <c r="BL633" s="60"/>
      <c r="BM633" s="60"/>
      <c r="BN633" s="60"/>
      <c r="BO633" s="60"/>
      <c r="BP633" s="60"/>
      <c r="BQ633" s="60"/>
      <c r="BR633" s="60"/>
      <c r="BS633" s="60"/>
      <c r="BT633" s="60"/>
      <c r="BU633" s="60"/>
      <c r="BV633" s="60" t="s">
        <v>6</v>
      </c>
    </row>
    <row r="634" spans="1:74">
      <c r="F634" s="60" t="s">
        <v>6</v>
      </c>
    </row>
    <row r="635" spans="1:74">
      <c r="B635" s="64" t="s">
        <v>242</v>
      </c>
      <c r="C635" s="64"/>
    </row>
    <row r="637" spans="1:74" ht="15.75" customHeight="1">
      <c r="A637" s="65" t="s">
        <v>243</v>
      </c>
      <c r="B637" s="65">
        <v>1</v>
      </c>
      <c r="C637" s="604" t="s">
        <v>244</v>
      </c>
      <c r="D637" s="593"/>
      <c r="E637" s="593"/>
    </row>
    <row r="638" spans="1:74" ht="15.65" customHeight="1">
      <c r="A638" s="65"/>
      <c r="B638" s="65">
        <v>2</v>
      </c>
      <c r="C638" s="604" t="s">
        <v>244</v>
      </c>
      <c r="D638" s="593"/>
      <c r="E638" s="593"/>
    </row>
    <row r="639" spans="1:74" ht="15.65" customHeight="1">
      <c r="A639" s="65"/>
      <c r="B639" s="65">
        <v>3</v>
      </c>
      <c r="C639" s="604" t="s">
        <v>244</v>
      </c>
      <c r="D639" s="593"/>
      <c r="E639" s="593"/>
    </row>
    <row r="640" spans="1:74" ht="15.75" customHeight="1">
      <c r="A640" s="6"/>
    </row>
    <row r="641" spans="1:5" ht="15.75" customHeight="1">
      <c r="A641" s="646" t="s">
        <v>245</v>
      </c>
      <c r="B641" s="593"/>
      <c r="C641" s="104" t="s">
        <v>246</v>
      </c>
      <c r="D641" s="66" t="s">
        <v>247</v>
      </c>
      <c r="E641" s="67"/>
    </row>
    <row r="642" spans="1:5" ht="15.65" customHeight="1">
      <c r="A642" s="68"/>
      <c r="B642" s="67"/>
      <c r="C642" s="104" t="s">
        <v>248</v>
      </c>
      <c r="D642" s="66" t="s">
        <v>249</v>
      </c>
      <c r="E642" s="67"/>
    </row>
    <row r="643" spans="1:5">
      <c r="B643" s="62"/>
      <c r="C643" s="62"/>
      <c r="D643" s="62"/>
      <c r="E643" s="62"/>
    </row>
    <row r="644" spans="1:5">
      <c r="B644" s="64"/>
      <c r="C644" s="62"/>
      <c r="D644" s="62"/>
      <c r="E644" s="62"/>
    </row>
    <row r="645" spans="1:5">
      <c r="B645" s="62"/>
      <c r="C645" s="62"/>
      <c r="D645" s="62"/>
      <c r="E645" s="62"/>
    </row>
  </sheetData>
  <mergeCells count="60">
    <mergeCell ref="A641:B641"/>
    <mergeCell ref="BH10:BI10"/>
    <mergeCell ref="I8:P8"/>
    <mergeCell ref="B3:D3"/>
    <mergeCell ref="AC8:AF8"/>
    <mergeCell ref="AT9:AY10"/>
    <mergeCell ref="AS9:AS11"/>
    <mergeCell ref="D8:D11"/>
    <mergeCell ref="E8:G10"/>
    <mergeCell ref="L9:N10"/>
    <mergeCell ref="AB8:AB10"/>
    <mergeCell ref="AH8:AM8"/>
    <mergeCell ref="AC10:AF10"/>
    <mergeCell ref="AZ9:BE9"/>
    <mergeCell ref="BF10:BG10"/>
    <mergeCell ref="C638:E638"/>
    <mergeCell ref="A6:BV6"/>
    <mergeCell ref="C8:C11"/>
    <mergeCell ref="B4:D4"/>
    <mergeCell ref="BB10:BC10"/>
    <mergeCell ref="BV8:BV11"/>
    <mergeCell ref="BD10:BE10"/>
    <mergeCell ref="BL9:BM10"/>
    <mergeCell ref="BP9:BQ10"/>
    <mergeCell ref="X9:Z10"/>
    <mergeCell ref="AT8:AY8"/>
    <mergeCell ref="BT9:BU10"/>
    <mergeCell ref="S9:S10"/>
    <mergeCell ref="BL8:BU8"/>
    <mergeCell ref="BF9:BK9"/>
    <mergeCell ref="U8:Z8"/>
    <mergeCell ref="AN8:AS8"/>
    <mergeCell ref="BR9:BS10"/>
    <mergeCell ref="AJ9:AK10"/>
    <mergeCell ref="AL9:AM10"/>
    <mergeCell ref="AZ8:BK8"/>
    <mergeCell ref="AN9:AO10"/>
    <mergeCell ref="AP9:AP11"/>
    <mergeCell ref="A7:B7"/>
    <mergeCell ref="B8:B11"/>
    <mergeCell ref="BN9:BO10"/>
    <mergeCell ref="Q9:Q10"/>
    <mergeCell ref="AA8:AA10"/>
    <mergeCell ref="H8:H10"/>
    <mergeCell ref="O9:P10"/>
    <mergeCell ref="A8:A11"/>
    <mergeCell ref="Q8:R8"/>
    <mergeCell ref="C639:E639"/>
    <mergeCell ref="S8:T8"/>
    <mergeCell ref="T9:T10"/>
    <mergeCell ref="R9:R11"/>
    <mergeCell ref="C637:E637"/>
    <mergeCell ref="AH9:AI10"/>
    <mergeCell ref="AC9:AF9"/>
    <mergeCell ref="BJ10:BK10"/>
    <mergeCell ref="AZ10:BA10"/>
    <mergeCell ref="I9:K10"/>
    <mergeCell ref="U9:W10"/>
    <mergeCell ref="AQ9:AR10"/>
    <mergeCell ref="AG8:AG10"/>
  </mergeCells>
  <conditionalFormatting sqref="B1:B1048576">
    <cfRule type="duplicateValues" dxfId="498" priority="1"/>
    <cfRule type="duplicateValues" dxfId="497" priority="3"/>
  </conditionalFormatting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>
    <tabColor rgb="FF7030A0"/>
    <pageSetUpPr fitToPage="1"/>
  </sheetPr>
  <dimension ref="A1:J638"/>
  <sheetViews>
    <sheetView showGridLines="0" zoomScale="85" zoomScaleNormal="85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B16" sqref="B16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10.90625" style="6" customWidth="1"/>
    <col min="4" max="4" width="15.6328125" style="6" customWidth="1"/>
    <col min="5" max="5" width="5.453125" style="6" customWidth="1"/>
    <col min="6" max="6" width="5.6328125" style="6" customWidth="1"/>
    <col min="7" max="9" width="13.90625" style="6" customWidth="1"/>
    <col min="10" max="10" width="59.90625" style="6" customWidth="1"/>
    <col min="11" max="11" width="9.08984375" style="6" customWidth="1"/>
    <col min="12" max="16384" width="9.08984375" style="6"/>
  </cols>
  <sheetData>
    <row r="1" spans="1:10" s="1" customFormat="1" ht="31.5" customHeight="1">
      <c r="A1" s="109" t="s">
        <v>0</v>
      </c>
      <c r="B1" s="188"/>
      <c r="C1" s="188"/>
      <c r="D1" s="189"/>
      <c r="E1" s="189"/>
      <c r="F1" s="189"/>
      <c r="G1" s="189"/>
      <c r="H1" s="189"/>
      <c r="I1" s="189"/>
      <c r="J1" s="190"/>
    </row>
    <row r="2" spans="1:10" s="2" customFormat="1" ht="28.5" customHeight="1">
      <c r="A2" s="191" t="s">
        <v>1</v>
      </c>
      <c r="B2" s="110"/>
      <c r="C2" s="110"/>
      <c r="D2" s="110"/>
      <c r="E2" s="110"/>
      <c r="F2" s="110"/>
      <c r="G2" s="110"/>
      <c r="H2" s="110"/>
      <c r="I2" s="110"/>
      <c r="J2" s="192"/>
    </row>
    <row r="3" spans="1:10" ht="15.65" customHeight="1">
      <c r="A3" s="193"/>
      <c r="B3" s="642" t="s">
        <v>2</v>
      </c>
      <c r="C3" s="593"/>
      <c r="D3" s="4"/>
      <c r="E3" s="4"/>
      <c r="F3" s="4"/>
      <c r="G3" s="4"/>
      <c r="H3" s="4"/>
      <c r="I3" s="4"/>
      <c r="J3" s="194"/>
    </row>
    <row r="4" spans="1:10" ht="18" customHeight="1">
      <c r="A4" s="193"/>
      <c r="B4" s="642" t="s">
        <v>3</v>
      </c>
      <c r="C4" s="593"/>
      <c r="D4" s="4"/>
      <c r="E4" s="4"/>
      <c r="F4" s="4"/>
      <c r="G4" s="4"/>
      <c r="H4" s="4"/>
      <c r="I4" s="4"/>
      <c r="J4" s="194"/>
    </row>
    <row r="5" spans="1:10" ht="18" customHeight="1">
      <c r="A5" s="193"/>
      <c r="B5" s="11" t="s">
        <v>4</v>
      </c>
      <c r="C5" s="4"/>
      <c r="D5" s="4"/>
      <c r="E5" s="4"/>
      <c r="F5" s="4"/>
      <c r="G5" s="4"/>
      <c r="H5" s="4"/>
      <c r="I5" s="4"/>
      <c r="J5" s="194"/>
    </row>
    <row r="6" spans="1:10" ht="18" customHeight="1">
      <c r="A6" s="193"/>
      <c r="B6" s="4"/>
      <c r="C6" s="4"/>
      <c r="D6" s="4"/>
      <c r="E6" s="4"/>
      <c r="F6" s="4"/>
      <c r="G6" s="4"/>
      <c r="H6" s="4"/>
      <c r="I6" s="4"/>
      <c r="J6" s="194"/>
    </row>
    <row r="7" spans="1:10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9"/>
    </row>
    <row r="8" spans="1:10" ht="5.15" customHeight="1">
      <c r="A8" s="12"/>
      <c r="B8" s="13"/>
      <c r="C8" s="15"/>
      <c r="D8" s="699"/>
      <c r="E8" s="616"/>
      <c r="F8" s="639"/>
      <c r="G8" s="689"/>
      <c r="H8" s="616"/>
      <c r="I8" s="616"/>
      <c r="J8" s="639"/>
    </row>
    <row r="9" spans="1:10" ht="20.399999999999999" customHeight="1">
      <c r="A9" s="615" t="s">
        <v>5</v>
      </c>
      <c r="B9" s="616"/>
      <c r="C9" s="19"/>
      <c r="D9" s="20"/>
      <c r="E9" s="21"/>
      <c r="F9" s="22" t="s">
        <v>6</v>
      </c>
      <c r="G9" s="111"/>
      <c r="H9" s="128"/>
      <c r="I9" s="128"/>
      <c r="J9" s="112"/>
    </row>
    <row r="10" spans="1:10" ht="38.25" customHeight="1">
      <c r="A10" s="722" t="s">
        <v>7</v>
      </c>
      <c r="B10" s="725" t="s">
        <v>8</v>
      </c>
      <c r="C10" s="724" t="s">
        <v>10</v>
      </c>
      <c r="D10" s="715" t="s">
        <v>11</v>
      </c>
      <c r="E10" s="648"/>
      <c r="F10" s="716"/>
      <c r="G10" s="712" t="s">
        <v>307</v>
      </c>
      <c r="H10" s="721" t="s">
        <v>308</v>
      </c>
      <c r="I10" s="712" t="s">
        <v>309</v>
      </c>
      <c r="J10" s="723" t="s">
        <v>310</v>
      </c>
    </row>
    <row r="11" spans="1:10" ht="29.25" customHeight="1">
      <c r="A11" s="713"/>
      <c r="B11" s="713"/>
      <c r="C11" s="713"/>
      <c r="D11" s="657"/>
      <c r="E11" s="593"/>
      <c r="F11" s="717"/>
      <c r="G11" s="713"/>
      <c r="H11" s="713"/>
      <c r="I11" s="713"/>
      <c r="J11" s="713"/>
    </row>
    <row r="12" spans="1:10" ht="29.25" customHeight="1">
      <c r="A12" s="713"/>
      <c r="B12" s="713"/>
      <c r="C12" s="713"/>
      <c r="D12" s="718"/>
      <c r="E12" s="719"/>
      <c r="F12" s="720"/>
      <c r="G12" s="713"/>
      <c r="H12" s="713"/>
      <c r="I12" s="713"/>
      <c r="J12" s="713"/>
    </row>
    <row r="13" spans="1:10" ht="33" customHeight="1">
      <c r="A13" s="714"/>
      <c r="B13" s="714"/>
      <c r="C13" s="714"/>
      <c r="D13" s="186" t="s">
        <v>56</v>
      </c>
      <c r="E13" s="186" t="s">
        <v>57</v>
      </c>
      <c r="F13" s="187" t="s">
        <v>58</v>
      </c>
      <c r="G13" s="714"/>
      <c r="H13" s="713"/>
      <c r="I13" s="714"/>
      <c r="J13" s="714"/>
    </row>
    <row r="14" spans="1:10" ht="8.25" hidden="1" customHeight="1">
      <c r="A14" s="185"/>
      <c r="B14" s="185"/>
      <c r="C14" s="185"/>
      <c r="D14" s="185"/>
      <c r="E14" s="185"/>
      <c r="F14" s="185"/>
      <c r="G14" s="185"/>
      <c r="H14" s="204"/>
      <c r="I14" s="185"/>
      <c r="J14" s="185"/>
    </row>
    <row r="15" spans="1:10" ht="6.9" customHeight="1">
      <c r="A15" s="105"/>
      <c r="B15" s="133" t="s">
        <v>88</v>
      </c>
      <c r="C15" s="98"/>
      <c r="D15" s="99"/>
      <c r="E15" s="99"/>
      <c r="F15" s="99"/>
      <c r="G15" s="100"/>
      <c r="H15" s="100"/>
      <c r="I15" s="100"/>
      <c r="J15" s="100"/>
    </row>
    <row r="16" spans="1:10" s="2" customFormat="1" ht="24.9" customHeight="1">
      <c r="A16" s="147" t="s">
        <v>85</v>
      </c>
      <c r="B16" s="81"/>
      <c r="C16" s="81">
        <v>1</v>
      </c>
      <c r="D16" s="139"/>
      <c r="E16" s="83"/>
      <c r="F16" s="141"/>
      <c r="G16" s="205"/>
      <c r="H16" s="209"/>
      <c r="I16" s="201"/>
      <c r="J16" s="84"/>
    </row>
    <row r="17" spans="1:10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02"/>
      <c r="J17" s="163"/>
    </row>
    <row r="18" spans="1:10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02"/>
      <c r="J18" s="163"/>
    </row>
    <row r="19" spans="1:10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02"/>
      <c r="J19" s="163"/>
    </row>
    <row r="20" spans="1:10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02"/>
      <c r="J20" s="163"/>
    </row>
    <row r="21" spans="1:10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02"/>
      <c r="J21" s="163"/>
    </row>
    <row r="22" spans="1:10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02"/>
      <c r="J22" s="163"/>
    </row>
    <row r="23" spans="1:10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02"/>
      <c r="J23" s="163"/>
    </row>
    <row r="24" spans="1:10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02"/>
      <c r="J24" s="163"/>
    </row>
    <row r="25" spans="1:10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02"/>
      <c r="J25" s="163"/>
    </row>
    <row r="26" spans="1:10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02"/>
      <c r="J26" s="163"/>
    </row>
    <row r="27" spans="1:10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02"/>
      <c r="J27" s="163"/>
    </row>
    <row r="28" spans="1:10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02"/>
      <c r="J28" s="163"/>
    </row>
    <row r="29" spans="1:10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02"/>
      <c r="J29" s="163"/>
    </row>
    <row r="30" spans="1:10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02"/>
      <c r="J30" s="163"/>
    </row>
    <row r="31" spans="1:10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02"/>
      <c r="J31" s="163"/>
    </row>
    <row r="32" spans="1:10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02"/>
      <c r="J32" s="163"/>
    </row>
    <row r="33" spans="1:10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02"/>
      <c r="J33" s="163"/>
    </row>
    <row r="34" spans="1:10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02"/>
      <c r="J34" s="163"/>
    </row>
    <row r="35" spans="1:10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02"/>
      <c r="J35" s="163"/>
    </row>
    <row r="36" spans="1:10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02"/>
      <c r="J36" s="163"/>
    </row>
    <row r="37" spans="1:10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02"/>
      <c r="J37" s="163"/>
    </row>
    <row r="38" spans="1:10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02"/>
      <c r="J38" s="163"/>
    </row>
    <row r="39" spans="1:10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02"/>
      <c r="J39" s="163"/>
    </row>
    <row r="40" spans="1:10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02"/>
      <c r="J40" s="163"/>
    </row>
    <row r="41" spans="1:10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02"/>
      <c r="J41" s="163"/>
    </row>
    <row r="42" spans="1:10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02"/>
      <c r="J42" s="163"/>
    </row>
    <row r="43" spans="1:10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02"/>
      <c r="J43" s="163"/>
    </row>
    <row r="44" spans="1:10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02"/>
      <c r="J44" s="163"/>
    </row>
    <row r="45" spans="1:10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02"/>
      <c r="J45" s="163"/>
    </row>
    <row r="46" spans="1:10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02"/>
      <c r="J46" s="163"/>
    </row>
    <row r="47" spans="1:10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02"/>
      <c r="J47" s="163"/>
    </row>
    <row r="48" spans="1:10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02"/>
      <c r="J48" s="163"/>
    </row>
    <row r="49" spans="1:10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02"/>
      <c r="J49" s="163"/>
    </row>
    <row r="50" spans="1:10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02"/>
      <c r="J50" s="163"/>
    </row>
    <row r="51" spans="1:10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02"/>
      <c r="J51" s="163"/>
    </row>
    <row r="52" spans="1:10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02"/>
      <c r="J52" s="163"/>
    </row>
    <row r="53" spans="1:10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02"/>
      <c r="J53" s="163"/>
    </row>
    <row r="54" spans="1:10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02"/>
      <c r="J54" s="163"/>
    </row>
    <row r="55" spans="1:10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02"/>
      <c r="J55" s="163"/>
    </row>
    <row r="56" spans="1:10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02"/>
      <c r="J56" s="163"/>
    </row>
    <row r="57" spans="1:10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02"/>
      <c r="J57" s="163"/>
    </row>
    <row r="58" spans="1:10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02"/>
      <c r="J58" s="163"/>
    </row>
    <row r="59" spans="1:10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02"/>
      <c r="J59" s="163"/>
    </row>
    <row r="60" spans="1:10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02"/>
      <c r="J60" s="163"/>
    </row>
    <row r="61" spans="1:10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02"/>
      <c r="J61" s="163"/>
    </row>
    <row r="62" spans="1:10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02"/>
      <c r="J62" s="163"/>
    </row>
    <row r="63" spans="1:10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02"/>
      <c r="J63" s="163"/>
    </row>
    <row r="64" spans="1:10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02"/>
      <c r="J64" s="163"/>
    </row>
    <row r="65" spans="1:10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02"/>
      <c r="J65" s="163"/>
    </row>
    <row r="66" spans="1:10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02"/>
      <c r="J66" s="163"/>
    </row>
    <row r="67" spans="1:10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02"/>
      <c r="J67" s="163"/>
    </row>
    <row r="68" spans="1:10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02"/>
      <c r="J68" s="163"/>
    </row>
    <row r="69" spans="1:10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02"/>
      <c r="J69" s="163"/>
    </row>
    <row r="70" spans="1:10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02"/>
      <c r="J70" s="163"/>
    </row>
    <row r="71" spans="1:10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02"/>
      <c r="J71" s="163"/>
    </row>
    <row r="72" spans="1:10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02"/>
      <c r="J72" s="163"/>
    </row>
    <row r="73" spans="1:10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02"/>
      <c r="J73" s="163"/>
    </row>
    <row r="74" spans="1:10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02"/>
      <c r="J74" s="163"/>
    </row>
    <row r="75" spans="1:10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02"/>
      <c r="J75" s="163"/>
    </row>
    <row r="76" spans="1:10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02"/>
      <c r="J76" s="163"/>
    </row>
    <row r="77" spans="1:10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02"/>
      <c r="J77" s="163"/>
    </row>
    <row r="78" spans="1:10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02"/>
      <c r="J78" s="163"/>
    </row>
    <row r="79" spans="1:10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02"/>
      <c r="J79" s="163"/>
    </row>
    <row r="80" spans="1:10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02"/>
      <c r="J80" s="163"/>
    </row>
    <row r="81" spans="1:10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02"/>
      <c r="J81" s="163"/>
    </row>
    <row r="82" spans="1:10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02"/>
      <c r="J82" s="163"/>
    </row>
    <row r="83" spans="1:10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02"/>
      <c r="J83" s="163"/>
    </row>
    <row r="84" spans="1:10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02"/>
      <c r="J84" s="163"/>
    </row>
    <row r="85" spans="1:10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02"/>
      <c r="J85" s="163"/>
    </row>
    <row r="86" spans="1:10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02"/>
      <c r="J86" s="163"/>
    </row>
    <row r="87" spans="1:10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02"/>
      <c r="J87" s="163"/>
    </row>
    <row r="88" spans="1:10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02"/>
      <c r="J88" s="163"/>
    </row>
    <row r="89" spans="1:10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02"/>
      <c r="J89" s="163"/>
    </row>
    <row r="90" spans="1:10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02"/>
      <c r="J90" s="163"/>
    </row>
    <row r="91" spans="1:10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02"/>
      <c r="J91" s="163"/>
    </row>
    <row r="92" spans="1:10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02"/>
      <c r="J92" s="163"/>
    </row>
    <row r="93" spans="1:10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02"/>
      <c r="J93" s="163"/>
    </row>
    <row r="94" spans="1:10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02"/>
      <c r="J94" s="163"/>
    </row>
    <row r="95" spans="1:10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02"/>
      <c r="J95" s="163"/>
    </row>
    <row r="96" spans="1:10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02"/>
      <c r="J96" s="163"/>
    </row>
    <row r="97" spans="1:10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02"/>
      <c r="J97" s="163"/>
    </row>
    <row r="98" spans="1:10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02"/>
      <c r="J98" s="163"/>
    </row>
    <row r="99" spans="1:10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02"/>
      <c r="J99" s="163"/>
    </row>
    <row r="100" spans="1:10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02"/>
      <c r="J100" s="163"/>
    </row>
    <row r="101" spans="1:10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02"/>
      <c r="J101" s="163"/>
    </row>
    <row r="102" spans="1:10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02"/>
      <c r="J102" s="163"/>
    </row>
    <row r="103" spans="1:10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02"/>
      <c r="J103" s="163"/>
    </row>
    <row r="104" spans="1:10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02"/>
      <c r="J104" s="163"/>
    </row>
    <row r="105" spans="1:10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02"/>
      <c r="J105" s="163"/>
    </row>
    <row r="106" spans="1:10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02"/>
      <c r="J106" s="163"/>
    </row>
    <row r="107" spans="1:10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02"/>
      <c r="J107" s="163"/>
    </row>
    <row r="108" spans="1:10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02"/>
      <c r="J108" s="163"/>
    </row>
    <row r="109" spans="1:10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02"/>
      <c r="J109" s="163"/>
    </row>
    <row r="110" spans="1:10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02"/>
      <c r="J110" s="163"/>
    </row>
    <row r="111" spans="1:10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02"/>
      <c r="J111" s="163"/>
    </row>
    <row r="112" spans="1:10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02"/>
      <c r="J112" s="163"/>
    </row>
    <row r="113" spans="1:10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02"/>
      <c r="J113" s="163"/>
    </row>
    <row r="114" spans="1:10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02"/>
      <c r="J114" s="163"/>
    </row>
    <row r="115" spans="1:10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02"/>
      <c r="J115" s="163"/>
    </row>
    <row r="116" spans="1:10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02"/>
      <c r="J116" s="163"/>
    </row>
    <row r="117" spans="1:10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02"/>
      <c r="J117" s="163"/>
    </row>
    <row r="118" spans="1:10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02"/>
      <c r="J118" s="163"/>
    </row>
    <row r="119" spans="1:10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02"/>
      <c r="J119" s="163"/>
    </row>
    <row r="120" spans="1:10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02"/>
      <c r="J120" s="163"/>
    </row>
    <row r="121" spans="1:10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02"/>
      <c r="J121" s="163"/>
    </row>
    <row r="122" spans="1:10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02"/>
      <c r="J122" s="163"/>
    </row>
    <row r="123" spans="1:10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02"/>
      <c r="J123" s="163"/>
    </row>
    <row r="124" spans="1:10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02"/>
      <c r="J124" s="163"/>
    </row>
    <row r="125" spans="1:10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02"/>
      <c r="J125" s="163"/>
    </row>
    <row r="126" spans="1:10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02"/>
      <c r="J126" s="163"/>
    </row>
    <row r="127" spans="1:10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02"/>
      <c r="J127" s="163"/>
    </row>
    <row r="128" spans="1:10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02"/>
      <c r="J128" s="163"/>
    </row>
    <row r="129" spans="1:10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02"/>
      <c r="J129" s="163"/>
    </row>
    <row r="130" spans="1:10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02"/>
      <c r="J130" s="163"/>
    </row>
    <row r="131" spans="1:10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02"/>
      <c r="J131" s="163"/>
    </row>
    <row r="132" spans="1:10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02"/>
      <c r="J132" s="163"/>
    </row>
    <row r="133" spans="1:10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02"/>
      <c r="J133" s="163"/>
    </row>
    <row r="134" spans="1:10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02"/>
      <c r="J134" s="163"/>
    </row>
    <row r="135" spans="1:10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02"/>
      <c r="J135" s="163"/>
    </row>
    <row r="136" spans="1:10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02"/>
      <c r="J136" s="163"/>
    </row>
    <row r="137" spans="1:10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02"/>
      <c r="J137" s="163"/>
    </row>
    <row r="138" spans="1:10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02"/>
      <c r="J138" s="163"/>
    </row>
    <row r="139" spans="1:10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02"/>
      <c r="J139" s="163"/>
    </row>
    <row r="140" spans="1:10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02"/>
      <c r="J140" s="163"/>
    </row>
    <row r="141" spans="1:10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02"/>
      <c r="J141" s="163"/>
    </row>
    <row r="142" spans="1:10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02"/>
      <c r="J142" s="163"/>
    </row>
    <row r="143" spans="1:10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02"/>
      <c r="J143" s="163"/>
    </row>
    <row r="144" spans="1:10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02"/>
      <c r="J144" s="163"/>
    </row>
    <row r="145" spans="1:10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02"/>
      <c r="J145" s="163"/>
    </row>
    <row r="146" spans="1:10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02"/>
      <c r="J146" s="163"/>
    </row>
    <row r="147" spans="1:10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02"/>
      <c r="J147" s="163"/>
    </row>
    <row r="148" spans="1:10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02"/>
      <c r="J148" s="163"/>
    </row>
    <row r="149" spans="1:10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02"/>
      <c r="J149" s="163"/>
    </row>
    <row r="150" spans="1:10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02"/>
      <c r="J150" s="163"/>
    </row>
    <row r="151" spans="1:10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02"/>
      <c r="J151" s="163"/>
    </row>
    <row r="152" spans="1:10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02"/>
      <c r="J152" s="163"/>
    </row>
    <row r="153" spans="1:10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02"/>
      <c r="J153" s="163"/>
    </row>
    <row r="154" spans="1:10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02"/>
      <c r="J154" s="163"/>
    </row>
    <row r="155" spans="1:10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02"/>
      <c r="J155" s="163"/>
    </row>
    <row r="156" spans="1:10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08"/>
      <c r="J156" s="161"/>
    </row>
    <row r="157" spans="1:10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08"/>
      <c r="J157" s="161"/>
    </row>
    <row r="158" spans="1:10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08"/>
      <c r="J158" s="161"/>
    </row>
    <row r="159" spans="1:10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08"/>
      <c r="J159" s="161"/>
    </row>
    <row r="160" spans="1:10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08"/>
      <c r="J160" s="161"/>
    </row>
    <row r="161" spans="1:10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08"/>
      <c r="J161" s="161"/>
    </row>
    <row r="162" spans="1:10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08"/>
      <c r="J162" s="161"/>
    </row>
    <row r="163" spans="1:10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02"/>
      <c r="J163" s="163"/>
    </row>
    <row r="164" spans="1:10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02"/>
      <c r="J164" s="163"/>
    </row>
    <row r="165" spans="1:10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02"/>
      <c r="J165" s="163"/>
    </row>
    <row r="166" spans="1:10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02"/>
      <c r="J166" s="163"/>
    </row>
    <row r="167" spans="1:10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02"/>
      <c r="J167" s="163"/>
    </row>
    <row r="168" spans="1:10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02"/>
      <c r="J168" s="163"/>
    </row>
    <row r="169" spans="1:10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02"/>
      <c r="J169" s="163"/>
    </row>
    <row r="170" spans="1:10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02"/>
      <c r="J170" s="163"/>
    </row>
    <row r="171" spans="1:10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02"/>
      <c r="J171" s="163"/>
    </row>
    <row r="172" spans="1:10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02"/>
      <c r="J172" s="163"/>
    </row>
    <row r="173" spans="1:10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02"/>
      <c r="J173" s="163"/>
    </row>
    <row r="174" spans="1:10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02"/>
      <c r="J174" s="163"/>
    </row>
    <row r="175" spans="1:10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02"/>
      <c r="J175" s="163"/>
    </row>
    <row r="176" spans="1:10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02"/>
      <c r="J176" s="163"/>
    </row>
    <row r="177" spans="1:10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02"/>
      <c r="J177" s="163"/>
    </row>
    <row r="178" spans="1:10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02"/>
      <c r="J178" s="163"/>
    </row>
    <row r="179" spans="1:10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02"/>
      <c r="J179" s="163"/>
    </row>
    <row r="180" spans="1:10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02"/>
      <c r="J180" s="163"/>
    </row>
    <row r="181" spans="1:10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02"/>
      <c r="J181" s="163"/>
    </row>
    <row r="182" spans="1:10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02"/>
      <c r="J182" s="163"/>
    </row>
    <row r="183" spans="1:10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02"/>
      <c r="J183" s="163"/>
    </row>
    <row r="184" spans="1:10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02"/>
      <c r="J184" s="163"/>
    </row>
    <row r="185" spans="1:10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02"/>
      <c r="J185" s="163"/>
    </row>
    <row r="186" spans="1:10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02"/>
      <c r="J186" s="163"/>
    </row>
    <row r="187" spans="1:10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02"/>
      <c r="J187" s="163"/>
    </row>
    <row r="188" spans="1:10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02"/>
      <c r="J188" s="163"/>
    </row>
    <row r="189" spans="1:10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02"/>
      <c r="J189" s="163"/>
    </row>
    <row r="190" spans="1:10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02"/>
      <c r="J190" s="163"/>
    </row>
    <row r="191" spans="1:10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02"/>
      <c r="J191" s="163"/>
    </row>
    <row r="192" spans="1:10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02"/>
      <c r="J192" s="163"/>
    </row>
    <row r="193" spans="1:10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02"/>
      <c r="J193" s="163"/>
    </row>
    <row r="194" spans="1:10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02"/>
      <c r="J194" s="163"/>
    </row>
    <row r="195" spans="1:10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02"/>
      <c r="J195" s="163"/>
    </row>
    <row r="196" spans="1:10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02"/>
      <c r="J196" s="163"/>
    </row>
    <row r="197" spans="1:10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02"/>
      <c r="J197" s="163"/>
    </row>
    <row r="198" spans="1:10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02"/>
      <c r="J198" s="163"/>
    </row>
    <row r="199" spans="1:10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02"/>
      <c r="J199" s="163"/>
    </row>
    <row r="200" spans="1:10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02"/>
      <c r="J200" s="163"/>
    </row>
    <row r="201" spans="1:10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02"/>
      <c r="J201" s="163"/>
    </row>
    <row r="202" spans="1:10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02"/>
      <c r="J202" s="163"/>
    </row>
    <row r="203" spans="1:10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02"/>
      <c r="J203" s="163"/>
    </row>
    <row r="204" spans="1:10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02"/>
      <c r="J204" s="163"/>
    </row>
    <row r="205" spans="1:10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02"/>
      <c r="J205" s="163"/>
    </row>
    <row r="206" spans="1:10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02"/>
      <c r="J206" s="163"/>
    </row>
    <row r="207" spans="1:10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02"/>
      <c r="J207" s="163"/>
    </row>
    <row r="208" spans="1:10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02"/>
      <c r="J208" s="163"/>
    </row>
    <row r="209" spans="1:10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02"/>
      <c r="J209" s="163"/>
    </row>
    <row r="210" spans="1:10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02"/>
      <c r="J210" s="163"/>
    </row>
    <row r="211" spans="1:10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02"/>
      <c r="J211" s="163"/>
    </row>
    <row r="212" spans="1:10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02"/>
      <c r="J212" s="163"/>
    </row>
    <row r="213" spans="1:10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02"/>
      <c r="J213" s="163"/>
    </row>
    <row r="214" spans="1:10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02"/>
      <c r="J214" s="163"/>
    </row>
    <row r="215" spans="1:10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02"/>
      <c r="J215" s="163"/>
    </row>
    <row r="216" spans="1:10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02"/>
      <c r="J216" s="163"/>
    </row>
    <row r="217" spans="1:10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02"/>
      <c r="J217" s="163"/>
    </row>
    <row r="218" spans="1:10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02"/>
      <c r="J218" s="163"/>
    </row>
    <row r="219" spans="1:10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02"/>
      <c r="J219" s="163"/>
    </row>
    <row r="220" spans="1:10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02"/>
      <c r="J220" s="163"/>
    </row>
    <row r="221" spans="1:10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02"/>
      <c r="J221" s="163"/>
    </row>
    <row r="222" spans="1:10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02"/>
      <c r="J222" s="163"/>
    </row>
    <row r="223" spans="1:10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02"/>
      <c r="J223" s="163"/>
    </row>
    <row r="224" spans="1:10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02"/>
      <c r="J224" s="163"/>
    </row>
    <row r="225" spans="1:10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02"/>
      <c r="J225" s="163"/>
    </row>
    <row r="226" spans="1:10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02"/>
      <c r="J226" s="163"/>
    </row>
    <row r="227" spans="1:10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02"/>
      <c r="J227" s="163"/>
    </row>
    <row r="228" spans="1:10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02"/>
      <c r="J228" s="163"/>
    </row>
    <row r="229" spans="1:10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02"/>
      <c r="J229" s="163"/>
    </row>
    <row r="230" spans="1:10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02"/>
      <c r="J230" s="163"/>
    </row>
    <row r="231" spans="1:10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02"/>
      <c r="J231" s="163"/>
    </row>
    <row r="232" spans="1:10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02"/>
      <c r="J232" s="163"/>
    </row>
    <row r="233" spans="1:10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02"/>
      <c r="J233" s="163"/>
    </row>
    <row r="234" spans="1:10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02"/>
      <c r="J234" s="163"/>
    </row>
    <row r="235" spans="1:10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02"/>
      <c r="J235" s="163"/>
    </row>
    <row r="236" spans="1:10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02"/>
      <c r="J236" s="163"/>
    </row>
    <row r="237" spans="1:10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02"/>
      <c r="J237" s="163"/>
    </row>
    <row r="238" spans="1:10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02"/>
      <c r="J238" s="163"/>
    </row>
    <row r="239" spans="1:10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02"/>
      <c r="J239" s="163"/>
    </row>
    <row r="240" spans="1:10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02"/>
      <c r="J240" s="163"/>
    </row>
    <row r="241" spans="1:10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02"/>
      <c r="J241" s="163"/>
    </row>
    <row r="242" spans="1:10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02"/>
      <c r="J242" s="163"/>
    </row>
    <row r="243" spans="1:10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02"/>
      <c r="J243" s="163"/>
    </row>
    <row r="244" spans="1:10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02"/>
      <c r="J244" s="163"/>
    </row>
    <row r="245" spans="1:10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02"/>
      <c r="J245" s="163"/>
    </row>
    <row r="246" spans="1:10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02"/>
      <c r="J246" s="163"/>
    </row>
    <row r="247" spans="1:10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02"/>
      <c r="J247" s="163"/>
    </row>
    <row r="248" spans="1:10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02"/>
      <c r="J248" s="163"/>
    </row>
    <row r="249" spans="1:10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02"/>
      <c r="J249" s="163"/>
    </row>
    <row r="250" spans="1:10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02"/>
      <c r="J250" s="163"/>
    </row>
    <row r="251" spans="1:10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02"/>
      <c r="J251" s="163"/>
    </row>
    <row r="252" spans="1:10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02"/>
      <c r="J252" s="163"/>
    </row>
    <row r="253" spans="1:10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02"/>
      <c r="J253" s="163"/>
    </row>
    <row r="254" spans="1:10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02"/>
      <c r="J254" s="163"/>
    </row>
    <row r="255" spans="1:10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02"/>
      <c r="J255" s="163"/>
    </row>
    <row r="256" spans="1:10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02"/>
      <c r="J256" s="163"/>
    </row>
    <row r="257" spans="1:10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02"/>
      <c r="J257" s="163"/>
    </row>
    <row r="258" spans="1:10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02"/>
      <c r="J258" s="163"/>
    </row>
    <row r="259" spans="1:10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02"/>
      <c r="J259" s="163"/>
    </row>
    <row r="260" spans="1:10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02"/>
      <c r="J260" s="163"/>
    </row>
    <row r="261" spans="1:10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02"/>
      <c r="J261" s="163"/>
    </row>
    <row r="262" spans="1:10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02"/>
      <c r="J262" s="163"/>
    </row>
    <row r="263" spans="1:10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02"/>
      <c r="J263" s="163"/>
    </row>
    <row r="264" spans="1:10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02"/>
      <c r="J264" s="163"/>
    </row>
    <row r="265" spans="1:10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02"/>
      <c r="J265" s="163"/>
    </row>
    <row r="266" spans="1:10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02"/>
      <c r="J266" s="163"/>
    </row>
    <row r="267" spans="1:10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02"/>
      <c r="J267" s="163"/>
    </row>
    <row r="268" spans="1:10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02"/>
      <c r="J268" s="163"/>
    </row>
    <row r="269" spans="1:10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02"/>
      <c r="J269" s="163"/>
    </row>
    <row r="270" spans="1:10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02"/>
      <c r="J270" s="163"/>
    </row>
    <row r="271" spans="1:10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02"/>
      <c r="J271" s="163"/>
    </row>
    <row r="272" spans="1:10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02"/>
      <c r="J272" s="163"/>
    </row>
    <row r="273" spans="1:10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02"/>
      <c r="J273" s="163"/>
    </row>
    <row r="274" spans="1:10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02"/>
      <c r="J274" s="163"/>
    </row>
    <row r="275" spans="1:10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02"/>
      <c r="J275" s="163"/>
    </row>
    <row r="276" spans="1:10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02"/>
      <c r="J276" s="163"/>
    </row>
    <row r="277" spans="1:10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02"/>
      <c r="J277" s="163"/>
    </row>
    <row r="278" spans="1:10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02"/>
      <c r="J278" s="163"/>
    </row>
    <row r="279" spans="1:10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02"/>
      <c r="J279" s="163"/>
    </row>
    <row r="280" spans="1:10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02"/>
      <c r="J280" s="163"/>
    </row>
    <row r="281" spans="1:10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02"/>
      <c r="J281" s="163"/>
    </row>
    <row r="282" spans="1:10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02"/>
      <c r="J282" s="163"/>
    </row>
    <row r="283" spans="1:10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02"/>
      <c r="J283" s="163"/>
    </row>
    <row r="284" spans="1:10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02"/>
      <c r="J284" s="163"/>
    </row>
    <row r="285" spans="1:10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02"/>
      <c r="J285" s="163"/>
    </row>
    <row r="286" spans="1:10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02"/>
      <c r="J286" s="163"/>
    </row>
    <row r="287" spans="1:10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02"/>
      <c r="J287" s="163"/>
    </row>
    <row r="288" spans="1:10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02"/>
      <c r="J288" s="163"/>
    </row>
    <row r="289" spans="1:10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02"/>
      <c r="J289" s="163"/>
    </row>
    <row r="290" spans="1:10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02"/>
      <c r="J290" s="163"/>
    </row>
    <row r="291" spans="1:10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02"/>
      <c r="J291" s="163"/>
    </row>
    <row r="292" spans="1:10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02"/>
      <c r="J292" s="163"/>
    </row>
    <row r="293" spans="1:10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02"/>
      <c r="J293" s="163"/>
    </row>
    <row r="294" spans="1:10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02"/>
      <c r="J294" s="163"/>
    </row>
    <row r="295" spans="1:10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02"/>
      <c r="J295" s="163"/>
    </row>
    <row r="296" spans="1:10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02"/>
      <c r="J296" s="163"/>
    </row>
    <row r="297" spans="1:10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02"/>
      <c r="J297" s="163"/>
    </row>
    <row r="298" spans="1:10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02"/>
      <c r="J298" s="163"/>
    </row>
    <row r="299" spans="1:10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02"/>
      <c r="J299" s="163"/>
    </row>
    <row r="300" spans="1:10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02"/>
      <c r="J300" s="163"/>
    </row>
    <row r="301" spans="1:10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02"/>
      <c r="J301" s="163"/>
    </row>
    <row r="302" spans="1:10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02"/>
      <c r="J302" s="163"/>
    </row>
    <row r="303" spans="1:10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02"/>
      <c r="J303" s="163"/>
    </row>
    <row r="304" spans="1:10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02"/>
      <c r="J304" s="163"/>
    </row>
    <row r="305" spans="1:10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02"/>
      <c r="J305" s="163"/>
    </row>
    <row r="306" spans="1:10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02"/>
      <c r="J306" s="163"/>
    </row>
    <row r="307" spans="1:10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02"/>
      <c r="J307" s="163"/>
    </row>
    <row r="308" spans="1:10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02"/>
      <c r="J308" s="163"/>
    </row>
    <row r="309" spans="1:10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02"/>
      <c r="J309" s="163"/>
    </row>
    <row r="310" spans="1:10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02"/>
      <c r="J310" s="163"/>
    </row>
    <row r="311" spans="1:10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02"/>
      <c r="J311" s="163"/>
    </row>
    <row r="312" spans="1:10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02"/>
      <c r="J312" s="163"/>
    </row>
    <row r="313" spans="1:10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02"/>
      <c r="J313" s="163"/>
    </row>
    <row r="314" spans="1:10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02"/>
      <c r="J314" s="163"/>
    </row>
    <row r="315" spans="1:10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02"/>
      <c r="J315" s="163"/>
    </row>
    <row r="316" spans="1:10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02"/>
      <c r="J316" s="163"/>
    </row>
    <row r="317" spans="1:10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02"/>
      <c r="J317" s="163"/>
    </row>
    <row r="318" spans="1:10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02"/>
      <c r="J318" s="163"/>
    </row>
    <row r="319" spans="1:10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02"/>
      <c r="J319" s="163"/>
    </row>
    <row r="320" spans="1:10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02"/>
      <c r="J320" s="163"/>
    </row>
    <row r="321" spans="1:10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02"/>
      <c r="J321" s="163"/>
    </row>
    <row r="322" spans="1:10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02"/>
      <c r="J322" s="163"/>
    </row>
    <row r="323" spans="1:10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02"/>
      <c r="J323" s="163"/>
    </row>
    <row r="324" spans="1:10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02"/>
      <c r="J324" s="163"/>
    </row>
    <row r="325" spans="1:10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02"/>
      <c r="J325" s="163"/>
    </row>
    <row r="326" spans="1:10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02"/>
      <c r="J326" s="163"/>
    </row>
    <row r="327" spans="1:10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02"/>
      <c r="J327" s="163"/>
    </row>
    <row r="328" spans="1:10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02"/>
      <c r="J328" s="163"/>
    </row>
    <row r="329" spans="1:10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02"/>
      <c r="J329" s="163"/>
    </row>
    <row r="330" spans="1:10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02"/>
      <c r="J330" s="163"/>
    </row>
    <row r="331" spans="1:10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02"/>
      <c r="J331" s="163"/>
    </row>
    <row r="332" spans="1:10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02"/>
      <c r="J332" s="163"/>
    </row>
    <row r="333" spans="1:10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02"/>
      <c r="J333" s="163"/>
    </row>
    <row r="334" spans="1:10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02"/>
      <c r="J334" s="163"/>
    </row>
    <row r="335" spans="1:10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02"/>
      <c r="J335" s="163"/>
    </row>
    <row r="336" spans="1:10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02"/>
      <c r="J336" s="163"/>
    </row>
    <row r="337" spans="1:10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02"/>
      <c r="J337" s="163"/>
    </row>
    <row r="338" spans="1:10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02"/>
      <c r="J338" s="163"/>
    </row>
    <row r="339" spans="1:10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02"/>
      <c r="J339" s="163"/>
    </row>
    <row r="340" spans="1:10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02"/>
      <c r="J340" s="163"/>
    </row>
    <row r="341" spans="1:10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02"/>
      <c r="J341" s="163"/>
    </row>
    <row r="342" spans="1:10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02"/>
      <c r="J342" s="163"/>
    </row>
    <row r="343" spans="1:10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02"/>
      <c r="J343" s="163"/>
    </row>
    <row r="344" spans="1:10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02"/>
      <c r="J344" s="163"/>
    </row>
    <row r="345" spans="1:10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02"/>
      <c r="J345" s="163"/>
    </row>
    <row r="346" spans="1:10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02"/>
      <c r="J346" s="163"/>
    </row>
    <row r="347" spans="1:10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02"/>
      <c r="J347" s="163"/>
    </row>
    <row r="348" spans="1:10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02"/>
      <c r="J348" s="163"/>
    </row>
    <row r="349" spans="1:10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02"/>
      <c r="J349" s="163"/>
    </row>
    <row r="350" spans="1:10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02"/>
      <c r="J350" s="163"/>
    </row>
    <row r="351" spans="1:10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02"/>
      <c r="J351" s="163"/>
    </row>
    <row r="352" spans="1:10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02"/>
      <c r="J352" s="163"/>
    </row>
    <row r="353" spans="1:10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02"/>
      <c r="J353" s="163"/>
    </row>
    <row r="354" spans="1:10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02"/>
      <c r="J354" s="163"/>
    </row>
    <row r="355" spans="1:10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02"/>
      <c r="J355" s="163"/>
    </row>
    <row r="356" spans="1:10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02"/>
      <c r="J356" s="163"/>
    </row>
    <row r="357" spans="1:10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02"/>
      <c r="J357" s="163"/>
    </row>
    <row r="358" spans="1:10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02"/>
      <c r="J358" s="163"/>
    </row>
    <row r="359" spans="1:10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02"/>
      <c r="J359" s="163"/>
    </row>
    <row r="360" spans="1:10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02"/>
      <c r="J360" s="163"/>
    </row>
    <row r="361" spans="1:10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02"/>
      <c r="J361" s="163"/>
    </row>
    <row r="362" spans="1:10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02"/>
      <c r="J362" s="163"/>
    </row>
    <row r="363" spans="1:10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02"/>
      <c r="J363" s="163"/>
    </row>
    <row r="364" spans="1:10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02"/>
      <c r="J364" s="163"/>
    </row>
    <row r="365" spans="1:10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02"/>
      <c r="J365" s="163"/>
    </row>
    <row r="366" spans="1:10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02"/>
      <c r="J366" s="163"/>
    </row>
    <row r="367" spans="1:10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02"/>
      <c r="J367" s="163"/>
    </row>
    <row r="368" spans="1:10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02"/>
      <c r="J368" s="163"/>
    </row>
    <row r="369" spans="1:10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02"/>
      <c r="J369" s="163"/>
    </row>
    <row r="370" spans="1:10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02"/>
      <c r="J370" s="163"/>
    </row>
    <row r="371" spans="1:10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02"/>
      <c r="J371" s="163"/>
    </row>
    <row r="372" spans="1:10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02"/>
      <c r="J372" s="163"/>
    </row>
    <row r="373" spans="1:10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02"/>
      <c r="J373" s="163"/>
    </row>
    <row r="374" spans="1:10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02"/>
      <c r="J374" s="163"/>
    </row>
    <row r="375" spans="1:10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02"/>
      <c r="J375" s="163"/>
    </row>
    <row r="376" spans="1:10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02"/>
      <c r="J376" s="163"/>
    </row>
    <row r="377" spans="1:10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02"/>
      <c r="J377" s="163"/>
    </row>
    <row r="378" spans="1:10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02"/>
      <c r="J378" s="163"/>
    </row>
    <row r="379" spans="1:10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02"/>
      <c r="J379" s="163"/>
    </row>
    <row r="380" spans="1:10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02"/>
      <c r="J380" s="163"/>
    </row>
    <row r="381" spans="1:10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02"/>
      <c r="J381" s="163"/>
    </row>
    <row r="382" spans="1:10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02"/>
      <c r="J382" s="163"/>
    </row>
    <row r="383" spans="1:10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02"/>
      <c r="J383" s="163"/>
    </row>
    <row r="384" spans="1:10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02"/>
      <c r="J384" s="163"/>
    </row>
    <row r="385" spans="1:10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02"/>
      <c r="J385" s="163"/>
    </row>
    <row r="386" spans="1:10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02"/>
      <c r="J386" s="163"/>
    </row>
    <row r="387" spans="1:10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02"/>
      <c r="J387" s="163"/>
    </row>
    <row r="388" spans="1:10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02"/>
      <c r="J388" s="163"/>
    </row>
    <row r="389" spans="1:10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02"/>
      <c r="J389" s="163"/>
    </row>
    <row r="390" spans="1:10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02"/>
      <c r="J390" s="163"/>
    </row>
    <row r="391" spans="1:10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02"/>
      <c r="J391" s="163"/>
    </row>
    <row r="392" spans="1:10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02"/>
      <c r="J392" s="163"/>
    </row>
    <row r="393" spans="1:10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02"/>
      <c r="J393" s="163"/>
    </row>
    <row r="394" spans="1:10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02"/>
      <c r="J394" s="163"/>
    </row>
    <row r="395" spans="1:10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02"/>
      <c r="J395" s="163"/>
    </row>
    <row r="396" spans="1:10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02"/>
      <c r="J396" s="163"/>
    </row>
    <row r="397" spans="1:10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02"/>
      <c r="J397" s="163"/>
    </row>
    <row r="398" spans="1:10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02"/>
      <c r="J398" s="163"/>
    </row>
    <row r="399" spans="1:10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02"/>
      <c r="J399" s="163"/>
    </row>
    <row r="400" spans="1:10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02"/>
      <c r="J400" s="163"/>
    </row>
    <row r="401" spans="1:10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02"/>
      <c r="J401" s="163"/>
    </row>
    <row r="402" spans="1:10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02"/>
      <c r="J402" s="163"/>
    </row>
    <row r="403" spans="1:10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02"/>
      <c r="J403" s="163"/>
    </row>
    <row r="404" spans="1:10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02"/>
      <c r="J404" s="163"/>
    </row>
    <row r="405" spans="1:10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02"/>
      <c r="J405" s="163"/>
    </row>
    <row r="406" spans="1:10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02"/>
      <c r="J406" s="163"/>
    </row>
    <row r="407" spans="1:10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02"/>
      <c r="J407" s="163"/>
    </row>
    <row r="408" spans="1:10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02"/>
      <c r="J408" s="163"/>
    </row>
    <row r="409" spans="1:10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02"/>
      <c r="J409" s="163"/>
    </row>
    <row r="410" spans="1:10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02"/>
      <c r="J410" s="163"/>
    </row>
    <row r="411" spans="1:10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02"/>
      <c r="J411" s="163"/>
    </row>
    <row r="412" spans="1:10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02"/>
      <c r="J412" s="163"/>
    </row>
    <row r="413" spans="1:10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02"/>
      <c r="J413" s="163"/>
    </row>
    <row r="414" spans="1:10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02"/>
      <c r="J414" s="163"/>
    </row>
    <row r="415" spans="1:10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02"/>
      <c r="J415" s="163"/>
    </row>
    <row r="416" spans="1:10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02"/>
      <c r="J416" s="163"/>
    </row>
    <row r="417" spans="1:10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02"/>
      <c r="J417" s="163"/>
    </row>
    <row r="418" spans="1:10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02"/>
      <c r="J418" s="163"/>
    </row>
    <row r="419" spans="1:10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02"/>
      <c r="J419" s="163"/>
    </row>
    <row r="420" spans="1:10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02"/>
      <c r="J420" s="163"/>
    </row>
    <row r="421" spans="1:10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02"/>
      <c r="J421" s="163"/>
    </row>
    <row r="422" spans="1:10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02"/>
      <c r="J422" s="163"/>
    </row>
    <row r="423" spans="1:10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02"/>
      <c r="J423" s="163"/>
    </row>
    <row r="424" spans="1:10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02"/>
      <c r="J424" s="163"/>
    </row>
    <row r="425" spans="1:10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02"/>
      <c r="J425" s="163"/>
    </row>
    <row r="426" spans="1:10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02"/>
      <c r="J426" s="163"/>
    </row>
    <row r="427" spans="1:10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02"/>
      <c r="J427" s="163"/>
    </row>
    <row r="428" spans="1:10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02"/>
      <c r="J428" s="163"/>
    </row>
    <row r="429" spans="1:10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02"/>
      <c r="J429" s="163"/>
    </row>
    <row r="430" spans="1:10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02"/>
      <c r="J430" s="163"/>
    </row>
    <row r="431" spans="1:10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02"/>
      <c r="J431" s="163"/>
    </row>
    <row r="432" spans="1:10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02"/>
      <c r="J432" s="163"/>
    </row>
    <row r="433" spans="1:10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02"/>
      <c r="J433" s="163"/>
    </row>
    <row r="434" spans="1:10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02"/>
      <c r="J434" s="163"/>
    </row>
    <row r="435" spans="1:10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02"/>
      <c r="J435" s="163"/>
    </row>
    <row r="436" spans="1:10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02"/>
      <c r="J436" s="163"/>
    </row>
    <row r="437" spans="1:10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02"/>
      <c r="J437" s="163"/>
    </row>
    <row r="438" spans="1:10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02"/>
      <c r="J438" s="163"/>
    </row>
    <row r="439" spans="1:10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02"/>
      <c r="J439" s="163"/>
    </row>
    <row r="440" spans="1:10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02"/>
      <c r="J440" s="163"/>
    </row>
    <row r="441" spans="1:10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02"/>
      <c r="J441" s="163"/>
    </row>
    <row r="442" spans="1:10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02"/>
      <c r="J442" s="163"/>
    </row>
    <row r="443" spans="1:10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02"/>
      <c r="J443" s="163"/>
    </row>
    <row r="444" spans="1:10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02"/>
      <c r="J444" s="163"/>
    </row>
    <row r="445" spans="1:10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02"/>
      <c r="J445" s="163"/>
    </row>
    <row r="446" spans="1:10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02"/>
      <c r="J446" s="163"/>
    </row>
    <row r="447" spans="1:10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02"/>
      <c r="J447" s="163"/>
    </row>
    <row r="448" spans="1:10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02"/>
      <c r="J448" s="163"/>
    </row>
    <row r="449" spans="1:10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02"/>
      <c r="J449" s="163"/>
    </row>
    <row r="450" spans="1:10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02"/>
      <c r="J450" s="163"/>
    </row>
    <row r="451" spans="1:10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02"/>
      <c r="J451" s="163"/>
    </row>
    <row r="452" spans="1:10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02"/>
      <c r="J452" s="163"/>
    </row>
    <row r="453" spans="1:10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02"/>
      <c r="J453" s="163"/>
    </row>
    <row r="454" spans="1:10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02"/>
      <c r="J454" s="163"/>
    </row>
    <row r="455" spans="1:10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02"/>
      <c r="J455" s="163"/>
    </row>
    <row r="456" spans="1:10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02"/>
      <c r="J456" s="163"/>
    </row>
    <row r="457" spans="1:10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02"/>
      <c r="J457" s="163"/>
    </row>
    <row r="458" spans="1:10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02"/>
      <c r="J458" s="163"/>
    </row>
    <row r="459" spans="1:10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02"/>
      <c r="J459" s="163"/>
    </row>
    <row r="460" spans="1:10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02"/>
      <c r="J460" s="163"/>
    </row>
    <row r="461" spans="1:10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02"/>
      <c r="J461" s="163"/>
    </row>
    <row r="462" spans="1:10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02"/>
      <c r="J462" s="163"/>
    </row>
    <row r="463" spans="1:10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02"/>
      <c r="J463" s="163"/>
    </row>
    <row r="464" spans="1:10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02"/>
      <c r="J464" s="163"/>
    </row>
    <row r="465" spans="1:10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02"/>
      <c r="J465" s="163"/>
    </row>
    <row r="466" spans="1:10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02"/>
      <c r="J466" s="163"/>
    </row>
    <row r="467" spans="1:10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02"/>
      <c r="J467" s="163"/>
    </row>
    <row r="468" spans="1:10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02"/>
      <c r="J468" s="163"/>
    </row>
    <row r="469" spans="1:10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02"/>
      <c r="J469" s="163"/>
    </row>
    <row r="470" spans="1:10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02"/>
      <c r="J470" s="163"/>
    </row>
    <row r="471" spans="1:10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02"/>
      <c r="J471" s="163"/>
    </row>
    <row r="472" spans="1:10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02"/>
      <c r="J472" s="163"/>
    </row>
    <row r="473" spans="1:10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02"/>
      <c r="J473" s="163"/>
    </row>
    <row r="474" spans="1:10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02"/>
      <c r="J474" s="163"/>
    </row>
    <row r="475" spans="1:10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02"/>
      <c r="J475" s="163"/>
    </row>
    <row r="476" spans="1:10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02"/>
      <c r="J476" s="163"/>
    </row>
    <row r="477" spans="1:10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02"/>
      <c r="J477" s="163"/>
    </row>
    <row r="478" spans="1:10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02"/>
      <c r="J478" s="163"/>
    </row>
    <row r="479" spans="1:10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02"/>
      <c r="J479" s="163"/>
    </row>
    <row r="480" spans="1:10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02"/>
      <c r="J480" s="163"/>
    </row>
    <row r="481" spans="1:10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02"/>
      <c r="J481" s="163"/>
    </row>
    <row r="482" spans="1:10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02"/>
      <c r="J482" s="163"/>
    </row>
    <row r="483" spans="1:10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02"/>
      <c r="J483" s="163"/>
    </row>
    <row r="484" spans="1:10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02"/>
      <c r="J484" s="163"/>
    </row>
    <row r="485" spans="1:10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02"/>
      <c r="J485" s="163"/>
    </row>
    <row r="486" spans="1:10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02"/>
      <c r="J486" s="163"/>
    </row>
    <row r="487" spans="1:10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02"/>
      <c r="J487" s="163"/>
    </row>
    <row r="488" spans="1:10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02"/>
      <c r="J488" s="163"/>
    </row>
    <row r="489" spans="1:10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02"/>
      <c r="J489" s="163"/>
    </row>
    <row r="490" spans="1:10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02"/>
      <c r="J490" s="163"/>
    </row>
    <row r="491" spans="1:10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02"/>
      <c r="J491" s="163"/>
    </row>
    <row r="492" spans="1:10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02"/>
      <c r="J492" s="163"/>
    </row>
    <row r="493" spans="1:10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02"/>
      <c r="J493" s="163"/>
    </row>
    <row r="494" spans="1:10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02"/>
      <c r="J494" s="163"/>
    </row>
    <row r="495" spans="1:10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02"/>
      <c r="J495" s="163"/>
    </row>
    <row r="496" spans="1:10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02"/>
      <c r="J496" s="163"/>
    </row>
    <row r="497" spans="1:10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02"/>
      <c r="J497" s="163"/>
    </row>
    <row r="498" spans="1:10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02"/>
      <c r="J498" s="163"/>
    </row>
    <row r="499" spans="1:10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02"/>
      <c r="J499" s="163"/>
    </row>
    <row r="500" spans="1:10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02"/>
      <c r="J500" s="163"/>
    </row>
    <row r="501" spans="1:10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02"/>
      <c r="J501" s="163"/>
    </row>
    <row r="502" spans="1:10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02"/>
      <c r="J502" s="163"/>
    </row>
    <row r="503" spans="1:10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02"/>
      <c r="J503" s="163"/>
    </row>
    <row r="504" spans="1:10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02"/>
      <c r="J504" s="163"/>
    </row>
    <row r="505" spans="1:10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02"/>
      <c r="J505" s="163"/>
    </row>
    <row r="506" spans="1:10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02"/>
      <c r="J506" s="163"/>
    </row>
    <row r="507" spans="1:10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02"/>
      <c r="J507" s="163"/>
    </row>
    <row r="508" spans="1:10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02"/>
      <c r="J508" s="163"/>
    </row>
    <row r="509" spans="1:10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02"/>
      <c r="J509" s="163"/>
    </row>
    <row r="510" spans="1:10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02"/>
      <c r="J510" s="163"/>
    </row>
    <row r="511" spans="1:10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02"/>
      <c r="J511" s="163"/>
    </row>
    <row r="512" spans="1:10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02"/>
      <c r="J512" s="163"/>
    </row>
    <row r="513" spans="1:10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02"/>
      <c r="J513" s="163"/>
    </row>
    <row r="514" spans="1:10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02"/>
      <c r="J514" s="163"/>
    </row>
    <row r="515" spans="1:10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02"/>
      <c r="J515" s="163"/>
    </row>
    <row r="516" spans="1:10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02"/>
      <c r="J516" s="163"/>
    </row>
    <row r="517" spans="1:10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02"/>
      <c r="J517" s="163"/>
    </row>
    <row r="518" spans="1:10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02"/>
      <c r="J518" s="163"/>
    </row>
    <row r="519" spans="1:10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02"/>
      <c r="J519" s="163"/>
    </row>
    <row r="520" spans="1:10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02"/>
      <c r="J520" s="163"/>
    </row>
    <row r="521" spans="1:10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02"/>
      <c r="J521" s="163"/>
    </row>
    <row r="522" spans="1:10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02"/>
      <c r="J522" s="163"/>
    </row>
    <row r="523" spans="1:10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02"/>
      <c r="J523" s="163"/>
    </row>
    <row r="524" spans="1:10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02"/>
      <c r="J524" s="163"/>
    </row>
    <row r="525" spans="1:10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02"/>
      <c r="J525" s="163"/>
    </row>
    <row r="526" spans="1:10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02"/>
      <c r="J526" s="163"/>
    </row>
    <row r="527" spans="1:10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02"/>
      <c r="J527" s="163"/>
    </row>
    <row r="528" spans="1:10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02"/>
      <c r="J528" s="163"/>
    </row>
    <row r="529" spans="1:10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02"/>
      <c r="J529" s="163"/>
    </row>
    <row r="530" spans="1:10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02"/>
      <c r="J530" s="163"/>
    </row>
    <row r="531" spans="1:10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02"/>
      <c r="J531" s="163"/>
    </row>
    <row r="532" spans="1:10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02"/>
      <c r="J532" s="163"/>
    </row>
    <row r="533" spans="1:10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02"/>
      <c r="J533" s="163"/>
    </row>
    <row r="534" spans="1:10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02"/>
      <c r="J534" s="163"/>
    </row>
    <row r="535" spans="1:10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02"/>
      <c r="J535" s="163"/>
    </row>
    <row r="536" spans="1:10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02"/>
      <c r="J536" s="163"/>
    </row>
    <row r="537" spans="1:10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02"/>
      <c r="J537" s="163"/>
    </row>
    <row r="538" spans="1:10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02"/>
      <c r="J538" s="163"/>
    </row>
    <row r="539" spans="1:10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02"/>
      <c r="J539" s="163"/>
    </row>
    <row r="540" spans="1:10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02"/>
      <c r="J540" s="163"/>
    </row>
    <row r="541" spans="1:10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02"/>
      <c r="J541" s="163"/>
    </row>
    <row r="542" spans="1:10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02"/>
      <c r="J542" s="163"/>
    </row>
    <row r="543" spans="1:10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02"/>
      <c r="J543" s="163"/>
    </row>
    <row r="544" spans="1:10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02"/>
      <c r="J544" s="163"/>
    </row>
    <row r="545" spans="1:10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02"/>
      <c r="J545" s="163"/>
    </row>
    <row r="546" spans="1:10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02"/>
      <c r="J546" s="163"/>
    </row>
    <row r="547" spans="1:10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02"/>
      <c r="J547" s="163"/>
    </row>
    <row r="548" spans="1:10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02"/>
      <c r="J548" s="163"/>
    </row>
    <row r="549" spans="1:10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02"/>
      <c r="J549" s="163"/>
    </row>
    <row r="550" spans="1:10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02"/>
      <c r="J550" s="163"/>
    </row>
    <row r="551" spans="1:10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02"/>
      <c r="J551" s="163"/>
    </row>
    <row r="552" spans="1:10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02"/>
      <c r="J552" s="163"/>
    </row>
    <row r="553" spans="1:10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02"/>
      <c r="J553" s="163"/>
    </row>
    <row r="554" spans="1:10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02"/>
      <c r="J554" s="163"/>
    </row>
    <row r="555" spans="1:10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02"/>
      <c r="J555" s="163"/>
    </row>
    <row r="556" spans="1:10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02"/>
      <c r="J556" s="163"/>
    </row>
    <row r="557" spans="1:10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02"/>
      <c r="J557" s="163"/>
    </row>
    <row r="558" spans="1:10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02"/>
      <c r="J558" s="163"/>
    </row>
    <row r="559" spans="1:10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02"/>
      <c r="J559" s="163"/>
    </row>
    <row r="560" spans="1:10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02"/>
      <c r="J560" s="163"/>
    </row>
    <row r="561" spans="1:10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02"/>
      <c r="J561" s="163"/>
    </row>
    <row r="562" spans="1:10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02"/>
      <c r="J562" s="163"/>
    </row>
    <row r="563" spans="1:10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02"/>
      <c r="J563" s="163"/>
    </row>
    <row r="564" spans="1:10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02"/>
      <c r="J564" s="163"/>
    </row>
    <row r="565" spans="1:10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02"/>
      <c r="J565" s="163"/>
    </row>
    <row r="566" spans="1:10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02"/>
      <c r="J566" s="163"/>
    </row>
    <row r="567" spans="1:10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02"/>
      <c r="J567" s="163"/>
    </row>
    <row r="568" spans="1:10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02"/>
      <c r="J568" s="163"/>
    </row>
    <row r="569" spans="1:10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02"/>
      <c r="J569" s="163"/>
    </row>
    <row r="570" spans="1:10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02"/>
      <c r="J570" s="163"/>
    </row>
    <row r="571" spans="1:10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02"/>
      <c r="J571" s="163"/>
    </row>
    <row r="572" spans="1:10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02"/>
      <c r="J572" s="163"/>
    </row>
    <row r="573" spans="1:10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02"/>
      <c r="J573" s="163"/>
    </row>
    <row r="574" spans="1:10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02"/>
      <c r="J574" s="163"/>
    </row>
    <row r="575" spans="1:10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02"/>
      <c r="J575" s="163"/>
    </row>
    <row r="576" spans="1:10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02"/>
      <c r="J576" s="163"/>
    </row>
    <row r="577" spans="1:10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02"/>
      <c r="J577" s="163"/>
    </row>
    <row r="578" spans="1:10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02"/>
      <c r="J578" s="163"/>
    </row>
    <row r="579" spans="1:10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02"/>
      <c r="J579" s="163"/>
    </row>
    <row r="580" spans="1:10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02"/>
      <c r="J580" s="163"/>
    </row>
    <row r="581" spans="1:10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02"/>
      <c r="J581" s="163"/>
    </row>
    <row r="582" spans="1:10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02"/>
      <c r="J582" s="163"/>
    </row>
    <row r="583" spans="1:10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02"/>
      <c r="J583" s="163"/>
    </row>
    <row r="584" spans="1:10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02"/>
      <c r="J584" s="163"/>
    </row>
    <row r="585" spans="1:10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02"/>
      <c r="J585" s="163"/>
    </row>
    <row r="586" spans="1:10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02"/>
      <c r="J586" s="163"/>
    </row>
    <row r="587" spans="1:10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02"/>
      <c r="J587" s="163"/>
    </row>
    <row r="588" spans="1:10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02"/>
      <c r="J588" s="163"/>
    </row>
    <row r="589" spans="1:10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02"/>
      <c r="J589" s="163"/>
    </row>
    <row r="590" spans="1:10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02"/>
      <c r="J590" s="163"/>
    </row>
    <row r="591" spans="1:10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02"/>
      <c r="J591" s="163"/>
    </row>
    <row r="592" spans="1:10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02"/>
      <c r="J592" s="163"/>
    </row>
    <row r="593" spans="1:10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02"/>
      <c r="J593" s="163"/>
    </row>
    <row r="594" spans="1:10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02"/>
      <c r="J594" s="163"/>
    </row>
    <row r="595" spans="1:10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02"/>
      <c r="J595" s="163"/>
    </row>
    <row r="596" spans="1:10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02"/>
      <c r="J596" s="163"/>
    </row>
    <row r="597" spans="1:10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02"/>
      <c r="J597" s="163"/>
    </row>
    <row r="598" spans="1:10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02"/>
      <c r="J598" s="163"/>
    </row>
    <row r="599" spans="1:10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02"/>
      <c r="J599" s="163"/>
    </row>
    <row r="600" spans="1:10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02"/>
      <c r="J600" s="163"/>
    </row>
    <row r="601" spans="1:10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02"/>
      <c r="J601" s="163"/>
    </row>
    <row r="602" spans="1:10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02"/>
      <c r="J602" s="163"/>
    </row>
    <row r="603" spans="1:10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02"/>
      <c r="J603" s="163"/>
    </row>
    <row r="604" spans="1:10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02"/>
      <c r="J604" s="163"/>
    </row>
    <row r="605" spans="1:10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02"/>
      <c r="J605" s="163"/>
    </row>
    <row r="606" spans="1:10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02"/>
      <c r="J606" s="163"/>
    </row>
    <row r="607" spans="1:10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02"/>
      <c r="J607" s="163"/>
    </row>
    <row r="608" spans="1:10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02"/>
      <c r="J608" s="163"/>
    </row>
    <row r="609" spans="1:10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02"/>
      <c r="J609" s="163"/>
    </row>
    <row r="610" spans="1:10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02"/>
      <c r="J610" s="163"/>
    </row>
    <row r="611" spans="1:10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02"/>
      <c r="J611" s="163"/>
    </row>
    <row r="612" spans="1:10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02"/>
      <c r="J612" s="163"/>
    </row>
    <row r="613" spans="1:10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02"/>
      <c r="J613" s="163"/>
    </row>
    <row r="614" spans="1:10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02"/>
      <c r="J614" s="163"/>
    </row>
    <row r="615" spans="1:10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02"/>
      <c r="J615" s="163"/>
    </row>
    <row r="616" spans="1:10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02"/>
      <c r="J616" s="163"/>
    </row>
    <row r="617" spans="1:10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02"/>
      <c r="J617" s="163"/>
    </row>
    <row r="618" spans="1:10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02"/>
      <c r="J618" s="163"/>
    </row>
    <row r="619" spans="1:10" s="2" customFormat="1" ht="24.9" customHeight="1">
      <c r="A619" s="147"/>
      <c r="B619" s="40"/>
      <c r="C619" s="40"/>
      <c r="D619" s="140"/>
      <c r="E619" s="44"/>
      <c r="F619" s="44"/>
      <c r="G619" s="207" t="s">
        <v>6</v>
      </c>
      <c r="H619" s="211"/>
      <c r="I619" s="203"/>
      <c r="J619" s="45" t="s">
        <v>6</v>
      </c>
    </row>
    <row r="620" spans="1:10" s="2" customFormat="1" ht="24.9" customHeight="1">
      <c r="A620" s="147"/>
      <c r="B620" s="40"/>
      <c r="C620" s="40"/>
      <c r="D620" s="140"/>
      <c r="E620" s="44"/>
      <c r="F620" s="44"/>
      <c r="G620" s="207" t="s">
        <v>6</v>
      </c>
      <c r="H620" s="211"/>
      <c r="I620" s="203"/>
      <c r="J620" s="45" t="s">
        <v>6</v>
      </c>
    </row>
    <row r="621" spans="1:10" s="2" customFormat="1" ht="24.9" customHeight="1">
      <c r="A621" s="147"/>
      <c r="B621" s="40"/>
      <c r="C621" s="40"/>
      <c r="D621" s="140"/>
      <c r="E621" s="44"/>
      <c r="F621" s="44"/>
      <c r="G621" s="207" t="s">
        <v>6</v>
      </c>
      <c r="H621" s="211"/>
      <c r="I621" s="203"/>
      <c r="J621" s="45" t="s">
        <v>6</v>
      </c>
    </row>
    <row r="622" spans="1:10" s="2" customFormat="1" ht="24.9" customHeight="1">
      <c r="A622" s="40"/>
      <c r="B622" s="40"/>
      <c r="C622" s="40"/>
      <c r="D622" s="43"/>
      <c r="E622" s="44"/>
      <c r="F622" s="44" t="str">
        <f>IF(D622="","",_xlfn.ISOWEEKNUM(D622))</f>
        <v/>
      </c>
      <c r="G622" s="207" t="s">
        <v>6</v>
      </c>
      <c r="H622" s="211"/>
      <c r="I622" s="203"/>
      <c r="J622" s="45" t="s">
        <v>6</v>
      </c>
    </row>
    <row r="623" spans="1:10" s="2" customFormat="1" ht="24.9" customHeight="1">
      <c r="A623" s="40"/>
      <c r="B623" s="40"/>
      <c r="C623" s="40"/>
      <c r="D623" s="43"/>
      <c r="E623" s="44"/>
      <c r="F623" s="44" t="str">
        <f>IF(D623="","",_xlfn.ISOWEEKNUM(D623))</f>
        <v/>
      </c>
      <c r="G623" s="207" t="s">
        <v>6</v>
      </c>
      <c r="H623" s="211"/>
      <c r="I623" s="203"/>
      <c r="J623" s="45" t="s">
        <v>6</v>
      </c>
    </row>
    <row r="624" spans="1:10" s="2" customFormat="1" ht="24.9" customHeight="1">
      <c r="A624" s="40"/>
      <c r="B624" s="40"/>
      <c r="C624" s="40"/>
      <c r="D624" s="43"/>
      <c r="E624" s="44"/>
      <c r="F624" s="44" t="str">
        <f>IF(D624="","",_xlfn.ISOWEEKNUM(D624))</f>
        <v/>
      </c>
      <c r="G624" s="207" t="s">
        <v>6</v>
      </c>
      <c r="H624" s="212"/>
      <c r="I624" s="203"/>
      <c r="J624" s="45" t="s">
        <v>6</v>
      </c>
    </row>
    <row r="625" spans="1:10" s="2" customFormat="1" ht="24.9" customHeight="1">
      <c r="A625" s="40"/>
      <c r="B625" s="40"/>
      <c r="C625" s="40" t="s">
        <v>241</v>
      </c>
      <c r="D625" s="43"/>
      <c r="E625" s="44"/>
      <c r="F625" s="44" t="str">
        <f>IF(D625="","",_xlfn.ISOWEEKNUM(D625))</f>
        <v/>
      </c>
      <c r="G625" s="44" t="s">
        <v>6</v>
      </c>
      <c r="H625" s="201"/>
      <c r="I625" s="203"/>
      <c r="J625" s="45" t="s">
        <v>6</v>
      </c>
    </row>
    <row r="626" spans="1:10" ht="6.9" customHeight="1">
      <c r="A626" s="60" t="s">
        <v>6</v>
      </c>
      <c r="B626" s="60" t="s">
        <v>6</v>
      </c>
      <c r="C626" s="60" t="s">
        <v>6</v>
      </c>
      <c r="D626" s="60" t="s">
        <v>6</v>
      </c>
      <c r="E626" s="44"/>
      <c r="F626" s="60" t="s">
        <v>6</v>
      </c>
      <c r="G626" s="60" t="s">
        <v>6</v>
      </c>
      <c r="H626" s="60"/>
      <c r="I626" s="60"/>
      <c r="J626" s="60" t="s">
        <v>6</v>
      </c>
    </row>
    <row r="627" spans="1:10">
      <c r="E627" s="60" t="s">
        <v>6</v>
      </c>
    </row>
    <row r="628" spans="1:10">
      <c r="B628" s="64" t="s">
        <v>242</v>
      </c>
    </row>
    <row r="630" spans="1:10" ht="15.75" customHeight="1">
      <c r="A630" s="65" t="s">
        <v>243</v>
      </c>
      <c r="B630" s="65">
        <v>1</v>
      </c>
      <c r="C630" s="604"/>
      <c r="D630" s="593"/>
    </row>
    <row r="631" spans="1:10" ht="15.65" customHeight="1">
      <c r="A631" s="65"/>
      <c r="B631" s="65">
        <v>2</v>
      </c>
      <c r="C631" s="604"/>
      <c r="D631" s="593"/>
    </row>
    <row r="632" spans="1:10" ht="15.65" customHeight="1">
      <c r="A632" s="65"/>
      <c r="B632" s="65">
        <v>3</v>
      </c>
      <c r="C632" s="604"/>
      <c r="D632" s="593"/>
    </row>
    <row r="633" spans="1:10" ht="15.75" customHeight="1">
      <c r="A633" s="6"/>
    </row>
    <row r="634" spans="1:10" ht="15.75" customHeight="1">
      <c r="A634" s="646" t="s">
        <v>245</v>
      </c>
      <c r="B634" s="593"/>
      <c r="C634" s="66" t="s">
        <v>247</v>
      </c>
      <c r="D634" s="67"/>
    </row>
    <row r="635" spans="1:10" ht="15" customHeight="1">
      <c r="A635" s="68"/>
      <c r="B635" s="67"/>
      <c r="C635" s="66" t="s">
        <v>249</v>
      </c>
      <c r="D635" s="67"/>
    </row>
    <row r="636" spans="1:10">
      <c r="B636" s="62"/>
      <c r="C636" s="62"/>
      <c r="D636" s="62"/>
    </row>
    <row r="637" spans="1:10">
      <c r="B637" s="64"/>
      <c r="C637" s="62"/>
      <c r="D637" s="62"/>
    </row>
    <row r="638" spans="1:10">
      <c r="B638" s="62"/>
      <c r="C638" s="62"/>
      <c r="D638" s="62"/>
    </row>
  </sheetData>
  <mergeCells count="17">
    <mergeCell ref="B3:C3"/>
    <mergeCell ref="A634:B634"/>
    <mergeCell ref="C630:D630"/>
    <mergeCell ref="H10:H13"/>
    <mergeCell ref="A10:A13"/>
    <mergeCell ref="C631:D631"/>
    <mergeCell ref="A9:B9"/>
    <mergeCell ref="D8:F8"/>
    <mergeCell ref="C10:C13"/>
    <mergeCell ref="B10:B13"/>
    <mergeCell ref="C632:D632"/>
    <mergeCell ref="I10:I13"/>
    <mergeCell ref="G10:G13"/>
    <mergeCell ref="D10:F12"/>
    <mergeCell ref="B4:C4"/>
    <mergeCell ref="G8:J8"/>
    <mergeCell ref="J10:J13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>
    <tabColor rgb="FF7030A0"/>
    <pageSetUpPr fitToPage="1"/>
  </sheetPr>
  <dimension ref="A1:K638"/>
  <sheetViews>
    <sheetView showGridLines="0" zoomScale="70" zoomScaleNormal="70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I16" sqref="I16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10.90625" style="6" customWidth="1"/>
    <col min="4" max="4" width="15.6328125" style="6" customWidth="1"/>
    <col min="5" max="5" width="5.453125" style="6" customWidth="1"/>
    <col min="6" max="6" width="7.36328125" style="6" customWidth="1"/>
    <col min="7" max="10" width="13.90625" style="6" customWidth="1"/>
    <col min="11" max="11" width="59.90625" style="6" customWidth="1"/>
    <col min="12" max="12" width="9.08984375" style="6" customWidth="1"/>
    <col min="13" max="16384" width="9.08984375" style="6"/>
  </cols>
  <sheetData>
    <row r="1" spans="1:11" s="1" customFormat="1" ht="31.5" customHeight="1">
      <c r="A1" s="109" t="s">
        <v>0</v>
      </c>
      <c r="B1" s="188"/>
      <c r="C1" s="188"/>
      <c r="D1" s="189"/>
      <c r="E1" s="189"/>
      <c r="F1" s="189"/>
      <c r="G1" s="189"/>
      <c r="H1" s="189"/>
      <c r="I1" s="189"/>
      <c r="J1" s="189"/>
      <c r="K1" s="190"/>
    </row>
    <row r="2" spans="1:11" s="2" customFormat="1" ht="28.5" customHeight="1">
      <c r="A2" s="191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92"/>
    </row>
    <row r="3" spans="1:11" ht="15.65" customHeight="1">
      <c r="A3" s="193"/>
      <c r="B3" s="642" t="s">
        <v>2</v>
      </c>
      <c r="C3" s="593"/>
      <c r="D3" s="4"/>
      <c r="E3" s="4"/>
      <c r="F3" s="4"/>
      <c r="G3" s="4"/>
      <c r="H3" s="4"/>
      <c r="I3" s="4"/>
      <c r="J3" s="4"/>
      <c r="K3" s="194"/>
    </row>
    <row r="4" spans="1:11" ht="18" customHeight="1">
      <c r="A4" s="193"/>
      <c r="B4" s="642" t="s">
        <v>3</v>
      </c>
      <c r="C4" s="593"/>
      <c r="D4" s="4"/>
      <c r="E4" s="4"/>
      <c r="F4" s="4"/>
      <c r="G4" s="4"/>
      <c r="H4" s="4"/>
      <c r="I4" s="4"/>
      <c r="J4" s="4"/>
      <c r="K4" s="194"/>
    </row>
    <row r="5" spans="1:11" ht="18" customHeight="1">
      <c r="A5" s="193"/>
      <c r="B5" s="11" t="s">
        <v>4</v>
      </c>
      <c r="C5" s="4"/>
      <c r="D5" s="4"/>
      <c r="E5" s="4"/>
      <c r="F5" s="4"/>
      <c r="G5" s="4"/>
      <c r="H5" s="4"/>
      <c r="I5" s="4"/>
      <c r="J5" s="4"/>
      <c r="K5" s="194"/>
    </row>
    <row r="6" spans="1:11" ht="18" customHeight="1">
      <c r="A6" s="193"/>
      <c r="B6" s="4"/>
      <c r="C6" s="4"/>
      <c r="D6" s="4"/>
      <c r="E6" s="4"/>
      <c r="F6" s="4"/>
      <c r="G6" s="4"/>
      <c r="H6" s="4"/>
      <c r="I6" s="4"/>
      <c r="J6" s="4"/>
      <c r="K6" s="194"/>
    </row>
    <row r="7" spans="1:11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8"/>
      <c r="K7" s="199"/>
    </row>
    <row r="8" spans="1:11" ht="5.15" customHeight="1">
      <c r="A8" s="12"/>
      <c r="B8" s="13"/>
      <c r="C8" s="15"/>
      <c r="D8" s="699"/>
      <c r="E8" s="616"/>
      <c r="F8" s="639"/>
      <c r="G8" s="689"/>
      <c r="H8" s="616"/>
      <c r="I8" s="616"/>
      <c r="J8" s="616"/>
      <c r="K8" s="639"/>
    </row>
    <row r="9" spans="1:11" ht="20.399999999999999" customHeight="1">
      <c r="A9" s="615" t="s">
        <v>5</v>
      </c>
      <c r="B9" s="616"/>
      <c r="C9" s="19"/>
      <c r="D9" s="20"/>
      <c r="E9" s="21"/>
      <c r="F9" s="22" t="s">
        <v>6</v>
      </c>
      <c r="G9" s="111"/>
      <c r="H9" s="128"/>
      <c r="I9" s="128"/>
      <c r="J9" s="128"/>
      <c r="K9" s="112"/>
    </row>
    <row r="10" spans="1:11" ht="38.25" customHeight="1">
      <c r="A10" s="722" t="s">
        <v>7</v>
      </c>
      <c r="B10" s="725" t="s">
        <v>8</v>
      </c>
      <c r="C10" s="724" t="s">
        <v>10</v>
      </c>
      <c r="D10" s="715" t="s">
        <v>11</v>
      </c>
      <c r="E10" s="648"/>
      <c r="F10" s="716"/>
      <c r="G10" s="712" t="s">
        <v>311</v>
      </c>
      <c r="H10" s="721" t="s">
        <v>312</v>
      </c>
      <c r="I10" s="721" t="s">
        <v>313</v>
      </c>
      <c r="J10" s="712" t="s">
        <v>314</v>
      </c>
      <c r="K10" s="723" t="s">
        <v>310</v>
      </c>
    </row>
    <row r="11" spans="1:11" ht="29.25" customHeight="1">
      <c r="A11" s="713"/>
      <c r="B11" s="713"/>
      <c r="C11" s="713"/>
      <c r="D11" s="657"/>
      <c r="E11" s="593"/>
      <c r="F11" s="717"/>
      <c r="G11" s="713"/>
      <c r="H11" s="713"/>
      <c r="I11" s="713"/>
      <c r="J11" s="713"/>
      <c r="K11" s="713"/>
    </row>
    <row r="12" spans="1:11" ht="29.25" customHeight="1">
      <c r="A12" s="713"/>
      <c r="B12" s="713"/>
      <c r="C12" s="713"/>
      <c r="D12" s="718"/>
      <c r="E12" s="719"/>
      <c r="F12" s="720"/>
      <c r="G12" s="713"/>
      <c r="H12" s="713"/>
      <c r="I12" s="713"/>
      <c r="J12" s="713"/>
      <c r="K12" s="713"/>
    </row>
    <row r="13" spans="1:11" ht="33" customHeight="1">
      <c r="A13" s="714"/>
      <c r="B13" s="714"/>
      <c r="C13" s="714"/>
      <c r="D13" s="186" t="s">
        <v>56</v>
      </c>
      <c r="E13" s="186" t="s">
        <v>57</v>
      </c>
      <c r="F13" s="187" t="s">
        <v>58</v>
      </c>
      <c r="G13" s="714"/>
      <c r="H13" s="713"/>
      <c r="I13" s="713"/>
      <c r="J13" s="714"/>
      <c r="K13" s="714"/>
    </row>
    <row r="14" spans="1:11" ht="8.25" hidden="1" customHeight="1">
      <c r="A14" s="185"/>
      <c r="B14" s="185"/>
      <c r="C14" s="185"/>
      <c r="D14" s="185"/>
      <c r="E14" s="185"/>
      <c r="F14" s="185"/>
      <c r="G14" s="185"/>
      <c r="H14" s="204"/>
      <c r="I14" s="232"/>
      <c r="J14" s="185"/>
      <c r="K14" s="185"/>
    </row>
    <row r="15" spans="1:11" ht="6.9" customHeight="1">
      <c r="A15" s="105"/>
      <c r="B15" s="133" t="s">
        <v>88</v>
      </c>
      <c r="C15" s="98"/>
      <c r="D15" s="99"/>
      <c r="E15" s="99"/>
      <c r="F15" s="99"/>
      <c r="G15" s="100"/>
      <c r="H15" s="100"/>
      <c r="I15" s="100"/>
      <c r="J15" s="100"/>
      <c r="K15" s="100"/>
    </row>
    <row r="16" spans="1:11" s="2" customFormat="1" ht="24.9" customHeight="1">
      <c r="A16" s="147" t="s">
        <v>85</v>
      </c>
      <c r="B16" s="81" t="s">
        <v>274</v>
      </c>
      <c r="C16" s="81"/>
      <c r="D16" s="139"/>
      <c r="E16" s="83"/>
      <c r="F16" s="141"/>
      <c r="G16" s="205"/>
      <c r="H16" s="209"/>
      <c r="I16" s="209"/>
      <c r="J16" s="201"/>
      <c r="K16" s="84"/>
    </row>
    <row r="17" spans="1:11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10"/>
      <c r="J17" s="202"/>
      <c r="K17" s="163"/>
    </row>
    <row r="18" spans="1:11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10"/>
      <c r="J18" s="202"/>
      <c r="K18" s="163"/>
    </row>
    <row r="19" spans="1:11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10"/>
      <c r="J19" s="202"/>
      <c r="K19" s="163"/>
    </row>
    <row r="20" spans="1:11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10"/>
      <c r="J20" s="202"/>
      <c r="K20" s="163"/>
    </row>
    <row r="21" spans="1:11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10"/>
      <c r="J21" s="202"/>
      <c r="K21" s="163"/>
    </row>
    <row r="22" spans="1:11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10"/>
      <c r="J22" s="202"/>
      <c r="K22" s="163"/>
    </row>
    <row r="23" spans="1:11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10"/>
      <c r="J23" s="202"/>
      <c r="K23" s="163"/>
    </row>
    <row r="24" spans="1:11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10"/>
      <c r="J24" s="202"/>
      <c r="K24" s="163"/>
    </row>
    <row r="25" spans="1:11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10"/>
      <c r="J25" s="202"/>
      <c r="K25" s="163"/>
    </row>
    <row r="26" spans="1:11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10"/>
      <c r="J26" s="202"/>
      <c r="K26" s="163"/>
    </row>
    <row r="27" spans="1:11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10"/>
      <c r="J27" s="202"/>
      <c r="K27" s="163"/>
    </row>
    <row r="28" spans="1:11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10"/>
      <c r="J28" s="202"/>
      <c r="K28" s="163"/>
    </row>
    <row r="29" spans="1:11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10"/>
      <c r="J29" s="202"/>
      <c r="K29" s="163"/>
    </row>
    <row r="30" spans="1:11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10"/>
      <c r="J30" s="202"/>
      <c r="K30" s="163"/>
    </row>
    <row r="31" spans="1:11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10"/>
      <c r="J31" s="202"/>
      <c r="K31" s="163"/>
    </row>
    <row r="32" spans="1:11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10"/>
      <c r="J32" s="202"/>
      <c r="K32" s="163"/>
    </row>
    <row r="33" spans="1:11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10"/>
      <c r="J33" s="202"/>
      <c r="K33" s="163"/>
    </row>
    <row r="34" spans="1:11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10"/>
      <c r="J34" s="202"/>
      <c r="K34" s="163"/>
    </row>
    <row r="35" spans="1:11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10"/>
      <c r="J35" s="202"/>
      <c r="K35" s="163"/>
    </row>
    <row r="36" spans="1:11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10"/>
      <c r="J36" s="202"/>
      <c r="K36" s="163"/>
    </row>
    <row r="37" spans="1:11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10"/>
      <c r="J37" s="202"/>
      <c r="K37" s="163"/>
    </row>
    <row r="38" spans="1:11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10"/>
      <c r="J38" s="202"/>
      <c r="K38" s="163"/>
    </row>
    <row r="39" spans="1:11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10"/>
      <c r="J39" s="202"/>
      <c r="K39" s="163"/>
    </row>
    <row r="40" spans="1:11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10"/>
      <c r="J40" s="202"/>
      <c r="K40" s="163"/>
    </row>
    <row r="41" spans="1:11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10"/>
      <c r="J41" s="202"/>
      <c r="K41" s="163"/>
    </row>
    <row r="42" spans="1:11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10"/>
      <c r="J42" s="202"/>
      <c r="K42" s="163"/>
    </row>
    <row r="43" spans="1:11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10"/>
      <c r="J43" s="202"/>
      <c r="K43" s="163"/>
    </row>
    <row r="44" spans="1:11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10"/>
      <c r="J44" s="202"/>
      <c r="K44" s="163"/>
    </row>
    <row r="45" spans="1:11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10"/>
      <c r="J45" s="202"/>
      <c r="K45" s="163"/>
    </row>
    <row r="46" spans="1:11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10"/>
      <c r="J46" s="202"/>
      <c r="K46" s="163"/>
    </row>
    <row r="47" spans="1:11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10"/>
      <c r="J47" s="202"/>
      <c r="K47" s="163"/>
    </row>
    <row r="48" spans="1:11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10"/>
      <c r="J48" s="202"/>
      <c r="K48" s="163"/>
    </row>
    <row r="49" spans="1:11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10"/>
      <c r="J49" s="202"/>
      <c r="K49" s="163"/>
    </row>
    <row r="50" spans="1:11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10"/>
      <c r="J50" s="202"/>
      <c r="K50" s="163"/>
    </row>
    <row r="51" spans="1:11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10"/>
      <c r="J51" s="202"/>
      <c r="K51" s="163"/>
    </row>
    <row r="52" spans="1:11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10"/>
      <c r="J52" s="202"/>
      <c r="K52" s="163"/>
    </row>
    <row r="53" spans="1:11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10"/>
      <c r="J53" s="202"/>
      <c r="K53" s="163"/>
    </row>
    <row r="54" spans="1:11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10"/>
      <c r="J54" s="202"/>
      <c r="K54" s="163"/>
    </row>
    <row r="55" spans="1:11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10"/>
      <c r="J55" s="202"/>
      <c r="K55" s="163"/>
    </row>
    <row r="56" spans="1:11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10"/>
      <c r="J56" s="202"/>
      <c r="K56" s="163"/>
    </row>
    <row r="57" spans="1:11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10"/>
      <c r="J57" s="202"/>
      <c r="K57" s="163"/>
    </row>
    <row r="58" spans="1:11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10"/>
      <c r="J58" s="202"/>
      <c r="K58" s="163"/>
    </row>
    <row r="59" spans="1:11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10"/>
      <c r="J59" s="202"/>
      <c r="K59" s="163"/>
    </row>
    <row r="60" spans="1:11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10"/>
      <c r="J60" s="202"/>
      <c r="K60" s="163"/>
    </row>
    <row r="61" spans="1:11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10"/>
      <c r="J61" s="202"/>
      <c r="K61" s="163"/>
    </row>
    <row r="62" spans="1:11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10"/>
      <c r="J62" s="202"/>
      <c r="K62" s="163"/>
    </row>
    <row r="63" spans="1:11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10"/>
      <c r="J63" s="202"/>
      <c r="K63" s="163"/>
    </row>
    <row r="64" spans="1:11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10"/>
      <c r="J64" s="202"/>
      <c r="K64" s="163"/>
    </row>
    <row r="65" spans="1:11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10"/>
      <c r="J65" s="202"/>
      <c r="K65" s="163"/>
    </row>
    <row r="66" spans="1:11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10"/>
      <c r="J66" s="202"/>
      <c r="K66" s="163"/>
    </row>
    <row r="67" spans="1:11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10"/>
      <c r="J67" s="202"/>
      <c r="K67" s="163"/>
    </row>
    <row r="68" spans="1:11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10"/>
      <c r="J68" s="202"/>
      <c r="K68" s="163"/>
    </row>
    <row r="69" spans="1:11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10"/>
      <c r="J69" s="202"/>
      <c r="K69" s="163"/>
    </row>
    <row r="70" spans="1:11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10"/>
      <c r="J70" s="202"/>
      <c r="K70" s="163"/>
    </row>
    <row r="71" spans="1:11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10"/>
      <c r="J71" s="202"/>
      <c r="K71" s="163"/>
    </row>
    <row r="72" spans="1:11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10"/>
      <c r="J72" s="202"/>
      <c r="K72" s="163"/>
    </row>
    <row r="73" spans="1:11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10"/>
      <c r="J73" s="202"/>
      <c r="K73" s="163"/>
    </row>
    <row r="74" spans="1:11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10"/>
      <c r="J74" s="202"/>
      <c r="K74" s="163"/>
    </row>
    <row r="75" spans="1:11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10"/>
      <c r="J75" s="202"/>
      <c r="K75" s="163"/>
    </row>
    <row r="76" spans="1:11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10"/>
      <c r="J76" s="202"/>
      <c r="K76" s="163"/>
    </row>
    <row r="77" spans="1:11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10"/>
      <c r="J77" s="202"/>
      <c r="K77" s="163"/>
    </row>
    <row r="78" spans="1:11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10"/>
      <c r="J78" s="202"/>
      <c r="K78" s="163"/>
    </row>
    <row r="79" spans="1:11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10"/>
      <c r="J79" s="202"/>
      <c r="K79" s="163"/>
    </row>
    <row r="80" spans="1:11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10"/>
      <c r="J80" s="202"/>
      <c r="K80" s="163"/>
    </row>
    <row r="81" spans="1:11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10"/>
      <c r="J81" s="202"/>
      <c r="K81" s="163"/>
    </row>
    <row r="82" spans="1:11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10"/>
      <c r="J82" s="202"/>
      <c r="K82" s="163"/>
    </row>
    <row r="83" spans="1:11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10"/>
      <c r="J83" s="202"/>
      <c r="K83" s="163"/>
    </row>
    <row r="84" spans="1:11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10"/>
      <c r="J84" s="202"/>
      <c r="K84" s="163"/>
    </row>
    <row r="85" spans="1:11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10"/>
      <c r="J85" s="202"/>
      <c r="K85" s="163"/>
    </row>
    <row r="86" spans="1:11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10"/>
      <c r="J86" s="202"/>
      <c r="K86" s="163"/>
    </row>
    <row r="87" spans="1:11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10"/>
      <c r="J87" s="202"/>
      <c r="K87" s="163"/>
    </row>
    <row r="88" spans="1:11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10"/>
      <c r="J88" s="202"/>
      <c r="K88" s="163"/>
    </row>
    <row r="89" spans="1:11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10"/>
      <c r="J89" s="202"/>
      <c r="K89" s="163"/>
    </row>
    <row r="90" spans="1:11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10"/>
      <c r="J90" s="202"/>
      <c r="K90" s="163"/>
    </row>
    <row r="91" spans="1:11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10"/>
      <c r="J91" s="202"/>
      <c r="K91" s="163"/>
    </row>
    <row r="92" spans="1:11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10"/>
      <c r="J92" s="202"/>
      <c r="K92" s="163"/>
    </row>
    <row r="93" spans="1:11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10"/>
      <c r="J93" s="202"/>
      <c r="K93" s="163"/>
    </row>
    <row r="94" spans="1:11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10"/>
      <c r="J94" s="202"/>
      <c r="K94" s="163"/>
    </row>
    <row r="95" spans="1:11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10"/>
      <c r="J95" s="202"/>
      <c r="K95" s="163"/>
    </row>
    <row r="96" spans="1:11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10"/>
      <c r="J96" s="202"/>
      <c r="K96" s="163"/>
    </row>
    <row r="97" spans="1:11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10"/>
      <c r="J97" s="202"/>
      <c r="K97" s="163"/>
    </row>
    <row r="98" spans="1:11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10"/>
      <c r="J98" s="202"/>
      <c r="K98" s="163"/>
    </row>
    <row r="99" spans="1:11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10"/>
      <c r="J99" s="202"/>
      <c r="K99" s="163"/>
    </row>
    <row r="100" spans="1:11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10"/>
      <c r="J100" s="202"/>
      <c r="K100" s="163"/>
    </row>
    <row r="101" spans="1:11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10"/>
      <c r="J101" s="202"/>
      <c r="K101" s="163"/>
    </row>
    <row r="102" spans="1:11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10"/>
      <c r="J102" s="202"/>
      <c r="K102" s="163"/>
    </row>
    <row r="103" spans="1:11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10"/>
      <c r="J103" s="202"/>
      <c r="K103" s="163"/>
    </row>
    <row r="104" spans="1:11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10"/>
      <c r="J104" s="202"/>
      <c r="K104" s="163"/>
    </row>
    <row r="105" spans="1:11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10"/>
      <c r="J105" s="202"/>
      <c r="K105" s="163"/>
    </row>
    <row r="106" spans="1:11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10"/>
      <c r="J106" s="202"/>
      <c r="K106" s="163"/>
    </row>
    <row r="107" spans="1:11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10"/>
      <c r="J107" s="202"/>
      <c r="K107" s="163"/>
    </row>
    <row r="108" spans="1:11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10"/>
      <c r="J108" s="202"/>
      <c r="K108" s="163"/>
    </row>
    <row r="109" spans="1:11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10"/>
      <c r="J109" s="202"/>
      <c r="K109" s="163"/>
    </row>
    <row r="110" spans="1:11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10"/>
      <c r="J110" s="202"/>
      <c r="K110" s="163"/>
    </row>
    <row r="111" spans="1:11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10"/>
      <c r="J111" s="202"/>
      <c r="K111" s="163"/>
    </row>
    <row r="112" spans="1:11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10"/>
      <c r="J112" s="202"/>
      <c r="K112" s="163"/>
    </row>
    <row r="113" spans="1:11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10"/>
      <c r="J113" s="202"/>
      <c r="K113" s="163"/>
    </row>
    <row r="114" spans="1:11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10"/>
      <c r="J114" s="202"/>
      <c r="K114" s="163"/>
    </row>
    <row r="115" spans="1:11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10"/>
      <c r="J115" s="202"/>
      <c r="K115" s="163"/>
    </row>
    <row r="116" spans="1:11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10"/>
      <c r="J116" s="202"/>
      <c r="K116" s="163"/>
    </row>
    <row r="117" spans="1:11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10"/>
      <c r="J117" s="202"/>
      <c r="K117" s="163"/>
    </row>
    <row r="118" spans="1:11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10"/>
      <c r="J118" s="202"/>
      <c r="K118" s="163"/>
    </row>
    <row r="119" spans="1:11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10"/>
      <c r="J119" s="202"/>
      <c r="K119" s="163"/>
    </row>
    <row r="120" spans="1:11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10"/>
      <c r="J120" s="202"/>
      <c r="K120" s="163"/>
    </row>
    <row r="121" spans="1:11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10"/>
      <c r="J121" s="202"/>
      <c r="K121" s="163"/>
    </row>
    <row r="122" spans="1:11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10"/>
      <c r="J122" s="202"/>
      <c r="K122" s="163"/>
    </row>
    <row r="123" spans="1:11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10"/>
      <c r="J123" s="202"/>
      <c r="K123" s="163"/>
    </row>
    <row r="124" spans="1:11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10"/>
      <c r="J124" s="202"/>
      <c r="K124" s="163"/>
    </row>
    <row r="125" spans="1:11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10"/>
      <c r="J125" s="202"/>
      <c r="K125" s="163"/>
    </row>
    <row r="126" spans="1:11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10"/>
      <c r="J126" s="202"/>
      <c r="K126" s="163"/>
    </row>
    <row r="127" spans="1:11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10"/>
      <c r="J127" s="202"/>
      <c r="K127" s="163"/>
    </row>
    <row r="128" spans="1:11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10"/>
      <c r="J128" s="202"/>
      <c r="K128" s="163"/>
    </row>
    <row r="129" spans="1:11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10"/>
      <c r="J129" s="202"/>
      <c r="K129" s="163"/>
    </row>
    <row r="130" spans="1:11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10"/>
      <c r="J130" s="202"/>
      <c r="K130" s="163"/>
    </row>
    <row r="131" spans="1:11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10"/>
      <c r="J131" s="202"/>
      <c r="K131" s="163"/>
    </row>
    <row r="132" spans="1:11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10"/>
      <c r="J132" s="202"/>
      <c r="K132" s="163"/>
    </row>
    <row r="133" spans="1:11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10"/>
      <c r="J133" s="202"/>
      <c r="K133" s="163"/>
    </row>
    <row r="134" spans="1:11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10"/>
      <c r="J134" s="202"/>
      <c r="K134" s="163"/>
    </row>
    <row r="135" spans="1:11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10"/>
      <c r="J135" s="202"/>
      <c r="K135" s="163"/>
    </row>
    <row r="136" spans="1:11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10"/>
      <c r="J136" s="202"/>
      <c r="K136" s="163"/>
    </row>
    <row r="137" spans="1:11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10"/>
      <c r="J137" s="202"/>
      <c r="K137" s="163"/>
    </row>
    <row r="138" spans="1:11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10"/>
      <c r="J138" s="202"/>
      <c r="K138" s="163"/>
    </row>
    <row r="139" spans="1:11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10"/>
      <c r="J139" s="202"/>
      <c r="K139" s="163"/>
    </row>
    <row r="140" spans="1:11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10"/>
      <c r="J140" s="202"/>
      <c r="K140" s="163"/>
    </row>
    <row r="141" spans="1:11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10"/>
      <c r="J141" s="202"/>
      <c r="K141" s="163"/>
    </row>
    <row r="142" spans="1:11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10"/>
      <c r="J142" s="202"/>
      <c r="K142" s="163"/>
    </row>
    <row r="143" spans="1:11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10"/>
      <c r="J143" s="202"/>
      <c r="K143" s="163"/>
    </row>
    <row r="144" spans="1:11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10"/>
      <c r="J144" s="202"/>
      <c r="K144" s="163"/>
    </row>
    <row r="145" spans="1:11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10"/>
      <c r="J145" s="202"/>
      <c r="K145" s="163"/>
    </row>
    <row r="146" spans="1:11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10"/>
      <c r="J146" s="202"/>
      <c r="K146" s="163"/>
    </row>
    <row r="147" spans="1:11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10"/>
      <c r="J147" s="202"/>
      <c r="K147" s="163"/>
    </row>
    <row r="148" spans="1:11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10"/>
      <c r="J148" s="202"/>
      <c r="K148" s="163"/>
    </row>
    <row r="149" spans="1:11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10"/>
      <c r="J149" s="202"/>
      <c r="K149" s="163"/>
    </row>
    <row r="150" spans="1:11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10"/>
      <c r="J150" s="202"/>
      <c r="K150" s="163"/>
    </row>
    <row r="151" spans="1:11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10"/>
      <c r="J151" s="202"/>
      <c r="K151" s="163"/>
    </row>
    <row r="152" spans="1:11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10"/>
      <c r="J152" s="202"/>
      <c r="K152" s="163"/>
    </row>
    <row r="153" spans="1:11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10"/>
      <c r="J153" s="202"/>
      <c r="K153" s="163"/>
    </row>
    <row r="154" spans="1:11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10"/>
      <c r="J154" s="202"/>
      <c r="K154" s="163"/>
    </row>
    <row r="155" spans="1:11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10"/>
      <c r="J155" s="202"/>
      <c r="K155" s="163"/>
    </row>
    <row r="156" spans="1:11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10"/>
      <c r="J156" s="208"/>
      <c r="K156" s="161"/>
    </row>
    <row r="157" spans="1:11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10"/>
      <c r="J157" s="208"/>
      <c r="K157" s="161"/>
    </row>
    <row r="158" spans="1:11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10"/>
      <c r="J158" s="208"/>
      <c r="K158" s="161"/>
    </row>
    <row r="159" spans="1:11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10"/>
      <c r="J159" s="208"/>
      <c r="K159" s="161"/>
    </row>
    <row r="160" spans="1:11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10"/>
      <c r="J160" s="208"/>
      <c r="K160" s="161"/>
    </row>
    <row r="161" spans="1:11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10"/>
      <c r="J161" s="208"/>
      <c r="K161" s="161"/>
    </row>
    <row r="162" spans="1:11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10"/>
      <c r="J162" s="208"/>
      <c r="K162" s="161"/>
    </row>
    <row r="163" spans="1:11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10"/>
      <c r="J163" s="202"/>
      <c r="K163" s="163"/>
    </row>
    <row r="164" spans="1:11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10"/>
      <c r="J164" s="202"/>
      <c r="K164" s="163"/>
    </row>
    <row r="165" spans="1:11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10"/>
      <c r="J165" s="202"/>
      <c r="K165" s="163"/>
    </row>
    <row r="166" spans="1:11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10"/>
      <c r="J166" s="202"/>
      <c r="K166" s="163"/>
    </row>
    <row r="167" spans="1:11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10"/>
      <c r="J167" s="202"/>
      <c r="K167" s="163"/>
    </row>
    <row r="168" spans="1:11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10"/>
      <c r="J168" s="202"/>
      <c r="K168" s="163"/>
    </row>
    <row r="169" spans="1:11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10"/>
      <c r="J169" s="202"/>
      <c r="K169" s="163"/>
    </row>
    <row r="170" spans="1:11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10"/>
      <c r="J170" s="202"/>
      <c r="K170" s="163"/>
    </row>
    <row r="171" spans="1:11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10"/>
      <c r="J171" s="202"/>
      <c r="K171" s="163"/>
    </row>
    <row r="172" spans="1:11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10"/>
      <c r="J172" s="202"/>
      <c r="K172" s="163"/>
    </row>
    <row r="173" spans="1:11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10"/>
      <c r="J173" s="202"/>
      <c r="K173" s="163"/>
    </row>
    <row r="174" spans="1:11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10"/>
      <c r="J174" s="202"/>
      <c r="K174" s="163"/>
    </row>
    <row r="175" spans="1:11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10"/>
      <c r="J175" s="202"/>
      <c r="K175" s="163"/>
    </row>
    <row r="176" spans="1:11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10"/>
      <c r="J176" s="202"/>
      <c r="K176" s="163"/>
    </row>
    <row r="177" spans="1:11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10"/>
      <c r="J177" s="202"/>
      <c r="K177" s="163"/>
    </row>
    <row r="178" spans="1:11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10"/>
      <c r="J178" s="202"/>
      <c r="K178" s="163"/>
    </row>
    <row r="179" spans="1:11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10"/>
      <c r="J179" s="202"/>
      <c r="K179" s="163"/>
    </row>
    <row r="180" spans="1:11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10"/>
      <c r="J180" s="202"/>
      <c r="K180" s="163"/>
    </row>
    <row r="181" spans="1:11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10"/>
      <c r="J181" s="202"/>
      <c r="K181" s="163"/>
    </row>
    <row r="182" spans="1:11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10"/>
      <c r="J182" s="202"/>
      <c r="K182" s="163"/>
    </row>
    <row r="183" spans="1:11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10"/>
      <c r="J183" s="202"/>
      <c r="K183" s="163"/>
    </row>
    <row r="184" spans="1:11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10"/>
      <c r="J184" s="202"/>
      <c r="K184" s="163"/>
    </row>
    <row r="185" spans="1:11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10"/>
      <c r="J185" s="202"/>
      <c r="K185" s="163"/>
    </row>
    <row r="186" spans="1:11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10"/>
      <c r="J186" s="202"/>
      <c r="K186" s="163"/>
    </row>
    <row r="187" spans="1:11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10"/>
      <c r="J187" s="202"/>
      <c r="K187" s="163"/>
    </row>
    <row r="188" spans="1:11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10"/>
      <c r="J188" s="202"/>
      <c r="K188" s="163"/>
    </row>
    <row r="189" spans="1:11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10"/>
      <c r="J189" s="202"/>
      <c r="K189" s="163"/>
    </row>
    <row r="190" spans="1:11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10"/>
      <c r="J190" s="202"/>
      <c r="K190" s="163"/>
    </row>
    <row r="191" spans="1:11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10"/>
      <c r="J191" s="202"/>
      <c r="K191" s="163"/>
    </row>
    <row r="192" spans="1:11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10"/>
      <c r="J192" s="202"/>
      <c r="K192" s="163"/>
    </row>
    <row r="193" spans="1:11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10"/>
      <c r="J193" s="202"/>
      <c r="K193" s="163"/>
    </row>
    <row r="194" spans="1:11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10"/>
      <c r="J194" s="202"/>
      <c r="K194" s="163"/>
    </row>
    <row r="195" spans="1:11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10"/>
      <c r="J195" s="202"/>
      <c r="K195" s="163"/>
    </row>
    <row r="196" spans="1:11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10"/>
      <c r="J196" s="202"/>
      <c r="K196" s="163"/>
    </row>
    <row r="197" spans="1:11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10"/>
      <c r="J197" s="202"/>
      <c r="K197" s="163"/>
    </row>
    <row r="198" spans="1:11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10"/>
      <c r="J198" s="202"/>
      <c r="K198" s="163"/>
    </row>
    <row r="199" spans="1:11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10"/>
      <c r="J199" s="202"/>
      <c r="K199" s="163"/>
    </row>
    <row r="200" spans="1:11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10"/>
      <c r="J200" s="202"/>
      <c r="K200" s="163"/>
    </row>
    <row r="201" spans="1:11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10"/>
      <c r="J201" s="202"/>
      <c r="K201" s="163"/>
    </row>
    <row r="202" spans="1:11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10"/>
      <c r="J202" s="202"/>
      <c r="K202" s="163"/>
    </row>
    <row r="203" spans="1:11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10"/>
      <c r="J203" s="202"/>
      <c r="K203" s="163"/>
    </row>
    <row r="204" spans="1:11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10"/>
      <c r="J204" s="202"/>
      <c r="K204" s="163"/>
    </row>
    <row r="205" spans="1:11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10"/>
      <c r="J205" s="202"/>
      <c r="K205" s="163"/>
    </row>
    <row r="206" spans="1:11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10"/>
      <c r="J206" s="202"/>
      <c r="K206" s="163"/>
    </row>
    <row r="207" spans="1:11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10"/>
      <c r="J207" s="202"/>
      <c r="K207" s="163"/>
    </row>
    <row r="208" spans="1:11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10"/>
      <c r="J208" s="202"/>
      <c r="K208" s="163"/>
    </row>
    <row r="209" spans="1:11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10"/>
      <c r="J209" s="202"/>
      <c r="K209" s="163"/>
    </row>
    <row r="210" spans="1:11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10"/>
      <c r="J210" s="202"/>
      <c r="K210" s="163"/>
    </row>
    <row r="211" spans="1:11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10"/>
      <c r="J211" s="202"/>
      <c r="K211" s="163"/>
    </row>
    <row r="212" spans="1:11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10"/>
      <c r="J212" s="202"/>
      <c r="K212" s="163"/>
    </row>
    <row r="213" spans="1:11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10"/>
      <c r="J213" s="202"/>
      <c r="K213" s="163"/>
    </row>
    <row r="214" spans="1:11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10"/>
      <c r="J214" s="202"/>
      <c r="K214" s="163"/>
    </row>
    <row r="215" spans="1:11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10"/>
      <c r="J215" s="202"/>
      <c r="K215" s="163"/>
    </row>
    <row r="216" spans="1:11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10"/>
      <c r="J216" s="202"/>
      <c r="K216" s="163"/>
    </row>
    <row r="217" spans="1:11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10"/>
      <c r="J217" s="202"/>
      <c r="K217" s="163"/>
    </row>
    <row r="218" spans="1:11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10"/>
      <c r="J218" s="202"/>
      <c r="K218" s="163"/>
    </row>
    <row r="219" spans="1:11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10"/>
      <c r="J219" s="202"/>
      <c r="K219" s="163"/>
    </row>
    <row r="220" spans="1:11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10"/>
      <c r="J220" s="202"/>
      <c r="K220" s="163"/>
    </row>
    <row r="221" spans="1:11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10"/>
      <c r="J221" s="202"/>
      <c r="K221" s="163"/>
    </row>
    <row r="222" spans="1:11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10"/>
      <c r="J222" s="202"/>
      <c r="K222" s="163"/>
    </row>
    <row r="223" spans="1:11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10"/>
      <c r="J223" s="202"/>
      <c r="K223" s="163"/>
    </row>
    <row r="224" spans="1:11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10"/>
      <c r="J224" s="202"/>
      <c r="K224" s="163"/>
    </row>
    <row r="225" spans="1:11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10"/>
      <c r="J225" s="202"/>
      <c r="K225" s="163"/>
    </row>
    <row r="226" spans="1:11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10"/>
      <c r="J226" s="202"/>
      <c r="K226" s="163"/>
    </row>
    <row r="227" spans="1:11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10"/>
      <c r="J227" s="202"/>
      <c r="K227" s="163"/>
    </row>
    <row r="228" spans="1:11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10"/>
      <c r="J228" s="202"/>
      <c r="K228" s="163"/>
    </row>
    <row r="229" spans="1:11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10"/>
      <c r="J229" s="202"/>
      <c r="K229" s="163"/>
    </row>
    <row r="230" spans="1:11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10"/>
      <c r="J230" s="202"/>
      <c r="K230" s="163"/>
    </row>
    <row r="231" spans="1:11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10"/>
      <c r="J231" s="202"/>
      <c r="K231" s="163"/>
    </row>
    <row r="232" spans="1:11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10"/>
      <c r="J232" s="202"/>
      <c r="K232" s="163"/>
    </row>
    <row r="233" spans="1:11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10"/>
      <c r="J233" s="202"/>
      <c r="K233" s="163"/>
    </row>
    <row r="234" spans="1:11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10"/>
      <c r="J234" s="202"/>
      <c r="K234" s="163"/>
    </row>
    <row r="235" spans="1:11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10"/>
      <c r="J235" s="202"/>
      <c r="K235" s="163"/>
    </row>
    <row r="236" spans="1:11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10"/>
      <c r="J236" s="202"/>
      <c r="K236" s="163"/>
    </row>
    <row r="237" spans="1:11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10"/>
      <c r="J237" s="202"/>
      <c r="K237" s="163"/>
    </row>
    <row r="238" spans="1:11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10"/>
      <c r="J238" s="202"/>
      <c r="K238" s="163"/>
    </row>
    <row r="239" spans="1:11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10"/>
      <c r="J239" s="202"/>
      <c r="K239" s="163"/>
    </row>
    <row r="240" spans="1:11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10"/>
      <c r="J240" s="202"/>
      <c r="K240" s="163"/>
    </row>
    <row r="241" spans="1:11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10"/>
      <c r="J241" s="202"/>
      <c r="K241" s="163"/>
    </row>
    <row r="242" spans="1:11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10"/>
      <c r="J242" s="202"/>
      <c r="K242" s="163"/>
    </row>
    <row r="243" spans="1:11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10"/>
      <c r="J243" s="202"/>
      <c r="K243" s="163"/>
    </row>
    <row r="244" spans="1:11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10"/>
      <c r="J244" s="202"/>
      <c r="K244" s="163"/>
    </row>
    <row r="245" spans="1:11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10"/>
      <c r="J245" s="202"/>
      <c r="K245" s="163"/>
    </row>
    <row r="246" spans="1:11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10"/>
      <c r="J246" s="202"/>
      <c r="K246" s="163"/>
    </row>
    <row r="247" spans="1:11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10"/>
      <c r="J247" s="202"/>
      <c r="K247" s="163"/>
    </row>
    <row r="248" spans="1:11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10"/>
      <c r="J248" s="202"/>
      <c r="K248" s="163"/>
    </row>
    <row r="249" spans="1:11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10"/>
      <c r="J249" s="202"/>
      <c r="K249" s="163"/>
    </row>
    <row r="250" spans="1:11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10"/>
      <c r="J250" s="202"/>
      <c r="K250" s="163"/>
    </row>
    <row r="251" spans="1:11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10"/>
      <c r="J251" s="202"/>
      <c r="K251" s="163"/>
    </row>
    <row r="252" spans="1:11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10"/>
      <c r="J252" s="202"/>
      <c r="K252" s="163"/>
    </row>
    <row r="253" spans="1:11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10"/>
      <c r="J253" s="202"/>
      <c r="K253" s="163"/>
    </row>
    <row r="254" spans="1:11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10"/>
      <c r="J254" s="202"/>
      <c r="K254" s="163"/>
    </row>
    <row r="255" spans="1:11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10"/>
      <c r="J255" s="202"/>
      <c r="K255" s="163"/>
    </row>
    <row r="256" spans="1:11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10"/>
      <c r="J256" s="202"/>
      <c r="K256" s="163"/>
    </row>
    <row r="257" spans="1:11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10"/>
      <c r="J257" s="202"/>
      <c r="K257" s="163"/>
    </row>
    <row r="258" spans="1:11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10"/>
      <c r="J258" s="202"/>
      <c r="K258" s="163"/>
    </row>
    <row r="259" spans="1:11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10"/>
      <c r="J259" s="202"/>
      <c r="K259" s="163"/>
    </row>
    <row r="260" spans="1:11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10"/>
      <c r="J260" s="202"/>
      <c r="K260" s="163"/>
    </row>
    <row r="261" spans="1:11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10"/>
      <c r="J261" s="202"/>
      <c r="K261" s="163"/>
    </row>
    <row r="262" spans="1:11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10"/>
      <c r="J262" s="202"/>
      <c r="K262" s="163"/>
    </row>
    <row r="263" spans="1:11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10"/>
      <c r="J263" s="202"/>
      <c r="K263" s="163"/>
    </row>
    <row r="264" spans="1:11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10"/>
      <c r="J264" s="202"/>
      <c r="K264" s="163"/>
    </row>
    <row r="265" spans="1:11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10"/>
      <c r="J265" s="202"/>
      <c r="K265" s="163"/>
    </row>
    <row r="266" spans="1:11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10"/>
      <c r="J266" s="202"/>
      <c r="K266" s="163"/>
    </row>
    <row r="267" spans="1:11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10"/>
      <c r="J267" s="202"/>
      <c r="K267" s="163"/>
    </row>
    <row r="268" spans="1:11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10"/>
      <c r="J268" s="202"/>
      <c r="K268" s="163"/>
    </row>
    <row r="269" spans="1:11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10"/>
      <c r="J269" s="202"/>
      <c r="K269" s="163"/>
    </row>
    <row r="270" spans="1:11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10"/>
      <c r="J270" s="202"/>
      <c r="K270" s="163"/>
    </row>
    <row r="271" spans="1:11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10"/>
      <c r="J271" s="202"/>
      <c r="K271" s="163"/>
    </row>
    <row r="272" spans="1:11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10"/>
      <c r="J272" s="202"/>
      <c r="K272" s="163"/>
    </row>
    <row r="273" spans="1:11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10"/>
      <c r="J273" s="202"/>
      <c r="K273" s="163"/>
    </row>
    <row r="274" spans="1:11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10"/>
      <c r="J274" s="202"/>
      <c r="K274" s="163"/>
    </row>
    <row r="275" spans="1:11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10"/>
      <c r="J275" s="202"/>
      <c r="K275" s="163"/>
    </row>
    <row r="276" spans="1:11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10"/>
      <c r="J276" s="202"/>
      <c r="K276" s="163"/>
    </row>
    <row r="277" spans="1:11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10"/>
      <c r="J277" s="202"/>
      <c r="K277" s="163"/>
    </row>
    <row r="278" spans="1:11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10"/>
      <c r="J278" s="202"/>
      <c r="K278" s="163"/>
    </row>
    <row r="279" spans="1:11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10"/>
      <c r="J279" s="202"/>
      <c r="K279" s="163"/>
    </row>
    <row r="280" spans="1:11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10"/>
      <c r="J280" s="202"/>
      <c r="K280" s="163"/>
    </row>
    <row r="281" spans="1:11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10"/>
      <c r="J281" s="202"/>
      <c r="K281" s="163"/>
    </row>
    <row r="282" spans="1:11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10"/>
      <c r="J282" s="202"/>
      <c r="K282" s="163"/>
    </row>
    <row r="283" spans="1:11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10"/>
      <c r="J283" s="202"/>
      <c r="K283" s="163"/>
    </row>
    <row r="284" spans="1:11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10"/>
      <c r="J284" s="202"/>
      <c r="K284" s="163"/>
    </row>
    <row r="285" spans="1:11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10"/>
      <c r="J285" s="202"/>
      <c r="K285" s="163"/>
    </row>
    <row r="286" spans="1:11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10"/>
      <c r="J286" s="202"/>
      <c r="K286" s="163"/>
    </row>
    <row r="287" spans="1:11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10"/>
      <c r="J287" s="202"/>
      <c r="K287" s="163"/>
    </row>
    <row r="288" spans="1:11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10"/>
      <c r="J288" s="202"/>
      <c r="K288" s="163"/>
    </row>
    <row r="289" spans="1:11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10"/>
      <c r="J289" s="202"/>
      <c r="K289" s="163"/>
    </row>
    <row r="290" spans="1:11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10"/>
      <c r="J290" s="202"/>
      <c r="K290" s="163"/>
    </row>
    <row r="291" spans="1:11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10"/>
      <c r="J291" s="202"/>
      <c r="K291" s="163"/>
    </row>
    <row r="292" spans="1:11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10"/>
      <c r="J292" s="202"/>
      <c r="K292" s="163"/>
    </row>
    <row r="293" spans="1:11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10"/>
      <c r="J293" s="202"/>
      <c r="K293" s="163"/>
    </row>
    <row r="294" spans="1:11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10"/>
      <c r="J294" s="202"/>
      <c r="K294" s="163"/>
    </row>
    <row r="295" spans="1:11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10"/>
      <c r="J295" s="202"/>
      <c r="K295" s="163"/>
    </row>
    <row r="296" spans="1:11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10"/>
      <c r="J296" s="202"/>
      <c r="K296" s="163"/>
    </row>
    <row r="297" spans="1:11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10"/>
      <c r="J297" s="202"/>
      <c r="K297" s="163"/>
    </row>
    <row r="298" spans="1:11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10"/>
      <c r="J298" s="202"/>
      <c r="K298" s="163"/>
    </row>
    <row r="299" spans="1:11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10"/>
      <c r="J299" s="202"/>
      <c r="K299" s="163"/>
    </row>
    <row r="300" spans="1:11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10"/>
      <c r="J300" s="202"/>
      <c r="K300" s="163"/>
    </row>
    <row r="301" spans="1:11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10"/>
      <c r="J301" s="202"/>
      <c r="K301" s="163"/>
    </row>
    <row r="302" spans="1:11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10"/>
      <c r="J302" s="202"/>
      <c r="K302" s="163"/>
    </row>
    <row r="303" spans="1:11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10"/>
      <c r="J303" s="202"/>
      <c r="K303" s="163"/>
    </row>
    <row r="304" spans="1:11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10"/>
      <c r="J304" s="202"/>
      <c r="K304" s="163"/>
    </row>
    <row r="305" spans="1:11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10"/>
      <c r="J305" s="202"/>
      <c r="K305" s="163"/>
    </row>
    <row r="306" spans="1:11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10"/>
      <c r="J306" s="202"/>
      <c r="K306" s="163"/>
    </row>
    <row r="307" spans="1:11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10"/>
      <c r="J307" s="202"/>
      <c r="K307" s="163"/>
    </row>
    <row r="308" spans="1:11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10"/>
      <c r="J308" s="202"/>
      <c r="K308" s="163"/>
    </row>
    <row r="309" spans="1:11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10"/>
      <c r="J309" s="202"/>
      <c r="K309" s="163"/>
    </row>
    <row r="310" spans="1:11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10"/>
      <c r="J310" s="202"/>
      <c r="K310" s="163"/>
    </row>
    <row r="311" spans="1:11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10"/>
      <c r="J311" s="202"/>
      <c r="K311" s="163"/>
    </row>
    <row r="312" spans="1:11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10"/>
      <c r="J312" s="202"/>
      <c r="K312" s="163"/>
    </row>
    <row r="313" spans="1:11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10"/>
      <c r="J313" s="202"/>
      <c r="K313" s="163"/>
    </row>
    <row r="314" spans="1:11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10"/>
      <c r="J314" s="202"/>
      <c r="K314" s="163"/>
    </row>
    <row r="315" spans="1:11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10"/>
      <c r="J315" s="202"/>
      <c r="K315" s="163"/>
    </row>
    <row r="316" spans="1:11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10"/>
      <c r="J316" s="202"/>
      <c r="K316" s="163"/>
    </row>
    <row r="317" spans="1:11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10"/>
      <c r="J317" s="202"/>
      <c r="K317" s="163"/>
    </row>
    <row r="318" spans="1:11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10"/>
      <c r="J318" s="202"/>
      <c r="K318" s="163"/>
    </row>
    <row r="319" spans="1:11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10"/>
      <c r="J319" s="202"/>
      <c r="K319" s="163"/>
    </row>
    <row r="320" spans="1:11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10"/>
      <c r="J320" s="202"/>
      <c r="K320" s="163"/>
    </row>
    <row r="321" spans="1:11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10"/>
      <c r="J321" s="202"/>
      <c r="K321" s="163"/>
    </row>
    <row r="322" spans="1:11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10"/>
      <c r="J322" s="202"/>
      <c r="K322" s="163"/>
    </row>
    <row r="323" spans="1:11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10"/>
      <c r="J323" s="202"/>
      <c r="K323" s="163"/>
    </row>
    <row r="324" spans="1:11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10"/>
      <c r="J324" s="202"/>
      <c r="K324" s="163"/>
    </row>
    <row r="325" spans="1:11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10"/>
      <c r="J325" s="202"/>
      <c r="K325" s="163"/>
    </row>
    <row r="326" spans="1:11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10"/>
      <c r="J326" s="202"/>
      <c r="K326" s="163"/>
    </row>
    <row r="327" spans="1:11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10"/>
      <c r="J327" s="202"/>
      <c r="K327" s="163"/>
    </row>
    <row r="328" spans="1:11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10"/>
      <c r="J328" s="202"/>
      <c r="K328" s="163"/>
    </row>
    <row r="329" spans="1:11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10"/>
      <c r="J329" s="202"/>
      <c r="K329" s="163"/>
    </row>
    <row r="330" spans="1:11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10"/>
      <c r="J330" s="202"/>
      <c r="K330" s="163"/>
    </row>
    <row r="331" spans="1:11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10"/>
      <c r="J331" s="202"/>
      <c r="K331" s="163"/>
    </row>
    <row r="332" spans="1:11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10"/>
      <c r="J332" s="202"/>
      <c r="K332" s="163"/>
    </row>
    <row r="333" spans="1:11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10"/>
      <c r="J333" s="202"/>
      <c r="K333" s="163"/>
    </row>
    <row r="334" spans="1:11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10"/>
      <c r="J334" s="202"/>
      <c r="K334" s="163"/>
    </row>
    <row r="335" spans="1:11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10"/>
      <c r="J335" s="202"/>
      <c r="K335" s="163"/>
    </row>
    <row r="336" spans="1:11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10"/>
      <c r="J336" s="202"/>
      <c r="K336" s="163"/>
    </row>
    <row r="337" spans="1:11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10"/>
      <c r="J337" s="202"/>
      <c r="K337" s="163"/>
    </row>
    <row r="338" spans="1:11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10"/>
      <c r="J338" s="202"/>
      <c r="K338" s="163"/>
    </row>
    <row r="339" spans="1:11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10"/>
      <c r="J339" s="202"/>
      <c r="K339" s="163"/>
    </row>
    <row r="340" spans="1:11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10"/>
      <c r="J340" s="202"/>
      <c r="K340" s="163"/>
    </row>
    <row r="341" spans="1:11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10"/>
      <c r="J341" s="202"/>
      <c r="K341" s="163"/>
    </row>
    <row r="342" spans="1:11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10"/>
      <c r="J342" s="202"/>
      <c r="K342" s="163"/>
    </row>
    <row r="343" spans="1:11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10"/>
      <c r="J343" s="202"/>
      <c r="K343" s="163"/>
    </row>
    <row r="344" spans="1:11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10"/>
      <c r="J344" s="202"/>
      <c r="K344" s="163"/>
    </row>
    <row r="345" spans="1:11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10"/>
      <c r="J345" s="202"/>
      <c r="K345" s="163"/>
    </row>
    <row r="346" spans="1:11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10"/>
      <c r="J346" s="202"/>
      <c r="K346" s="163"/>
    </row>
    <row r="347" spans="1:11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10"/>
      <c r="J347" s="202"/>
      <c r="K347" s="163"/>
    </row>
    <row r="348" spans="1:11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10"/>
      <c r="J348" s="202"/>
      <c r="K348" s="163"/>
    </row>
    <row r="349" spans="1:11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10"/>
      <c r="J349" s="202"/>
      <c r="K349" s="163"/>
    </row>
    <row r="350" spans="1:11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10"/>
      <c r="J350" s="202"/>
      <c r="K350" s="163"/>
    </row>
    <row r="351" spans="1:11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10"/>
      <c r="J351" s="202"/>
      <c r="K351" s="163"/>
    </row>
    <row r="352" spans="1:11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10"/>
      <c r="J352" s="202"/>
      <c r="K352" s="163"/>
    </row>
    <row r="353" spans="1:11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10"/>
      <c r="J353" s="202"/>
      <c r="K353" s="163"/>
    </row>
    <row r="354" spans="1:11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10"/>
      <c r="J354" s="202"/>
      <c r="K354" s="163"/>
    </row>
    <row r="355" spans="1:11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10"/>
      <c r="J355" s="202"/>
      <c r="K355" s="163"/>
    </row>
    <row r="356" spans="1:11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10"/>
      <c r="J356" s="202"/>
      <c r="K356" s="163"/>
    </row>
    <row r="357" spans="1:11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10"/>
      <c r="J357" s="202"/>
      <c r="K357" s="163"/>
    </row>
    <row r="358" spans="1:11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10"/>
      <c r="J358" s="202"/>
      <c r="K358" s="163"/>
    </row>
    <row r="359" spans="1:11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10"/>
      <c r="J359" s="202"/>
      <c r="K359" s="163"/>
    </row>
    <row r="360" spans="1:11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10"/>
      <c r="J360" s="202"/>
      <c r="K360" s="163"/>
    </row>
    <row r="361" spans="1:11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10"/>
      <c r="J361" s="202"/>
      <c r="K361" s="163"/>
    </row>
    <row r="362" spans="1:11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10"/>
      <c r="J362" s="202"/>
      <c r="K362" s="163"/>
    </row>
    <row r="363" spans="1:11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10"/>
      <c r="J363" s="202"/>
      <c r="K363" s="163"/>
    </row>
    <row r="364" spans="1:11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10"/>
      <c r="J364" s="202"/>
      <c r="K364" s="163"/>
    </row>
    <row r="365" spans="1:11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10"/>
      <c r="J365" s="202"/>
      <c r="K365" s="163"/>
    </row>
    <row r="366" spans="1:11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10"/>
      <c r="J366" s="202"/>
      <c r="K366" s="163"/>
    </row>
    <row r="367" spans="1:11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10"/>
      <c r="J367" s="202"/>
      <c r="K367" s="163"/>
    </row>
    <row r="368" spans="1:11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10"/>
      <c r="J368" s="202"/>
      <c r="K368" s="163"/>
    </row>
    <row r="369" spans="1:11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10"/>
      <c r="J369" s="202"/>
      <c r="K369" s="163"/>
    </row>
    <row r="370" spans="1:11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10"/>
      <c r="J370" s="202"/>
      <c r="K370" s="163"/>
    </row>
    <row r="371" spans="1:11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10"/>
      <c r="J371" s="202"/>
      <c r="K371" s="163"/>
    </row>
    <row r="372" spans="1:11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10"/>
      <c r="J372" s="202"/>
      <c r="K372" s="163"/>
    </row>
    <row r="373" spans="1:11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10"/>
      <c r="J373" s="202"/>
      <c r="K373" s="163"/>
    </row>
    <row r="374" spans="1:11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10"/>
      <c r="J374" s="202"/>
      <c r="K374" s="163"/>
    </row>
    <row r="375" spans="1:11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10"/>
      <c r="J375" s="202"/>
      <c r="K375" s="163"/>
    </row>
    <row r="376" spans="1:11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10"/>
      <c r="J376" s="202"/>
      <c r="K376" s="163"/>
    </row>
    <row r="377" spans="1:11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10"/>
      <c r="J377" s="202"/>
      <c r="K377" s="163"/>
    </row>
    <row r="378" spans="1:11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10"/>
      <c r="J378" s="202"/>
      <c r="K378" s="163"/>
    </row>
    <row r="379" spans="1:11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10"/>
      <c r="J379" s="202"/>
      <c r="K379" s="163"/>
    </row>
    <row r="380" spans="1:11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10"/>
      <c r="J380" s="202"/>
      <c r="K380" s="163"/>
    </row>
    <row r="381" spans="1:11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10"/>
      <c r="J381" s="202"/>
      <c r="K381" s="163"/>
    </row>
    <row r="382" spans="1:11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10"/>
      <c r="J382" s="202"/>
      <c r="K382" s="163"/>
    </row>
    <row r="383" spans="1:11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10"/>
      <c r="J383" s="202"/>
      <c r="K383" s="163"/>
    </row>
    <row r="384" spans="1:11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10"/>
      <c r="J384" s="202"/>
      <c r="K384" s="163"/>
    </row>
    <row r="385" spans="1:11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10"/>
      <c r="J385" s="202"/>
      <c r="K385" s="163"/>
    </row>
    <row r="386" spans="1:11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10"/>
      <c r="J386" s="202"/>
      <c r="K386" s="163"/>
    </row>
    <row r="387" spans="1:11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10"/>
      <c r="J387" s="202"/>
      <c r="K387" s="163"/>
    </row>
    <row r="388" spans="1:11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10"/>
      <c r="J388" s="202"/>
      <c r="K388" s="163"/>
    </row>
    <row r="389" spans="1:11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10"/>
      <c r="J389" s="202"/>
      <c r="K389" s="163"/>
    </row>
    <row r="390" spans="1:11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10"/>
      <c r="J390" s="202"/>
      <c r="K390" s="163"/>
    </row>
    <row r="391" spans="1:11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10"/>
      <c r="J391" s="202"/>
      <c r="K391" s="163"/>
    </row>
    <row r="392" spans="1:11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10"/>
      <c r="J392" s="202"/>
      <c r="K392" s="163"/>
    </row>
    <row r="393" spans="1:11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10"/>
      <c r="J393" s="202"/>
      <c r="K393" s="163"/>
    </row>
    <row r="394" spans="1:11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10"/>
      <c r="J394" s="202"/>
      <c r="K394" s="163"/>
    </row>
    <row r="395" spans="1:11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10"/>
      <c r="J395" s="202"/>
      <c r="K395" s="163"/>
    </row>
    <row r="396" spans="1:11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10"/>
      <c r="J396" s="202"/>
      <c r="K396" s="163"/>
    </row>
    <row r="397" spans="1:11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10"/>
      <c r="J397" s="202"/>
      <c r="K397" s="163"/>
    </row>
    <row r="398" spans="1:11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10"/>
      <c r="J398" s="202"/>
      <c r="K398" s="163"/>
    </row>
    <row r="399" spans="1:11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10"/>
      <c r="J399" s="202"/>
      <c r="K399" s="163"/>
    </row>
    <row r="400" spans="1:11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10"/>
      <c r="J400" s="202"/>
      <c r="K400" s="163"/>
    </row>
    <row r="401" spans="1:11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10"/>
      <c r="J401" s="202"/>
      <c r="K401" s="163"/>
    </row>
    <row r="402" spans="1:11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10"/>
      <c r="J402" s="202"/>
      <c r="K402" s="163"/>
    </row>
    <row r="403" spans="1:11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10"/>
      <c r="J403" s="202"/>
      <c r="K403" s="163"/>
    </row>
    <row r="404" spans="1:11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10"/>
      <c r="J404" s="202"/>
      <c r="K404" s="163"/>
    </row>
    <row r="405" spans="1:11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10"/>
      <c r="J405" s="202"/>
      <c r="K405" s="163"/>
    </row>
    <row r="406" spans="1:11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10"/>
      <c r="J406" s="202"/>
      <c r="K406" s="163"/>
    </row>
    <row r="407" spans="1:11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10"/>
      <c r="J407" s="202"/>
      <c r="K407" s="163"/>
    </row>
    <row r="408" spans="1:11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10"/>
      <c r="J408" s="202"/>
      <c r="K408" s="163"/>
    </row>
    <row r="409" spans="1:11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10"/>
      <c r="J409" s="202"/>
      <c r="K409" s="163"/>
    </row>
    <row r="410" spans="1:11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10"/>
      <c r="J410" s="202"/>
      <c r="K410" s="163"/>
    </row>
    <row r="411" spans="1:11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10"/>
      <c r="J411" s="202"/>
      <c r="K411" s="163"/>
    </row>
    <row r="412" spans="1:11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10"/>
      <c r="J412" s="202"/>
      <c r="K412" s="163"/>
    </row>
    <row r="413" spans="1:11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10"/>
      <c r="J413" s="202"/>
      <c r="K413" s="163"/>
    </row>
    <row r="414" spans="1:11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10"/>
      <c r="J414" s="202"/>
      <c r="K414" s="163"/>
    </row>
    <row r="415" spans="1:11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10"/>
      <c r="J415" s="202"/>
      <c r="K415" s="163"/>
    </row>
    <row r="416" spans="1:11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10"/>
      <c r="J416" s="202"/>
      <c r="K416" s="163"/>
    </row>
    <row r="417" spans="1:11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10"/>
      <c r="J417" s="202"/>
      <c r="K417" s="163"/>
    </row>
    <row r="418" spans="1:11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10"/>
      <c r="J418" s="202"/>
      <c r="K418" s="163"/>
    </row>
    <row r="419" spans="1:11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10"/>
      <c r="J419" s="202"/>
      <c r="K419" s="163"/>
    </row>
    <row r="420" spans="1:11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10"/>
      <c r="J420" s="202"/>
      <c r="K420" s="163"/>
    </row>
    <row r="421" spans="1:11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10"/>
      <c r="J421" s="202"/>
      <c r="K421" s="163"/>
    </row>
    <row r="422" spans="1:11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10"/>
      <c r="J422" s="202"/>
      <c r="K422" s="163"/>
    </row>
    <row r="423" spans="1:11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10"/>
      <c r="J423" s="202"/>
      <c r="K423" s="163"/>
    </row>
    <row r="424" spans="1:11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10"/>
      <c r="J424" s="202"/>
      <c r="K424" s="163"/>
    </row>
    <row r="425" spans="1:11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10"/>
      <c r="J425" s="202"/>
      <c r="K425" s="163"/>
    </row>
    <row r="426" spans="1:11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10"/>
      <c r="J426" s="202"/>
      <c r="K426" s="163"/>
    </row>
    <row r="427" spans="1:11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10"/>
      <c r="J427" s="202"/>
      <c r="K427" s="163"/>
    </row>
    <row r="428" spans="1:11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10"/>
      <c r="J428" s="202"/>
      <c r="K428" s="163"/>
    </row>
    <row r="429" spans="1:11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10"/>
      <c r="J429" s="202"/>
      <c r="K429" s="163"/>
    </row>
    <row r="430" spans="1:11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10"/>
      <c r="J430" s="202"/>
      <c r="K430" s="163"/>
    </row>
    <row r="431" spans="1:11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10"/>
      <c r="J431" s="202"/>
      <c r="K431" s="163"/>
    </row>
    <row r="432" spans="1:11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10"/>
      <c r="J432" s="202"/>
      <c r="K432" s="163"/>
    </row>
    <row r="433" spans="1:11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10"/>
      <c r="J433" s="202"/>
      <c r="K433" s="163"/>
    </row>
    <row r="434" spans="1:11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10"/>
      <c r="J434" s="202"/>
      <c r="K434" s="163"/>
    </row>
    <row r="435" spans="1:11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10"/>
      <c r="J435" s="202"/>
      <c r="K435" s="163"/>
    </row>
    <row r="436" spans="1:11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10"/>
      <c r="J436" s="202"/>
      <c r="K436" s="163"/>
    </row>
    <row r="437" spans="1:11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10"/>
      <c r="J437" s="202"/>
      <c r="K437" s="163"/>
    </row>
    <row r="438" spans="1:11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10"/>
      <c r="J438" s="202"/>
      <c r="K438" s="163"/>
    </row>
    <row r="439" spans="1:11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10"/>
      <c r="J439" s="202"/>
      <c r="K439" s="163"/>
    </row>
    <row r="440" spans="1:11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10"/>
      <c r="J440" s="202"/>
      <c r="K440" s="163"/>
    </row>
    <row r="441" spans="1:11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10"/>
      <c r="J441" s="202"/>
      <c r="K441" s="163"/>
    </row>
    <row r="442" spans="1:11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10"/>
      <c r="J442" s="202"/>
      <c r="K442" s="163"/>
    </row>
    <row r="443" spans="1:11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10"/>
      <c r="J443" s="202"/>
      <c r="K443" s="163"/>
    </row>
    <row r="444" spans="1:11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10"/>
      <c r="J444" s="202"/>
      <c r="K444" s="163"/>
    </row>
    <row r="445" spans="1:11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10"/>
      <c r="J445" s="202"/>
      <c r="K445" s="163"/>
    </row>
    <row r="446" spans="1:11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10"/>
      <c r="J446" s="202"/>
      <c r="K446" s="163"/>
    </row>
    <row r="447" spans="1:11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10"/>
      <c r="J447" s="202"/>
      <c r="K447" s="163"/>
    </row>
    <row r="448" spans="1:11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10"/>
      <c r="J448" s="202"/>
      <c r="K448" s="163"/>
    </row>
    <row r="449" spans="1:11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10"/>
      <c r="J449" s="202"/>
      <c r="K449" s="163"/>
    </row>
    <row r="450" spans="1:11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10"/>
      <c r="J450" s="202"/>
      <c r="K450" s="163"/>
    </row>
    <row r="451" spans="1:11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10"/>
      <c r="J451" s="202"/>
      <c r="K451" s="163"/>
    </row>
    <row r="452" spans="1:11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10"/>
      <c r="J452" s="202"/>
      <c r="K452" s="163"/>
    </row>
    <row r="453" spans="1:11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10"/>
      <c r="J453" s="202"/>
      <c r="K453" s="163"/>
    </row>
    <row r="454" spans="1:11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10"/>
      <c r="J454" s="202"/>
      <c r="K454" s="163"/>
    </row>
    <row r="455" spans="1:11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10"/>
      <c r="J455" s="202"/>
      <c r="K455" s="163"/>
    </row>
    <row r="456" spans="1:11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10"/>
      <c r="J456" s="202"/>
      <c r="K456" s="163"/>
    </row>
    <row r="457" spans="1:11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10"/>
      <c r="J457" s="202"/>
      <c r="K457" s="163"/>
    </row>
    <row r="458" spans="1:11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10"/>
      <c r="J458" s="202"/>
      <c r="K458" s="163"/>
    </row>
    <row r="459" spans="1:11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10"/>
      <c r="J459" s="202"/>
      <c r="K459" s="163"/>
    </row>
    <row r="460" spans="1:11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10"/>
      <c r="J460" s="202"/>
      <c r="K460" s="163"/>
    </row>
    <row r="461" spans="1:11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10"/>
      <c r="J461" s="202"/>
      <c r="K461" s="163"/>
    </row>
    <row r="462" spans="1:11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10"/>
      <c r="J462" s="202"/>
      <c r="K462" s="163"/>
    </row>
    <row r="463" spans="1:11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10"/>
      <c r="J463" s="202"/>
      <c r="K463" s="163"/>
    </row>
    <row r="464" spans="1:11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10"/>
      <c r="J464" s="202"/>
      <c r="K464" s="163"/>
    </row>
    <row r="465" spans="1:11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10"/>
      <c r="J465" s="202"/>
      <c r="K465" s="163"/>
    </row>
    <row r="466" spans="1:11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10"/>
      <c r="J466" s="202"/>
      <c r="K466" s="163"/>
    </row>
    <row r="467" spans="1:11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10"/>
      <c r="J467" s="202"/>
      <c r="K467" s="163"/>
    </row>
    <row r="468" spans="1:11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10"/>
      <c r="J468" s="202"/>
      <c r="K468" s="163"/>
    </row>
    <row r="469" spans="1:11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10"/>
      <c r="J469" s="202"/>
      <c r="K469" s="163"/>
    </row>
    <row r="470" spans="1:11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10"/>
      <c r="J470" s="202"/>
      <c r="K470" s="163"/>
    </row>
    <row r="471" spans="1:11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10"/>
      <c r="J471" s="202"/>
      <c r="K471" s="163"/>
    </row>
    <row r="472" spans="1:11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10"/>
      <c r="J472" s="202"/>
      <c r="K472" s="163"/>
    </row>
    <row r="473" spans="1:11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10"/>
      <c r="J473" s="202"/>
      <c r="K473" s="163"/>
    </row>
    <row r="474" spans="1:11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10"/>
      <c r="J474" s="202"/>
      <c r="K474" s="163"/>
    </row>
    <row r="475" spans="1:11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10"/>
      <c r="J475" s="202"/>
      <c r="K475" s="163"/>
    </row>
    <row r="476" spans="1:11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10"/>
      <c r="J476" s="202"/>
      <c r="K476" s="163"/>
    </row>
    <row r="477" spans="1:11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10"/>
      <c r="J477" s="202"/>
      <c r="K477" s="163"/>
    </row>
    <row r="478" spans="1:11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10"/>
      <c r="J478" s="202"/>
      <c r="K478" s="163"/>
    </row>
    <row r="479" spans="1:11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10"/>
      <c r="J479" s="202"/>
      <c r="K479" s="163"/>
    </row>
    <row r="480" spans="1:11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10"/>
      <c r="J480" s="202"/>
      <c r="K480" s="163"/>
    </row>
    <row r="481" spans="1:11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10"/>
      <c r="J481" s="202"/>
      <c r="K481" s="163"/>
    </row>
    <row r="482" spans="1:11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10"/>
      <c r="J482" s="202"/>
      <c r="K482" s="163"/>
    </row>
    <row r="483" spans="1:11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10"/>
      <c r="J483" s="202"/>
      <c r="K483" s="163"/>
    </row>
    <row r="484" spans="1:11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10"/>
      <c r="J484" s="202"/>
      <c r="K484" s="163"/>
    </row>
    <row r="485" spans="1:11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10"/>
      <c r="J485" s="202"/>
      <c r="K485" s="163"/>
    </row>
    <row r="486" spans="1:11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10"/>
      <c r="J486" s="202"/>
      <c r="K486" s="163"/>
    </row>
    <row r="487" spans="1:11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10"/>
      <c r="J487" s="202"/>
      <c r="K487" s="163"/>
    </row>
    <row r="488" spans="1:11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10"/>
      <c r="J488" s="202"/>
      <c r="K488" s="163"/>
    </row>
    <row r="489" spans="1:11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10"/>
      <c r="J489" s="202"/>
      <c r="K489" s="163"/>
    </row>
    <row r="490" spans="1:11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10"/>
      <c r="J490" s="202"/>
      <c r="K490" s="163"/>
    </row>
    <row r="491" spans="1:11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10"/>
      <c r="J491" s="202"/>
      <c r="K491" s="163"/>
    </row>
    <row r="492" spans="1:11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10"/>
      <c r="J492" s="202"/>
      <c r="K492" s="163"/>
    </row>
    <row r="493" spans="1:11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10"/>
      <c r="J493" s="202"/>
      <c r="K493" s="163"/>
    </row>
    <row r="494" spans="1:11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10"/>
      <c r="J494" s="202"/>
      <c r="K494" s="163"/>
    </row>
    <row r="495" spans="1:11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10"/>
      <c r="J495" s="202"/>
      <c r="K495" s="163"/>
    </row>
    <row r="496" spans="1:11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10"/>
      <c r="J496" s="202"/>
      <c r="K496" s="163"/>
    </row>
    <row r="497" spans="1:11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10"/>
      <c r="J497" s="202"/>
      <c r="K497" s="163"/>
    </row>
    <row r="498" spans="1:11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10"/>
      <c r="J498" s="202"/>
      <c r="K498" s="163"/>
    </row>
    <row r="499" spans="1:11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10"/>
      <c r="J499" s="202"/>
      <c r="K499" s="163"/>
    </row>
    <row r="500" spans="1:11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10"/>
      <c r="J500" s="202"/>
      <c r="K500" s="163"/>
    </row>
    <row r="501" spans="1:11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10"/>
      <c r="J501" s="202"/>
      <c r="K501" s="163"/>
    </row>
    <row r="502" spans="1:11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10"/>
      <c r="J502" s="202"/>
      <c r="K502" s="163"/>
    </row>
    <row r="503" spans="1:11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10"/>
      <c r="J503" s="202"/>
      <c r="K503" s="163"/>
    </row>
    <row r="504" spans="1:11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10"/>
      <c r="J504" s="202"/>
      <c r="K504" s="163"/>
    </row>
    <row r="505" spans="1:11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10"/>
      <c r="J505" s="202"/>
      <c r="K505" s="163"/>
    </row>
    <row r="506" spans="1:11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10"/>
      <c r="J506" s="202"/>
      <c r="K506" s="163"/>
    </row>
    <row r="507" spans="1:11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10"/>
      <c r="J507" s="202"/>
      <c r="K507" s="163"/>
    </row>
    <row r="508" spans="1:11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10"/>
      <c r="J508" s="202"/>
      <c r="K508" s="163"/>
    </row>
    <row r="509" spans="1:11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10"/>
      <c r="J509" s="202"/>
      <c r="K509" s="163"/>
    </row>
    <row r="510" spans="1:11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10"/>
      <c r="J510" s="202"/>
      <c r="K510" s="163"/>
    </row>
    <row r="511" spans="1:11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10"/>
      <c r="J511" s="202"/>
      <c r="K511" s="163"/>
    </row>
    <row r="512" spans="1:11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10"/>
      <c r="J512" s="202"/>
      <c r="K512" s="163"/>
    </row>
    <row r="513" spans="1:11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10"/>
      <c r="J513" s="202"/>
      <c r="K513" s="163"/>
    </row>
    <row r="514" spans="1:11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10"/>
      <c r="J514" s="202"/>
      <c r="K514" s="163"/>
    </row>
    <row r="515" spans="1:11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10"/>
      <c r="J515" s="202"/>
      <c r="K515" s="163"/>
    </row>
    <row r="516" spans="1:11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10"/>
      <c r="J516" s="202"/>
      <c r="K516" s="163"/>
    </row>
    <row r="517" spans="1:11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10"/>
      <c r="J517" s="202"/>
      <c r="K517" s="163"/>
    </row>
    <row r="518" spans="1:11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10"/>
      <c r="J518" s="202"/>
      <c r="K518" s="163"/>
    </row>
    <row r="519" spans="1:11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10"/>
      <c r="J519" s="202"/>
      <c r="K519" s="163"/>
    </row>
    <row r="520" spans="1:11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10"/>
      <c r="J520" s="202"/>
      <c r="K520" s="163"/>
    </row>
    <row r="521" spans="1:11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10"/>
      <c r="J521" s="202"/>
      <c r="K521" s="163"/>
    </row>
    <row r="522" spans="1:11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10"/>
      <c r="J522" s="202"/>
      <c r="K522" s="163"/>
    </row>
    <row r="523" spans="1:11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10"/>
      <c r="J523" s="202"/>
      <c r="K523" s="163"/>
    </row>
    <row r="524" spans="1:11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10"/>
      <c r="J524" s="202"/>
      <c r="K524" s="163"/>
    </row>
    <row r="525" spans="1:11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10"/>
      <c r="J525" s="202"/>
      <c r="K525" s="163"/>
    </row>
    <row r="526" spans="1:11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10"/>
      <c r="J526" s="202"/>
      <c r="K526" s="163"/>
    </row>
    <row r="527" spans="1:11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10"/>
      <c r="J527" s="202"/>
      <c r="K527" s="163"/>
    </row>
    <row r="528" spans="1:11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10"/>
      <c r="J528" s="202"/>
      <c r="K528" s="163"/>
    </row>
    <row r="529" spans="1:11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10"/>
      <c r="J529" s="202"/>
      <c r="K529" s="163"/>
    </row>
    <row r="530" spans="1:11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10"/>
      <c r="J530" s="202"/>
      <c r="K530" s="163"/>
    </row>
    <row r="531" spans="1:11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10"/>
      <c r="J531" s="202"/>
      <c r="K531" s="163"/>
    </row>
    <row r="532" spans="1:11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10"/>
      <c r="J532" s="202"/>
      <c r="K532" s="163"/>
    </row>
    <row r="533" spans="1:11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10"/>
      <c r="J533" s="202"/>
      <c r="K533" s="163"/>
    </row>
    <row r="534" spans="1:11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10"/>
      <c r="J534" s="202"/>
      <c r="K534" s="163"/>
    </row>
    <row r="535" spans="1:11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10"/>
      <c r="J535" s="202"/>
      <c r="K535" s="163"/>
    </row>
    <row r="536" spans="1:11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10"/>
      <c r="J536" s="202"/>
      <c r="K536" s="163"/>
    </row>
    <row r="537" spans="1:11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10"/>
      <c r="J537" s="202"/>
      <c r="K537" s="163"/>
    </row>
    <row r="538" spans="1:11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10"/>
      <c r="J538" s="202"/>
      <c r="K538" s="163"/>
    </row>
    <row r="539" spans="1:11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10"/>
      <c r="J539" s="202"/>
      <c r="K539" s="163"/>
    </row>
    <row r="540" spans="1:11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10"/>
      <c r="J540" s="202"/>
      <c r="K540" s="163"/>
    </row>
    <row r="541" spans="1:11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10"/>
      <c r="J541" s="202"/>
      <c r="K541" s="163"/>
    </row>
    <row r="542" spans="1:11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10"/>
      <c r="J542" s="202"/>
      <c r="K542" s="163"/>
    </row>
    <row r="543" spans="1:11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10"/>
      <c r="J543" s="202"/>
      <c r="K543" s="163"/>
    </row>
    <row r="544" spans="1:11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10"/>
      <c r="J544" s="202"/>
      <c r="K544" s="163"/>
    </row>
    <row r="545" spans="1:11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10"/>
      <c r="J545" s="202"/>
      <c r="K545" s="163"/>
    </row>
    <row r="546" spans="1:11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10"/>
      <c r="J546" s="202"/>
      <c r="K546" s="163"/>
    </row>
    <row r="547" spans="1:11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10"/>
      <c r="J547" s="202"/>
      <c r="K547" s="163"/>
    </row>
    <row r="548" spans="1:11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10"/>
      <c r="J548" s="202"/>
      <c r="K548" s="163"/>
    </row>
    <row r="549" spans="1:11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10"/>
      <c r="J549" s="202"/>
      <c r="K549" s="163"/>
    </row>
    <row r="550" spans="1:11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10"/>
      <c r="J550" s="202"/>
      <c r="K550" s="163"/>
    </row>
    <row r="551" spans="1:11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10"/>
      <c r="J551" s="202"/>
      <c r="K551" s="163"/>
    </row>
    <row r="552" spans="1:11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10"/>
      <c r="J552" s="202"/>
      <c r="K552" s="163"/>
    </row>
    <row r="553" spans="1:11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10"/>
      <c r="J553" s="202"/>
      <c r="K553" s="163"/>
    </row>
    <row r="554" spans="1:11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10"/>
      <c r="J554" s="202"/>
      <c r="K554" s="163"/>
    </row>
    <row r="555" spans="1:11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10"/>
      <c r="J555" s="202"/>
      <c r="K555" s="163"/>
    </row>
    <row r="556" spans="1:11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10"/>
      <c r="J556" s="202"/>
      <c r="K556" s="163"/>
    </row>
    <row r="557" spans="1:11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10"/>
      <c r="J557" s="202"/>
      <c r="K557" s="163"/>
    </row>
    <row r="558" spans="1:11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10"/>
      <c r="J558" s="202"/>
      <c r="K558" s="163"/>
    </row>
    <row r="559" spans="1:11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10"/>
      <c r="J559" s="202"/>
      <c r="K559" s="163"/>
    </row>
    <row r="560" spans="1:11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10"/>
      <c r="J560" s="202"/>
      <c r="K560" s="163"/>
    </row>
    <row r="561" spans="1:11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10"/>
      <c r="J561" s="202"/>
      <c r="K561" s="163"/>
    </row>
    <row r="562" spans="1:11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10"/>
      <c r="J562" s="202"/>
      <c r="K562" s="163"/>
    </row>
    <row r="563" spans="1:11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10"/>
      <c r="J563" s="202"/>
      <c r="K563" s="163"/>
    </row>
    <row r="564" spans="1:11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10"/>
      <c r="J564" s="202"/>
      <c r="K564" s="163"/>
    </row>
    <row r="565" spans="1:11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10"/>
      <c r="J565" s="202"/>
      <c r="K565" s="163"/>
    </row>
    <row r="566" spans="1:11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10"/>
      <c r="J566" s="202"/>
      <c r="K566" s="163"/>
    </row>
    <row r="567" spans="1:11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10"/>
      <c r="J567" s="202"/>
      <c r="K567" s="163"/>
    </row>
    <row r="568" spans="1:11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10"/>
      <c r="J568" s="202"/>
      <c r="K568" s="163"/>
    </row>
    <row r="569" spans="1:11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10"/>
      <c r="J569" s="202"/>
      <c r="K569" s="163"/>
    </row>
    <row r="570" spans="1:11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10"/>
      <c r="J570" s="202"/>
      <c r="K570" s="163"/>
    </row>
    <row r="571" spans="1:11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10"/>
      <c r="J571" s="202"/>
      <c r="K571" s="163"/>
    </row>
    <row r="572" spans="1:11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10"/>
      <c r="J572" s="202"/>
      <c r="K572" s="163"/>
    </row>
    <row r="573" spans="1:11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10"/>
      <c r="J573" s="202"/>
      <c r="K573" s="163"/>
    </row>
    <row r="574" spans="1:11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10"/>
      <c r="J574" s="202"/>
      <c r="K574" s="163"/>
    </row>
    <row r="575" spans="1:11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10"/>
      <c r="J575" s="202"/>
      <c r="K575" s="163"/>
    </row>
    <row r="576" spans="1:11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10"/>
      <c r="J576" s="202"/>
      <c r="K576" s="163"/>
    </row>
    <row r="577" spans="1:11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10"/>
      <c r="J577" s="202"/>
      <c r="K577" s="163"/>
    </row>
    <row r="578" spans="1:11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10"/>
      <c r="J578" s="202"/>
      <c r="K578" s="163"/>
    </row>
    <row r="579" spans="1:11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10"/>
      <c r="J579" s="202"/>
      <c r="K579" s="163"/>
    </row>
    <row r="580" spans="1:11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10"/>
      <c r="J580" s="202"/>
      <c r="K580" s="163"/>
    </row>
    <row r="581" spans="1:11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10"/>
      <c r="J581" s="202"/>
      <c r="K581" s="163"/>
    </row>
    <row r="582" spans="1:11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10"/>
      <c r="J582" s="202"/>
      <c r="K582" s="163"/>
    </row>
    <row r="583" spans="1:11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10"/>
      <c r="J583" s="202"/>
      <c r="K583" s="163"/>
    </row>
    <row r="584" spans="1:11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10"/>
      <c r="J584" s="202"/>
      <c r="K584" s="163"/>
    </row>
    <row r="585" spans="1:11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10"/>
      <c r="J585" s="202"/>
      <c r="K585" s="163"/>
    </row>
    <row r="586" spans="1:11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10"/>
      <c r="J586" s="202"/>
      <c r="K586" s="163"/>
    </row>
    <row r="587" spans="1:11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10"/>
      <c r="J587" s="202"/>
      <c r="K587" s="163"/>
    </row>
    <row r="588" spans="1:11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10"/>
      <c r="J588" s="202"/>
      <c r="K588" s="163"/>
    </row>
    <row r="589" spans="1:11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10"/>
      <c r="J589" s="202"/>
      <c r="K589" s="163"/>
    </row>
    <row r="590" spans="1:11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10"/>
      <c r="J590" s="202"/>
      <c r="K590" s="163"/>
    </row>
    <row r="591" spans="1:11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10"/>
      <c r="J591" s="202"/>
      <c r="K591" s="163"/>
    </row>
    <row r="592" spans="1:11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10"/>
      <c r="J592" s="202"/>
      <c r="K592" s="163"/>
    </row>
    <row r="593" spans="1:11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10"/>
      <c r="J593" s="202"/>
      <c r="K593" s="163"/>
    </row>
    <row r="594" spans="1:11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10"/>
      <c r="J594" s="202"/>
      <c r="K594" s="163"/>
    </row>
    <row r="595" spans="1:11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10"/>
      <c r="J595" s="202"/>
      <c r="K595" s="163"/>
    </row>
    <row r="596" spans="1:11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10"/>
      <c r="J596" s="202"/>
      <c r="K596" s="163"/>
    </row>
    <row r="597" spans="1:11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10"/>
      <c r="J597" s="202"/>
      <c r="K597" s="163"/>
    </row>
    <row r="598" spans="1:11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10"/>
      <c r="J598" s="202"/>
      <c r="K598" s="163"/>
    </row>
    <row r="599" spans="1:11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10"/>
      <c r="J599" s="202"/>
      <c r="K599" s="163"/>
    </row>
    <row r="600" spans="1:11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10"/>
      <c r="J600" s="202"/>
      <c r="K600" s="163"/>
    </row>
    <row r="601" spans="1:11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10"/>
      <c r="J601" s="202"/>
      <c r="K601" s="163"/>
    </row>
    <row r="602" spans="1:11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10"/>
      <c r="J602" s="202"/>
      <c r="K602" s="163"/>
    </row>
    <row r="603" spans="1:11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10"/>
      <c r="J603" s="202"/>
      <c r="K603" s="163"/>
    </row>
    <row r="604" spans="1:11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10"/>
      <c r="J604" s="202"/>
      <c r="K604" s="163"/>
    </row>
    <row r="605" spans="1:11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10"/>
      <c r="J605" s="202"/>
      <c r="K605" s="163"/>
    </row>
    <row r="606" spans="1:11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10"/>
      <c r="J606" s="202"/>
      <c r="K606" s="163"/>
    </row>
    <row r="607" spans="1:11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10"/>
      <c r="J607" s="202"/>
      <c r="K607" s="163"/>
    </row>
    <row r="608" spans="1:11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10"/>
      <c r="J608" s="202"/>
      <c r="K608" s="163"/>
    </row>
    <row r="609" spans="1:11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10"/>
      <c r="J609" s="202"/>
      <c r="K609" s="163"/>
    </row>
    <row r="610" spans="1:11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10"/>
      <c r="J610" s="202"/>
      <c r="K610" s="163"/>
    </row>
    <row r="611" spans="1:11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10"/>
      <c r="J611" s="202"/>
      <c r="K611" s="163"/>
    </row>
    <row r="612" spans="1:11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10"/>
      <c r="J612" s="202"/>
      <c r="K612" s="163"/>
    </row>
    <row r="613" spans="1:11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10"/>
      <c r="J613" s="202"/>
      <c r="K613" s="163"/>
    </row>
    <row r="614" spans="1:11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10"/>
      <c r="J614" s="202"/>
      <c r="K614" s="163"/>
    </row>
    <row r="615" spans="1:11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10"/>
      <c r="J615" s="202"/>
      <c r="K615" s="163"/>
    </row>
    <row r="616" spans="1:11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10"/>
      <c r="J616" s="202"/>
      <c r="K616" s="163"/>
    </row>
    <row r="617" spans="1:11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10"/>
      <c r="J617" s="202"/>
      <c r="K617" s="163"/>
    </row>
    <row r="618" spans="1:11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10"/>
      <c r="J618" s="202"/>
      <c r="K618" s="163"/>
    </row>
    <row r="619" spans="1:11" s="2" customFormat="1" ht="24.9" customHeight="1">
      <c r="A619" s="147"/>
      <c r="B619" s="40"/>
      <c r="C619" s="40"/>
      <c r="D619" s="140"/>
      <c r="E619" s="44"/>
      <c r="F619" s="44"/>
      <c r="G619" s="207" t="s">
        <v>6</v>
      </c>
      <c r="H619" s="211"/>
      <c r="I619" s="211"/>
      <c r="J619" s="203"/>
      <c r="K619" s="45" t="s">
        <v>6</v>
      </c>
    </row>
    <row r="620" spans="1:11" s="2" customFormat="1" ht="24.9" customHeight="1">
      <c r="A620" s="147"/>
      <c r="B620" s="40"/>
      <c r="C620" s="40"/>
      <c r="D620" s="140"/>
      <c r="E620" s="44"/>
      <c r="F620" s="44"/>
      <c r="G620" s="207" t="s">
        <v>6</v>
      </c>
      <c r="H620" s="211"/>
      <c r="I620" s="211"/>
      <c r="J620" s="203"/>
      <c r="K620" s="45" t="s">
        <v>6</v>
      </c>
    </row>
    <row r="621" spans="1:11" s="2" customFormat="1" ht="24.9" customHeight="1">
      <c r="A621" s="147"/>
      <c r="B621" s="40"/>
      <c r="C621" s="40"/>
      <c r="D621" s="140"/>
      <c r="E621" s="44"/>
      <c r="F621" s="44"/>
      <c r="G621" s="207" t="s">
        <v>6</v>
      </c>
      <c r="H621" s="211"/>
      <c r="I621" s="211"/>
      <c r="J621" s="203"/>
      <c r="K621" s="45" t="s">
        <v>6</v>
      </c>
    </row>
    <row r="622" spans="1:11" s="2" customFormat="1" ht="24.9" customHeight="1">
      <c r="A622" s="40"/>
      <c r="B622" s="40"/>
      <c r="C622" s="40"/>
      <c r="D622" s="43"/>
      <c r="E622" s="44"/>
      <c r="F622" s="44" t="str">
        <f>IF(D622="","",_xlfn.ISOWEEKNUM(D622))</f>
        <v/>
      </c>
      <c r="G622" s="207" t="s">
        <v>6</v>
      </c>
      <c r="H622" s="211"/>
      <c r="I622" s="211"/>
      <c r="J622" s="203"/>
      <c r="K622" s="45" t="s">
        <v>6</v>
      </c>
    </row>
    <row r="623" spans="1:11" s="2" customFormat="1" ht="24.9" customHeight="1">
      <c r="A623" s="40"/>
      <c r="B623" s="40"/>
      <c r="C623" s="40"/>
      <c r="D623" s="43"/>
      <c r="E623" s="44"/>
      <c r="F623" s="44" t="str">
        <f>IF(D623="","",_xlfn.ISOWEEKNUM(D623))</f>
        <v/>
      </c>
      <c r="G623" s="207" t="s">
        <v>6</v>
      </c>
      <c r="H623" s="211"/>
      <c r="I623" s="211"/>
      <c r="J623" s="203"/>
      <c r="K623" s="45" t="s">
        <v>6</v>
      </c>
    </row>
    <row r="624" spans="1:11" s="2" customFormat="1" ht="24.9" customHeight="1">
      <c r="A624" s="40"/>
      <c r="B624" s="40"/>
      <c r="C624" s="40"/>
      <c r="D624" s="43"/>
      <c r="E624" s="44"/>
      <c r="F624" s="44" t="str">
        <f>IF(D624="","",_xlfn.ISOWEEKNUM(D624))</f>
        <v/>
      </c>
      <c r="G624" s="207" t="s">
        <v>6</v>
      </c>
      <c r="H624" s="212"/>
      <c r="I624" s="233"/>
      <c r="J624" s="203"/>
      <c r="K624" s="45" t="s">
        <v>6</v>
      </c>
    </row>
    <row r="625" spans="1:11" s="2" customFormat="1" ht="24.9" customHeight="1">
      <c r="A625" s="40"/>
      <c r="B625" s="40"/>
      <c r="C625" s="40" t="s">
        <v>241</v>
      </c>
      <c r="D625" s="43"/>
      <c r="E625" s="44"/>
      <c r="F625" s="44" t="str">
        <f>IF(D625="","",_xlfn.ISOWEEKNUM(D625))</f>
        <v/>
      </c>
      <c r="G625" s="44" t="s">
        <v>6</v>
      </c>
      <c r="H625" s="201"/>
      <c r="I625" s="201"/>
      <c r="J625" s="203"/>
      <c r="K625" s="45" t="s">
        <v>6</v>
      </c>
    </row>
    <row r="626" spans="1:11" ht="6.9" customHeight="1">
      <c r="A626" s="60" t="s">
        <v>6</v>
      </c>
      <c r="B626" s="60" t="s">
        <v>6</v>
      </c>
      <c r="C626" s="60" t="s">
        <v>6</v>
      </c>
      <c r="D626" s="60" t="s">
        <v>6</v>
      </c>
      <c r="E626" s="44"/>
      <c r="F626" s="60" t="s">
        <v>6</v>
      </c>
      <c r="G626" s="60" t="s">
        <v>6</v>
      </c>
      <c r="H626" s="60"/>
      <c r="I626" s="60"/>
      <c r="J626" s="60"/>
      <c r="K626" s="60" t="s">
        <v>6</v>
      </c>
    </row>
    <row r="627" spans="1:11">
      <c r="E627" s="60" t="s">
        <v>6</v>
      </c>
    </row>
    <row r="628" spans="1:11">
      <c r="B628" s="64" t="s">
        <v>242</v>
      </c>
    </row>
    <row r="630" spans="1:11" ht="15.75" customHeight="1">
      <c r="A630" s="65" t="s">
        <v>243</v>
      </c>
      <c r="B630" s="65">
        <v>1</v>
      </c>
      <c r="C630" s="604"/>
      <c r="D630" s="593"/>
    </row>
    <row r="631" spans="1:11" ht="15.65" customHeight="1">
      <c r="A631" s="65"/>
      <c r="B631" s="65">
        <v>2</v>
      </c>
      <c r="C631" s="604"/>
      <c r="D631" s="593"/>
    </row>
    <row r="632" spans="1:11" ht="15.65" customHeight="1">
      <c r="A632" s="65"/>
      <c r="B632" s="65">
        <v>3</v>
      </c>
      <c r="C632" s="604"/>
      <c r="D632" s="593"/>
    </row>
    <row r="633" spans="1:11" ht="15.75" customHeight="1">
      <c r="A633" s="6"/>
    </row>
    <row r="634" spans="1:11" ht="15.75" customHeight="1">
      <c r="A634" s="646" t="s">
        <v>245</v>
      </c>
      <c r="B634" s="593"/>
      <c r="C634" s="66" t="s">
        <v>247</v>
      </c>
      <c r="D634" s="67"/>
    </row>
    <row r="635" spans="1:11" ht="15" customHeight="1">
      <c r="A635" s="68"/>
      <c r="B635" s="67"/>
      <c r="C635" s="66" t="s">
        <v>249</v>
      </c>
      <c r="D635" s="67"/>
    </row>
    <row r="636" spans="1:11">
      <c r="B636" s="62"/>
      <c r="C636" s="62"/>
      <c r="D636" s="62"/>
    </row>
    <row r="637" spans="1:11">
      <c r="B637" s="64"/>
      <c r="C637" s="62"/>
      <c r="D637" s="62"/>
    </row>
    <row r="638" spans="1:11">
      <c r="B638" s="62"/>
      <c r="C638" s="62"/>
      <c r="D638" s="62"/>
    </row>
  </sheetData>
  <mergeCells count="18">
    <mergeCell ref="B3:C3"/>
    <mergeCell ref="C630:D630"/>
    <mergeCell ref="A634:B634"/>
    <mergeCell ref="H10:H13"/>
    <mergeCell ref="A10:A13"/>
    <mergeCell ref="G8:K8"/>
    <mergeCell ref="C631:D631"/>
    <mergeCell ref="J10:J13"/>
    <mergeCell ref="A9:B9"/>
    <mergeCell ref="D8:F8"/>
    <mergeCell ref="C10:C13"/>
    <mergeCell ref="B10:B13"/>
    <mergeCell ref="C632:D632"/>
    <mergeCell ref="I10:I13"/>
    <mergeCell ref="G10:G13"/>
    <mergeCell ref="D10:F12"/>
    <mergeCell ref="K10:K13"/>
    <mergeCell ref="B4:C4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9"/>
  <sheetViews>
    <sheetView showGridLines="0" workbookViewId="0">
      <selection activeCell="J6" sqref="J6"/>
    </sheetView>
  </sheetViews>
  <sheetFormatPr defaultRowHeight="14.5"/>
  <cols>
    <col min="13" max="13" width="9.453125" customWidth="1"/>
    <col min="14" max="14" width="20" bestFit="1" customWidth="1"/>
  </cols>
  <sheetData>
    <row r="1" spans="1:14" ht="15" customHeight="1" thickBot="1"/>
    <row r="2" spans="1:14">
      <c r="A2" s="380"/>
      <c r="B2" s="729" t="s">
        <v>315</v>
      </c>
      <c r="C2" s="730"/>
      <c r="D2" s="730"/>
      <c r="E2" s="730"/>
      <c r="F2" s="730"/>
      <c r="G2" s="730"/>
      <c r="H2" s="730"/>
      <c r="I2" s="730"/>
      <c r="J2" s="730"/>
      <c r="K2" s="730"/>
      <c r="L2" s="730"/>
      <c r="M2" s="730"/>
      <c r="N2" s="731"/>
    </row>
    <row r="3" spans="1:14" ht="15" customHeight="1">
      <c r="A3" s="380"/>
      <c r="B3" s="732" t="s">
        <v>316</v>
      </c>
      <c r="C3" s="485"/>
      <c r="D3" s="486"/>
      <c r="E3" s="486"/>
      <c r="F3" s="486"/>
      <c r="G3" s="486"/>
      <c r="H3" s="486"/>
      <c r="I3" s="486"/>
      <c r="J3" s="487"/>
      <c r="K3" s="488" t="s">
        <v>317</v>
      </c>
      <c r="L3" s="489"/>
      <c r="M3" s="490"/>
      <c r="N3" s="491" t="s">
        <v>26</v>
      </c>
    </row>
    <row r="4" spans="1:14" ht="15" customHeight="1">
      <c r="A4" s="380"/>
      <c r="B4" s="727"/>
      <c r="C4" s="494" t="s">
        <v>318</v>
      </c>
      <c r="D4" s="494" t="s">
        <v>319</v>
      </c>
      <c r="E4" s="381" t="s">
        <v>320</v>
      </c>
      <c r="F4" s="381" t="s">
        <v>321</v>
      </c>
      <c r="G4" s="381" t="s">
        <v>320</v>
      </c>
      <c r="H4" s="381" t="s">
        <v>321</v>
      </c>
      <c r="I4" s="381" t="s">
        <v>320</v>
      </c>
      <c r="J4" s="381" t="s">
        <v>321</v>
      </c>
      <c r="K4" s="496" t="s">
        <v>263</v>
      </c>
      <c r="L4" s="496" t="s">
        <v>322</v>
      </c>
      <c r="M4" s="496" t="s">
        <v>323</v>
      </c>
      <c r="N4" s="492"/>
    </row>
    <row r="5" spans="1:14">
      <c r="A5" s="380"/>
      <c r="B5" s="733"/>
      <c r="C5" s="495"/>
      <c r="D5" s="495"/>
      <c r="E5" s="381" t="s">
        <v>74</v>
      </c>
      <c r="F5" s="381" t="s">
        <v>74</v>
      </c>
      <c r="G5" s="381" t="s">
        <v>324</v>
      </c>
      <c r="H5" s="381" t="s">
        <v>324</v>
      </c>
      <c r="I5" s="381" t="s">
        <v>325</v>
      </c>
      <c r="J5" s="381" t="s">
        <v>325</v>
      </c>
      <c r="K5" s="497"/>
      <c r="L5" s="497"/>
      <c r="M5" s="497"/>
      <c r="N5" s="493"/>
    </row>
    <row r="6" spans="1:14">
      <c r="A6" s="380"/>
      <c r="B6" s="726">
        <v>9788</v>
      </c>
      <c r="C6" s="382" t="s">
        <v>326</v>
      </c>
      <c r="D6" s="423">
        <v>23</v>
      </c>
      <c r="E6" s="383">
        <v>165.2</v>
      </c>
      <c r="F6" s="384">
        <f>E6/25*9.81</f>
        <v>64.824479999999994</v>
      </c>
      <c r="G6" s="383">
        <v>143</v>
      </c>
      <c r="H6" s="384">
        <f>G6/25*9.81</f>
        <v>56.113199999999999</v>
      </c>
      <c r="I6" s="385">
        <v>194</v>
      </c>
      <c r="J6" s="386">
        <f>I6/25*9.81</f>
        <v>76.125600000000006</v>
      </c>
      <c r="K6" s="430"/>
      <c r="L6" s="430"/>
      <c r="M6" s="430"/>
      <c r="N6" s="387"/>
    </row>
    <row r="7" spans="1:14">
      <c r="A7" s="380"/>
      <c r="B7" s="727"/>
      <c r="C7" s="382" t="s">
        <v>326</v>
      </c>
      <c r="D7" s="424">
        <v>90</v>
      </c>
      <c r="E7" s="388">
        <v>86.39</v>
      </c>
      <c r="F7" s="389">
        <f>E7/25*9.81</f>
        <v>33.899436000000001</v>
      </c>
      <c r="G7" s="388">
        <v>42</v>
      </c>
      <c r="H7" s="389">
        <f>G7/25*9.81</f>
        <v>16.480799999999999</v>
      </c>
      <c r="I7" s="390">
        <v>117</v>
      </c>
      <c r="J7" s="391">
        <f>I7/25*9.81</f>
        <v>45.910800000000002</v>
      </c>
      <c r="K7" s="392"/>
      <c r="L7" s="392"/>
      <c r="M7" s="392"/>
      <c r="N7" s="387"/>
    </row>
    <row r="8" spans="1:14">
      <c r="A8" s="380"/>
      <c r="B8" s="727"/>
      <c r="C8" s="382" t="s">
        <v>327</v>
      </c>
      <c r="D8" s="423">
        <v>23</v>
      </c>
      <c r="E8" s="383">
        <v>152.69999999999999</v>
      </c>
      <c r="F8" s="384">
        <f>E8/25*9.81</f>
        <v>59.91948</v>
      </c>
      <c r="G8" s="383">
        <v>124</v>
      </c>
      <c r="H8" s="384">
        <f>G8/25*9.81</f>
        <v>48.657600000000002</v>
      </c>
      <c r="I8" s="385">
        <v>177</v>
      </c>
      <c r="J8" s="386">
        <f>I8/25*9.81</f>
        <v>69.454800000000006</v>
      </c>
      <c r="K8" s="392"/>
      <c r="L8" s="392"/>
      <c r="M8" s="392"/>
      <c r="N8" s="387"/>
    </row>
    <row r="9" spans="1:14" ht="15" customHeight="1" thickBot="1">
      <c r="A9" s="380"/>
      <c r="B9" s="728"/>
      <c r="C9" s="393" t="s">
        <v>327</v>
      </c>
      <c r="D9" s="425">
        <v>90</v>
      </c>
      <c r="E9" s="394">
        <v>98.68</v>
      </c>
      <c r="F9" s="395">
        <f>E9/25*9.81</f>
        <v>38.722032000000006</v>
      </c>
      <c r="G9" s="396">
        <v>47</v>
      </c>
      <c r="H9" s="395">
        <f>G9/25*9.81</f>
        <v>18.442799999999998</v>
      </c>
      <c r="I9" s="397">
        <v>109</v>
      </c>
      <c r="J9" s="398">
        <f>I9/25*9.81</f>
        <v>42.771600000000007</v>
      </c>
      <c r="K9" s="399"/>
      <c r="L9" s="399"/>
      <c r="M9" s="399"/>
      <c r="N9" s="400"/>
    </row>
  </sheetData>
  <mergeCells count="3">
    <mergeCell ref="B6:B9"/>
    <mergeCell ref="B2:N2"/>
    <mergeCell ref="B3:B5"/>
  </mergeCells>
  <conditionalFormatting sqref="B6">
    <cfRule type="duplicateValues" dxfId="496" priority="10"/>
  </conditionalFormatting>
  <conditionalFormatting sqref="E6:E9">
    <cfRule type="cellIs" dxfId="495" priority="5" operator="lessThan">
      <formula>63.71</formula>
    </cfRule>
    <cfRule type="cellIs" dxfId="494" priority="7" operator="lessThan">
      <formula>63.71</formula>
    </cfRule>
    <cfRule type="cellIs" dxfId="493" priority="9" operator="lessThan">
      <formula>63.71</formula>
    </cfRule>
  </conditionalFormatting>
  <conditionalFormatting sqref="F6:F9">
    <cfRule type="cellIs" dxfId="492" priority="4" operator="lessThan">
      <formula>25</formula>
    </cfRule>
    <cfRule type="cellIs" dxfId="491" priority="6" operator="lessThan">
      <formula>25</formula>
    </cfRule>
    <cfRule type="cellIs" dxfId="490" priority="8" operator="lessThan">
      <formula>25</formula>
    </cfRule>
  </conditionalFormatting>
  <conditionalFormatting sqref="G6:G9">
    <cfRule type="cellIs" dxfId="489" priority="3" operator="lessThan">
      <formula>50.96</formula>
    </cfRule>
  </conditionalFormatting>
  <conditionalFormatting sqref="H6:H9">
    <cfRule type="cellIs" dxfId="488" priority="1" operator="lessThan">
      <formula>4.2</formula>
    </cfRule>
    <cfRule type="cellIs" dxfId="487" priority="2" operator="lessThan">
      <formula>20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67"/>
  <sheetViews>
    <sheetView showGridLines="0" zoomScaleNormal="100" workbookViewId="0">
      <pane ySplit="3" topLeftCell="A38" activePane="bottomLeft" state="frozen"/>
      <selection pane="bottomLeft" activeCell="H50" sqref="H50"/>
    </sheetView>
  </sheetViews>
  <sheetFormatPr defaultColWidth="9.08984375" defaultRowHeight="14.5"/>
  <cols>
    <col min="1" max="1" width="10.54296875" style="219" customWidth="1"/>
    <col min="2" max="2" width="11.6328125" style="219" customWidth="1"/>
    <col min="3" max="3" width="11.453125" style="219" customWidth="1"/>
    <col min="4" max="4" width="13" style="219" customWidth="1"/>
    <col min="5" max="5" width="19.36328125" style="219" customWidth="1"/>
    <col min="6" max="6" width="9.90625" style="219" customWidth="1"/>
    <col min="7" max="7" width="9.36328125" style="219" customWidth="1"/>
    <col min="8" max="8" width="12.08984375" style="221" customWidth="1"/>
    <col min="9" max="9" width="10.54296875" style="219" customWidth="1"/>
    <col min="10" max="10" width="31.36328125" style="219" customWidth="1"/>
    <col min="11" max="11" width="7.54296875" style="219" customWidth="1"/>
    <col min="12" max="12" width="3.36328125" style="219" customWidth="1"/>
    <col min="13" max="13" width="10.08984375" style="220" bestFit="1" customWidth="1"/>
    <col min="14" max="14" width="15.54296875" style="219" customWidth="1"/>
    <col min="15" max="16" width="11.36328125" style="219" customWidth="1"/>
    <col min="17" max="17" width="20.453125" style="219" customWidth="1"/>
    <col min="18" max="18" width="9.08984375" style="219" customWidth="1"/>
    <col min="19" max="19" width="11.90625" style="219" customWidth="1"/>
    <col min="20" max="20" width="16.36328125" style="219" customWidth="1"/>
    <col min="21" max="21" width="9.08984375" style="321" customWidth="1"/>
    <col min="22" max="22" width="17.453125" style="320" customWidth="1"/>
    <col min="23" max="24" width="9.08984375" style="566" customWidth="1"/>
    <col min="25" max="25" width="14" style="567" customWidth="1"/>
    <col min="26" max="28" width="9.08984375" style="567" customWidth="1"/>
    <col min="29" max="29" width="10.08984375" style="567" customWidth="1"/>
    <col min="30" max="30" width="9.08984375" style="567" customWidth="1"/>
    <col min="31" max="31" width="10.453125" style="567" customWidth="1"/>
    <col min="32" max="33" width="9.08984375" style="566" customWidth="1"/>
    <col min="34" max="41" width="9.08984375" style="320" customWidth="1"/>
    <col min="42" max="42" width="9.08984375" style="219" customWidth="1"/>
    <col min="43" max="16384" width="9.08984375" style="219"/>
  </cols>
  <sheetData>
    <row r="1" spans="1:41">
      <c r="A1" s="737" t="s">
        <v>328</v>
      </c>
      <c r="B1" s="735"/>
      <c r="C1" s="735"/>
      <c r="D1" s="735"/>
      <c r="E1" s="735"/>
      <c r="F1" s="735"/>
      <c r="G1" s="735"/>
      <c r="H1" s="735"/>
      <c r="I1" s="735"/>
      <c r="J1" s="736"/>
      <c r="M1" s="734" t="s">
        <v>329</v>
      </c>
      <c r="N1" s="735"/>
      <c r="O1" s="735"/>
      <c r="P1" s="735"/>
      <c r="Q1" s="735"/>
      <c r="R1" s="735"/>
      <c r="S1" s="735"/>
      <c r="T1" s="736"/>
    </row>
    <row r="2" spans="1:41" s="570" customFormat="1" ht="15" customHeight="1">
      <c r="A2" s="740" t="s">
        <v>330</v>
      </c>
      <c r="B2" s="741"/>
      <c r="C2" s="741"/>
      <c r="D2" s="572">
        <f>SUM(Tabela1[Coated])</f>
        <v>2405</v>
      </c>
      <c r="E2" s="572">
        <f>SUM(Tabela1[Not approved / Onhold])</f>
        <v>64</v>
      </c>
      <c r="F2" s="572">
        <f>SUM(Tabela1[Repair])</f>
        <v>4</v>
      </c>
      <c r="G2" s="572">
        <f>SUM(Tabela1[Approved])</f>
        <v>2337</v>
      </c>
      <c r="H2" s="571"/>
      <c r="I2" s="571"/>
      <c r="J2" s="571"/>
      <c r="K2" s="571"/>
      <c r="L2" s="571"/>
      <c r="M2" s="738" t="s">
        <v>330</v>
      </c>
      <c r="N2" s="739"/>
      <c r="O2" s="739"/>
      <c r="P2" s="573">
        <f>SUM(Tabela3[Coated])</f>
        <v>2043</v>
      </c>
      <c r="Q2" s="573">
        <f>SUM(Tabela3[Not approved / Onhold])</f>
        <v>35</v>
      </c>
      <c r="R2" s="573">
        <f>SUM(Tabela3[Repair])</f>
        <v>8</v>
      </c>
      <c r="S2" s="573">
        <f>SUM(Tabela3[[Approved ]])</f>
        <v>2000</v>
      </c>
      <c r="T2" s="571"/>
    </row>
    <row r="3" spans="1:41" s="220" customFormat="1" ht="18.75" customHeight="1">
      <c r="A3" s="279" t="s">
        <v>331</v>
      </c>
      <c r="B3" s="280" t="s">
        <v>56</v>
      </c>
      <c r="C3" s="280" t="s">
        <v>332</v>
      </c>
      <c r="D3" s="281" t="s">
        <v>333</v>
      </c>
      <c r="E3" s="279" t="s">
        <v>334</v>
      </c>
      <c r="F3" s="281" t="s">
        <v>335</v>
      </c>
      <c r="G3" s="282" t="s">
        <v>101</v>
      </c>
      <c r="H3" s="283" t="s">
        <v>336</v>
      </c>
      <c r="I3" s="284" t="s">
        <v>337</v>
      </c>
      <c r="J3" s="285" t="s">
        <v>338</v>
      </c>
      <c r="K3" s="222"/>
      <c r="L3" s="222"/>
      <c r="M3" s="239" t="s">
        <v>331</v>
      </c>
      <c r="N3" s="278" t="s">
        <v>56</v>
      </c>
      <c r="O3" s="240" t="s">
        <v>332</v>
      </c>
      <c r="P3" s="241" t="s">
        <v>333</v>
      </c>
      <c r="Q3" s="240" t="s">
        <v>334</v>
      </c>
      <c r="R3" s="241" t="s">
        <v>335</v>
      </c>
      <c r="S3" s="240" t="s">
        <v>339</v>
      </c>
      <c r="T3" s="240" t="s">
        <v>338</v>
      </c>
      <c r="U3" s="309"/>
      <c r="V3" s="309"/>
      <c r="W3" s="567"/>
      <c r="X3" s="567"/>
      <c r="Y3" s="567"/>
      <c r="Z3" s="567"/>
      <c r="AA3" s="567"/>
      <c r="AB3" s="567"/>
      <c r="AC3" s="567"/>
      <c r="AD3" s="568"/>
      <c r="AE3" s="568"/>
      <c r="AF3" s="568"/>
      <c r="AG3" s="568"/>
      <c r="AH3" s="309"/>
      <c r="AI3" s="309"/>
      <c r="AJ3" s="309"/>
      <c r="AK3" s="309"/>
      <c r="AL3" s="309"/>
      <c r="AM3" s="309"/>
      <c r="AN3" s="309"/>
      <c r="AO3" s="309"/>
    </row>
    <row r="4" spans="1:41" s="229" customFormat="1" ht="15" customHeight="1">
      <c r="A4" s="258">
        <v>27</v>
      </c>
      <c r="B4" s="453">
        <v>46205</v>
      </c>
      <c r="C4" s="450">
        <v>2</v>
      </c>
      <c r="D4" s="223">
        <v>0</v>
      </c>
      <c r="E4" s="223">
        <v>0</v>
      </c>
      <c r="F4" s="223">
        <v>0</v>
      </c>
      <c r="G4" s="225">
        <f>IF(Tabela1[[#This Row],[Repair]]&lt;&gt;"",Tabela1[[#This Row],[Coated]]-Tabela1[[#This Row],[Not approved / Onhold]]-Tabela1[[#This Row],[Repair]],"")</f>
        <v>0</v>
      </c>
      <c r="H4" s="223" t="s">
        <v>340</v>
      </c>
      <c r="I4" s="376" t="s">
        <v>341</v>
      </c>
      <c r="J4" s="226" t="s">
        <v>297</v>
      </c>
      <c r="K4" s="227"/>
      <c r="L4" s="227"/>
      <c r="M4" s="223">
        <v>27</v>
      </c>
      <c r="N4" s="453">
        <v>46205</v>
      </c>
      <c r="O4" s="224">
        <v>2</v>
      </c>
      <c r="P4" s="223">
        <v>0</v>
      </c>
      <c r="Q4" s="223">
        <v>0</v>
      </c>
      <c r="R4" s="223">
        <v>0</v>
      </c>
      <c r="S4" s="225">
        <f>IF(Tabela3[[#This Row],[Coated]]&lt;&gt;"",Tabela3[[#This Row],[Coated]]-Tabela3[[#This Row],[Not approved / Onhold]]-Tabela3[[#This Row],[Repair]],"")</f>
        <v>0</v>
      </c>
      <c r="T4" s="228" t="s">
        <v>297</v>
      </c>
      <c r="U4" s="322"/>
      <c r="V4" s="322"/>
      <c r="W4" s="569"/>
      <c r="X4" s="569"/>
      <c r="Y4" s="567"/>
      <c r="Z4" s="567"/>
      <c r="AA4" s="567"/>
      <c r="AB4" s="567"/>
      <c r="AC4" s="567"/>
      <c r="AD4" s="567"/>
      <c r="AE4" s="567"/>
      <c r="AF4" s="569"/>
      <c r="AG4" s="569"/>
      <c r="AH4" s="322"/>
      <c r="AI4" s="322"/>
      <c r="AJ4" s="322"/>
      <c r="AK4" s="322"/>
      <c r="AL4" s="322"/>
      <c r="AM4" s="322"/>
      <c r="AN4" s="322"/>
      <c r="AO4" s="322"/>
    </row>
    <row r="5" spans="1:41" s="229" customFormat="1" ht="15" customHeight="1">
      <c r="A5" s="258">
        <v>27</v>
      </c>
      <c r="B5" s="453">
        <v>46205</v>
      </c>
      <c r="C5" s="451">
        <v>3</v>
      </c>
      <c r="D5" s="223">
        <v>48</v>
      </c>
      <c r="E5" s="223">
        <v>0</v>
      </c>
      <c r="F5" s="223">
        <v>0</v>
      </c>
      <c r="G5" s="225">
        <f>IF(Tabela1[[#This Row],[Repair]]&lt;&gt;"",Tabela1[[#This Row],[Coated]]-Tabela1[[#This Row],[Not approved / Onhold]]-Tabela1[[#This Row],[Repair]],"")</f>
        <v>48</v>
      </c>
      <c r="H5" s="378" t="s">
        <v>298</v>
      </c>
      <c r="I5" s="376" t="s">
        <v>341</v>
      </c>
      <c r="J5" s="377" t="s">
        <v>297</v>
      </c>
      <c r="M5" s="223">
        <v>27</v>
      </c>
      <c r="N5" s="453">
        <v>46205</v>
      </c>
      <c r="O5" s="224">
        <v>3</v>
      </c>
      <c r="P5" s="230">
        <v>2</v>
      </c>
      <c r="Q5" s="230">
        <v>0</v>
      </c>
      <c r="R5" s="231">
        <v>1</v>
      </c>
      <c r="S5" s="225">
        <f>IF(Tabela3[[#This Row],[Coated]]&lt;&gt;"",Tabela3[[#This Row],[Coated]]-Tabela3[[#This Row],[Not approved / Onhold]]-Tabela3[[#This Row],[Repair]],"")</f>
        <v>1</v>
      </c>
      <c r="T5" s="230" t="s">
        <v>297</v>
      </c>
      <c r="U5" s="323"/>
      <c r="V5" s="322"/>
      <c r="W5" s="569"/>
      <c r="X5" s="569"/>
      <c r="Y5" s="567"/>
      <c r="Z5" s="567"/>
      <c r="AA5" s="567"/>
      <c r="AB5" s="567"/>
      <c r="AC5" s="567"/>
      <c r="AD5" s="567"/>
      <c r="AE5" s="567"/>
      <c r="AF5" s="569"/>
      <c r="AG5" s="569"/>
      <c r="AH5" s="322"/>
      <c r="AI5" s="322"/>
      <c r="AJ5" s="322"/>
      <c r="AK5" s="322"/>
      <c r="AL5" s="322"/>
      <c r="AM5" s="322"/>
      <c r="AN5" s="322"/>
      <c r="AO5" s="322"/>
    </row>
    <row r="6" spans="1:41" s="229" customFormat="1" ht="15" customHeight="1">
      <c r="A6" s="258">
        <v>27</v>
      </c>
      <c r="B6" s="453">
        <v>46206</v>
      </c>
      <c r="C6" s="450">
        <v>1</v>
      </c>
      <c r="D6" s="223">
        <v>13</v>
      </c>
      <c r="E6" s="223">
        <v>0</v>
      </c>
      <c r="F6" s="223">
        <v>0</v>
      </c>
      <c r="G6" s="225">
        <f>IF(Tabela1[[#This Row],[Repair]]&lt;&gt;"",Tabela1[[#This Row],[Coated]]-Tabela1[[#This Row],[Not approved / Onhold]]-Tabela1[[#This Row],[Repair]],"")</f>
        <v>13</v>
      </c>
      <c r="H6" s="223" t="s">
        <v>340</v>
      </c>
      <c r="I6" s="376" t="s">
        <v>341</v>
      </c>
      <c r="J6" s="226" t="s">
        <v>297</v>
      </c>
      <c r="M6" s="223">
        <v>27</v>
      </c>
      <c r="N6" s="453">
        <v>46206</v>
      </c>
      <c r="O6" s="224">
        <v>1</v>
      </c>
      <c r="P6" s="230">
        <v>10</v>
      </c>
      <c r="Q6" s="230">
        <v>0</v>
      </c>
      <c r="R6" s="231">
        <v>0</v>
      </c>
      <c r="S6" s="225">
        <f>IF(Tabela3[[#This Row],[Coated]]&lt;&gt;"",Tabela3[[#This Row],[Coated]]-Tabela3[[#This Row],[Not approved / Onhold]]-Tabela3[[#This Row],[Repair]],"")</f>
        <v>10</v>
      </c>
      <c r="T6" s="230" t="s">
        <v>297</v>
      </c>
      <c r="U6" s="323"/>
      <c r="V6" s="322"/>
      <c r="W6" s="569"/>
      <c r="X6" s="569"/>
      <c r="Y6" s="567"/>
      <c r="Z6" s="567"/>
      <c r="AA6" s="567"/>
      <c r="AB6" s="567"/>
      <c r="AC6" s="567"/>
      <c r="AD6" s="567"/>
      <c r="AE6" s="567"/>
      <c r="AF6" s="569"/>
      <c r="AG6" s="569"/>
      <c r="AH6" s="322"/>
      <c r="AI6" s="322"/>
      <c r="AJ6" s="322"/>
      <c r="AK6" s="322"/>
      <c r="AL6" s="322"/>
      <c r="AM6" s="322"/>
      <c r="AN6" s="322"/>
      <c r="AO6" s="322"/>
    </row>
    <row r="7" spans="1:41" s="229" customFormat="1" ht="15" customHeight="1">
      <c r="A7" s="258">
        <v>27</v>
      </c>
      <c r="B7" s="453">
        <v>46206</v>
      </c>
      <c r="C7" s="451">
        <v>2</v>
      </c>
      <c r="D7" s="223">
        <v>33</v>
      </c>
      <c r="E7" s="223">
        <v>5</v>
      </c>
      <c r="F7" s="223">
        <v>1</v>
      </c>
      <c r="G7" s="225">
        <f>IF(Tabela1[[#This Row],[Repair]]&lt;&gt;"",Tabela1[[#This Row],[Coated]]-Tabela1[[#This Row],[Not approved / Onhold]]-Tabela1[[#This Row],[Repair]],"")</f>
        <v>27</v>
      </c>
      <c r="H7" s="378" t="s">
        <v>98</v>
      </c>
      <c r="I7" s="376" t="s">
        <v>341</v>
      </c>
      <c r="J7" s="377" t="s">
        <v>85</v>
      </c>
      <c r="M7" s="223">
        <v>27</v>
      </c>
      <c r="N7" s="453">
        <v>46206</v>
      </c>
      <c r="O7" s="224">
        <v>2</v>
      </c>
      <c r="P7" s="230">
        <v>10</v>
      </c>
      <c r="Q7" s="230">
        <v>0</v>
      </c>
      <c r="R7" s="231">
        <v>0</v>
      </c>
      <c r="S7" s="225">
        <f>IF(Tabela3[[#This Row],[Coated]]&lt;&gt;"",Tabela3[[#This Row],[Coated]]-Tabela3[[#This Row],[Not approved / Onhold]]-Tabela3[[#This Row],[Repair]],"")</f>
        <v>10</v>
      </c>
      <c r="T7" s="230" t="s">
        <v>85</v>
      </c>
      <c r="U7" s="323"/>
      <c r="V7" s="322"/>
      <c r="W7" s="569"/>
      <c r="X7" s="569"/>
      <c r="Y7" s="567"/>
      <c r="Z7" s="567"/>
      <c r="AA7" s="567"/>
      <c r="AB7" s="567"/>
      <c r="AC7" s="567"/>
      <c r="AD7" s="567"/>
      <c r="AE7" s="567"/>
      <c r="AF7" s="569"/>
      <c r="AG7" s="569"/>
      <c r="AH7" s="322"/>
      <c r="AI7" s="322"/>
      <c r="AJ7" s="322"/>
      <c r="AK7" s="322"/>
      <c r="AL7" s="322"/>
      <c r="AM7" s="322"/>
      <c r="AN7" s="322"/>
      <c r="AO7" s="322"/>
    </row>
    <row r="8" spans="1:41" s="229" customFormat="1" ht="15" customHeight="1">
      <c r="A8" s="258">
        <v>27</v>
      </c>
      <c r="B8" s="453">
        <v>46206</v>
      </c>
      <c r="C8" s="452">
        <v>3</v>
      </c>
      <c r="D8" s="376">
        <v>30</v>
      </c>
      <c r="E8" s="376">
        <v>0</v>
      </c>
      <c r="F8" s="223">
        <v>0</v>
      </c>
      <c r="G8" s="225">
        <f>IF(Tabela1[[#This Row],[Repair]]&lt;&gt;"",Tabela1[[#This Row],[Coated]]-Tabela1[[#This Row],[Not approved / Onhold]]-Tabela1[[#This Row],[Repair]],"")</f>
        <v>30</v>
      </c>
      <c r="H8" s="223" t="s">
        <v>340</v>
      </c>
      <c r="I8" s="376" t="s">
        <v>341</v>
      </c>
      <c r="J8" s="226" t="s">
        <v>85</v>
      </c>
      <c r="M8" s="223">
        <v>27</v>
      </c>
      <c r="N8" s="453">
        <v>46206</v>
      </c>
      <c r="O8" s="224">
        <v>3</v>
      </c>
      <c r="P8" s="230">
        <v>17</v>
      </c>
      <c r="Q8" s="230">
        <v>0</v>
      </c>
      <c r="R8" s="231">
        <v>0</v>
      </c>
      <c r="S8" s="225">
        <f>IF(Tabela3[[#This Row],[Coated]]&lt;&gt;"",Tabela3[[#This Row],[Coated]]-Tabela3[[#This Row],[Not approved / Onhold]]-Tabela3[[#This Row],[Repair]],"")</f>
        <v>17</v>
      </c>
      <c r="T8" s="230" t="s">
        <v>85</v>
      </c>
      <c r="U8" s="323"/>
      <c r="V8" s="322"/>
      <c r="W8" s="569"/>
      <c r="X8" s="569"/>
      <c r="Y8" s="567"/>
      <c r="Z8" s="567"/>
      <c r="AA8" s="567"/>
      <c r="AB8" s="567"/>
      <c r="AC8" s="567"/>
      <c r="AD8" s="567"/>
      <c r="AE8" s="567"/>
      <c r="AF8" s="569"/>
      <c r="AG8" s="569"/>
      <c r="AH8" s="322"/>
      <c r="AI8" s="322"/>
      <c r="AJ8" s="322"/>
      <c r="AK8" s="322"/>
      <c r="AL8" s="322"/>
      <c r="AM8" s="322"/>
      <c r="AN8" s="322"/>
      <c r="AO8" s="322"/>
    </row>
    <row r="9" spans="1:41" s="229" customFormat="1" ht="15" customHeight="1">
      <c r="A9" s="258">
        <v>27</v>
      </c>
      <c r="B9" s="453">
        <v>46207</v>
      </c>
      <c r="C9" s="450">
        <v>1</v>
      </c>
      <c r="D9" s="223">
        <v>52</v>
      </c>
      <c r="E9" s="223">
        <v>2</v>
      </c>
      <c r="F9" s="223">
        <v>0</v>
      </c>
      <c r="G9" s="225">
        <f>IF(Tabela1[[#This Row],[Repair]]&lt;&gt;"",Tabela1[[#This Row],[Coated]]-Tabela1[[#This Row],[Not approved / Onhold]]-Tabela1[[#This Row],[Repair]],"")</f>
        <v>50</v>
      </c>
      <c r="H9" s="223" t="s">
        <v>340</v>
      </c>
      <c r="I9" s="376" t="s">
        <v>341</v>
      </c>
      <c r="J9" s="226" t="s">
        <v>85</v>
      </c>
      <c r="M9" s="223">
        <v>27</v>
      </c>
      <c r="N9" s="453">
        <v>46207</v>
      </c>
      <c r="O9" s="224">
        <v>1</v>
      </c>
      <c r="P9" s="230">
        <v>24</v>
      </c>
      <c r="Q9" s="230">
        <v>0</v>
      </c>
      <c r="R9" s="231">
        <v>0</v>
      </c>
      <c r="S9" s="225">
        <f>IF(Tabela3[[#This Row],[Coated]]&lt;&gt;"",Tabela3[[#This Row],[Coated]]-Tabela3[[#This Row],[Not approved / Onhold]]-Tabela3[[#This Row],[Repair]],"")</f>
        <v>24</v>
      </c>
      <c r="T9" s="230" t="s">
        <v>85</v>
      </c>
      <c r="U9" s="323"/>
      <c r="V9" s="322"/>
      <c r="W9" s="569"/>
      <c r="X9" s="569"/>
      <c r="Y9" s="567"/>
      <c r="Z9" s="567"/>
      <c r="AA9" s="567"/>
      <c r="AB9" s="567"/>
      <c r="AC9" s="567"/>
      <c r="AD9" s="567"/>
      <c r="AE9" s="567"/>
      <c r="AF9" s="569"/>
      <c r="AG9" s="569"/>
      <c r="AH9" s="322"/>
      <c r="AI9" s="322"/>
      <c r="AJ9" s="322"/>
      <c r="AK9" s="322"/>
      <c r="AL9" s="322"/>
      <c r="AM9" s="322"/>
      <c r="AN9" s="322"/>
      <c r="AO9" s="322"/>
    </row>
    <row r="10" spans="1:41" s="229" customFormat="1" ht="15" customHeight="1">
      <c r="A10" s="258">
        <v>27</v>
      </c>
      <c r="B10" s="453">
        <v>46207</v>
      </c>
      <c r="C10" s="451">
        <v>2</v>
      </c>
      <c r="D10" s="223">
        <v>60</v>
      </c>
      <c r="E10" s="223">
        <v>0</v>
      </c>
      <c r="F10" s="223">
        <v>1</v>
      </c>
      <c r="G10" s="225">
        <f>IF(Tabela1[[#This Row],[Repair]]&lt;&gt;"",Tabela1[[#This Row],[Coated]]-Tabela1[[#This Row],[Not approved / Onhold]]-Tabela1[[#This Row],[Repair]],"")</f>
        <v>59</v>
      </c>
      <c r="H10" s="378" t="s">
        <v>109</v>
      </c>
      <c r="I10" s="376" t="s">
        <v>341</v>
      </c>
      <c r="J10" s="377" t="s">
        <v>85</v>
      </c>
      <c r="M10" s="223">
        <v>27</v>
      </c>
      <c r="N10" s="453">
        <v>46207</v>
      </c>
      <c r="O10" s="224">
        <v>2</v>
      </c>
      <c r="P10" s="230">
        <v>33</v>
      </c>
      <c r="Q10" s="230">
        <v>0</v>
      </c>
      <c r="R10" s="231">
        <v>0</v>
      </c>
      <c r="S10" s="225">
        <f>IF(Tabela3[[#This Row],[Coated]]&lt;&gt;"",Tabela3[[#This Row],[Coated]]-Tabela3[[#This Row],[Not approved / Onhold]]-Tabela3[[#This Row],[Repair]],"")</f>
        <v>33</v>
      </c>
      <c r="T10" s="230" t="s">
        <v>85</v>
      </c>
      <c r="U10" s="323"/>
      <c r="V10" s="322"/>
      <c r="W10" s="569"/>
      <c r="X10" s="569"/>
      <c r="Y10" s="567"/>
      <c r="Z10" s="567"/>
      <c r="AA10" s="567"/>
      <c r="AB10" s="567"/>
      <c r="AC10" s="567"/>
      <c r="AD10" s="567"/>
      <c r="AE10" s="567"/>
      <c r="AF10" s="569"/>
      <c r="AG10" s="569"/>
      <c r="AH10" s="322"/>
      <c r="AI10" s="322"/>
      <c r="AJ10" s="322"/>
      <c r="AK10" s="322"/>
      <c r="AL10" s="322"/>
      <c r="AM10" s="322"/>
      <c r="AN10" s="322"/>
      <c r="AO10" s="322"/>
    </row>
    <row r="11" spans="1:41" s="229" customFormat="1" ht="15" customHeight="1">
      <c r="A11" s="258">
        <v>28</v>
      </c>
      <c r="B11" s="453">
        <v>46208</v>
      </c>
      <c r="C11" s="452">
        <v>3</v>
      </c>
      <c r="D11" s="376">
        <v>31</v>
      </c>
      <c r="E11" s="376">
        <v>0</v>
      </c>
      <c r="F11" s="223">
        <v>0</v>
      </c>
      <c r="G11" s="225">
        <f>IF(Tabela1[[#This Row],[Repair]]&lt;&gt;"",Tabela1[[#This Row],[Coated]]-Tabela1[[#This Row],[Not approved / Onhold]]-Tabela1[[#This Row],[Repair]],"")</f>
        <v>31</v>
      </c>
      <c r="H11" s="223" t="s">
        <v>340</v>
      </c>
      <c r="I11" s="223" t="s">
        <v>341</v>
      </c>
      <c r="J11" s="226" t="s">
        <v>85</v>
      </c>
      <c r="M11" s="223">
        <v>28</v>
      </c>
      <c r="N11" s="453">
        <v>46208</v>
      </c>
      <c r="O11" s="224">
        <v>3</v>
      </c>
      <c r="P11" s="230">
        <v>19</v>
      </c>
      <c r="Q11" s="230">
        <v>1</v>
      </c>
      <c r="R11" s="231">
        <v>0</v>
      </c>
      <c r="S11" s="225">
        <f>IF(Tabela3[[#This Row],[Coated]]&lt;&gt;"",Tabela3[[#This Row],[Coated]]-Tabela3[[#This Row],[Not approved / Onhold]]-Tabela3[[#This Row],[Repair]],"")</f>
        <v>18</v>
      </c>
      <c r="T11" s="230" t="s">
        <v>85</v>
      </c>
      <c r="U11" s="323"/>
      <c r="V11" s="322"/>
      <c r="W11" s="569"/>
      <c r="X11" s="569"/>
      <c r="Y11" s="567"/>
      <c r="Z11" s="567"/>
      <c r="AA11" s="567"/>
      <c r="AB11" s="567"/>
      <c r="AC11" s="567"/>
      <c r="AD11" s="567"/>
      <c r="AE11" s="567"/>
      <c r="AF11" s="569"/>
      <c r="AG11" s="569"/>
      <c r="AH11" s="322"/>
      <c r="AI11" s="322"/>
      <c r="AJ11" s="322"/>
      <c r="AK11" s="322"/>
      <c r="AL11" s="322"/>
      <c r="AM11" s="322"/>
      <c r="AN11" s="322"/>
      <c r="AO11" s="322"/>
    </row>
    <row r="12" spans="1:41" s="229" customFormat="1" ht="15" customHeight="1">
      <c r="A12" s="258">
        <v>28</v>
      </c>
      <c r="B12" s="453">
        <v>46209</v>
      </c>
      <c r="C12" s="451">
        <v>1</v>
      </c>
      <c r="D12" s="223">
        <v>49</v>
      </c>
      <c r="E12" s="223">
        <v>1</v>
      </c>
      <c r="F12" s="223">
        <v>0</v>
      </c>
      <c r="G12" s="225">
        <f>IF(Tabela1[[#This Row],[Repair]]&lt;&gt;"",Tabela1[[#This Row],[Coated]]-Tabela1[[#This Row],[Not approved / Onhold]]-Tabela1[[#This Row],[Repair]],"")</f>
        <v>48</v>
      </c>
      <c r="H12" s="378" t="s">
        <v>97</v>
      </c>
      <c r="I12" s="223" t="s">
        <v>341</v>
      </c>
      <c r="J12" s="226" t="s">
        <v>85</v>
      </c>
      <c r="M12" s="223">
        <v>28</v>
      </c>
      <c r="N12" s="453">
        <v>46209</v>
      </c>
      <c r="O12" s="414">
        <v>1</v>
      </c>
      <c r="P12" s="230">
        <v>25</v>
      </c>
      <c r="Q12" s="230">
        <v>3</v>
      </c>
      <c r="R12" s="231">
        <v>1</v>
      </c>
      <c r="S12" s="225">
        <f>IF(Tabela3[[#This Row],[Coated]]&lt;&gt;"",Tabela3[[#This Row],[Coated]]-Tabela3[[#This Row],[Not approved / Onhold]]-Tabela3[[#This Row],[Repair]],"")</f>
        <v>21</v>
      </c>
      <c r="T12" s="230" t="s">
        <v>85</v>
      </c>
      <c r="U12" s="323"/>
      <c r="V12" s="322"/>
      <c r="W12" s="569"/>
      <c r="X12" s="569"/>
      <c r="Y12" s="567"/>
      <c r="Z12" s="567"/>
      <c r="AA12" s="567"/>
      <c r="AB12" s="567"/>
      <c r="AC12" s="567"/>
      <c r="AD12" s="567"/>
      <c r="AE12" s="567"/>
      <c r="AF12" s="569"/>
      <c r="AG12" s="569"/>
      <c r="AH12" s="322"/>
      <c r="AI12" s="322"/>
      <c r="AJ12" s="322"/>
      <c r="AK12" s="322"/>
      <c r="AL12" s="322"/>
      <c r="AM12" s="322"/>
      <c r="AN12" s="322"/>
      <c r="AO12" s="322"/>
    </row>
    <row r="13" spans="1:41" s="229" customFormat="1" ht="15" customHeight="1">
      <c r="A13" s="258">
        <v>28</v>
      </c>
      <c r="B13" s="453">
        <v>46209</v>
      </c>
      <c r="C13" s="450">
        <v>2</v>
      </c>
      <c r="D13" s="223">
        <v>44</v>
      </c>
      <c r="E13" s="223">
        <v>0</v>
      </c>
      <c r="F13" s="223">
        <v>0</v>
      </c>
      <c r="G13" s="225">
        <f>IF(Tabela1[[#This Row],[Repair]]&lt;&gt;"",Tabela1[[#This Row],[Coated]]-Tabela1[[#This Row],[Not approved / Onhold]]-Tabela1[[#This Row],[Repair]],"")</f>
        <v>44</v>
      </c>
      <c r="H13" s="223" t="s">
        <v>340</v>
      </c>
      <c r="I13" s="223" t="s">
        <v>341</v>
      </c>
      <c r="J13" s="226" t="s">
        <v>85</v>
      </c>
      <c r="M13" s="223">
        <v>28</v>
      </c>
      <c r="N13" s="453">
        <v>46209</v>
      </c>
      <c r="O13" s="224">
        <v>2</v>
      </c>
      <c r="P13" s="230">
        <v>31</v>
      </c>
      <c r="Q13" s="230">
        <v>0</v>
      </c>
      <c r="R13" s="231">
        <v>0</v>
      </c>
      <c r="S13" s="225">
        <f>IF(Tabela3[[#This Row],[Coated]]&lt;&gt;"",Tabela3[[#This Row],[Coated]]-Tabela3[[#This Row],[Not approved / Onhold]]-Tabela3[[#This Row],[Repair]],"")</f>
        <v>31</v>
      </c>
      <c r="T13" s="230" t="s">
        <v>85</v>
      </c>
      <c r="U13" s="323"/>
      <c r="V13" s="322"/>
      <c r="W13" s="569"/>
      <c r="X13" s="569"/>
      <c r="Y13" s="567"/>
      <c r="Z13" s="567"/>
      <c r="AA13" s="567"/>
      <c r="AB13" s="567"/>
      <c r="AC13" s="567"/>
      <c r="AD13" s="567"/>
      <c r="AE13" s="567"/>
      <c r="AF13" s="569"/>
      <c r="AG13" s="569"/>
      <c r="AH13" s="322"/>
      <c r="AI13" s="322"/>
      <c r="AJ13" s="322"/>
      <c r="AK13" s="322"/>
      <c r="AL13" s="322"/>
      <c r="AM13" s="322"/>
      <c r="AN13" s="322"/>
      <c r="AO13" s="322"/>
    </row>
    <row r="14" spans="1:41" s="229" customFormat="1" ht="15" customHeight="1">
      <c r="A14" s="258">
        <v>28</v>
      </c>
      <c r="B14" s="453">
        <v>46209</v>
      </c>
      <c r="C14" s="450">
        <v>3</v>
      </c>
      <c r="D14" s="223">
        <v>58</v>
      </c>
      <c r="E14" s="223">
        <v>2</v>
      </c>
      <c r="F14" s="223">
        <v>0</v>
      </c>
      <c r="G14" s="225">
        <f>IF(Tabela1[[#This Row],[Repair]]&lt;&gt;"",Tabela1[[#This Row],[Coated]]-Tabela1[[#This Row],[Not approved / Onhold]]-Tabela1[[#This Row],[Repair]],"")</f>
        <v>56</v>
      </c>
      <c r="H14" s="223" t="s">
        <v>340</v>
      </c>
      <c r="I14" s="223" t="s">
        <v>341</v>
      </c>
      <c r="J14" s="226" t="s">
        <v>85</v>
      </c>
      <c r="M14" s="223">
        <v>28</v>
      </c>
      <c r="N14" s="453">
        <v>46209</v>
      </c>
      <c r="O14" s="224">
        <v>3</v>
      </c>
      <c r="P14" s="230">
        <v>22</v>
      </c>
      <c r="Q14" s="230">
        <v>1</v>
      </c>
      <c r="R14" s="231">
        <v>0</v>
      </c>
      <c r="S14" s="225">
        <f>IF(Tabela3[[#This Row],[Coated]]&lt;&gt;"",Tabela3[[#This Row],[Coated]]-Tabela3[[#This Row],[Not approved / Onhold]]-Tabela3[[#This Row],[Repair]],"")</f>
        <v>21</v>
      </c>
      <c r="T14" s="230" t="s">
        <v>85</v>
      </c>
      <c r="U14" s="323"/>
      <c r="V14" s="322"/>
      <c r="W14" s="569"/>
      <c r="X14" s="569"/>
      <c r="Y14" s="567"/>
      <c r="Z14" s="567"/>
      <c r="AA14" s="567"/>
      <c r="AB14" s="567"/>
      <c r="AC14" s="567"/>
      <c r="AD14" s="567"/>
      <c r="AE14" s="567"/>
      <c r="AF14" s="569"/>
      <c r="AG14" s="569"/>
      <c r="AH14" s="322"/>
      <c r="AI14" s="322"/>
      <c r="AJ14" s="322"/>
      <c r="AK14" s="322"/>
      <c r="AL14" s="322"/>
      <c r="AM14" s="322"/>
      <c r="AN14" s="322"/>
      <c r="AO14" s="322"/>
    </row>
    <row r="15" spans="1:41" s="229" customFormat="1" ht="15" customHeight="1">
      <c r="A15" s="258">
        <v>28</v>
      </c>
      <c r="B15" s="453">
        <v>46210</v>
      </c>
      <c r="C15" s="450">
        <v>1</v>
      </c>
      <c r="D15" s="223">
        <v>51</v>
      </c>
      <c r="E15" s="223">
        <v>0</v>
      </c>
      <c r="F15" s="223">
        <v>0</v>
      </c>
      <c r="G15" s="225">
        <f>IF(Tabela1[[#This Row],[Repair]]&lt;&gt;"",Tabela1[[#This Row],[Coated]]-Tabela1[[#This Row],[Not approved / Onhold]]-Tabela1[[#This Row],[Repair]],"")</f>
        <v>51</v>
      </c>
      <c r="H15" s="223" t="s">
        <v>340</v>
      </c>
      <c r="I15" s="223" t="s">
        <v>341</v>
      </c>
      <c r="J15" s="226" t="s">
        <v>85</v>
      </c>
      <c r="M15" s="223">
        <v>28</v>
      </c>
      <c r="N15" s="453">
        <v>46210</v>
      </c>
      <c r="O15" s="224">
        <v>1</v>
      </c>
      <c r="P15" s="230">
        <v>26</v>
      </c>
      <c r="Q15" s="230">
        <v>0</v>
      </c>
      <c r="R15" s="231">
        <v>3</v>
      </c>
      <c r="S15" s="225">
        <f>IF(Tabela3[[#This Row],[Coated]]&lt;&gt;"",Tabela3[[#This Row],[Coated]]-Tabela3[[#This Row],[Not approved / Onhold]]-Tabela3[[#This Row],[Repair]],"")</f>
        <v>23</v>
      </c>
      <c r="T15" s="230" t="s">
        <v>85</v>
      </c>
      <c r="U15" s="323"/>
      <c r="V15" s="322"/>
      <c r="W15" s="569"/>
      <c r="X15" s="569"/>
      <c r="Y15" s="567"/>
      <c r="Z15" s="567"/>
      <c r="AA15" s="567"/>
      <c r="AB15" s="567"/>
      <c r="AC15" s="567"/>
      <c r="AD15" s="567"/>
      <c r="AE15" s="567"/>
      <c r="AF15" s="569"/>
      <c r="AG15" s="569"/>
      <c r="AH15" s="322"/>
      <c r="AI15" s="322"/>
      <c r="AJ15" s="322"/>
      <c r="AK15" s="322"/>
      <c r="AL15" s="322"/>
      <c r="AM15" s="322"/>
      <c r="AN15" s="322"/>
      <c r="AO15" s="322"/>
    </row>
    <row r="16" spans="1:41" s="229" customFormat="1" ht="15" customHeight="1">
      <c r="A16" s="258">
        <v>28</v>
      </c>
      <c r="B16" s="453">
        <v>46210</v>
      </c>
      <c r="C16" s="450">
        <v>2</v>
      </c>
      <c r="D16" s="223">
        <v>63</v>
      </c>
      <c r="E16" s="223">
        <v>0</v>
      </c>
      <c r="F16" s="223">
        <v>0</v>
      </c>
      <c r="G16" s="225">
        <f>IF(Tabela1[[#This Row],[Repair]]&lt;&gt;"",Tabela1[[#This Row],[Coated]]-Tabela1[[#This Row],[Not approved / Onhold]]-Tabela1[[#This Row],[Repair]],"")</f>
        <v>63</v>
      </c>
      <c r="H16" s="223" t="s">
        <v>340</v>
      </c>
      <c r="I16" s="223" t="s">
        <v>341</v>
      </c>
      <c r="J16" s="226" t="s">
        <v>85</v>
      </c>
      <c r="M16" s="223">
        <v>28</v>
      </c>
      <c r="N16" s="453">
        <v>46210</v>
      </c>
      <c r="O16" s="224">
        <v>2</v>
      </c>
      <c r="P16" s="230">
        <v>50</v>
      </c>
      <c r="Q16" s="230">
        <v>0</v>
      </c>
      <c r="R16" s="231">
        <v>0</v>
      </c>
      <c r="S16" s="225">
        <f>IF(Tabela3[[#This Row],[Coated]]&lt;&gt;"",Tabela3[[#This Row],[Coated]]-Tabela3[[#This Row],[Not approved / Onhold]]-Tabela3[[#This Row],[Repair]],"")</f>
        <v>50</v>
      </c>
      <c r="T16" s="230" t="s">
        <v>85</v>
      </c>
      <c r="U16" s="323"/>
      <c r="V16" s="322"/>
      <c r="W16" s="569"/>
      <c r="X16" s="569"/>
      <c r="Y16" s="567"/>
      <c r="Z16" s="567"/>
      <c r="AA16" s="567"/>
      <c r="AB16" s="567"/>
      <c r="AC16" s="567"/>
      <c r="AD16" s="567"/>
      <c r="AE16" s="567"/>
      <c r="AF16" s="569"/>
      <c r="AG16" s="569"/>
      <c r="AH16" s="322"/>
      <c r="AI16" s="322"/>
      <c r="AJ16" s="322"/>
      <c r="AK16" s="322"/>
      <c r="AL16" s="322"/>
      <c r="AM16" s="322"/>
      <c r="AN16" s="322"/>
      <c r="AO16" s="322"/>
    </row>
    <row r="17" spans="1:41" s="229" customFormat="1" ht="15" customHeight="1">
      <c r="A17" s="258">
        <v>28</v>
      </c>
      <c r="B17" s="453">
        <v>46210</v>
      </c>
      <c r="C17" s="451">
        <v>3</v>
      </c>
      <c r="D17" s="223">
        <v>39</v>
      </c>
      <c r="E17" s="223">
        <v>2</v>
      </c>
      <c r="F17" s="223">
        <v>0</v>
      </c>
      <c r="G17" s="225">
        <f>IF(Tabela1[[#This Row],[Repair]]&lt;&gt;"",Tabela1[[#This Row],[Coated]]-Tabela1[[#This Row],[Not approved / Onhold]]-Tabela1[[#This Row],[Repair]],"")</f>
        <v>37</v>
      </c>
      <c r="H17" s="532" t="s">
        <v>128</v>
      </c>
      <c r="I17" s="223" t="s">
        <v>341</v>
      </c>
      <c r="J17" s="226" t="s">
        <v>85</v>
      </c>
      <c r="M17" s="223">
        <v>28</v>
      </c>
      <c r="N17" s="453">
        <v>46210</v>
      </c>
      <c r="O17" s="224">
        <v>3</v>
      </c>
      <c r="P17" s="230">
        <v>34</v>
      </c>
      <c r="Q17" s="230">
        <v>0</v>
      </c>
      <c r="R17" s="231">
        <v>0</v>
      </c>
      <c r="S17" s="225">
        <f>IF(Tabela3[[#This Row],[Coated]]&lt;&gt;"",Tabela3[[#This Row],[Coated]]-Tabela3[[#This Row],[Not approved / Onhold]]-Tabela3[[#This Row],[Repair]],"")</f>
        <v>34</v>
      </c>
      <c r="T17" s="230" t="s">
        <v>85</v>
      </c>
      <c r="U17" s="323"/>
      <c r="V17" s="322"/>
      <c r="W17" s="569"/>
      <c r="X17" s="569"/>
      <c r="Y17" s="567"/>
      <c r="Z17" s="567"/>
      <c r="AA17" s="567"/>
      <c r="AB17" s="567"/>
      <c r="AC17" s="567"/>
      <c r="AD17" s="567"/>
      <c r="AE17" s="567"/>
      <c r="AF17" s="569"/>
      <c r="AG17" s="569"/>
      <c r="AH17" s="322"/>
      <c r="AI17" s="322"/>
      <c r="AJ17" s="322"/>
      <c r="AK17" s="322"/>
      <c r="AL17" s="322"/>
      <c r="AM17" s="322"/>
      <c r="AN17" s="322"/>
      <c r="AO17" s="322"/>
    </row>
    <row r="18" spans="1:41" s="229" customFormat="1" ht="15" customHeight="1">
      <c r="A18" s="258">
        <v>28</v>
      </c>
      <c r="B18" s="453">
        <v>46211</v>
      </c>
      <c r="C18" s="450">
        <v>1</v>
      </c>
      <c r="D18" s="223">
        <v>45</v>
      </c>
      <c r="E18" s="223">
        <v>0</v>
      </c>
      <c r="F18" s="223">
        <v>1</v>
      </c>
      <c r="G18" s="225">
        <f>IF(Tabela1[[#This Row],[Repair]]&lt;&gt;"",Tabela1[[#This Row],[Coated]]-Tabela1[[#This Row],[Not approved / Onhold]]-Tabela1[[#This Row],[Repair]],"")</f>
        <v>44</v>
      </c>
      <c r="H18" s="223" t="s">
        <v>340</v>
      </c>
      <c r="I18" s="223" t="s">
        <v>341</v>
      </c>
      <c r="J18" s="226" t="s">
        <v>85</v>
      </c>
      <c r="M18" s="223">
        <v>28</v>
      </c>
      <c r="N18" s="453">
        <v>46211</v>
      </c>
      <c r="O18" s="427">
        <v>1</v>
      </c>
      <c r="P18" s="428">
        <v>45</v>
      </c>
      <c r="Q18" s="428">
        <v>3</v>
      </c>
      <c r="R18" s="429">
        <v>1</v>
      </c>
      <c r="S18" s="225">
        <f>IF(Tabela3[[#This Row],[Coated]]&lt;&gt;"",Tabela3[[#This Row],[Coated]]-Tabela3[[#This Row],[Not approved / Onhold]]-Tabela3[[#This Row],[Repair]],"")</f>
        <v>41</v>
      </c>
      <c r="T18" s="230" t="s">
        <v>85</v>
      </c>
      <c r="U18" s="323"/>
      <c r="V18" s="322"/>
      <c r="W18" s="569"/>
      <c r="X18" s="569"/>
      <c r="Y18" s="567"/>
      <c r="Z18" s="567"/>
      <c r="AA18" s="567"/>
      <c r="AB18" s="567"/>
      <c r="AC18" s="567"/>
      <c r="AD18" s="567"/>
      <c r="AE18" s="567"/>
      <c r="AF18" s="569"/>
      <c r="AG18" s="569"/>
      <c r="AH18" s="322"/>
      <c r="AI18" s="322"/>
      <c r="AJ18" s="322"/>
      <c r="AK18" s="322"/>
      <c r="AL18" s="322"/>
      <c r="AM18" s="322"/>
      <c r="AN18" s="322"/>
      <c r="AO18" s="322"/>
    </row>
    <row r="19" spans="1:41" s="229" customFormat="1" ht="15" customHeight="1">
      <c r="A19" s="258">
        <v>28</v>
      </c>
      <c r="B19" s="453">
        <v>46211</v>
      </c>
      <c r="C19" s="224">
        <v>2</v>
      </c>
      <c r="D19" s="223">
        <v>62</v>
      </c>
      <c r="E19" s="223">
        <v>0</v>
      </c>
      <c r="F19" s="223">
        <v>0</v>
      </c>
      <c r="G19" s="225">
        <f>IF(Tabela1[[#This Row],[Repair]]&lt;&gt;"",Tabela1[[#This Row],[Coated]]-Tabela1[[#This Row],[Not approved / Onhold]]-Tabela1[[#This Row],[Repair]],"")</f>
        <v>62</v>
      </c>
      <c r="H19" s="223" t="s">
        <v>340</v>
      </c>
      <c r="I19" s="223" t="s">
        <v>341</v>
      </c>
      <c r="J19" s="226" t="s">
        <v>85</v>
      </c>
      <c r="M19" s="258">
        <v>28</v>
      </c>
      <c r="N19" s="453">
        <v>46211</v>
      </c>
      <c r="O19" s="224">
        <v>2</v>
      </c>
      <c r="P19" s="428">
        <v>49</v>
      </c>
      <c r="Q19" s="428">
        <v>0</v>
      </c>
      <c r="R19" s="429">
        <v>0</v>
      </c>
      <c r="S19" s="225">
        <f>IF(Tabela3[[#This Row],[Coated]]&lt;&gt;"",Tabela3[[#This Row],[Coated]]-Tabela3[[#This Row],[Not approved / Onhold]]-Tabela3[[#This Row],[Repair]],"")</f>
        <v>49</v>
      </c>
      <c r="T19" s="230" t="s">
        <v>85</v>
      </c>
      <c r="U19" s="323"/>
      <c r="V19" s="322"/>
      <c r="W19" s="569"/>
      <c r="X19" s="569"/>
      <c r="Y19" s="567"/>
      <c r="Z19" s="567"/>
      <c r="AA19" s="567"/>
      <c r="AB19" s="567"/>
      <c r="AC19" s="567"/>
      <c r="AD19" s="567"/>
      <c r="AE19" s="567"/>
      <c r="AF19" s="569"/>
      <c r="AG19" s="569"/>
      <c r="AH19" s="322"/>
      <c r="AI19" s="322"/>
      <c r="AJ19" s="322"/>
      <c r="AK19" s="322"/>
      <c r="AL19" s="322"/>
      <c r="AM19" s="322"/>
      <c r="AN19" s="322"/>
      <c r="AO19" s="322"/>
    </row>
    <row r="20" spans="1:41" s="229" customFormat="1" ht="15" customHeight="1">
      <c r="A20" s="258">
        <v>28</v>
      </c>
      <c r="B20" s="453">
        <v>46211</v>
      </c>
      <c r="C20" s="451">
        <v>3</v>
      </c>
      <c r="D20" s="223">
        <v>39</v>
      </c>
      <c r="E20" s="223">
        <v>3</v>
      </c>
      <c r="F20" s="223">
        <v>0</v>
      </c>
      <c r="G20" s="225">
        <f>IF(Tabela1[[#This Row],[Repair]]&lt;&gt;"",Tabela1[[#This Row],[Coated]]-Tabela1[[#This Row],[Not approved / Onhold]]-Tabela1[[#This Row],[Repair]],"")</f>
        <v>36</v>
      </c>
      <c r="H20" s="378" t="s">
        <v>135</v>
      </c>
      <c r="I20" s="223" t="s">
        <v>341</v>
      </c>
      <c r="J20" s="226" t="s">
        <v>85</v>
      </c>
      <c r="M20" s="223">
        <v>28</v>
      </c>
      <c r="N20" s="453">
        <v>46211</v>
      </c>
      <c r="O20" s="427">
        <v>3</v>
      </c>
      <c r="P20" s="428">
        <v>39</v>
      </c>
      <c r="Q20" s="428">
        <v>0</v>
      </c>
      <c r="R20" s="429">
        <v>0</v>
      </c>
      <c r="S20" s="225">
        <f>IF(Tabela3[[#This Row],[Coated]]&lt;&gt;"",Tabela3[[#This Row],[Coated]]-Tabela3[[#This Row],[Not approved / Onhold]]-Tabela3[[#This Row],[Repair]],"")</f>
        <v>39</v>
      </c>
      <c r="T20" s="230" t="s">
        <v>85</v>
      </c>
      <c r="U20" s="323"/>
      <c r="V20" s="322"/>
      <c r="W20" s="569"/>
      <c r="X20" s="569"/>
      <c r="Y20" s="567"/>
      <c r="Z20" s="567"/>
      <c r="AA20" s="567"/>
      <c r="AB20" s="567"/>
      <c r="AC20" s="567"/>
      <c r="AD20" s="567"/>
      <c r="AE20" s="567"/>
      <c r="AF20" s="569"/>
      <c r="AG20" s="569"/>
      <c r="AH20" s="322"/>
      <c r="AI20" s="322"/>
      <c r="AJ20" s="322"/>
      <c r="AK20" s="322"/>
      <c r="AL20" s="322"/>
      <c r="AM20" s="322"/>
      <c r="AN20" s="322"/>
      <c r="AO20" s="322"/>
    </row>
    <row r="21" spans="1:41" s="229" customFormat="1" ht="15" customHeight="1">
      <c r="A21" s="258">
        <v>28</v>
      </c>
      <c r="B21" s="453">
        <v>46212</v>
      </c>
      <c r="C21" s="224">
        <v>1</v>
      </c>
      <c r="D21" s="223">
        <v>53</v>
      </c>
      <c r="E21" s="223">
        <v>0</v>
      </c>
      <c r="F21" s="223">
        <v>0</v>
      </c>
      <c r="G21" s="225">
        <f>IF(Tabela1[[#This Row],[Repair]]&lt;&gt;"",Tabela1[[#This Row],[Coated]]-Tabela1[[#This Row],[Not approved / Onhold]]-Tabela1[[#This Row],[Repair]],"")</f>
        <v>53</v>
      </c>
      <c r="H21" s="223" t="s">
        <v>340</v>
      </c>
      <c r="I21" s="223" t="s">
        <v>341</v>
      </c>
      <c r="J21" s="226" t="s">
        <v>85</v>
      </c>
      <c r="M21" s="426">
        <v>28</v>
      </c>
      <c r="N21" s="453">
        <v>46212</v>
      </c>
      <c r="O21" s="427">
        <v>1</v>
      </c>
      <c r="P21" s="428">
        <v>39</v>
      </c>
      <c r="Q21" s="428">
        <v>2</v>
      </c>
      <c r="R21" s="429">
        <v>0</v>
      </c>
      <c r="S21" s="225">
        <f>IF(Tabela3[[#This Row],[Coated]]&lt;&gt;"",Tabela3[[#This Row],[Coated]]-Tabela3[[#This Row],[Not approved / Onhold]]-Tabela3[[#This Row],[Repair]],"")</f>
        <v>37</v>
      </c>
      <c r="T21" s="230" t="s">
        <v>85</v>
      </c>
      <c r="U21" s="323"/>
      <c r="V21" s="322"/>
      <c r="W21" s="569"/>
      <c r="X21" s="569"/>
      <c r="Y21" s="567"/>
      <c r="Z21" s="567"/>
      <c r="AA21" s="567"/>
      <c r="AB21" s="567"/>
      <c r="AC21" s="567"/>
      <c r="AD21" s="567"/>
      <c r="AE21" s="567"/>
      <c r="AF21" s="569"/>
      <c r="AG21" s="569"/>
      <c r="AH21" s="322"/>
      <c r="AI21" s="322"/>
      <c r="AJ21" s="322"/>
      <c r="AK21" s="322"/>
      <c r="AL21" s="322"/>
      <c r="AM21" s="322"/>
      <c r="AN21" s="322"/>
      <c r="AO21" s="322"/>
    </row>
    <row r="22" spans="1:41" s="229" customFormat="1" ht="15" customHeight="1">
      <c r="A22" s="258">
        <v>28</v>
      </c>
      <c r="B22" s="453">
        <v>46212</v>
      </c>
      <c r="C22" s="224">
        <v>2</v>
      </c>
      <c r="D22" s="223">
        <v>42</v>
      </c>
      <c r="E22" s="223">
        <v>1</v>
      </c>
      <c r="F22" s="223">
        <v>0</v>
      </c>
      <c r="G22" s="225">
        <f>IF(Tabela1[[#This Row],[Repair]]&lt;&gt;"",Tabela1[[#This Row],[Coated]]-Tabela1[[#This Row],[Not approved / Onhold]]-Tabela1[[#This Row],[Repair]],"")</f>
        <v>41</v>
      </c>
      <c r="H22" s="223" t="s">
        <v>340</v>
      </c>
      <c r="I22" s="223" t="s">
        <v>341</v>
      </c>
      <c r="J22" s="226" t="s">
        <v>85</v>
      </c>
      <c r="M22" s="258">
        <v>28</v>
      </c>
      <c r="N22" s="453">
        <v>46212</v>
      </c>
      <c r="O22" s="224">
        <v>2</v>
      </c>
      <c r="P22" s="428">
        <v>55</v>
      </c>
      <c r="Q22" s="428">
        <v>0</v>
      </c>
      <c r="R22" s="429">
        <v>0</v>
      </c>
      <c r="S22" s="225">
        <f>IF(Tabela3[[#This Row],[Coated]]&lt;&gt;"",Tabela3[[#This Row],[Coated]]-Tabela3[[#This Row],[Not approved / Onhold]]-Tabela3[[#This Row],[Repair]],"")</f>
        <v>55</v>
      </c>
      <c r="T22" s="230" t="s">
        <v>85</v>
      </c>
      <c r="U22" s="323"/>
      <c r="V22" s="322"/>
      <c r="W22" s="569"/>
      <c r="X22" s="569"/>
      <c r="Y22" s="567"/>
      <c r="Z22" s="567"/>
      <c r="AA22" s="567"/>
      <c r="AB22" s="567"/>
      <c r="AC22" s="567"/>
      <c r="AD22" s="567"/>
      <c r="AE22" s="567"/>
      <c r="AF22" s="569"/>
      <c r="AG22" s="569"/>
      <c r="AH22" s="322"/>
      <c r="AI22" s="322"/>
      <c r="AJ22" s="322"/>
      <c r="AK22" s="322"/>
      <c r="AL22" s="322"/>
      <c r="AM22" s="322"/>
      <c r="AN22" s="322"/>
      <c r="AO22" s="322"/>
    </row>
    <row r="23" spans="1:41" s="229" customFormat="1" ht="15" customHeight="1">
      <c r="A23" s="258">
        <v>28</v>
      </c>
      <c r="B23" s="453">
        <v>46212</v>
      </c>
      <c r="C23" s="533">
        <v>3</v>
      </c>
      <c r="D23" s="223">
        <v>48</v>
      </c>
      <c r="E23" s="223">
        <v>0</v>
      </c>
      <c r="F23" s="223">
        <v>0</v>
      </c>
      <c r="G23" s="225">
        <f>IF(Tabela1[[#This Row],[Repair]]&lt;&gt;"",Tabela1[[#This Row],[Coated]]-Tabela1[[#This Row],[Not approved / Onhold]]-Tabela1[[#This Row],[Repair]],"")</f>
        <v>48</v>
      </c>
      <c r="H23" s="378" t="s">
        <v>110</v>
      </c>
      <c r="I23" s="223" t="s">
        <v>341</v>
      </c>
      <c r="J23" s="226" t="s">
        <v>85</v>
      </c>
      <c r="M23" s="426">
        <v>28</v>
      </c>
      <c r="N23" s="453">
        <v>46212</v>
      </c>
      <c r="O23" s="427">
        <v>3</v>
      </c>
      <c r="P23" s="428">
        <v>31</v>
      </c>
      <c r="Q23" s="428">
        <v>5</v>
      </c>
      <c r="R23" s="429">
        <v>0</v>
      </c>
      <c r="S23" s="225">
        <f>IF(Tabela3[[#This Row],[Coated]]&lt;&gt;"",Tabela3[[#This Row],[Coated]]-Tabela3[[#This Row],[Not approved / Onhold]]-Tabela3[[#This Row],[Repair]],"")</f>
        <v>26</v>
      </c>
      <c r="T23" s="230" t="s">
        <v>85</v>
      </c>
      <c r="U23" s="323"/>
      <c r="V23" s="322"/>
      <c r="W23" s="569"/>
      <c r="X23" s="569"/>
      <c r="Y23" s="567"/>
      <c r="Z23" s="567"/>
      <c r="AA23" s="567"/>
      <c r="AB23" s="567"/>
      <c r="AC23" s="567"/>
      <c r="AD23" s="567"/>
      <c r="AE23" s="567"/>
      <c r="AF23" s="569"/>
      <c r="AG23" s="569"/>
      <c r="AH23" s="322"/>
      <c r="AI23" s="322"/>
      <c r="AJ23" s="322"/>
      <c r="AK23" s="322"/>
      <c r="AL23" s="322"/>
      <c r="AM23" s="322"/>
      <c r="AN23" s="322"/>
      <c r="AO23" s="322"/>
    </row>
    <row r="24" spans="1:41" s="229" customFormat="1" ht="15" customHeight="1">
      <c r="A24" s="223">
        <v>29</v>
      </c>
      <c r="B24" s="453">
        <v>46216</v>
      </c>
      <c r="C24" s="224">
        <v>1</v>
      </c>
      <c r="D24" s="223">
        <v>14</v>
      </c>
      <c r="E24" s="223">
        <v>1</v>
      </c>
      <c r="F24" s="223">
        <v>0</v>
      </c>
      <c r="G24" s="225">
        <f>IF(Tabela1[[#This Row],[Repair]]&lt;&gt;"",Tabela1[[#This Row],[Coated]]-Tabela1[[#This Row],[Not approved / Onhold]]-Tabela1[[#This Row],[Repair]],"")</f>
        <v>13</v>
      </c>
      <c r="H24" s="223" t="s">
        <v>340</v>
      </c>
      <c r="I24" s="223" t="s">
        <v>341</v>
      </c>
      <c r="J24" s="226" t="s">
        <v>85</v>
      </c>
      <c r="M24" s="258">
        <v>28</v>
      </c>
      <c r="N24" s="453">
        <v>46213</v>
      </c>
      <c r="O24" s="427">
        <v>1</v>
      </c>
      <c r="P24" s="428">
        <v>40</v>
      </c>
      <c r="Q24" s="428">
        <v>0</v>
      </c>
      <c r="R24" s="429">
        <v>0</v>
      </c>
      <c r="S24" s="225">
        <f>IF(Tabela3[[#This Row],[Coated]]&lt;&gt;"",Tabela3[[#This Row],[Coated]]-Tabela3[[#This Row],[Not approved / Onhold]]-Tabela3[[#This Row],[Repair]],"")</f>
        <v>40</v>
      </c>
      <c r="T24" s="230" t="s">
        <v>85</v>
      </c>
      <c r="U24" s="323"/>
      <c r="V24" s="322"/>
      <c r="W24" s="569"/>
      <c r="X24" s="569"/>
      <c r="Y24" s="567"/>
      <c r="Z24" s="567"/>
      <c r="AA24" s="567"/>
      <c r="AB24" s="567"/>
      <c r="AC24" s="567"/>
      <c r="AD24" s="567"/>
      <c r="AE24" s="567"/>
      <c r="AF24" s="569"/>
      <c r="AG24" s="569"/>
      <c r="AH24" s="322"/>
      <c r="AI24" s="322"/>
      <c r="AJ24" s="322"/>
      <c r="AK24" s="322"/>
      <c r="AL24" s="322"/>
      <c r="AM24" s="322"/>
      <c r="AN24" s="322"/>
      <c r="AO24" s="322"/>
    </row>
    <row r="25" spans="1:41" s="229" customFormat="1" ht="15" customHeight="1">
      <c r="A25" s="223">
        <v>29</v>
      </c>
      <c r="B25" s="453">
        <v>46216</v>
      </c>
      <c r="C25" s="533">
        <v>2</v>
      </c>
      <c r="D25" s="223">
        <v>41</v>
      </c>
      <c r="E25" s="223">
        <v>0</v>
      </c>
      <c r="F25" s="223">
        <v>0</v>
      </c>
      <c r="G25" s="225">
        <f>IF(Tabela1[[#This Row],[Repair]]&lt;&gt;"",Tabela1[[#This Row],[Coated]]-Tabela1[[#This Row],[Not approved / Onhold]]-Tabela1[[#This Row],[Repair]],"")</f>
        <v>41</v>
      </c>
      <c r="H25" s="378" t="s">
        <v>135</v>
      </c>
      <c r="I25" s="223" t="s">
        <v>341</v>
      </c>
      <c r="J25" s="226" t="s">
        <v>85</v>
      </c>
      <c r="M25" s="258">
        <v>28</v>
      </c>
      <c r="N25" s="453">
        <v>46213</v>
      </c>
      <c r="O25" s="427">
        <v>2</v>
      </c>
      <c r="P25" s="428">
        <v>36</v>
      </c>
      <c r="Q25" s="428">
        <v>0</v>
      </c>
      <c r="R25" s="429">
        <v>0</v>
      </c>
      <c r="S25" s="225">
        <f>IF(Tabela3[[#This Row],[Coated]]&lt;&gt;"",Tabela3[[#This Row],[Coated]]-Tabela3[[#This Row],[Not approved / Onhold]]-Tabela3[[#This Row],[Repair]],"")</f>
        <v>36</v>
      </c>
      <c r="T25" s="230" t="s">
        <v>85</v>
      </c>
      <c r="U25" s="323"/>
      <c r="V25" s="322"/>
      <c r="W25" s="569"/>
      <c r="X25" s="569"/>
      <c r="Y25" s="567"/>
      <c r="Z25" s="567"/>
      <c r="AA25" s="567"/>
      <c r="AB25" s="567"/>
      <c r="AC25" s="567"/>
      <c r="AD25" s="567"/>
      <c r="AE25" s="567"/>
      <c r="AF25" s="569"/>
      <c r="AG25" s="569"/>
      <c r="AH25" s="322"/>
      <c r="AI25" s="322"/>
      <c r="AJ25" s="322"/>
      <c r="AK25" s="322"/>
      <c r="AL25" s="322"/>
      <c r="AM25" s="322"/>
      <c r="AN25" s="322"/>
      <c r="AO25" s="322"/>
    </row>
    <row r="26" spans="1:41" s="229" customFormat="1" ht="15" customHeight="1">
      <c r="A26" s="223">
        <v>29</v>
      </c>
      <c r="B26" s="453">
        <v>46216</v>
      </c>
      <c r="C26" s="533">
        <v>3</v>
      </c>
      <c r="D26" s="223">
        <v>55</v>
      </c>
      <c r="E26" s="223">
        <v>1</v>
      </c>
      <c r="F26" s="223">
        <v>0</v>
      </c>
      <c r="G26" s="225">
        <f>IF(Tabela1[[#This Row],[Repair]]&lt;&gt;"",Tabela1[[#This Row],[Coated]]-Tabela1[[#This Row],[Not approved / Onhold]]-Tabela1[[#This Row],[Repair]],"")</f>
        <v>54</v>
      </c>
      <c r="H26" s="378" t="s">
        <v>150</v>
      </c>
      <c r="I26" s="223" t="s">
        <v>341</v>
      </c>
      <c r="J26" s="226" t="s">
        <v>85</v>
      </c>
      <c r="M26" s="258">
        <v>28</v>
      </c>
      <c r="N26" s="453">
        <v>46213</v>
      </c>
      <c r="O26" s="427">
        <v>3</v>
      </c>
      <c r="P26" s="428">
        <v>18</v>
      </c>
      <c r="Q26" s="428">
        <v>0</v>
      </c>
      <c r="R26" s="429">
        <v>0</v>
      </c>
      <c r="S26" s="225">
        <f>IF(Tabela3[[#This Row],[Coated]]&lt;&gt;"",Tabela3[[#This Row],[Coated]]-Tabela3[[#This Row],[Not approved / Onhold]]-Tabela3[[#This Row],[Repair]],"")</f>
        <v>18</v>
      </c>
      <c r="T26" s="230" t="s">
        <v>85</v>
      </c>
      <c r="U26" s="323"/>
      <c r="V26" s="322"/>
      <c r="W26" s="569"/>
      <c r="X26" s="569"/>
      <c r="Y26" s="567"/>
      <c r="Z26" s="567"/>
      <c r="AA26" s="567"/>
      <c r="AB26" s="567"/>
      <c r="AC26" s="567"/>
      <c r="AD26" s="567"/>
      <c r="AE26" s="567"/>
      <c r="AF26" s="569"/>
      <c r="AG26" s="569"/>
      <c r="AH26" s="322"/>
      <c r="AI26" s="322"/>
      <c r="AJ26" s="322"/>
      <c r="AK26" s="322"/>
      <c r="AL26" s="322"/>
      <c r="AM26" s="322"/>
      <c r="AN26" s="322"/>
      <c r="AO26" s="322"/>
    </row>
    <row r="27" spans="1:41" s="229" customFormat="1" ht="15" customHeight="1">
      <c r="A27" s="223">
        <v>29</v>
      </c>
      <c r="B27" s="453">
        <v>46217</v>
      </c>
      <c r="C27" s="224">
        <v>1</v>
      </c>
      <c r="D27" s="223">
        <v>36</v>
      </c>
      <c r="E27" s="223">
        <v>2</v>
      </c>
      <c r="F27" s="223">
        <v>0</v>
      </c>
      <c r="G27" s="225">
        <f>IF(Tabela1[[#This Row],[Repair]]&lt;&gt;"",Tabela1[[#This Row],[Coated]]-Tabela1[[#This Row],[Not approved / Onhold]]-Tabela1[[#This Row],[Repair]],"")</f>
        <v>34</v>
      </c>
      <c r="H27" s="223" t="s">
        <v>340</v>
      </c>
      <c r="I27" s="223" t="s">
        <v>341</v>
      </c>
      <c r="J27" s="226" t="s">
        <v>85</v>
      </c>
      <c r="M27" s="426">
        <v>29</v>
      </c>
      <c r="N27" s="453">
        <v>46216</v>
      </c>
      <c r="O27" s="427">
        <v>1</v>
      </c>
      <c r="P27" s="428">
        <v>4</v>
      </c>
      <c r="Q27" s="428">
        <v>0</v>
      </c>
      <c r="R27" s="429">
        <v>0</v>
      </c>
      <c r="S27" s="225">
        <f>IF(Tabela3[[#This Row],[Coated]]&lt;&gt;"",Tabela3[[#This Row],[Coated]]-Tabela3[[#This Row],[Not approved / Onhold]]-Tabela3[[#This Row],[Repair]],"")</f>
        <v>4</v>
      </c>
      <c r="T27" s="230" t="s">
        <v>85</v>
      </c>
      <c r="U27" s="323"/>
      <c r="V27" s="322"/>
      <c r="W27" s="569"/>
      <c r="X27" s="569"/>
      <c r="Y27" s="567"/>
      <c r="Z27" s="567"/>
      <c r="AA27" s="567"/>
      <c r="AB27" s="567"/>
      <c r="AC27" s="567"/>
      <c r="AD27" s="567"/>
      <c r="AE27" s="567"/>
      <c r="AF27" s="569"/>
      <c r="AG27" s="569"/>
      <c r="AH27" s="322"/>
      <c r="AI27" s="322"/>
      <c r="AJ27" s="322"/>
      <c r="AK27" s="322"/>
      <c r="AL27" s="322"/>
      <c r="AM27" s="322"/>
      <c r="AN27" s="322"/>
      <c r="AO27" s="322"/>
    </row>
    <row r="28" spans="1:41" s="229" customFormat="1" ht="15" customHeight="1">
      <c r="A28" s="223">
        <v>29</v>
      </c>
      <c r="B28" s="453">
        <v>46217</v>
      </c>
      <c r="C28" s="224">
        <v>2</v>
      </c>
      <c r="D28" s="223">
        <v>49</v>
      </c>
      <c r="E28" s="223">
        <v>2</v>
      </c>
      <c r="F28" s="223">
        <v>0</v>
      </c>
      <c r="G28" s="225">
        <f>IF(Tabela1[[#This Row],[Repair]]&lt;&gt;"",Tabela1[[#This Row],[Coated]]-Tabela1[[#This Row],[Not approved / Onhold]]-Tabela1[[#This Row],[Repair]],"")</f>
        <v>47</v>
      </c>
      <c r="H28" s="223" t="s">
        <v>340</v>
      </c>
      <c r="I28" s="223" t="s">
        <v>341</v>
      </c>
      <c r="J28" s="226" t="s">
        <v>85</v>
      </c>
      <c r="M28" s="223">
        <v>29</v>
      </c>
      <c r="N28" s="453">
        <v>46216</v>
      </c>
      <c r="O28" s="224">
        <v>2</v>
      </c>
      <c r="P28" s="428">
        <v>30</v>
      </c>
      <c r="Q28" s="428">
        <v>0</v>
      </c>
      <c r="R28" s="429">
        <v>0</v>
      </c>
      <c r="S28" s="225">
        <f>IF(Tabela3[[#This Row],[Coated]]&lt;&gt;"",Tabela3[[#This Row],[Coated]]-Tabela3[[#This Row],[Not approved / Onhold]]-Tabela3[[#This Row],[Repair]],"")</f>
        <v>30</v>
      </c>
      <c r="T28" s="230" t="s">
        <v>85</v>
      </c>
      <c r="U28" s="323"/>
      <c r="V28" s="322"/>
      <c r="W28" s="569"/>
      <c r="X28" s="569"/>
      <c r="Y28" s="567"/>
      <c r="Z28" s="567"/>
      <c r="AA28" s="567"/>
      <c r="AB28" s="567"/>
      <c r="AC28" s="567"/>
      <c r="AD28" s="567"/>
      <c r="AE28" s="567"/>
      <c r="AF28" s="569"/>
      <c r="AG28" s="569"/>
      <c r="AH28" s="322"/>
      <c r="AI28" s="322"/>
      <c r="AJ28" s="322"/>
      <c r="AK28" s="322"/>
      <c r="AL28" s="322"/>
      <c r="AM28" s="322"/>
      <c r="AN28" s="322"/>
      <c r="AO28" s="322"/>
    </row>
    <row r="29" spans="1:41" s="229" customFormat="1" ht="15" customHeight="1">
      <c r="A29" s="223">
        <v>29</v>
      </c>
      <c r="B29" s="453">
        <v>46217</v>
      </c>
      <c r="C29" s="533">
        <v>3</v>
      </c>
      <c r="D29" s="223">
        <v>52</v>
      </c>
      <c r="E29" s="223">
        <v>0</v>
      </c>
      <c r="F29" s="223">
        <v>0</v>
      </c>
      <c r="G29" s="225">
        <f>IF(Tabela1[[#This Row],[Repair]]&lt;&gt;"",Tabela1[[#This Row],[Coated]]-Tabela1[[#This Row],[Not approved / Onhold]]-Tabela1[[#This Row],[Repair]],"")</f>
        <v>52</v>
      </c>
      <c r="H29" s="532" t="s">
        <v>159</v>
      </c>
      <c r="I29" s="223" t="s">
        <v>341</v>
      </c>
      <c r="J29" s="226" t="s">
        <v>85</v>
      </c>
      <c r="M29" s="426">
        <v>29</v>
      </c>
      <c r="N29" s="453">
        <v>46216</v>
      </c>
      <c r="O29" s="427">
        <v>3</v>
      </c>
      <c r="P29" s="428">
        <v>45</v>
      </c>
      <c r="Q29" s="428">
        <v>3</v>
      </c>
      <c r="R29" s="429">
        <v>0</v>
      </c>
      <c r="S29" s="225">
        <f>IF(Tabela3[[#This Row],[Coated]]&lt;&gt;"",Tabela3[[#This Row],[Coated]]-Tabela3[[#This Row],[Not approved / Onhold]]-Tabela3[[#This Row],[Repair]],"")</f>
        <v>42</v>
      </c>
      <c r="T29" s="230" t="s">
        <v>85</v>
      </c>
      <c r="U29" s="323"/>
      <c r="V29" s="322"/>
      <c r="W29" s="569"/>
      <c r="X29" s="569"/>
      <c r="Y29" s="567"/>
      <c r="Z29" s="567"/>
      <c r="AA29" s="567"/>
      <c r="AB29" s="567"/>
      <c r="AC29" s="567"/>
      <c r="AD29" s="567"/>
      <c r="AE29" s="567"/>
      <c r="AF29" s="569"/>
      <c r="AG29" s="569"/>
      <c r="AH29" s="322"/>
      <c r="AI29" s="322"/>
      <c r="AJ29" s="322"/>
      <c r="AK29" s="322"/>
      <c r="AL29" s="322"/>
      <c r="AM29" s="322"/>
      <c r="AN29" s="322"/>
      <c r="AO29" s="322"/>
    </row>
    <row r="30" spans="1:41" s="229" customFormat="1" ht="15" customHeight="1">
      <c r="A30" s="223">
        <v>29</v>
      </c>
      <c r="B30" s="453">
        <v>46218</v>
      </c>
      <c r="C30" s="224">
        <v>1</v>
      </c>
      <c r="D30" s="223">
        <v>17</v>
      </c>
      <c r="E30" s="223">
        <v>0</v>
      </c>
      <c r="F30" s="223">
        <v>0</v>
      </c>
      <c r="G30" s="225">
        <f>IF(Tabela1[[#This Row],[Repair]]&lt;&gt;"",Tabela1[[#This Row],[Coated]]-Tabela1[[#This Row],[Not approved / Onhold]]-Tabela1[[#This Row],[Repair]],"")</f>
        <v>17</v>
      </c>
      <c r="H30" s="223" t="s">
        <v>340</v>
      </c>
      <c r="I30" s="223" t="s">
        <v>341</v>
      </c>
      <c r="J30" s="226" t="s">
        <v>85</v>
      </c>
      <c r="M30" s="426">
        <v>29</v>
      </c>
      <c r="N30" s="453">
        <v>46217</v>
      </c>
      <c r="O30" s="427">
        <v>1</v>
      </c>
      <c r="P30" s="428">
        <v>30</v>
      </c>
      <c r="Q30" s="428">
        <v>3</v>
      </c>
      <c r="R30" s="429">
        <v>1</v>
      </c>
      <c r="S30" s="225">
        <f>IF(Tabela3[[#This Row],[Coated]]&lt;&gt;"",Tabela3[[#This Row],[Coated]]-Tabela3[[#This Row],[Not approved / Onhold]]-Tabela3[[#This Row],[Repair]],"")</f>
        <v>26</v>
      </c>
      <c r="T30" s="230" t="s">
        <v>85</v>
      </c>
      <c r="U30" s="323"/>
      <c r="V30" s="322"/>
      <c r="W30" s="569"/>
      <c r="X30" s="569"/>
      <c r="Y30" s="567"/>
      <c r="Z30" s="567"/>
      <c r="AA30" s="567"/>
      <c r="AB30" s="567"/>
      <c r="AC30" s="567"/>
      <c r="AD30" s="567"/>
      <c r="AE30" s="567"/>
      <c r="AF30" s="569"/>
      <c r="AG30" s="569"/>
      <c r="AH30" s="322"/>
      <c r="AI30" s="322"/>
      <c r="AJ30" s="322"/>
      <c r="AK30" s="322"/>
      <c r="AL30" s="322"/>
      <c r="AM30" s="322"/>
      <c r="AN30" s="322"/>
      <c r="AO30" s="322"/>
    </row>
    <row r="31" spans="1:41" s="229" customFormat="1" ht="15" customHeight="1">
      <c r="A31" s="223">
        <v>29</v>
      </c>
      <c r="B31" s="453">
        <v>46218</v>
      </c>
      <c r="C31" s="224">
        <v>2</v>
      </c>
      <c r="D31" s="223">
        <v>48</v>
      </c>
      <c r="E31" s="223">
        <v>0</v>
      </c>
      <c r="F31" s="223">
        <v>0</v>
      </c>
      <c r="G31" s="225">
        <f>IF(Tabela1[[#This Row],[Repair]]&lt;&gt;"",Tabela1[[#This Row],[Coated]]-Tabela1[[#This Row],[Not approved / Onhold]]-Tabela1[[#This Row],[Repair]],"")</f>
        <v>48</v>
      </c>
      <c r="H31" s="223" t="s">
        <v>340</v>
      </c>
      <c r="I31" s="223" t="s">
        <v>341</v>
      </c>
      <c r="J31" s="226" t="s">
        <v>85</v>
      </c>
      <c r="M31" s="223">
        <v>29</v>
      </c>
      <c r="N31" s="453">
        <v>46217</v>
      </c>
      <c r="O31" s="224">
        <v>2</v>
      </c>
      <c r="P31" s="428">
        <v>35</v>
      </c>
      <c r="Q31" s="428">
        <v>1</v>
      </c>
      <c r="R31" s="429">
        <v>0</v>
      </c>
      <c r="S31" s="225">
        <f>IF(Tabela3[[#This Row],[Coated]]&lt;&gt;"",Tabela3[[#This Row],[Coated]]-Tabela3[[#This Row],[Not approved / Onhold]]-Tabela3[[#This Row],[Repair]],"")</f>
        <v>34</v>
      </c>
      <c r="T31" s="230" t="s">
        <v>85</v>
      </c>
      <c r="U31" s="323"/>
      <c r="V31" s="322"/>
      <c r="W31" s="569"/>
      <c r="X31" s="569"/>
      <c r="Y31" s="567"/>
      <c r="Z31" s="567"/>
      <c r="AA31" s="567"/>
      <c r="AB31" s="567"/>
      <c r="AC31" s="567"/>
      <c r="AD31" s="567"/>
      <c r="AE31" s="567"/>
      <c r="AF31" s="569"/>
      <c r="AG31" s="569"/>
      <c r="AH31" s="322"/>
      <c r="AI31" s="322"/>
      <c r="AJ31" s="322"/>
      <c r="AK31" s="322"/>
      <c r="AL31" s="322"/>
      <c r="AM31" s="322"/>
      <c r="AN31" s="322"/>
      <c r="AO31" s="322"/>
    </row>
    <row r="32" spans="1:41" s="229" customFormat="1" ht="15" customHeight="1">
      <c r="A32" s="223">
        <v>29</v>
      </c>
      <c r="B32" s="453">
        <v>46218</v>
      </c>
      <c r="C32" s="533">
        <v>3</v>
      </c>
      <c r="D32" s="223">
        <v>49</v>
      </c>
      <c r="E32" s="223">
        <v>2</v>
      </c>
      <c r="F32" s="223">
        <v>0</v>
      </c>
      <c r="G32" s="225">
        <f>IF(Tabela1[[#This Row],[Repair]]&lt;&gt;"",Tabela1[[#This Row],[Coated]]-Tabela1[[#This Row],[Not approved / Onhold]]-Tabela1[[#This Row],[Repair]],"")</f>
        <v>47</v>
      </c>
      <c r="H32" s="378" t="s">
        <v>167</v>
      </c>
      <c r="I32" s="223" t="s">
        <v>341</v>
      </c>
      <c r="J32" s="226" t="s">
        <v>85</v>
      </c>
      <c r="M32" s="426">
        <v>29</v>
      </c>
      <c r="N32" s="453">
        <v>46217</v>
      </c>
      <c r="O32" s="427">
        <v>3</v>
      </c>
      <c r="P32" s="428">
        <v>48</v>
      </c>
      <c r="Q32" s="428">
        <v>0</v>
      </c>
      <c r="R32" s="429">
        <v>0</v>
      </c>
      <c r="S32" s="225">
        <f>IF(Tabela3[[#This Row],[Coated]]&lt;&gt;"",Tabela3[[#This Row],[Coated]]-Tabela3[[#This Row],[Not approved / Onhold]]-Tabela3[[#This Row],[Repair]],"")</f>
        <v>48</v>
      </c>
      <c r="T32" s="230" t="s">
        <v>85</v>
      </c>
      <c r="U32" s="323"/>
      <c r="V32" s="322"/>
      <c r="W32" s="569"/>
      <c r="X32" s="569"/>
      <c r="Y32" s="567"/>
      <c r="Z32" s="567"/>
      <c r="AA32" s="567"/>
      <c r="AB32" s="567"/>
      <c r="AC32" s="567"/>
      <c r="AD32" s="567"/>
      <c r="AE32" s="567"/>
      <c r="AF32" s="569"/>
      <c r="AG32" s="569"/>
      <c r="AH32" s="322"/>
      <c r="AI32" s="322"/>
      <c r="AJ32" s="322"/>
      <c r="AK32" s="322"/>
      <c r="AL32" s="322"/>
      <c r="AM32" s="322"/>
      <c r="AN32" s="322"/>
      <c r="AO32" s="322"/>
    </row>
    <row r="33" spans="1:41" s="229" customFormat="1" ht="15" customHeight="1">
      <c r="A33" s="223">
        <v>29</v>
      </c>
      <c r="B33" s="453">
        <v>46219</v>
      </c>
      <c r="C33" s="224">
        <v>1</v>
      </c>
      <c r="D33" s="223">
        <v>51</v>
      </c>
      <c r="E33" s="223">
        <v>0</v>
      </c>
      <c r="F33" s="223">
        <v>0</v>
      </c>
      <c r="G33" s="225">
        <f>IF(Tabela1[[#This Row],[Repair]]&lt;&gt;"",Tabela1[[#This Row],[Coated]]-Tabela1[[#This Row],[Not approved / Onhold]]-Tabela1[[#This Row],[Repair]],"")</f>
        <v>51</v>
      </c>
      <c r="H33" s="223" t="s">
        <v>340</v>
      </c>
      <c r="I33" s="223" t="s">
        <v>341</v>
      </c>
      <c r="J33" s="226" t="s">
        <v>85</v>
      </c>
      <c r="M33" s="223">
        <v>29</v>
      </c>
      <c r="N33" s="453">
        <v>46218</v>
      </c>
      <c r="O33" s="427">
        <v>1</v>
      </c>
      <c r="P33" s="428">
        <v>27</v>
      </c>
      <c r="Q33" s="428">
        <v>0</v>
      </c>
      <c r="R33" s="429">
        <v>0</v>
      </c>
      <c r="S33" s="225">
        <f>IF(Tabela3[[#This Row],[Coated]]&lt;&gt;"",Tabela3[[#This Row],[Coated]]-Tabela3[[#This Row],[Not approved / Onhold]]-Tabela3[[#This Row],[Repair]],"")</f>
        <v>27</v>
      </c>
      <c r="T33" s="230" t="s">
        <v>85</v>
      </c>
      <c r="U33" s="323"/>
      <c r="V33" s="322"/>
      <c r="W33" s="569"/>
      <c r="X33" s="569"/>
      <c r="Y33" s="567"/>
      <c r="Z33" s="567"/>
      <c r="AA33" s="567"/>
      <c r="AB33" s="567"/>
      <c r="AC33" s="567"/>
      <c r="AD33" s="567"/>
      <c r="AE33" s="567"/>
      <c r="AF33" s="569"/>
      <c r="AG33" s="569"/>
      <c r="AH33" s="322"/>
      <c r="AI33" s="322"/>
      <c r="AJ33" s="322"/>
      <c r="AK33" s="322"/>
      <c r="AL33" s="322"/>
      <c r="AM33" s="322"/>
      <c r="AN33" s="322"/>
      <c r="AO33" s="322"/>
    </row>
    <row r="34" spans="1:41" s="229" customFormat="1" ht="15" customHeight="1">
      <c r="A34" s="223">
        <v>29</v>
      </c>
      <c r="B34" s="453">
        <v>46219</v>
      </c>
      <c r="C34" s="224">
        <v>2</v>
      </c>
      <c r="D34" s="223">
        <v>40</v>
      </c>
      <c r="E34" s="223">
        <v>4</v>
      </c>
      <c r="F34" s="223">
        <v>0</v>
      </c>
      <c r="G34" s="225">
        <f>IF(Tabela1[[#This Row],[Repair]]&lt;&gt;"",Tabela1[[#This Row],[Coated]]-Tabela1[[#This Row],[Not approved / Onhold]]-Tabela1[[#This Row],[Repair]],"")</f>
        <v>36</v>
      </c>
      <c r="H34" s="223" t="s">
        <v>340</v>
      </c>
      <c r="I34" s="223" t="s">
        <v>341</v>
      </c>
      <c r="J34" s="226" t="s">
        <v>85</v>
      </c>
      <c r="M34" s="223">
        <v>29</v>
      </c>
      <c r="N34" s="453">
        <v>46218</v>
      </c>
      <c r="O34" s="224">
        <v>2</v>
      </c>
      <c r="P34" s="428">
        <v>41</v>
      </c>
      <c r="Q34" s="428">
        <v>0</v>
      </c>
      <c r="R34" s="429">
        <v>0</v>
      </c>
      <c r="S34" s="225">
        <f>IF(Tabela3[[#This Row],[Coated]]&lt;&gt;"",Tabela3[[#This Row],[Coated]]-Tabela3[[#This Row],[Not approved / Onhold]]-Tabela3[[#This Row],[Repair]],"")</f>
        <v>41</v>
      </c>
      <c r="T34" s="230" t="s">
        <v>85</v>
      </c>
      <c r="U34" s="323"/>
      <c r="V34" s="322"/>
      <c r="W34" s="569"/>
      <c r="X34" s="569"/>
      <c r="Y34" s="567"/>
      <c r="Z34" s="567"/>
      <c r="AA34" s="567"/>
      <c r="AB34" s="567"/>
      <c r="AC34" s="567"/>
      <c r="AD34" s="567"/>
      <c r="AE34" s="567"/>
      <c r="AF34" s="569"/>
      <c r="AG34" s="569"/>
      <c r="AH34" s="322"/>
      <c r="AI34" s="322"/>
      <c r="AJ34" s="322"/>
      <c r="AK34" s="322"/>
      <c r="AL34" s="322"/>
      <c r="AM34" s="322"/>
      <c r="AN34" s="322"/>
      <c r="AO34" s="322"/>
    </row>
    <row r="35" spans="1:41" s="229" customFormat="1" ht="15" customHeight="1">
      <c r="A35" s="223">
        <v>29</v>
      </c>
      <c r="B35" s="453">
        <v>46219</v>
      </c>
      <c r="C35" s="378">
        <v>3</v>
      </c>
      <c r="D35" s="223">
        <v>48</v>
      </c>
      <c r="E35" s="223">
        <v>2</v>
      </c>
      <c r="F35" s="223">
        <v>0</v>
      </c>
      <c r="G35" s="225">
        <f>IF(Tabela1[[#This Row],[Repair]]&lt;&gt;"",Tabela1[[#This Row],[Coated]]-Tabela1[[#This Row],[Not approved / Onhold]]-Tabela1[[#This Row],[Repair]],"")</f>
        <v>46</v>
      </c>
      <c r="H35" s="378" t="s">
        <v>176</v>
      </c>
      <c r="I35" s="223" t="s">
        <v>341</v>
      </c>
      <c r="J35" s="226" t="s">
        <v>85</v>
      </c>
      <c r="M35" s="223">
        <v>29</v>
      </c>
      <c r="N35" s="453">
        <v>46218</v>
      </c>
      <c r="O35" s="427">
        <v>3</v>
      </c>
      <c r="P35" s="428">
        <v>42</v>
      </c>
      <c r="Q35" s="428">
        <v>0</v>
      </c>
      <c r="R35" s="429">
        <v>0</v>
      </c>
      <c r="S35" s="225">
        <f>IF(Tabela3[[#This Row],[Coated]]&lt;&gt;"",Tabela3[[#This Row],[Coated]]-Tabela3[[#This Row],[Not approved / Onhold]]-Tabela3[[#This Row],[Repair]],"")</f>
        <v>42</v>
      </c>
      <c r="T35" s="230" t="s">
        <v>85</v>
      </c>
      <c r="U35" s="323"/>
      <c r="V35" s="322"/>
      <c r="W35" s="569"/>
      <c r="X35" s="569"/>
      <c r="Y35" s="567"/>
      <c r="Z35" s="567"/>
      <c r="AA35" s="567"/>
      <c r="AB35" s="567"/>
      <c r="AC35" s="567"/>
      <c r="AD35" s="567"/>
      <c r="AE35" s="567"/>
      <c r="AF35" s="569"/>
      <c r="AG35" s="569"/>
      <c r="AH35" s="322"/>
      <c r="AI35" s="322"/>
      <c r="AJ35" s="322"/>
      <c r="AK35" s="322"/>
      <c r="AL35" s="322"/>
      <c r="AM35" s="322"/>
      <c r="AN35" s="322"/>
      <c r="AO35" s="322"/>
    </row>
    <row r="36" spans="1:41" s="229" customFormat="1" ht="15" customHeight="1">
      <c r="A36" s="223">
        <v>29</v>
      </c>
      <c r="B36" s="453">
        <v>46220</v>
      </c>
      <c r="C36" s="224">
        <v>1</v>
      </c>
      <c r="D36" s="223">
        <v>61</v>
      </c>
      <c r="E36" s="223">
        <v>0</v>
      </c>
      <c r="F36" s="223">
        <v>0</v>
      </c>
      <c r="G36" s="225">
        <f>IF(Tabela1[[#This Row],[Repair]]&lt;&gt;"",Tabela1[[#This Row],[Coated]]-Tabela1[[#This Row],[Not approved / Onhold]]-Tabela1[[#This Row],[Repair]],"")</f>
        <v>61</v>
      </c>
      <c r="H36" s="223" t="s">
        <v>340</v>
      </c>
      <c r="I36" s="223" t="s">
        <v>341</v>
      </c>
      <c r="J36" s="226" t="s">
        <v>85</v>
      </c>
      <c r="M36" s="426">
        <v>29</v>
      </c>
      <c r="N36" s="453">
        <v>46219</v>
      </c>
      <c r="O36" s="427">
        <v>1</v>
      </c>
      <c r="P36" s="428">
        <v>51</v>
      </c>
      <c r="Q36" s="428">
        <v>1</v>
      </c>
      <c r="R36" s="429">
        <v>0</v>
      </c>
      <c r="S36" s="225">
        <f>IF(Tabela3[[#This Row],[Coated]]&lt;&gt;"",Tabela3[[#This Row],[Coated]]-Tabela3[[#This Row],[Not approved / Onhold]]-Tabela3[[#This Row],[Repair]],"")</f>
        <v>50</v>
      </c>
      <c r="T36" s="230" t="s">
        <v>85</v>
      </c>
      <c r="U36" s="323"/>
      <c r="V36" s="322"/>
      <c r="W36" s="569"/>
      <c r="X36" s="569"/>
      <c r="Y36" s="567"/>
      <c r="Z36" s="567"/>
      <c r="AA36" s="567"/>
      <c r="AB36" s="567"/>
      <c r="AC36" s="567"/>
      <c r="AD36" s="567"/>
      <c r="AE36" s="567"/>
      <c r="AF36" s="569"/>
      <c r="AG36" s="569"/>
      <c r="AH36" s="322"/>
      <c r="AI36" s="322"/>
      <c r="AJ36" s="322"/>
      <c r="AK36" s="322"/>
      <c r="AL36" s="322"/>
      <c r="AM36" s="322"/>
      <c r="AN36" s="322"/>
      <c r="AO36" s="322"/>
    </row>
    <row r="37" spans="1:41" s="229" customFormat="1" ht="15" customHeight="1">
      <c r="A37" s="223">
        <v>29</v>
      </c>
      <c r="B37" s="453">
        <v>46220</v>
      </c>
      <c r="C37" s="224">
        <v>2</v>
      </c>
      <c r="D37" s="223">
        <v>52</v>
      </c>
      <c r="E37" s="223">
        <v>0</v>
      </c>
      <c r="F37" s="223">
        <v>0</v>
      </c>
      <c r="G37" s="225">
        <f>IF(Tabela1[[#This Row],[Repair]]&lt;&gt;"",Tabela1[[#This Row],[Coated]]-Tabela1[[#This Row],[Not approved / Onhold]]-Tabela1[[#This Row],[Repair]],"")</f>
        <v>52</v>
      </c>
      <c r="H37" s="223" t="s">
        <v>340</v>
      </c>
      <c r="I37" s="223" t="s">
        <v>341</v>
      </c>
      <c r="J37" s="226" t="s">
        <v>85</v>
      </c>
      <c r="M37" s="223">
        <v>29</v>
      </c>
      <c r="N37" s="453">
        <v>46219</v>
      </c>
      <c r="O37" s="224">
        <v>2</v>
      </c>
      <c r="P37" s="428">
        <v>33</v>
      </c>
      <c r="Q37" s="428">
        <v>0</v>
      </c>
      <c r="R37" s="429">
        <v>0</v>
      </c>
      <c r="S37" s="225">
        <f>IF(Tabela3[[#This Row],[Coated]]&lt;&gt;"",Tabela3[[#This Row],[Coated]]-Tabela3[[#This Row],[Not approved / Onhold]]-Tabela3[[#This Row],[Repair]],"")</f>
        <v>33</v>
      </c>
      <c r="T37" s="230" t="s">
        <v>85</v>
      </c>
      <c r="U37" s="323"/>
      <c r="V37" s="322"/>
      <c r="W37" s="569"/>
      <c r="X37" s="569"/>
      <c r="Y37" s="567"/>
      <c r="Z37" s="567"/>
      <c r="AA37" s="567"/>
      <c r="AB37" s="567"/>
      <c r="AC37" s="567"/>
      <c r="AD37" s="567"/>
      <c r="AE37" s="567"/>
      <c r="AF37" s="569"/>
      <c r="AG37" s="569"/>
      <c r="AH37" s="322"/>
      <c r="AI37" s="322"/>
      <c r="AJ37" s="322"/>
      <c r="AK37" s="322"/>
      <c r="AL37" s="322"/>
      <c r="AM37" s="322"/>
      <c r="AN37" s="322"/>
      <c r="AO37" s="322"/>
    </row>
    <row r="38" spans="1:41" s="229" customFormat="1" ht="15" customHeight="1">
      <c r="A38" s="223">
        <v>29</v>
      </c>
      <c r="B38" s="453">
        <v>46220</v>
      </c>
      <c r="C38" s="378">
        <v>3</v>
      </c>
      <c r="D38" s="223">
        <v>39</v>
      </c>
      <c r="E38" s="223">
        <v>9</v>
      </c>
      <c r="F38" s="223">
        <v>0</v>
      </c>
      <c r="G38" s="225">
        <f>IF(Tabela1[[#This Row],[Repair]]&lt;&gt;"",Tabela1[[#This Row],[Coated]]-Tabela1[[#This Row],[Not approved / Onhold]]-Tabela1[[#This Row],[Repair]],"")</f>
        <v>30</v>
      </c>
      <c r="H38" s="378" t="s">
        <v>183</v>
      </c>
      <c r="I38" s="223" t="s">
        <v>341</v>
      </c>
      <c r="J38" s="226" t="s">
        <v>85</v>
      </c>
      <c r="M38" s="426">
        <v>29</v>
      </c>
      <c r="N38" s="453">
        <v>46219</v>
      </c>
      <c r="O38" s="427">
        <v>3</v>
      </c>
      <c r="P38" s="428">
        <v>39</v>
      </c>
      <c r="Q38" s="428">
        <v>0</v>
      </c>
      <c r="R38" s="429">
        <v>0</v>
      </c>
      <c r="S38" s="225">
        <f>IF(Tabela3[[#This Row],[Coated]]&lt;&gt;"",Tabela3[[#This Row],[Coated]]-Tabela3[[#This Row],[Not approved / Onhold]]-Tabela3[[#This Row],[Repair]],"")</f>
        <v>39</v>
      </c>
      <c r="T38" s="230" t="s">
        <v>85</v>
      </c>
      <c r="U38" s="323"/>
      <c r="V38" s="322"/>
      <c r="W38" s="569"/>
      <c r="X38" s="569"/>
      <c r="Y38" s="567"/>
      <c r="Z38" s="567"/>
      <c r="AA38" s="567"/>
      <c r="AB38" s="567"/>
      <c r="AC38" s="567"/>
      <c r="AD38" s="567"/>
      <c r="AE38" s="567"/>
      <c r="AF38" s="569"/>
      <c r="AG38" s="569"/>
      <c r="AH38" s="322"/>
      <c r="AI38" s="322"/>
      <c r="AJ38" s="322"/>
      <c r="AK38" s="322"/>
      <c r="AL38" s="322"/>
      <c r="AM38" s="322"/>
      <c r="AN38" s="322"/>
      <c r="AO38" s="322"/>
    </row>
    <row r="39" spans="1:41" s="229" customFormat="1" ht="15" customHeight="1">
      <c r="A39" s="223">
        <v>29</v>
      </c>
      <c r="B39" s="453">
        <v>46221</v>
      </c>
      <c r="C39" s="224">
        <v>1</v>
      </c>
      <c r="D39" s="223">
        <v>61</v>
      </c>
      <c r="E39" s="223">
        <v>3</v>
      </c>
      <c r="F39" s="223">
        <v>1</v>
      </c>
      <c r="G39" s="225">
        <f>IF(Tabela1[[#This Row],[Repair]]&lt;&gt;"",Tabela1[[#This Row],[Coated]]-Tabela1[[#This Row],[Not approved / Onhold]]-Tabela1[[#This Row],[Repair]],"")</f>
        <v>57</v>
      </c>
      <c r="H39" s="223" t="s">
        <v>340</v>
      </c>
      <c r="I39" s="223" t="s">
        <v>341</v>
      </c>
      <c r="J39" s="226" t="s">
        <v>85</v>
      </c>
      <c r="M39" s="223">
        <v>29</v>
      </c>
      <c r="N39" s="453">
        <v>46220</v>
      </c>
      <c r="O39" s="427">
        <v>1</v>
      </c>
      <c r="P39" s="428">
        <v>48</v>
      </c>
      <c r="Q39" s="428">
        <v>2</v>
      </c>
      <c r="R39" s="429">
        <v>0</v>
      </c>
      <c r="S39" s="225">
        <f>IF(Tabela3[[#This Row],[Coated]]&lt;&gt;"",Tabela3[[#This Row],[Coated]]-Tabela3[[#This Row],[Not approved / Onhold]]-Tabela3[[#This Row],[Repair]],"")</f>
        <v>46</v>
      </c>
      <c r="T39" s="230" t="s">
        <v>85</v>
      </c>
      <c r="U39" s="323"/>
      <c r="V39" s="322"/>
      <c r="W39" s="569"/>
      <c r="X39" s="569"/>
      <c r="Y39" s="567"/>
      <c r="Z39" s="567"/>
      <c r="AA39" s="567"/>
      <c r="AB39" s="567"/>
      <c r="AC39" s="567"/>
      <c r="AD39" s="567"/>
      <c r="AE39" s="567"/>
      <c r="AF39" s="569"/>
      <c r="AG39" s="569"/>
      <c r="AH39" s="322"/>
      <c r="AI39" s="322"/>
      <c r="AJ39" s="322"/>
      <c r="AK39" s="322"/>
      <c r="AL39" s="322"/>
      <c r="AM39" s="322"/>
      <c r="AN39" s="322"/>
      <c r="AO39" s="322"/>
    </row>
    <row r="40" spans="1:41" s="229" customFormat="1" ht="15" customHeight="1">
      <c r="A40" s="223">
        <v>29</v>
      </c>
      <c r="B40" s="453">
        <v>46221</v>
      </c>
      <c r="C40" s="378">
        <v>2</v>
      </c>
      <c r="D40" s="223">
        <v>63</v>
      </c>
      <c r="E40" s="223">
        <v>0</v>
      </c>
      <c r="F40" s="223">
        <v>0</v>
      </c>
      <c r="G40" s="225">
        <f>IF(Tabela1[[#This Row],[Repair]]&lt;&gt;"",Tabela1[[#This Row],[Coated]]-Tabela1[[#This Row],[Not approved / Onhold]]-Tabela1[[#This Row],[Repair]],"")</f>
        <v>63</v>
      </c>
      <c r="H40" s="378" t="s">
        <v>192</v>
      </c>
      <c r="I40" s="223" t="s">
        <v>341</v>
      </c>
      <c r="J40" s="226" t="s">
        <v>85</v>
      </c>
      <c r="M40" s="223">
        <v>29</v>
      </c>
      <c r="N40" s="453">
        <v>46220</v>
      </c>
      <c r="O40" s="224">
        <v>2</v>
      </c>
      <c r="P40" s="428">
        <v>46</v>
      </c>
      <c r="Q40" s="428">
        <v>0</v>
      </c>
      <c r="R40" s="429">
        <v>1</v>
      </c>
      <c r="S40" s="225">
        <f>IF(Tabela3[[#This Row],[Coated]]&lt;&gt;"",Tabela3[[#This Row],[Coated]]-Tabela3[[#This Row],[Not approved / Onhold]]-Tabela3[[#This Row],[Repair]],"")</f>
        <v>45</v>
      </c>
      <c r="T40" s="230" t="s">
        <v>85</v>
      </c>
      <c r="U40" s="323"/>
      <c r="V40" s="322"/>
      <c r="W40" s="569"/>
      <c r="X40" s="569"/>
      <c r="Y40" s="567"/>
      <c r="Z40" s="567"/>
      <c r="AA40" s="567"/>
      <c r="AB40" s="567"/>
      <c r="AC40" s="567"/>
      <c r="AD40" s="567"/>
      <c r="AE40" s="567"/>
      <c r="AF40" s="569"/>
      <c r="AG40" s="569"/>
      <c r="AH40" s="322"/>
      <c r="AI40" s="322"/>
      <c r="AJ40" s="322"/>
      <c r="AK40" s="322"/>
      <c r="AL40" s="322"/>
      <c r="AM40" s="322"/>
      <c r="AN40" s="322"/>
      <c r="AO40" s="322"/>
    </row>
    <row r="41" spans="1:41" s="229" customFormat="1" ht="15" customHeight="1">
      <c r="A41" s="223">
        <v>29</v>
      </c>
      <c r="B41" s="453">
        <v>46222</v>
      </c>
      <c r="C41" s="378">
        <v>3</v>
      </c>
      <c r="D41" s="223">
        <v>32</v>
      </c>
      <c r="E41" s="223">
        <v>6</v>
      </c>
      <c r="F41" s="223">
        <v>0</v>
      </c>
      <c r="G41" s="225">
        <f>IF(Tabela1[[#This Row],[Repair]]&lt;&gt;"",Tabela1[[#This Row],[Coated]]-Tabela1[[#This Row],[Not approved / Onhold]]-Tabela1[[#This Row],[Repair]],"")</f>
        <v>26</v>
      </c>
      <c r="H41" s="378" t="s">
        <v>193</v>
      </c>
      <c r="I41" s="223" t="s">
        <v>341</v>
      </c>
      <c r="J41" s="226" t="s">
        <v>85</v>
      </c>
      <c r="M41" s="223">
        <v>29</v>
      </c>
      <c r="N41" s="453">
        <v>46220</v>
      </c>
      <c r="O41" s="427">
        <v>3</v>
      </c>
      <c r="P41" s="428">
        <v>35</v>
      </c>
      <c r="Q41" s="428">
        <v>1</v>
      </c>
      <c r="R41" s="429">
        <v>0</v>
      </c>
      <c r="S41" s="225">
        <f>IF(Tabela3[[#This Row],[Coated]]&lt;&gt;"",Tabela3[[#This Row],[Coated]]-Tabela3[[#This Row],[Not approved / Onhold]]-Tabela3[[#This Row],[Repair]],"")</f>
        <v>34</v>
      </c>
      <c r="T41" s="230" t="s">
        <v>85</v>
      </c>
      <c r="U41" s="323"/>
      <c r="V41" s="322"/>
      <c r="W41" s="569"/>
      <c r="X41" s="569"/>
      <c r="Y41" s="567"/>
      <c r="Z41" s="567"/>
      <c r="AA41" s="567"/>
      <c r="AB41" s="567"/>
      <c r="AC41" s="567"/>
      <c r="AD41" s="567"/>
      <c r="AE41" s="567"/>
      <c r="AF41" s="569"/>
      <c r="AG41" s="569"/>
      <c r="AH41" s="322"/>
      <c r="AI41" s="322"/>
      <c r="AJ41" s="322"/>
      <c r="AK41" s="322"/>
      <c r="AL41" s="322"/>
      <c r="AM41" s="322"/>
      <c r="AN41" s="322"/>
      <c r="AO41" s="322"/>
    </row>
    <row r="42" spans="1:41">
      <c r="A42" s="223">
        <v>30</v>
      </c>
      <c r="B42" s="453">
        <v>46223</v>
      </c>
      <c r="C42" s="224">
        <v>1</v>
      </c>
      <c r="D42" s="223">
        <v>63</v>
      </c>
      <c r="E42" s="223">
        <v>2</v>
      </c>
      <c r="F42" s="223">
        <v>0</v>
      </c>
      <c r="G42" s="225">
        <f>IF(Tabela1[[#This Row],[Repair]]&lt;&gt;"",Tabela1[[#This Row],[Coated]]-Tabela1[[#This Row],[Not approved / Onhold]]-Tabela1[[#This Row],[Repair]],"")</f>
        <v>61</v>
      </c>
      <c r="H42" s="223" t="s">
        <v>340</v>
      </c>
      <c r="I42" s="223" t="s">
        <v>341</v>
      </c>
      <c r="J42" s="226" t="s">
        <v>85</v>
      </c>
      <c r="M42" s="223">
        <v>29</v>
      </c>
      <c r="N42" s="453">
        <v>46221</v>
      </c>
      <c r="O42" s="224">
        <v>1</v>
      </c>
      <c r="P42" s="230">
        <v>55</v>
      </c>
      <c r="Q42" s="230">
        <v>0</v>
      </c>
      <c r="R42" s="231">
        <v>0</v>
      </c>
      <c r="S42" s="225">
        <f>IF(Tabela3[[#This Row],[Coated]]&lt;&gt;"",Tabela3[[#This Row],[Coated]]-Tabela3[[#This Row],[Not approved / Onhold]]-Tabela3[[#This Row],[Repair]],"")</f>
        <v>55</v>
      </c>
      <c r="T42" s="230" t="s">
        <v>85</v>
      </c>
    </row>
    <row r="43" spans="1:41">
      <c r="A43" s="223">
        <v>30</v>
      </c>
      <c r="B43" s="453">
        <v>46223</v>
      </c>
      <c r="C43" s="540">
        <v>2</v>
      </c>
      <c r="D43" s="226">
        <v>32</v>
      </c>
      <c r="E43" s="226">
        <v>0</v>
      </c>
      <c r="F43" s="226">
        <v>0</v>
      </c>
      <c r="G43" s="541">
        <f>IF(Tabela1[[#This Row],[Repair]]&lt;&gt;"",Tabela1[[#This Row],[Coated]]-Tabela1[[#This Row],[Not approved / Onhold]]-Tabela1[[#This Row],[Repair]],"")</f>
        <v>32</v>
      </c>
      <c r="H43" s="226" t="s">
        <v>340</v>
      </c>
      <c r="I43" s="223" t="s">
        <v>341</v>
      </c>
      <c r="J43" s="226" t="s">
        <v>85</v>
      </c>
      <c r="M43" s="223">
        <v>29</v>
      </c>
      <c r="N43" s="453">
        <v>46221</v>
      </c>
      <c r="O43" s="224">
        <v>2</v>
      </c>
      <c r="P43" s="542">
        <v>73</v>
      </c>
      <c r="Q43" s="542">
        <v>0</v>
      </c>
      <c r="R43" s="543">
        <v>0</v>
      </c>
      <c r="S43" s="225">
        <f>IF(Tabela3[[#This Row],[Coated]]&lt;&gt;"",Tabela3[[#This Row],[Coated]]-Tabela3[[#This Row],[Not approved / Onhold]]-Tabela3[[#This Row],[Repair]],"")</f>
        <v>73</v>
      </c>
      <c r="T43" s="230" t="s">
        <v>85</v>
      </c>
    </row>
    <row r="44" spans="1:41">
      <c r="A44" s="223">
        <v>30</v>
      </c>
      <c r="B44" s="453">
        <v>46223</v>
      </c>
      <c r="C44" s="378">
        <v>3</v>
      </c>
      <c r="D44" s="226">
        <v>58</v>
      </c>
      <c r="E44" s="226">
        <v>0</v>
      </c>
      <c r="F44" s="226">
        <v>0</v>
      </c>
      <c r="G44" s="541">
        <f>IF(Tabela1[[#This Row],[Repair]]&lt;&gt;"",Tabela1[[#This Row],[Coated]]-Tabela1[[#This Row],[Not approved / Onhold]]-Tabela1[[#This Row],[Repair]],"")</f>
        <v>58</v>
      </c>
      <c r="H44" s="378" t="s">
        <v>205</v>
      </c>
      <c r="I44" s="223" t="s">
        <v>341</v>
      </c>
      <c r="J44" s="226" t="s">
        <v>85</v>
      </c>
      <c r="M44" s="377">
        <v>29</v>
      </c>
      <c r="N44" s="453">
        <v>46222</v>
      </c>
      <c r="O44" s="540">
        <v>3</v>
      </c>
      <c r="P44" s="542">
        <v>28</v>
      </c>
      <c r="Q44" s="542">
        <v>0</v>
      </c>
      <c r="R44" s="543">
        <v>0</v>
      </c>
      <c r="S44" s="225">
        <f>IF(Tabela3[[#This Row],[Coated]]&lt;&gt;"",Tabela3[[#This Row],[Coated]]-Tabela3[[#This Row],[Not approved / Onhold]]-Tabela3[[#This Row],[Repair]],"")</f>
        <v>28</v>
      </c>
      <c r="T44" s="230" t="s">
        <v>85</v>
      </c>
    </row>
    <row r="45" spans="1:41">
      <c r="A45" s="223">
        <v>30</v>
      </c>
      <c r="B45" s="453">
        <v>46224</v>
      </c>
      <c r="C45" s="540">
        <v>1</v>
      </c>
      <c r="D45" s="226">
        <v>15</v>
      </c>
      <c r="E45" s="226">
        <v>9</v>
      </c>
      <c r="F45" s="226">
        <v>0</v>
      </c>
      <c r="G45" s="541">
        <f>IF(Tabela1[[#This Row],[Repair]]&lt;&gt;"",Tabela1[[#This Row],[Coated]]-Tabela1[[#This Row],[Not approved / Onhold]]-Tabela1[[#This Row],[Repair]],"")</f>
        <v>6</v>
      </c>
      <c r="H45" s="226" t="s">
        <v>340</v>
      </c>
      <c r="I45" s="223" t="s">
        <v>341</v>
      </c>
      <c r="J45" s="226" t="s">
        <v>85</v>
      </c>
      <c r="M45" s="377">
        <v>30</v>
      </c>
      <c r="N45" s="453">
        <v>46223</v>
      </c>
      <c r="O45" s="540">
        <v>1</v>
      </c>
      <c r="P45" s="542">
        <v>52</v>
      </c>
      <c r="Q45" s="542">
        <v>0</v>
      </c>
      <c r="R45" s="543">
        <v>0</v>
      </c>
      <c r="S45" s="225">
        <f>IF(Tabela3[[#This Row],[Coated]]&lt;&gt;"",Tabela3[[#This Row],[Coated]]-Tabela3[[#This Row],[Not approved / Onhold]]-Tabela3[[#This Row],[Repair]],"")</f>
        <v>52</v>
      </c>
      <c r="T45" s="230" t="s">
        <v>85</v>
      </c>
    </row>
    <row r="46" spans="1:41">
      <c r="A46" s="223">
        <v>30</v>
      </c>
      <c r="B46" s="453">
        <v>46224</v>
      </c>
      <c r="C46" s="540">
        <v>2</v>
      </c>
      <c r="D46" s="226">
        <v>46</v>
      </c>
      <c r="E46" s="226">
        <v>0</v>
      </c>
      <c r="F46" s="226">
        <v>0</v>
      </c>
      <c r="G46" s="541">
        <f>IF(Tabela1[[#This Row],[Repair]]&lt;&gt;"",Tabela1[[#This Row],[Coated]]-Tabela1[[#This Row],[Not approved / Onhold]]-Tabela1[[#This Row],[Repair]],"")</f>
        <v>46</v>
      </c>
      <c r="H46" s="226" t="s">
        <v>340</v>
      </c>
      <c r="I46" s="223" t="s">
        <v>341</v>
      </c>
      <c r="J46" s="226" t="s">
        <v>85</v>
      </c>
      <c r="M46" s="223">
        <v>30</v>
      </c>
      <c r="N46" s="453">
        <v>46223</v>
      </c>
      <c r="O46" s="540">
        <v>2</v>
      </c>
      <c r="P46" s="542">
        <v>36</v>
      </c>
      <c r="Q46" s="542">
        <v>0</v>
      </c>
      <c r="R46" s="543">
        <v>0</v>
      </c>
      <c r="S46" s="225">
        <f>IF(Tabela3[[#This Row],[Coated]]&lt;&gt;"",Tabela3[[#This Row],[Coated]]-Tabela3[[#This Row],[Not approved / Onhold]]-Tabela3[[#This Row],[Repair]],"")</f>
        <v>36</v>
      </c>
      <c r="T46" s="230" t="s">
        <v>85</v>
      </c>
    </row>
    <row r="47" spans="1:41">
      <c r="A47" s="223">
        <v>30</v>
      </c>
      <c r="B47" s="453">
        <v>46224</v>
      </c>
      <c r="C47" s="378">
        <v>3</v>
      </c>
      <c r="D47" s="226">
        <v>49</v>
      </c>
      <c r="E47" s="226">
        <v>0</v>
      </c>
      <c r="F47" s="226">
        <v>0</v>
      </c>
      <c r="G47" s="541">
        <f>IF(Tabela1[[#This Row],[Repair]]&lt;&gt;"",Tabela1[[#This Row],[Coated]]-Tabela1[[#This Row],[Not approved / Onhold]]-Tabela1[[#This Row],[Repair]],"")</f>
        <v>49</v>
      </c>
      <c r="H47" s="378" t="s">
        <v>214</v>
      </c>
      <c r="I47" s="223" t="s">
        <v>341</v>
      </c>
      <c r="J47" s="226" t="s">
        <v>85</v>
      </c>
      <c r="M47" s="377">
        <v>30</v>
      </c>
      <c r="N47" s="453">
        <v>46223</v>
      </c>
      <c r="O47" s="540">
        <v>3</v>
      </c>
      <c r="P47" s="542">
        <v>46</v>
      </c>
      <c r="Q47" s="542">
        <v>0</v>
      </c>
      <c r="R47" s="543">
        <v>0</v>
      </c>
      <c r="S47" s="225">
        <f>IF(Tabela3[[#This Row],[Coated]]&lt;&gt;"",Tabela3[[#This Row],[Coated]]-Tabela3[[#This Row],[Not approved / Onhold]]-Tabela3[[#This Row],[Repair]],"")</f>
        <v>46</v>
      </c>
      <c r="T47" s="542" t="s">
        <v>85</v>
      </c>
    </row>
    <row r="48" spans="1:41">
      <c r="A48" s="223">
        <v>30</v>
      </c>
      <c r="B48" s="453">
        <v>46225</v>
      </c>
      <c r="C48" s="540">
        <v>1</v>
      </c>
      <c r="D48" s="226">
        <v>50</v>
      </c>
      <c r="E48" s="226">
        <v>0</v>
      </c>
      <c r="F48" s="226">
        <v>0</v>
      </c>
      <c r="G48" s="541">
        <f>IF(Tabela1[[#This Row],[Repair]]&lt;&gt;"",Tabela1[[#This Row],[Coated]]-Tabela1[[#This Row],[Not approved / Onhold]]-Tabela1[[#This Row],[Repair]],"")</f>
        <v>50</v>
      </c>
      <c r="H48" s="226" t="s">
        <v>340</v>
      </c>
      <c r="I48" s="223" t="s">
        <v>341</v>
      </c>
      <c r="J48" s="226" t="s">
        <v>85</v>
      </c>
      <c r="M48" s="223">
        <v>30</v>
      </c>
      <c r="N48" s="453">
        <v>46224</v>
      </c>
      <c r="O48" s="540">
        <v>1</v>
      </c>
      <c r="P48" s="542">
        <v>18</v>
      </c>
      <c r="Q48" s="542">
        <v>7</v>
      </c>
      <c r="R48" s="543">
        <v>0</v>
      </c>
      <c r="S48" s="225">
        <f>IF(Tabela3[[#This Row],[Coated]]&lt;&gt;"",Tabela3[[#This Row],[Coated]]-Tabela3[[#This Row],[Not approved / Onhold]]-Tabela3[[#This Row],[Repair]],"")</f>
        <v>11</v>
      </c>
      <c r="T48" s="542" t="s">
        <v>85</v>
      </c>
    </row>
    <row r="49" spans="1:41">
      <c r="A49" s="223">
        <v>30</v>
      </c>
      <c r="B49" s="453">
        <v>46225</v>
      </c>
      <c r="C49" s="540">
        <v>2</v>
      </c>
      <c r="D49" s="226">
        <v>48</v>
      </c>
      <c r="E49" s="226">
        <v>0</v>
      </c>
      <c r="F49" s="226">
        <v>0</v>
      </c>
      <c r="G49" s="541">
        <f>IF(Tabela1[[#This Row],[Repair]]&lt;&gt;"",Tabela1[[#This Row],[Coated]]-Tabela1[[#This Row],[Not approved / Onhold]]-Tabela1[[#This Row],[Repair]],"")</f>
        <v>48</v>
      </c>
      <c r="H49" s="226" t="s">
        <v>340</v>
      </c>
      <c r="I49" s="223" t="s">
        <v>341</v>
      </c>
      <c r="J49" s="226" t="s">
        <v>85</v>
      </c>
      <c r="M49" s="223">
        <v>30</v>
      </c>
      <c r="N49" s="453">
        <v>46224</v>
      </c>
      <c r="O49" s="540">
        <v>2</v>
      </c>
      <c r="P49" s="542">
        <v>35</v>
      </c>
      <c r="Q49" s="542">
        <v>0</v>
      </c>
      <c r="R49" s="543">
        <v>0</v>
      </c>
      <c r="S49" s="225">
        <f>IF(Tabela3[[#This Row],[Coated]]&lt;&gt;"",Tabela3[[#This Row],[Coated]]-Tabela3[[#This Row],[Not approved / Onhold]]-Tabela3[[#This Row],[Repair]],"")</f>
        <v>35</v>
      </c>
      <c r="T49" s="542" t="s">
        <v>85</v>
      </c>
    </row>
    <row r="50" spans="1:41">
      <c r="A50" s="223">
        <v>30</v>
      </c>
      <c r="B50" s="453">
        <v>46225</v>
      </c>
      <c r="C50" s="378">
        <v>3</v>
      </c>
      <c r="D50" s="226">
        <v>57</v>
      </c>
      <c r="E50" s="226">
        <v>0</v>
      </c>
      <c r="F50" s="226">
        <v>0</v>
      </c>
      <c r="G50" s="541">
        <f>IF(Tabela1[[#This Row],[Repair]]&lt;&gt;"",Tabela1[[#This Row],[Coated]]-Tabela1[[#This Row],[Not approved / Onhold]]-Tabela1[[#This Row],[Repair]],"")</f>
        <v>57</v>
      </c>
      <c r="H50" s="378" t="s">
        <v>176</v>
      </c>
      <c r="I50" s="223" t="s">
        <v>341</v>
      </c>
      <c r="J50" s="226" t="s">
        <v>85</v>
      </c>
      <c r="M50" s="223">
        <v>30</v>
      </c>
      <c r="N50" s="453">
        <v>46224</v>
      </c>
      <c r="O50" s="540">
        <v>3</v>
      </c>
      <c r="P50" s="542">
        <v>37</v>
      </c>
      <c r="Q50" s="542">
        <v>0</v>
      </c>
      <c r="R50" s="543">
        <v>0</v>
      </c>
      <c r="S50" s="225">
        <f>IF(Tabela3[[#This Row],[Coated]]&lt;&gt;"",Tabela3[[#This Row],[Coated]]-Tabela3[[#This Row],[Not approved / Onhold]]-Tabela3[[#This Row],[Repair]],"")</f>
        <v>37</v>
      </c>
      <c r="T50" s="542" t="s">
        <v>85</v>
      </c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</row>
    <row r="51" spans="1:41">
      <c r="A51" s="226">
        <v>30</v>
      </c>
      <c r="B51" s="453">
        <v>46226</v>
      </c>
      <c r="C51" s="540">
        <v>1</v>
      </c>
      <c r="D51" s="226">
        <v>47</v>
      </c>
      <c r="E51" s="226">
        <v>0</v>
      </c>
      <c r="F51" s="226">
        <v>0</v>
      </c>
      <c r="G51" s="541">
        <f>IF(Tabela1[[#This Row],[Repair]]&lt;&gt;"",Tabela1[[#This Row],[Coated]]-Tabela1[[#This Row],[Not approved / Onhold]]-Tabela1[[#This Row],[Repair]],"")</f>
        <v>47</v>
      </c>
      <c r="H51" s="223" t="s">
        <v>340</v>
      </c>
      <c r="I51" s="223" t="s">
        <v>341</v>
      </c>
      <c r="J51" s="226" t="s">
        <v>85</v>
      </c>
      <c r="M51" s="223">
        <v>30</v>
      </c>
      <c r="N51" s="453">
        <v>46225</v>
      </c>
      <c r="O51" s="540">
        <v>1</v>
      </c>
      <c r="P51" s="542">
        <v>53</v>
      </c>
      <c r="Q51" s="542">
        <v>1</v>
      </c>
      <c r="R51" s="543">
        <v>0</v>
      </c>
      <c r="S51" s="225">
        <f>IF(Tabela3[[#This Row],[Coated]]&lt;&gt;"",Tabela3[[#This Row],[Coated]]-Tabela3[[#This Row],[Not approved / Onhold]]-Tabela3[[#This Row],[Repair]],"")</f>
        <v>52</v>
      </c>
      <c r="T51" s="542" t="s">
        <v>85</v>
      </c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</row>
    <row r="52" spans="1:41">
      <c r="A52" s="226">
        <v>30</v>
      </c>
      <c r="B52" s="453">
        <v>46226</v>
      </c>
      <c r="C52" s="224">
        <v>2</v>
      </c>
      <c r="D52" s="223">
        <v>52</v>
      </c>
      <c r="E52" s="223">
        <v>0</v>
      </c>
      <c r="F52" s="223">
        <v>0</v>
      </c>
      <c r="G52" s="225">
        <f>IF(Tabela1[[#This Row],[Repair]]&lt;&gt;"",Tabela1[[#This Row],[Coated]]-Tabela1[[#This Row],[Not approved / Onhold]]-Tabela1[[#This Row],[Repair]],"")</f>
        <v>52</v>
      </c>
      <c r="H52" s="223" t="s">
        <v>340</v>
      </c>
      <c r="I52" s="223" t="s">
        <v>341</v>
      </c>
      <c r="J52" s="226" t="s">
        <v>85</v>
      </c>
      <c r="M52" s="223">
        <v>30</v>
      </c>
      <c r="N52" s="453">
        <v>46225</v>
      </c>
      <c r="O52" s="540">
        <v>2</v>
      </c>
      <c r="P52" s="542">
        <v>47</v>
      </c>
      <c r="Q52" s="542">
        <v>0</v>
      </c>
      <c r="R52" s="543">
        <v>0</v>
      </c>
      <c r="S52" s="225">
        <f>IF(Tabela3[[#This Row],[Coated]]&lt;&gt;"",Tabela3[[#This Row],[Coated]]-Tabela3[[#This Row],[Not approved / Onhold]]-Tabela3[[#This Row],[Repair]],"")</f>
        <v>47</v>
      </c>
      <c r="T52" s="542" t="s">
        <v>85</v>
      </c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</row>
    <row r="53" spans="1:41">
      <c r="A53" s="226">
        <v>30</v>
      </c>
      <c r="B53" s="453">
        <v>46226</v>
      </c>
      <c r="C53" s="378">
        <v>3</v>
      </c>
      <c r="D53" s="226">
        <v>55</v>
      </c>
      <c r="E53" s="226">
        <v>0</v>
      </c>
      <c r="F53" s="226">
        <v>0</v>
      </c>
      <c r="G53" s="541">
        <f>IF(Tabela1[[#This Row],[Repair]]&lt;&gt;"",Tabela1[[#This Row],[Coated]]-Tabela1[[#This Row],[Not approved / Onhold]]-Tabela1[[#This Row],[Repair]],"")</f>
        <v>55</v>
      </c>
      <c r="H53" s="378" t="s">
        <v>214</v>
      </c>
      <c r="I53" s="223" t="s">
        <v>341</v>
      </c>
      <c r="J53" s="226" t="s">
        <v>85</v>
      </c>
      <c r="M53" s="223">
        <v>30</v>
      </c>
      <c r="N53" s="453">
        <v>46225</v>
      </c>
      <c r="O53" s="540">
        <v>3</v>
      </c>
      <c r="P53" s="542">
        <v>51</v>
      </c>
      <c r="Q53" s="542">
        <v>0</v>
      </c>
      <c r="R53" s="543">
        <v>0</v>
      </c>
      <c r="S53" s="225">
        <f>IF(Tabela3[[#This Row],[Coated]]&lt;&gt;"",Tabela3[[#This Row],[Coated]]-Tabela3[[#This Row],[Not approved / Onhold]]-Tabela3[[#This Row],[Repair]],"")</f>
        <v>51</v>
      </c>
      <c r="T53" s="542" t="s">
        <v>85</v>
      </c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</row>
    <row r="54" spans="1:41">
      <c r="A54" s="226">
        <v>30</v>
      </c>
      <c r="B54" s="453">
        <v>46227</v>
      </c>
      <c r="C54" s="224">
        <v>1</v>
      </c>
      <c r="D54" s="223">
        <v>47</v>
      </c>
      <c r="E54" s="223">
        <v>5</v>
      </c>
      <c r="F54" s="223">
        <v>0</v>
      </c>
      <c r="G54" s="225">
        <f>IF(Tabela1[[#This Row],[Repair]]&lt;&gt;"",Tabela1[[#This Row],[Coated]]-Tabela1[[#This Row],[Not approved / Onhold]]-Tabela1[[#This Row],[Repair]],"")</f>
        <v>42</v>
      </c>
      <c r="H54" s="223" t="s">
        <v>340</v>
      </c>
      <c r="I54" s="223" t="s">
        <v>341</v>
      </c>
      <c r="J54" s="226" t="s">
        <v>85</v>
      </c>
      <c r="M54" s="223">
        <v>30</v>
      </c>
      <c r="N54" s="453">
        <v>46226</v>
      </c>
      <c r="O54" s="540">
        <v>1</v>
      </c>
      <c r="P54" s="542">
        <v>49</v>
      </c>
      <c r="Q54" s="542">
        <v>0</v>
      </c>
      <c r="R54" s="543">
        <v>0</v>
      </c>
      <c r="S54" s="225">
        <f>IF(Tabela3[[#This Row],[Coated]]&lt;&gt;"",Tabela3[[#This Row],[Coated]]-Tabela3[[#This Row],[Not approved / Onhold]]-Tabela3[[#This Row],[Repair]],"")</f>
        <v>49</v>
      </c>
      <c r="T54" s="542" t="s">
        <v>85</v>
      </c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</row>
    <row r="55" spans="1:41">
      <c r="A55" s="226">
        <v>30</v>
      </c>
      <c r="B55" s="453">
        <v>46227</v>
      </c>
      <c r="C55" s="540">
        <v>2</v>
      </c>
      <c r="D55" s="226">
        <v>61</v>
      </c>
      <c r="E55" s="226">
        <v>0</v>
      </c>
      <c r="F55" s="226">
        <v>0</v>
      </c>
      <c r="G55" s="541">
        <f>IF(Tabela1[[#This Row],[Repair]]&lt;&gt;"",Tabela1[[#This Row],[Coated]]-Tabela1[[#This Row],[Not approved / Onhold]]-Tabela1[[#This Row],[Repair]],"")</f>
        <v>61</v>
      </c>
      <c r="H55" s="226" t="s">
        <v>340</v>
      </c>
      <c r="I55" s="223" t="s">
        <v>341</v>
      </c>
      <c r="J55" s="226" t="s">
        <v>85</v>
      </c>
      <c r="M55" s="226">
        <v>30</v>
      </c>
      <c r="N55" s="453">
        <v>46226</v>
      </c>
      <c r="O55" s="224">
        <v>2</v>
      </c>
      <c r="P55" s="542">
        <v>49</v>
      </c>
      <c r="Q55" s="542">
        <v>0</v>
      </c>
      <c r="R55" s="543">
        <v>0</v>
      </c>
      <c r="S55" s="225">
        <f>IF(Tabela3[[#This Row],[Coated]]&lt;&gt;"",Tabela3[[#This Row],[Coated]]-Tabela3[[#This Row],[Not approved / Onhold]]-Tabela3[[#This Row],[Repair]],"")</f>
        <v>49</v>
      </c>
      <c r="T55" s="542" t="s">
        <v>85</v>
      </c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</row>
    <row r="56" spans="1:41">
      <c r="A56" s="226">
        <v>30</v>
      </c>
      <c r="B56" s="453">
        <v>46227</v>
      </c>
      <c r="C56" s="378">
        <v>3</v>
      </c>
      <c r="D56" s="226">
        <v>57</v>
      </c>
      <c r="E56" s="226">
        <v>0</v>
      </c>
      <c r="F56" s="226">
        <v>0</v>
      </c>
      <c r="G56" s="541">
        <f>IF(Tabela1[[#This Row],[Repair]]&lt;&gt;"",Tabela1[[#This Row],[Coated]]-Tabela1[[#This Row],[Not approved / Onhold]]-Tabela1[[#This Row],[Repair]],"")</f>
        <v>57</v>
      </c>
      <c r="H56" s="378" t="s">
        <v>238</v>
      </c>
      <c r="I56" s="223" t="s">
        <v>341</v>
      </c>
      <c r="J56" s="226" t="s">
        <v>85</v>
      </c>
      <c r="M56" s="223">
        <v>30</v>
      </c>
      <c r="N56" s="453">
        <v>46226</v>
      </c>
      <c r="O56" s="540">
        <v>3</v>
      </c>
      <c r="P56" s="542">
        <v>46</v>
      </c>
      <c r="Q56" s="542">
        <v>0</v>
      </c>
      <c r="R56" s="543">
        <v>0</v>
      </c>
      <c r="S56" s="225">
        <f>IF(Tabela3[[#This Row],[Coated]]&lt;&gt;"",Tabela3[[#This Row],[Coated]]-Tabela3[[#This Row],[Not approved / Onhold]]-Tabela3[[#This Row],[Repair]],"")</f>
        <v>46</v>
      </c>
      <c r="T56" s="542" t="s">
        <v>85</v>
      </c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</row>
    <row r="57" spans="1:41">
      <c r="A57" s="223"/>
      <c r="B57" s="453"/>
      <c r="C57" s="224"/>
      <c r="D57" s="223"/>
      <c r="E57" s="223"/>
      <c r="F57" s="223"/>
      <c r="G57" s="225" t="str">
        <f>IF(Tabela1[[#This Row],[Repair]]&lt;&gt;"",Tabela1[[#This Row],[Coated]]-Tabela1[[#This Row],[Not approved / Onhold]]-Tabela1[[#This Row],[Repair]],"")</f>
        <v/>
      </c>
      <c r="H57" s="223"/>
      <c r="I57" s="223"/>
      <c r="J57" s="226"/>
      <c r="M57" s="226">
        <v>30</v>
      </c>
      <c r="N57" s="453">
        <v>46227</v>
      </c>
      <c r="O57" s="224">
        <v>1</v>
      </c>
      <c r="P57" s="230">
        <v>46</v>
      </c>
      <c r="Q57" s="230">
        <v>0</v>
      </c>
      <c r="R57" s="231">
        <v>0</v>
      </c>
      <c r="S57" s="230">
        <f>IF(Tabela3[[#This Row],[Coated]]&lt;&gt;"",Tabela3[[#This Row],[Coated]]-Tabela3[[#This Row],[Not approved / Onhold]]-Tabela3[[#This Row],[Repair]],"")</f>
        <v>46</v>
      </c>
      <c r="T57" s="542" t="s">
        <v>85</v>
      </c>
    </row>
    <row r="58" spans="1:41">
      <c r="A58" s="226"/>
      <c r="B58" s="453"/>
      <c r="C58" s="540"/>
      <c r="D58" s="226"/>
      <c r="E58" s="226"/>
      <c r="F58" s="226"/>
      <c r="G58" s="541" t="str">
        <f>IF(Tabela1[[#This Row],[Repair]]&lt;&gt;"",Tabela1[[#This Row],[Coated]]-Tabela1[[#This Row],[Not approved / Onhold]]-Tabela1[[#This Row],[Repair]],"")</f>
        <v/>
      </c>
      <c r="H58" s="226"/>
      <c r="I58" s="226"/>
      <c r="J58" s="226"/>
      <c r="M58" s="226">
        <v>30</v>
      </c>
      <c r="N58" s="453">
        <v>46227</v>
      </c>
      <c r="O58" s="540">
        <v>2</v>
      </c>
      <c r="P58" s="542">
        <v>53</v>
      </c>
      <c r="Q58" s="542">
        <v>0</v>
      </c>
      <c r="R58" s="543">
        <v>0</v>
      </c>
      <c r="S58" s="542">
        <f>IF(Tabela3[[#This Row],[Coated]]&lt;&gt;"",Tabela3[[#This Row],[Coated]]-Tabela3[[#This Row],[Not approved / Onhold]]-Tabela3[[#This Row],[Repair]],"")</f>
        <v>53</v>
      </c>
      <c r="T58" s="542" t="s">
        <v>85</v>
      </c>
    </row>
    <row r="59" spans="1:41">
      <c r="A59" s="226"/>
      <c r="B59" s="453"/>
      <c r="C59" s="540"/>
      <c r="D59" s="226"/>
      <c r="E59" s="226"/>
      <c r="F59" s="226"/>
      <c r="G59" s="541" t="str">
        <f>IF(Tabela1[[#This Row],[Repair]]&lt;&gt;"",Tabela1[[#This Row],[Coated]]-Tabela1[[#This Row],[Not approved / Onhold]]-Tabela1[[#This Row],[Repair]],"")</f>
        <v/>
      </c>
      <c r="H59" s="226"/>
      <c r="I59" s="226"/>
      <c r="J59" s="226"/>
      <c r="M59" s="226">
        <v>30</v>
      </c>
      <c r="N59" s="453">
        <v>46227</v>
      </c>
      <c r="O59" s="540">
        <v>3</v>
      </c>
      <c r="P59" s="542">
        <v>53</v>
      </c>
      <c r="Q59" s="542">
        <v>1</v>
      </c>
      <c r="R59" s="543">
        <v>0</v>
      </c>
      <c r="S59" s="542">
        <f>IF(Tabela3[[#This Row],[Coated]]&lt;&gt;"",Tabela3[[#This Row],[Coated]]-Tabela3[[#This Row],[Not approved / Onhold]]-Tabela3[[#This Row],[Repair]],"")</f>
        <v>52</v>
      </c>
      <c r="T59" s="542" t="s">
        <v>85</v>
      </c>
    </row>
    <row r="60" spans="1:41">
      <c r="A60" s="226"/>
      <c r="B60" s="453"/>
      <c r="C60" s="540"/>
      <c r="D60" s="226"/>
      <c r="E60" s="226"/>
      <c r="F60" s="226"/>
      <c r="G60" s="541" t="str">
        <f>IF(Tabela1[[#This Row],[Repair]]&lt;&gt;"",Tabela1[[#This Row],[Coated]]-Tabela1[[#This Row],[Not approved / Onhold]]-Tabela1[[#This Row],[Repair]],"")</f>
        <v/>
      </c>
      <c r="H60" s="226"/>
      <c r="I60" s="226"/>
      <c r="J60" s="226"/>
      <c r="M60" s="377">
        <v>30</v>
      </c>
      <c r="N60" s="453">
        <v>46228</v>
      </c>
      <c r="O60" s="540">
        <v>1</v>
      </c>
      <c r="P60" s="542">
        <v>7</v>
      </c>
      <c r="Q60" s="542">
        <v>0</v>
      </c>
      <c r="R60" s="543">
        <v>0</v>
      </c>
      <c r="S60" s="542">
        <f>IF(Tabela3[[#This Row],[Coated]]&lt;&gt;"",Tabela3[[#This Row],[Coated]]-Tabela3[[#This Row],[Not approved / Onhold]]-Tabela3[[#This Row],[Repair]],"")</f>
        <v>7</v>
      </c>
      <c r="T60" s="542" t="s">
        <v>85</v>
      </c>
    </row>
    <row r="61" spans="1:41">
      <c r="A61" s="226"/>
      <c r="B61" s="453"/>
      <c r="C61" s="540"/>
      <c r="D61" s="226"/>
      <c r="E61" s="226"/>
      <c r="F61" s="226"/>
      <c r="G61" s="541" t="str">
        <f>IF(Tabela1[[#This Row],[Repair]]&lt;&gt;"",Tabela1[[#This Row],[Coated]]-Tabela1[[#This Row],[Not approved / Onhold]]-Tabela1[[#This Row],[Repair]],"")</f>
        <v/>
      </c>
      <c r="H61" s="226"/>
      <c r="I61" s="226"/>
      <c r="J61" s="226"/>
      <c r="M61" s="377"/>
      <c r="N61" s="453"/>
      <c r="O61" s="540"/>
      <c r="P61" s="542"/>
      <c r="Q61" s="542"/>
      <c r="R61" s="543"/>
      <c r="S61" s="542" t="str">
        <f>IF(Tabela3[[#This Row],[Coated]]&lt;&gt;"",Tabela3[[#This Row],[Coated]]-Tabela3[[#This Row],[Not approved / Onhold]]-Tabela3[[#This Row],[Repair]],"")</f>
        <v/>
      </c>
      <c r="T61" s="542"/>
    </row>
    <row r="62" spans="1:41">
      <c r="A62" s="226"/>
      <c r="B62" s="453"/>
      <c r="C62" s="540"/>
      <c r="D62" s="226"/>
      <c r="E62" s="226"/>
      <c r="F62" s="226"/>
      <c r="G62" s="541" t="str">
        <f>IF(Tabela1[[#This Row],[Repair]]&lt;&gt;"",Tabela1[[#This Row],[Coated]]-Tabela1[[#This Row],[Not approved / Onhold]]-Tabela1[[#This Row],[Repair]],"")</f>
        <v/>
      </c>
      <c r="H62" s="226"/>
      <c r="I62" s="226"/>
      <c r="J62" s="226"/>
      <c r="M62" s="377"/>
      <c r="N62" s="453"/>
      <c r="O62" s="540"/>
      <c r="P62" s="542"/>
      <c r="Q62" s="542"/>
      <c r="R62" s="543"/>
      <c r="S62" s="542" t="str">
        <f>IF(Tabela3[[#This Row],[Coated]]&lt;&gt;"",Tabela3[[#This Row],[Coated]]-Tabela3[[#This Row],[Not approved / Onhold]]-Tabela3[[#This Row],[Repair]],"")</f>
        <v/>
      </c>
      <c r="T62" s="542"/>
    </row>
    <row r="63" spans="1:41">
      <c r="A63" s="226"/>
      <c r="B63" s="453"/>
      <c r="C63" s="540"/>
      <c r="D63" s="226"/>
      <c r="E63" s="226"/>
      <c r="F63" s="226"/>
      <c r="G63" s="541" t="str">
        <f>IF(Tabela1[[#This Row],[Repair]]&lt;&gt;"",Tabela1[[#This Row],[Coated]]-Tabela1[[#This Row],[Not approved / Onhold]]-Tabela1[[#This Row],[Repair]],"")</f>
        <v/>
      </c>
      <c r="H63" s="226"/>
      <c r="I63" s="226"/>
      <c r="J63" s="226"/>
      <c r="M63" s="377"/>
      <c r="N63" s="453"/>
      <c r="O63" s="540"/>
      <c r="P63" s="542"/>
      <c r="Q63" s="542"/>
      <c r="R63" s="543"/>
      <c r="S63" s="542" t="str">
        <f>IF(Tabela3[[#This Row],[Coated]]&lt;&gt;"",Tabela3[[#This Row],[Coated]]-Tabela3[[#This Row],[Not approved / Onhold]]-Tabela3[[#This Row],[Repair]],"")</f>
        <v/>
      </c>
      <c r="T63" s="542"/>
    </row>
    <row r="64" spans="1:41">
      <c r="A64" s="226"/>
      <c r="B64" s="453"/>
      <c r="C64" s="540"/>
      <c r="D64" s="226"/>
      <c r="E64" s="226"/>
      <c r="F64" s="226"/>
      <c r="G64" s="541" t="str">
        <f>IF(Tabela1[[#This Row],[Repair]]&lt;&gt;"",Tabela1[[#This Row],[Coated]]-Tabela1[[#This Row],[Not approved / Onhold]]-Tabela1[[#This Row],[Repair]],"")</f>
        <v/>
      </c>
      <c r="H64" s="226"/>
      <c r="I64" s="226"/>
      <c r="J64" s="226"/>
      <c r="M64" s="377"/>
      <c r="N64" s="453"/>
      <c r="O64" s="540"/>
      <c r="P64" s="542"/>
      <c r="Q64" s="542"/>
      <c r="R64" s="543"/>
      <c r="S64" s="542" t="str">
        <f>IF(Tabela3[[#This Row],[Coated]]&lt;&gt;"",Tabela3[[#This Row],[Coated]]-Tabela3[[#This Row],[Not approved / Onhold]]-Tabela3[[#This Row],[Repair]],"")</f>
        <v/>
      </c>
      <c r="T64" s="542"/>
    </row>
    <row r="65" spans="1:20">
      <c r="A65" s="226"/>
      <c r="B65" s="453"/>
      <c r="C65" s="540"/>
      <c r="D65" s="226"/>
      <c r="E65" s="226"/>
      <c r="F65" s="226"/>
      <c r="G65" s="541" t="str">
        <f>IF(Tabela1[[#This Row],[Repair]]&lt;&gt;"",Tabela1[[#This Row],[Coated]]-Tabela1[[#This Row],[Not approved / Onhold]]-Tabela1[[#This Row],[Repair]],"")</f>
        <v/>
      </c>
      <c r="H65" s="226"/>
      <c r="I65" s="226"/>
      <c r="J65" s="226"/>
      <c r="M65" s="377"/>
      <c r="N65" s="453"/>
      <c r="O65" s="540"/>
      <c r="P65" s="542"/>
      <c r="Q65" s="542"/>
      <c r="R65" s="543"/>
      <c r="S65" s="542" t="str">
        <f>IF(Tabela3[[#This Row],[Coated]]&lt;&gt;"",Tabela3[[#This Row],[Coated]]-Tabela3[[#This Row],[Not approved / Onhold]]-Tabela3[[#This Row],[Repair]],"")</f>
        <v/>
      </c>
      <c r="T65" s="542"/>
    </row>
    <row r="66" spans="1:20">
      <c r="A66" s="226"/>
      <c r="B66" s="453"/>
      <c r="C66" s="540"/>
      <c r="D66" s="226"/>
      <c r="E66" s="226"/>
      <c r="F66" s="226"/>
      <c r="G66" s="541" t="str">
        <f>IF(Tabela1[[#This Row],[Repair]]&lt;&gt;"",Tabela1[[#This Row],[Coated]]-Tabela1[[#This Row],[Not approved / Onhold]]-Tabela1[[#This Row],[Repair]],"")</f>
        <v/>
      </c>
      <c r="H66" s="226"/>
      <c r="I66" s="226"/>
      <c r="J66" s="226"/>
      <c r="M66" s="377"/>
      <c r="N66" s="453"/>
      <c r="O66" s="540"/>
      <c r="P66" s="542"/>
      <c r="Q66" s="542"/>
      <c r="R66" s="543"/>
      <c r="S66" s="542" t="str">
        <f>IF(Tabela3[[#This Row],[Coated]]&lt;&gt;"",Tabela3[[#This Row],[Coated]]-Tabela3[[#This Row],[Not approved / Onhold]]-Tabela3[[#This Row],[Repair]],"")</f>
        <v/>
      </c>
      <c r="T66" s="542"/>
    </row>
    <row r="67" spans="1:20">
      <c r="M67" s="377"/>
      <c r="N67" s="453"/>
      <c r="O67" s="540"/>
      <c r="P67" s="542"/>
      <c r="Q67" s="542"/>
      <c r="R67" s="543"/>
      <c r="S67" s="542" t="str">
        <f>IF(Tabela3[[#This Row],[Coated]]&lt;&gt;"",Tabela3[[#This Row],[Coated]]-Tabela3[[#This Row],[Not approved / Onhold]]-Tabela3[[#This Row],[Repair]],"")</f>
        <v/>
      </c>
      <c r="T67" s="542"/>
    </row>
  </sheetData>
  <mergeCells count="4">
    <mergeCell ref="M1:T1"/>
    <mergeCell ref="A1:J1"/>
    <mergeCell ref="M2:O2"/>
    <mergeCell ref="A2:C2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C157"/>
  <sheetViews>
    <sheetView showGridLines="0" tabSelected="1" zoomScaleNormal="100" workbookViewId="0">
      <pane ySplit="4" topLeftCell="A117" activePane="bottomLeft" state="frozen"/>
      <selection pane="bottomLeft" activeCell="G1" sqref="G1:G1048576"/>
    </sheetView>
  </sheetViews>
  <sheetFormatPr defaultRowHeight="14.5"/>
  <cols>
    <col min="1" max="1" width="12.36328125" customWidth="1"/>
    <col min="2" max="2" width="9.90625" customWidth="1"/>
    <col min="4" max="4" width="10.90625" customWidth="1"/>
    <col min="5" max="5" width="34" bestFit="1" customWidth="1"/>
    <col min="6" max="6" width="12.453125" customWidth="1"/>
    <col min="7" max="7" width="16.453125" customWidth="1"/>
    <col min="8" max="8" width="15.453125" hidden="1" customWidth="1"/>
    <col min="9" max="9" width="17.36328125" bestFit="1" customWidth="1"/>
    <col min="10" max="10" width="42.36328125" style="373" bestFit="1" customWidth="1"/>
    <col min="11" max="11" width="12.453125" style="374" hidden="1" customWidth="1"/>
    <col min="12" max="12" width="11.90625" style="527" hidden="1" customWidth="1"/>
    <col min="13" max="13" width="15.08984375" style="527" hidden="1" customWidth="1"/>
    <col min="14" max="14" width="9.08984375" style="531" hidden="1" customWidth="1"/>
    <col min="15" max="15" width="11.453125" style="527" hidden="1" customWidth="1"/>
    <col min="16" max="16" width="0" style="373" hidden="1"/>
    <col min="17" max="28" width="8.90625" style="318" customWidth="1"/>
  </cols>
  <sheetData>
    <row r="1" spans="1:29" ht="38.25" customHeight="1">
      <c r="A1" s="242" t="s">
        <v>342</v>
      </c>
      <c r="B1" s="243"/>
      <c r="C1" s="244"/>
      <c r="D1" s="244"/>
      <c r="E1" s="244"/>
      <c r="F1" s="244"/>
      <c r="G1" s="244"/>
      <c r="H1" s="244"/>
      <c r="I1" s="244"/>
      <c r="J1" s="456"/>
      <c r="L1" s="527" t="s">
        <v>343</v>
      </c>
      <c r="M1" s="527" t="s">
        <v>344</v>
      </c>
      <c r="N1" s="527"/>
    </row>
    <row r="2" spans="1:29" s="249" customFormat="1">
      <c r="A2" s="296" t="s">
        <v>343</v>
      </c>
      <c r="B2" s="246">
        <f>COUNTIF($F$5:$F$9806,L1)</f>
        <v>0</v>
      </c>
      <c r="C2" s="296" t="s">
        <v>345</v>
      </c>
      <c r="D2" s="246">
        <f>COUNTIF($F$5:$F$9806,L2)</f>
        <v>39</v>
      </c>
      <c r="E2" s="296" t="s">
        <v>335</v>
      </c>
      <c r="F2" s="246">
        <f>COUNTIF(F$5:F$1048576,L3)</f>
        <v>31</v>
      </c>
      <c r="G2" s="296" t="s">
        <v>346</v>
      </c>
      <c r="H2" s="247">
        <f>COUNTIF($F$5:$F$9806,L5)</f>
        <v>59</v>
      </c>
      <c r="I2" s="375"/>
      <c r="K2" s="528"/>
      <c r="L2" s="527" t="s">
        <v>347</v>
      </c>
      <c r="M2" s="527" t="s">
        <v>348</v>
      </c>
      <c r="N2" s="529"/>
      <c r="O2" s="529" t="s">
        <v>101</v>
      </c>
      <c r="P2" s="530"/>
      <c r="V2" s="319"/>
      <c r="W2" s="319"/>
      <c r="X2" s="319"/>
      <c r="Y2" s="319"/>
      <c r="Z2" s="319"/>
      <c r="AA2" s="319"/>
      <c r="AB2" s="319"/>
    </row>
    <row r="3" spans="1:29" s="249" customFormat="1" ht="17.25" customHeight="1">
      <c r="A3" s="273" t="s">
        <v>349</v>
      </c>
      <c r="B3" s="250"/>
      <c r="C3" s="250"/>
      <c r="D3" s="250"/>
      <c r="E3" s="250"/>
      <c r="F3" s="250"/>
      <c r="G3" s="250"/>
      <c r="H3" s="250"/>
      <c r="I3" s="455"/>
      <c r="J3" s="457"/>
      <c r="K3" s="528"/>
      <c r="L3" s="527" t="s">
        <v>335</v>
      </c>
      <c r="M3" s="527" t="s">
        <v>350</v>
      </c>
      <c r="N3" s="529"/>
      <c r="O3" s="529" t="s">
        <v>171</v>
      </c>
      <c r="P3" s="530"/>
      <c r="V3" s="319"/>
      <c r="W3" s="319"/>
      <c r="X3" s="319"/>
      <c r="Y3" s="319"/>
      <c r="Z3" s="319"/>
      <c r="AA3" s="319"/>
      <c r="AB3" s="319"/>
    </row>
    <row r="4" spans="1:29" ht="15" customHeight="1">
      <c r="A4" s="274" t="s">
        <v>331</v>
      </c>
      <c r="B4" s="274" t="s">
        <v>56</v>
      </c>
      <c r="C4" s="274" t="s">
        <v>57</v>
      </c>
      <c r="D4" s="275" t="s">
        <v>351</v>
      </c>
      <c r="E4" s="275" t="s">
        <v>352</v>
      </c>
      <c r="F4" s="274" t="s">
        <v>353</v>
      </c>
      <c r="G4" s="274" t="s">
        <v>354</v>
      </c>
      <c r="H4" s="275" t="s">
        <v>355</v>
      </c>
      <c r="I4" s="275" t="s">
        <v>356</v>
      </c>
      <c r="J4" s="458" t="s">
        <v>338</v>
      </c>
      <c r="K4" s="373"/>
      <c r="L4" s="529" t="s">
        <v>101</v>
      </c>
      <c r="M4" s="527" t="s">
        <v>357</v>
      </c>
      <c r="O4" s="527" t="s">
        <v>345</v>
      </c>
      <c r="AC4" s="318"/>
    </row>
    <row r="5" spans="1:29" ht="15" customHeight="1">
      <c r="A5" s="236">
        <v>27</v>
      </c>
      <c r="B5" s="453">
        <v>46205</v>
      </c>
      <c r="C5" s="237">
        <v>3</v>
      </c>
      <c r="D5" s="251" t="s">
        <v>358</v>
      </c>
      <c r="E5" s="252" t="s">
        <v>359</v>
      </c>
      <c r="F5" s="253" t="s">
        <v>335</v>
      </c>
      <c r="G5" s="253" t="s">
        <v>348</v>
      </c>
      <c r="H5" s="253"/>
      <c r="I5" s="453"/>
      <c r="J5" s="254"/>
      <c r="K5" s="373"/>
      <c r="L5" s="529" t="s">
        <v>171</v>
      </c>
      <c r="M5" s="529" t="s">
        <v>360</v>
      </c>
      <c r="O5" s="527" t="s">
        <v>335</v>
      </c>
      <c r="AC5" s="318"/>
    </row>
    <row r="6" spans="1:29">
      <c r="A6" s="236">
        <v>27</v>
      </c>
      <c r="B6" s="453">
        <v>46206</v>
      </c>
      <c r="C6" s="237">
        <v>2</v>
      </c>
      <c r="D6" s="251" t="s">
        <v>361</v>
      </c>
      <c r="E6" s="252" t="s">
        <v>362</v>
      </c>
      <c r="F6" s="253" t="s">
        <v>335</v>
      </c>
      <c r="G6" s="253" t="s">
        <v>360</v>
      </c>
      <c r="H6" s="253"/>
      <c r="I6" s="453"/>
      <c r="J6" s="254"/>
      <c r="K6" s="373"/>
      <c r="N6" s="527"/>
      <c r="O6" s="527" t="s">
        <v>350</v>
      </c>
      <c r="AC6" s="318"/>
    </row>
    <row r="7" spans="1:29">
      <c r="A7" s="236">
        <v>27</v>
      </c>
      <c r="B7" s="453">
        <v>46206</v>
      </c>
      <c r="C7" s="237">
        <v>2</v>
      </c>
      <c r="D7" s="251" t="s">
        <v>363</v>
      </c>
      <c r="E7" s="252" t="s">
        <v>364</v>
      </c>
      <c r="F7" s="253" t="s">
        <v>171</v>
      </c>
      <c r="G7" s="253" t="s">
        <v>360</v>
      </c>
      <c r="H7" s="438" t="s">
        <v>171</v>
      </c>
      <c r="I7" s="253"/>
      <c r="J7" s="254"/>
      <c r="K7" s="373"/>
      <c r="N7" s="527"/>
      <c r="AC7" s="318"/>
    </row>
    <row r="8" spans="1:29">
      <c r="A8" s="236">
        <v>27</v>
      </c>
      <c r="B8" s="453">
        <v>46206</v>
      </c>
      <c r="C8" s="237">
        <v>2</v>
      </c>
      <c r="D8" s="251" t="s">
        <v>365</v>
      </c>
      <c r="E8" s="252" t="s">
        <v>364</v>
      </c>
      <c r="F8" s="253" t="s">
        <v>171</v>
      </c>
      <c r="G8" s="253" t="s">
        <v>360</v>
      </c>
      <c r="H8" s="438" t="s">
        <v>171</v>
      </c>
      <c r="I8" s="253"/>
      <c r="J8" s="254"/>
      <c r="K8" s="373"/>
      <c r="N8" s="527"/>
      <c r="AC8" s="318"/>
    </row>
    <row r="9" spans="1:29">
      <c r="A9" s="236">
        <v>27</v>
      </c>
      <c r="B9" s="453">
        <v>46206</v>
      </c>
      <c r="C9" s="237">
        <v>2</v>
      </c>
      <c r="D9" s="251" t="s">
        <v>366</v>
      </c>
      <c r="E9" s="252" t="s">
        <v>364</v>
      </c>
      <c r="F9" s="253" t="s">
        <v>171</v>
      </c>
      <c r="G9" s="253" t="s">
        <v>360</v>
      </c>
      <c r="H9" s="438" t="s">
        <v>171</v>
      </c>
      <c r="I9" s="253"/>
      <c r="J9" s="254"/>
      <c r="K9" s="373"/>
      <c r="N9" s="527"/>
      <c r="AC9" s="318"/>
    </row>
    <row r="10" spans="1:29">
      <c r="A10" s="236">
        <v>27</v>
      </c>
      <c r="B10" s="453">
        <v>46206</v>
      </c>
      <c r="C10" s="237">
        <v>2</v>
      </c>
      <c r="D10" s="255" t="s">
        <v>367</v>
      </c>
      <c r="E10" s="252" t="s">
        <v>364</v>
      </c>
      <c r="F10" s="253" t="s">
        <v>171</v>
      </c>
      <c r="G10" s="253" t="s">
        <v>360</v>
      </c>
      <c r="H10" s="438" t="s">
        <v>171</v>
      </c>
      <c r="I10" s="438"/>
      <c r="J10" s="254"/>
      <c r="K10" s="373"/>
      <c r="N10" s="527"/>
      <c r="AC10" s="318"/>
    </row>
    <row r="11" spans="1:29">
      <c r="A11" s="236">
        <v>27</v>
      </c>
      <c r="B11" s="453">
        <v>46206</v>
      </c>
      <c r="C11" s="237">
        <v>2</v>
      </c>
      <c r="D11" s="251" t="s">
        <v>368</v>
      </c>
      <c r="E11" s="252" t="s">
        <v>369</v>
      </c>
      <c r="F11" s="253" t="s">
        <v>171</v>
      </c>
      <c r="G11" s="253" t="s">
        <v>360</v>
      </c>
      <c r="H11" s="438" t="s">
        <v>171</v>
      </c>
      <c r="I11" s="438"/>
      <c r="J11" s="254"/>
      <c r="K11" s="373"/>
      <c r="N11" s="527"/>
      <c r="AC11" s="318"/>
    </row>
    <row r="12" spans="1:29">
      <c r="A12" s="236">
        <v>27</v>
      </c>
      <c r="B12" s="453">
        <v>46207</v>
      </c>
      <c r="C12" s="237">
        <v>1</v>
      </c>
      <c r="D12" s="251" t="s">
        <v>370</v>
      </c>
      <c r="E12" s="252" t="s">
        <v>371</v>
      </c>
      <c r="F12" s="253" t="s">
        <v>347</v>
      </c>
      <c r="G12" s="253" t="s">
        <v>360</v>
      </c>
      <c r="H12" s="253"/>
      <c r="I12" s="253"/>
      <c r="J12" s="254"/>
      <c r="K12" s="373"/>
      <c r="N12" s="527"/>
      <c r="AC12" s="318"/>
    </row>
    <row r="13" spans="1:29">
      <c r="A13" s="236">
        <v>27</v>
      </c>
      <c r="B13" s="453">
        <v>46207</v>
      </c>
      <c r="C13" s="237">
        <v>1</v>
      </c>
      <c r="D13" s="251" t="s">
        <v>372</v>
      </c>
      <c r="E13" s="252" t="s">
        <v>371</v>
      </c>
      <c r="F13" s="253" t="s">
        <v>347</v>
      </c>
      <c r="G13" s="253" t="s">
        <v>360</v>
      </c>
      <c r="H13" s="253"/>
      <c r="I13" s="253"/>
      <c r="J13" s="254"/>
      <c r="K13" s="373"/>
      <c r="N13" s="527"/>
      <c r="AC13" s="318"/>
    </row>
    <row r="14" spans="1:29">
      <c r="A14" s="236">
        <v>27</v>
      </c>
      <c r="B14" s="453">
        <v>46207</v>
      </c>
      <c r="C14" s="237">
        <v>2</v>
      </c>
      <c r="D14" s="251" t="s">
        <v>373</v>
      </c>
      <c r="E14" s="252" t="s">
        <v>369</v>
      </c>
      <c r="F14" s="253" t="s">
        <v>335</v>
      </c>
      <c r="G14" s="253" t="s">
        <v>360</v>
      </c>
      <c r="H14" s="253"/>
      <c r="I14" s="453"/>
      <c r="J14" s="254"/>
      <c r="K14" s="373"/>
      <c r="N14" s="527"/>
      <c r="AC14" s="318"/>
    </row>
    <row r="15" spans="1:29">
      <c r="A15" s="236">
        <v>28</v>
      </c>
      <c r="B15" s="453">
        <v>46208</v>
      </c>
      <c r="C15" s="237">
        <v>3</v>
      </c>
      <c r="D15" s="251" t="s">
        <v>374</v>
      </c>
      <c r="E15" s="252" t="s">
        <v>375</v>
      </c>
      <c r="F15" s="253" t="s">
        <v>335</v>
      </c>
      <c r="G15" s="253" t="s">
        <v>360</v>
      </c>
      <c r="H15" s="253" t="s">
        <v>101</v>
      </c>
      <c r="I15" s="453">
        <v>46209</v>
      </c>
      <c r="J15" s="289"/>
      <c r="K15" s="373"/>
      <c r="N15" s="527"/>
      <c r="AC15" s="318"/>
    </row>
    <row r="16" spans="1:29">
      <c r="A16" s="236">
        <v>28</v>
      </c>
      <c r="B16" s="453">
        <v>46208</v>
      </c>
      <c r="C16" s="237">
        <v>3</v>
      </c>
      <c r="D16" s="251" t="s">
        <v>126</v>
      </c>
      <c r="E16" s="252" t="s">
        <v>376</v>
      </c>
      <c r="F16" s="253" t="s">
        <v>335</v>
      </c>
      <c r="G16" s="253" t="s">
        <v>348</v>
      </c>
      <c r="H16" s="438" t="s">
        <v>171</v>
      </c>
      <c r="I16" s="453">
        <v>46211</v>
      </c>
      <c r="J16" s="254" t="s">
        <v>377</v>
      </c>
      <c r="K16" s="373"/>
      <c r="N16" s="527"/>
      <c r="AC16" s="318"/>
    </row>
    <row r="17" spans="1:29">
      <c r="A17" s="236">
        <v>28</v>
      </c>
      <c r="B17" s="453">
        <v>46209</v>
      </c>
      <c r="C17" s="237">
        <v>1</v>
      </c>
      <c r="D17" s="251" t="s">
        <v>378</v>
      </c>
      <c r="E17" s="252" t="s">
        <v>379</v>
      </c>
      <c r="F17" s="253" t="s">
        <v>347</v>
      </c>
      <c r="G17" s="253" t="s">
        <v>348</v>
      </c>
      <c r="H17" s="253"/>
      <c r="I17" s="253"/>
      <c r="J17" s="254" t="s">
        <v>380</v>
      </c>
      <c r="K17" s="373"/>
      <c r="N17" s="527"/>
      <c r="AC17" s="318"/>
    </row>
    <row r="18" spans="1:29">
      <c r="A18" s="236">
        <v>28</v>
      </c>
      <c r="B18" s="453">
        <v>46209</v>
      </c>
      <c r="C18" s="237">
        <v>1</v>
      </c>
      <c r="D18" s="251" t="s">
        <v>381</v>
      </c>
      <c r="E18" s="253" t="s">
        <v>382</v>
      </c>
      <c r="F18" s="253" t="s">
        <v>347</v>
      </c>
      <c r="G18" s="253" t="s">
        <v>360</v>
      </c>
      <c r="H18" s="253"/>
      <c r="I18" s="253"/>
      <c r="J18" s="254"/>
      <c r="K18" s="373"/>
      <c r="N18" s="527"/>
      <c r="AC18" s="318"/>
    </row>
    <row r="19" spans="1:29">
      <c r="A19" s="236">
        <v>28</v>
      </c>
      <c r="B19" s="453">
        <v>46209</v>
      </c>
      <c r="C19" s="237">
        <v>1</v>
      </c>
      <c r="D19" s="251" t="s">
        <v>383</v>
      </c>
      <c r="E19" s="259" t="s">
        <v>384</v>
      </c>
      <c r="F19" s="253" t="s">
        <v>347</v>
      </c>
      <c r="G19" s="253" t="s">
        <v>348</v>
      </c>
      <c r="H19" s="253"/>
      <c r="I19" s="253"/>
      <c r="J19" s="254"/>
      <c r="K19" s="373"/>
      <c r="N19" s="527"/>
      <c r="AC19" s="318"/>
    </row>
    <row r="20" spans="1:29">
      <c r="A20" s="236">
        <v>28</v>
      </c>
      <c r="B20" s="453">
        <v>46209</v>
      </c>
      <c r="C20" s="237">
        <v>1</v>
      </c>
      <c r="D20" s="251" t="s">
        <v>385</v>
      </c>
      <c r="E20" s="259" t="s">
        <v>384</v>
      </c>
      <c r="F20" s="253" t="s">
        <v>347</v>
      </c>
      <c r="G20" s="253" t="s">
        <v>348</v>
      </c>
      <c r="H20" s="253"/>
      <c r="I20" s="253"/>
      <c r="J20" s="254"/>
      <c r="K20" s="373"/>
      <c r="N20" s="527"/>
      <c r="AC20" s="318"/>
    </row>
    <row r="21" spans="1:29">
      <c r="A21" s="236">
        <v>28</v>
      </c>
      <c r="B21" s="453">
        <v>46209</v>
      </c>
      <c r="C21" s="237">
        <v>1</v>
      </c>
      <c r="D21" s="251" t="s">
        <v>386</v>
      </c>
      <c r="E21" s="259" t="s">
        <v>384</v>
      </c>
      <c r="F21" s="253" t="s">
        <v>347</v>
      </c>
      <c r="G21" s="253" t="s">
        <v>348</v>
      </c>
      <c r="H21" s="253"/>
      <c r="I21" s="253"/>
      <c r="J21" s="254"/>
      <c r="K21" s="373"/>
      <c r="N21" s="527"/>
      <c r="AC21" s="318"/>
    </row>
    <row r="22" spans="1:29">
      <c r="A22" s="236">
        <v>28</v>
      </c>
      <c r="B22" s="453">
        <v>46209</v>
      </c>
      <c r="C22" s="237">
        <v>3</v>
      </c>
      <c r="D22" s="251" t="s">
        <v>387</v>
      </c>
      <c r="E22" s="253" t="s">
        <v>388</v>
      </c>
      <c r="F22" s="253" t="s">
        <v>171</v>
      </c>
      <c r="G22" s="253" t="s">
        <v>360</v>
      </c>
      <c r="H22" s="438" t="s">
        <v>171</v>
      </c>
      <c r="I22" s="438"/>
      <c r="J22" s="254"/>
      <c r="K22" s="373"/>
      <c r="N22" s="527"/>
      <c r="AC22" s="318"/>
    </row>
    <row r="23" spans="1:29">
      <c r="A23" s="236">
        <v>28</v>
      </c>
      <c r="B23" s="453">
        <v>46209</v>
      </c>
      <c r="C23" s="237">
        <v>3</v>
      </c>
      <c r="D23" s="251" t="s">
        <v>389</v>
      </c>
      <c r="E23" s="253" t="s">
        <v>390</v>
      </c>
      <c r="F23" s="253" t="s">
        <v>347</v>
      </c>
      <c r="G23" s="253" t="s">
        <v>348</v>
      </c>
      <c r="H23" s="253"/>
      <c r="I23" s="253"/>
      <c r="J23" s="254"/>
      <c r="K23" s="373"/>
      <c r="N23" s="527"/>
      <c r="AC23" s="318"/>
    </row>
    <row r="24" spans="1:29">
      <c r="A24" s="236">
        <v>28</v>
      </c>
      <c r="B24" s="453">
        <v>46210</v>
      </c>
      <c r="C24" s="257">
        <v>1</v>
      </c>
      <c r="D24" s="251" t="s">
        <v>391</v>
      </c>
      <c r="E24" s="252" t="s">
        <v>362</v>
      </c>
      <c r="F24" s="253" t="s">
        <v>335</v>
      </c>
      <c r="G24" s="253" t="s">
        <v>360</v>
      </c>
      <c r="H24" s="253" t="s">
        <v>101</v>
      </c>
      <c r="I24" s="453">
        <v>46220</v>
      </c>
      <c r="J24" s="254"/>
      <c r="K24" s="373"/>
      <c r="N24" s="527"/>
      <c r="AC24" s="318"/>
    </row>
    <row r="25" spans="1:29">
      <c r="A25" s="236">
        <v>28</v>
      </c>
      <c r="B25" s="453">
        <v>46210</v>
      </c>
      <c r="C25" s="257">
        <v>1</v>
      </c>
      <c r="D25" s="251" t="s">
        <v>392</v>
      </c>
      <c r="E25" s="253" t="s">
        <v>393</v>
      </c>
      <c r="F25" s="253" t="s">
        <v>335</v>
      </c>
      <c r="G25" s="253" t="s">
        <v>348</v>
      </c>
      <c r="H25" s="253"/>
      <c r="I25" s="453"/>
      <c r="J25" s="254"/>
      <c r="K25" s="373"/>
      <c r="N25" s="527"/>
      <c r="AC25" s="318"/>
    </row>
    <row r="26" spans="1:29">
      <c r="A26" s="236">
        <v>28</v>
      </c>
      <c r="B26" s="453">
        <v>46210</v>
      </c>
      <c r="C26" s="257">
        <v>1</v>
      </c>
      <c r="D26" s="251" t="s">
        <v>394</v>
      </c>
      <c r="E26" s="253" t="s">
        <v>393</v>
      </c>
      <c r="F26" s="253" t="s">
        <v>335</v>
      </c>
      <c r="G26" s="253" t="s">
        <v>348</v>
      </c>
      <c r="H26" s="253"/>
      <c r="I26" s="453"/>
      <c r="J26" s="254"/>
      <c r="K26" s="373"/>
      <c r="N26" s="527"/>
      <c r="AC26" s="318"/>
    </row>
    <row r="27" spans="1:29">
      <c r="A27" s="236">
        <v>28</v>
      </c>
      <c r="B27" s="453">
        <v>46210</v>
      </c>
      <c r="C27" s="257">
        <v>1</v>
      </c>
      <c r="D27" s="251" t="s">
        <v>395</v>
      </c>
      <c r="E27" s="253" t="s">
        <v>393</v>
      </c>
      <c r="F27" s="253" t="s">
        <v>335</v>
      </c>
      <c r="G27" s="253" t="s">
        <v>348</v>
      </c>
      <c r="H27" s="253"/>
      <c r="I27" s="453"/>
      <c r="J27" s="254"/>
      <c r="K27" s="373"/>
      <c r="N27" s="527"/>
      <c r="AC27" s="318"/>
    </row>
    <row r="28" spans="1:29">
      <c r="A28" s="256">
        <v>28</v>
      </c>
      <c r="B28" s="453">
        <v>46210</v>
      </c>
      <c r="C28" s="257">
        <v>3</v>
      </c>
      <c r="D28" s="251" t="s">
        <v>396</v>
      </c>
      <c r="E28" s="253" t="s">
        <v>397</v>
      </c>
      <c r="F28" s="253" t="s">
        <v>171</v>
      </c>
      <c r="G28" s="253" t="s">
        <v>360</v>
      </c>
      <c r="H28" s="438" t="s">
        <v>171</v>
      </c>
      <c r="I28" s="438"/>
      <c r="J28" s="254"/>
      <c r="K28" s="373"/>
      <c r="N28" s="527"/>
      <c r="AC28" s="318"/>
    </row>
    <row r="29" spans="1:29">
      <c r="A29" s="256">
        <v>28</v>
      </c>
      <c r="B29" s="453">
        <v>46210</v>
      </c>
      <c r="C29" s="257">
        <v>3</v>
      </c>
      <c r="D29" s="251" t="s">
        <v>398</v>
      </c>
      <c r="E29" s="253" t="s">
        <v>397</v>
      </c>
      <c r="F29" s="253" t="s">
        <v>171</v>
      </c>
      <c r="G29" s="253" t="s">
        <v>360</v>
      </c>
      <c r="H29" s="438" t="s">
        <v>171</v>
      </c>
      <c r="I29" s="438"/>
      <c r="J29" s="254"/>
      <c r="K29" s="373"/>
      <c r="N29" s="527"/>
      <c r="AC29" s="318"/>
    </row>
    <row r="30" spans="1:29">
      <c r="A30" s="256">
        <v>28</v>
      </c>
      <c r="B30" s="453">
        <v>46211</v>
      </c>
      <c r="C30" s="257">
        <v>1</v>
      </c>
      <c r="D30" s="251" t="s">
        <v>399</v>
      </c>
      <c r="E30" s="253" t="s">
        <v>400</v>
      </c>
      <c r="F30" s="253" t="s">
        <v>347</v>
      </c>
      <c r="G30" s="253" t="s">
        <v>348</v>
      </c>
      <c r="H30" s="253" t="s">
        <v>101</v>
      </c>
      <c r="I30" s="453">
        <v>46212</v>
      </c>
      <c r="J30" s="254" t="s">
        <v>401</v>
      </c>
      <c r="K30" s="373"/>
      <c r="N30" s="527"/>
      <c r="AC30" s="318"/>
    </row>
    <row r="31" spans="1:29">
      <c r="A31" s="256">
        <v>28</v>
      </c>
      <c r="B31" s="453">
        <v>46211</v>
      </c>
      <c r="C31" s="257">
        <v>1</v>
      </c>
      <c r="D31" s="251" t="s">
        <v>402</v>
      </c>
      <c r="E31" s="253" t="s">
        <v>400</v>
      </c>
      <c r="F31" s="253" t="s">
        <v>347</v>
      </c>
      <c r="G31" s="253" t="s">
        <v>348</v>
      </c>
      <c r="H31" s="253" t="s">
        <v>101</v>
      </c>
      <c r="I31" s="453">
        <v>46212</v>
      </c>
      <c r="J31" s="254" t="s">
        <v>403</v>
      </c>
      <c r="K31" s="373"/>
      <c r="N31" s="527"/>
      <c r="AC31" s="318"/>
    </row>
    <row r="32" spans="1:29">
      <c r="A32" s="256">
        <v>28</v>
      </c>
      <c r="B32" s="453">
        <v>46211</v>
      </c>
      <c r="C32" s="257">
        <v>1</v>
      </c>
      <c r="D32" s="251" t="s">
        <v>404</v>
      </c>
      <c r="E32" s="253" t="s">
        <v>400</v>
      </c>
      <c r="F32" s="253" t="s">
        <v>347</v>
      </c>
      <c r="G32" s="253" t="s">
        <v>348</v>
      </c>
      <c r="H32" s="253" t="s">
        <v>101</v>
      </c>
      <c r="I32" s="453">
        <v>46212</v>
      </c>
      <c r="J32" s="254" t="s">
        <v>405</v>
      </c>
      <c r="K32" s="373"/>
      <c r="N32" s="527"/>
      <c r="AC32" s="318"/>
    </row>
    <row r="33" spans="1:29">
      <c r="A33" s="256">
        <v>28</v>
      </c>
      <c r="B33" s="453">
        <v>46211</v>
      </c>
      <c r="C33" s="257">
        <v>1</v>
      </c>
      <c r="D33" s="251" t="s">
        <v>406</v>
      </c>
      <c r="E33" s="253" t="s">
        <v>407</v>
      </c>
      <c r="F33" s="253" t="s">
        <v>335</v>
      </c>
      <c r="G33" s="253" t="s">
        <v>360</v>
      </c>
      <c r="H33" s="253" t="s">
        <v>101</v>
      </c>
      <c r="I33" s="453">
        <v>46211</v>
      </c>
      <c r="J33" s="254"/>
      <c r="K33" s="373"/>
      <c r="N33" s="527"/>
      <c r="AC33" s="318"/>
    </row>
    <row r="34" spans="1:29">
      <c r="A34" s="256">
        <v>28</v>
      </c>
      <c r="B34" s="453">
        <v>46211</v>
      </c>
      <c r="C34" s="257">
        <v>1</v>
      </c>
      <c r="D34" s="251" t="s">
        <v>408</v>
      </c>
      <c r="E34" s="253" t="s">
        <v>407</v>
      </c>
      <c r="F34" s="253" t="s">
        <v>335</v>
      </c>
      <c r="G34" s="253" t="s">
        <v>360</v>
      </c>
      <c r="H34" s="253" t="s">
        <v>101</v>
      </c>
      <c r="I34" s="453">
        <v>46211</v>
      </c>
      <c r="J34" s="254"/>
      <c r="K34" s="373"/>
      <c r="N34" s="527"/>
      <c r="AC34" s="318"/>
    </row>
    <row r="35" spans="1:29">
      <c r="A35" s="256">
        <v>28</v>
      </c>
      <c r="B35" s="453">
        <v>46211</v>
      </c>
      <c r="C35" s="257">
        <v>1</v>
      </c>
      <c r="D35" s="411" t="s">
        <v>409</v>
      </c>
      <c r="E35" s="253" t="s">
        <v>410</v>
      </c>
      <c r="F35" s="253" t="s">
        <v>335</v>
      </c>
      <c r="G35" s="253" t="s">
        <v>360</v>
      </c>
      <c r="H35" s="260"/>
      <c r="I35" s="453"/>
      <c r="J35" s="261" t="s">
        <v>411</v>
      </c>
      <c r="K35" s="373"/>
      <c r="N35" s="527"/>
      <c r="AC35" s="318"/>
    </row>
    <row r="36" spans="1:29">
      <c r="A36" s="256">
        <v>28</v>
      </c>
      <c r="B36" s="453">
        <v>46211</v>
      </c>
      <c r="C36" s="257">
        <v>1</v>
      </c>
      <c r="D36" s="251" t="s">
        <v>412</v>
      </c>
      <c r="E36" s="253" t="s">
        <v>407</v>
      </c>
      <c r="F36" s="253" t="s">
        <v>335</v>
      </c>
      <c r="G36" s="253" t="s">
        <v>360</v>
      </c>
      <c r="H36" s="253" t="s">
        <v>101</v>
      </c>
      <c r="I36" s="453">
        <v>46211</v>
      </c>
      <c r="J36" s="254"/>
      <c r="K36" s="373"/>
      <c r="N36" s="527"/>
      <c r="AC36" s="318"/>
    </row>
    <row r="37" spans="1:29">
      <c r="A37" s="256">
        <v>28</v>
      </c>
      <c r="B37" s="453">
        <v>46211</v>
      </c>
      <c r="C37" s="257">
        <v>1</v>
      </c>
      <c r="D37" s="255" t="s">
        <v>413</v>
      </c>
      <c r="E37" s="253" t="s">
        <v>407</v>
      </c>
      <c r="F37" s="253" t="s">
        <v>335</v>
      </c>
      <c r="G37" s="253" t="s">
        <v>360</v>
      </c>
      <c r="H37" s="253" t="s">
        <v>101</v>
      </c>
      <c r="I37" s="453">
        <v>46211</v>
      </c>
      <c r="J37" s="261"/>
      <c r="K37" s="373"/>
      <c r="N37" s="527"/>
      <c r="AC37" s="318"/>
    </row>
    <row r="38" spans="1:29">
      <c r="A38" s="256">
        <v>28</v>
      </c>
      <c r="B38" s="453">
        <v>46211</v>
      </c>
      <c r="C38" s="257">
        <v>1</v>
      </c>
      <c r="D38" s="255" t="s">
        <v>414</v>
      </c>
      <c r="E38" s="253" t="s">
        <v>407</v>
      </c>
      <c r="F38" s="253" t="s">
        <v>335</v>
      </c>
      <c r="G38" s="253" t="s">
        <v>360</v>
      </c>
      <c r="H38" s="253" t="s">
        <v>101</v>
      </c>
      <c r="I38" s="453">
        <v>46211</v>
      </c>
      <c r="J38" s="261"/>
      <c r="K38" s="373"/>
      <c r="N38" s="527"/>
      <c r="AC38" s="318"/>
    </row>
    <row r="39" spans="1:29">
      <c r="A39" s="256">
        <v>28</v>
      </c>
      <c r="B39" s="453">
        <v>46211</v>
      </c>
      <c r="C39" s="257">
        <v>1</v>
      </c>
      <c r="D39" s="255" t="s">
        <v>415</v>
      </c>
      <c r="E39" s="253" t="s">
        <v>407</v>
      </c>
      <c r="F39" s="253" t="s">
        <v>335</v>
      </c>
      <c r="G39" s="253" t="s">
        <v>360</v>
      </c>
      <c r="H39" s="253" t="s">
        <v>101</v>
      </c>
      <c r="I39" s="453">
        <v>46211</v>
      </c>
      <c r="J39" s="261"/>
      <c r="K39" s="373"/>
      <c r="N39" s="527"/>
      <c r="AC39" s="318"/>
    </row>
    <row r="40" spans="1:29">
      <c r="A40" s="256">
        <v>28</v>
      </c>
      <c r="B40" s="453">
        <v>46211</v>
      </c>
      <c r="C40" s="257">
        <v>1</v>
      </c>
      <c r="D40" s="411" t="s">
        <v>416</v>
      </c>
      <c r="E40" s="253" t="s">
        <v>417</v>
      </c>
      <c r="F40" s="253" t="s">
        <v>347</v>
      </c>
      <c r="G40" s="253" t="s">
        <v>348</v>
      </c>
      <c r="H40" s="253"/>
      <c r="I40" s="453"/>
      <c r="J40" s="254"/>
      <c r="K40" s="373"/>
      <c r="N40" s="527"/>
      <c r="AC40" s="318"/>
    </row>
    <row r="41" spans="1:29">
      <c r="A41" s="256">
        <v>28</v>
      </c>
      <c r="B41" s="453">
        <v>46211</v>
      </c>
      <c r="C41" s="263">
        <v>3</v>
      </c>
      <c r="D41" s="255" t="s">
        <v>418</v>
      </c>
      <c r="E41" s="253" t="s">
        <v>419</v>
      </c>
      <c r="F41" s="253" t="s">
        <v>171</v>
      </c>
      <c r="G41" s="253" t="s">
        <v>360</v>
      </c>
      <c r="H41" s="438" t="s">
        <v>171</v>
      </c>
      <c r="I41" s="453">
        <v>46211</v>
      </c>
      <c r="J41" s="261"/>
      <c r="K41" s="373"/>
      <c r="N41" s="527"/>
      <c r="AC41" s="318"/>
    </row>
    <row r="42" spans="1:29">
      <c r="A42" s="256">
        <v>28</v>
      </c>
      <c r="B42" s="453">
        <v>46211</v>
      </c>
      <c r="C42" s="263">
        <v>3</v>
      </c>
      <c r="D42" s="255" t="s">
        <v>420</v>
      </c>
      <c r="E42" s="253" t="s">
        <v>419</v>
      </c>
      <c r="F42" s="253" t="s">
        <v>171</v>
      </c>
      <c r="G42" s="253" t="s">
        <v>360</v>
      </c>
      <c r="H42" s="438" t="s">
        <v>171</v>
      </c>
      <c r="I42" s="453">
        <v>46211</v>
      </c>
      <c r="J42" s="261"/>
      <c r="K42" s="373"/>
      <c r="N42" s="527"/>
      <c r="AC42" s="318"/>
    </row>
    <row r="43" spans="1:29">
      <c r="A43" s="256">
        <v>28</v>
      </c>
      <c r="B43" s="453">
        <v>46211</v>
      </c>
      <c r="C43" s="263">
        <v>3</v>
      </c>
      <c r="D43" s="255" t="s">
        <v>421</v>
      </c>
      <c r="E43" s="253" t="s">
        <v>419</v>
      </c>
      <c r="F43" s="253" t="s">
        <v>171</v>
      </c>
      <c r="G43" s="253" t="s">
        <v>360</v>
      </c>
      <c r="H43" s="438" t="s">
        <v>171</v>
      </c>
      <c r="I43" s="453">
        <v>46211</v>
      </c>
      <c r="J43" s="261"/>
      <c r="K43" s="373"/>
      <c r="N43" s="527"/>
      <c r="AC43" s="318"/>
    </row>
    <row r="44" spans="1:29">
      <c r="A44" s="256">
        <v>28</v>
      </c>
      <c r="B44" s="453">
        <v>46212</v>
      </c>
      <c r="C44" s="263">
        <v>1</v>
      </c>
      <c r="D44" s="255" t="s">
        <v>115</v>
      </c>
      <c r="E44" s="253" t="s">
        <v>422</v>
      </c>
      <c r="F44" s="253" t="s">
        <v>347</v>
      </c>
      <c r="G44" s="253" t="s">
        <v>348</v>
      </c>
      <c r="H44" s="260"/>
      <c r="I44" s="453"/>
      <c r="J44" s="261"/>
      <c r="K44" s="373"/>
      <c r="N44" s="527"/>
      <c r="AC44" s="318"/>
    </row>
    <row r="45" spans="1:29">
      <c r="A45" s="256">
        <v>28</v>
      </c>
      <c r="B45" s="453">
        <v>46212</v>
      </c>
      <c r="C45" s="263">
        <v>1</v>
      </c>
      <c r="D45" s="251" t="s">
        <v>423</v>
      </c>
      <c r="E45" s="253" t="s">
        <v>422</v>
      </c>
      <c r="F45" s="253" t="s">
        <v>347</v>
      </c>
      <c r="G45" s="253" t="s">
        <v>348</v>
      </c>
      <c r="H45" s="253"/>
      <c r="I45" s="453"/>
      <c r="J45" s="254"/>
      <c r="K45" s="373"/>
      <c r="N45" s="527"/>
      <c r="AC45" s="318"/>
    </row>
    <row r="46" spans="1:29">
      <c r="A46" s="262">
        <v>28</v>
      </c>
      <c r="B46" s="453">
        <v>46212</v>
      </c>
      <c r="C46" s="263">
        <v>2</v>
      </c>
      <c r="D46" s="251" t="s">
        <v>424</v>
      </c>
      <c r="E46" s="252" t="s">
        <v>425</v>
      </c>
      <c r="F46" s="253" t="s">
        <v>171</v>
      </c>
      <c r="G46" s="253" t="s">
        <v>360</v>
      </c>
      <c r="H46" s="438" t="s">
        <v>171</v>
      </c>
      <c r="I46" s="453"/>
      <c r="J46" s="261"/>
      <c r="K46" s="373"/>
      <c r="N46" s="527"/>
      <c r="AC46" s="318"/>
    </row>
    <row r="47" spans="1:29">
      <c r="A47" s="256">
        <v>28</v>
      </c>
      <c r="B47" s="453">
        <v>46212</v>
      </c>
      <c r="C47" s="263">
        <v>3</v>
      </c>
      <c r="D47" s="255" t="s">
        <v>426</v>
      </c>
      <c r="E47" s="253" t="s">
        <v>382</v>
      </c>
      <c r="F47" s="253" t="s">
        <v>347</v>
      </c>
      <c r="G47" s="253" t="s">
        <v>348</v>
      </c>
      <c r="H47" s="260"/>
      <c r="I47" s="453"/>
      <c r="J47" s="261"/>
      <c r="K47" s="373"/>
      <c r="N47" s="527"/>
      <c r="AC47" s="318"/>
    </row>
    <row r="48" spans="1:29">
      <c r="A48" s="256">
        <v>28</v>
      </c>
      <c r="B48" s="453">
        <v>46212</v>
      </c>
      <c r="C48" s="263">
        <v>3</v>
      </c>
      <c r="D48" s="255" t="s">
        <v>427</v>
      </c>
      <c r="E48" s="253" t="s">
        <v>382</v>
      </c>
      <c r="F48" s="253" t="s">
        <v>347</v>
      </c>
      <c r="G48" s="253" t="s">
        <v>348</v>
      </c>
      <c r="H48" s="260"/>
      <c r="I48" s="453"/>
      <c r="J48" s="261"/>
      <c r="K48" s="373"/>
      <c r="N48" s="527"/>
      <c r="AC48" s="318"/>
    </row>
    <row r="49" spans="1:29">
      <c r="A49" s="256">
        <v>28</v>
      </c>
      <c r="B49" s="453">
        <v>46212</v>
      </c>
      <c r="C49" s="263">
        <v>3</v>
      </c>
      <c r="D49" s="255" t="s">
        <v>428</v>
      </c>
      <c r="E49" s="253" t="s">
        <v>382</v>
      </c>
      <c r="F49" s="253" t="s">
        <v>347</v>
      </c>
      <c r="G49" s="253" t="s">
        <v>348</v>
      </c>
      <c r="H49" s="260"/>
      <c r="I49" s="453"/>
      <c r="J49" s="261"/>
      <c r="K49" s="373"/>
      <c r="N49" s="527"/>
      <c r="AC49" s="318"/>
    </row>
    <row r="50" spans="1:29">
      <c r="A50" s="256">
        <v>28</v>
      </c>
      <c r="B50" s="453">
        <v>46212</v>
      </c>
      <c r="C50" s="263">
        <v>3</v>
      </c>
      <c r="D50" s="255" t="s">
        <v>429</v>
      </c>
      <c r="E50" s="253" t="s">
        <v>382</v>
      </c>
      <c r="F50" s="253" t="s">
        <v>347</v>
      </c>
      <c r="G50" s="253" t="s">
        <v>348</v>
      </c>
      <c r="H50" s="260"/>
      <c r="I50" s="453"/>
      <c r="J50" s="254"/>
      <c r="K50" s="373"/>
      <c r="N50" s="527"/>
      <c r="AC50" s="318"/>
    </row>
    <row r="51" spans="1:29">
      <c r="A51" s="256">
        <v>28</v>
      </c>
      <c r="B51" s="453">
        <v>46212</v>
      </c>
      <c r="C51" s="263">
        <v>3</v>
      </c>
      <c r="D51" s="251" t="s">
        <v>430</v>
      </c>
      <c r="E51" s="253" t="s">
        <v>382</v>
      </c>
      <c r="F51" s="253" t="s">
        <v>347</v>
      </c>
      <c r="G51" s="253" t="s">
        <v>348</v>
      </c>
      <c r="H51" s="253"/>
      <c r="I51" s="453"/>
      <c r="J51" s="254"/>
      <c r="K51" s="373"/>
      <c r="N51" s="527"/>
      <c r="AC51" s="318"/>
    </row>
    <row r="52" spans="1:29">
      <c r="A52" s="234">
        <v>29</v>
      </c>
      <c r="B52" s="453">
        <v>46216</v>
      </c>
      <c r="C52" s="263">
        <v>1</v>
      </c>
      <c r="D52" s="255" t="s">
        <v>431</v>
      </c>
      <c r="E52" s="253" t="s">
        <v>432</v>
      </c>
      <c r="F52" s="253" t="s">
        <v>171</v>
      </c>
      <c r="G52" s="253" t="s">
        <v>360</v>
      </c>
      <c r="H52" s="438" t="s">
        <v>171</v>
      </c>
      <c r="I52" s="453"/>
      <c r="J52" s="261"/>
      <c r="K52" s="373"/>
      <c r="N52" s="527"/>
      <c r="AC52" s="318"/>
    </row>
    <row r="53" spans="1:29">
      <c r="A53" s="234">
        <v>29</v>
      </c>
      <c r="B53" s="453">
        <v>46216</v>
      </c>
      <c r="C53" s="224">
        <v>3</v>
      </c>
      <c r="D53" s="255" t="s">
        <v>433</v>
      </c>
      <c r="E53" s="253" t="s">
        <v>434</v>
      </c>
      <c r="F53" s="253" t="s">
        <v>347</v>
      </c>
      <c r="G53" s="253" t="s">
        <v>360</v>
      </c>
      <c r="H53" s="260"/>
      <c r="I53" s="453"/>
      <c r="J53" s="261"/>
      <c r="K53" s="373"/>
      <c r="N53" s="527"/>
      <c r="AC53" s="318"/>
    </row>
    <row r="54" spans="1:29">
      <c r="A54" s="234">
        <v>29</v>
      </c>
      <c r="B54" s="453">
        <v>46216</v>
      </c>
      <c r="C54" s="224">
        <v>3</v>
      </c>
      <c r="D54" s="251" t="s">
        <v>435</v>
      </c>
      <c r="E54" s="253" t="s">
        <v>436</v>
      </c>
      <c r="F54" s="253" t="s">
        <v>347</v>
      </c>
      <c r="G54" s="253" t="s">
        <v>348</v>
      </c>
      <c r="H54" s="253"/>
      <c r="I54" s="453"/>
      <c r="J54" s="254"/>
      <c r="K54" s="373"/>
      <c r="N54" s="527"/>
      <c r="AC54" s="318"/>
    </row>
    <row r="55" spans="1:29">
      <c r="A55" s="234">
        <v>29</v>
      </c>
      <c r="B55" s="453">
        <v>46216</v>
      </c>
      <c r="C55" s="224">
        <v>3</v>
      </c>
      <c r="D55" s="255" t="s">
        <v>437</v>
      </c>
      <c r="E55" s="253" t="s">
        <v>436</v>
      </c>
      <c r="F55" s="253" t="s">
        <v>347</v>
      </c>
      <c r="G55" s="253" t="s">
        <v>348</v>
      </c>
      <c r="H55" s="260"/>
      <c r="I55" s="453"/>
      <c r="J55" s="261"/>
      <c r="K55" s="373"/>
      <c r="N55" s="527"/>
      <c r="AC55" s="318"/>
    </row>
    <row r="56" spans="1:29">
      <c r="A56" s="234">
        <v>29</v>
      </c>
      <c r="B56" s="453">
        <v>46216</v>
      </c>
      <c r="C56" s="224">
        <v>3</v>
      </c>
      <c r="D56" s="255" t="s">
        <v>438</v>
      </c>
      <c r="E56" s="253" t="s">
        <v>436</v>
      </c>
      <c r="F56" s="253" t="s">
        <v>347</v>
      </c>
      <c r="G56" s="253" t="s">
        <v>348</v>
      </c>
      <c r="H56" s="260"/>
      <c r="I56" s="453"/>
      <c r="J56" s="261"/>
      <c r="K56" s="373"/>
      <c r="N56" s="527"/>
      <c r="AC56" s="318"/>
    </row>
    <row r="57" spans="1:29">
      <c r="A57" s="223">
        <v>29</v>
      </c>
      <c r="B57" s="453">
        <v>46217</v>
      </c>
      <c r="C57" s="224">
        <v>1</v>
      </c>
      <c r="D57" s="251" t="s">
        <v>152</v>
      </c>
      <c r="E57" s="253" t="s">
        <v>439</v>
      </c>
      <c r="F57" s="253" t="s">
        <v>171</v>
      </c>
      <c r="G57" s="253" t="s">
        <v>360</v>
      </c>
      <c r="H57" s="438" t="s">
        <v>171</v>
      </c>
      <c r="I57" s="453"/>
      <c r="J57" s="254"/>
      <c r="K57" s="373"/>
      <c r="N57" s="527"/>
      <c r="AC57" s="318"/>
    </row>
    <row r="58" spans="1:29">
      <c r="A58" s="223">
        <v>29</v>
      </c>
      <c r="B58" s="453">
        <v>46217</v>
      </c>
      <c r="C58" s="224">
        <v>1</v>
      </c>
      <c r="D58" s="255" t="s">
        <v>440</v>
      </c>
      <c r="E58" s="253" t="s">
        <v>441</v>
      </c>
      <c r="F58" s="253" t="s">
        <v>171</v>
      </c>
      <c r="G58" s="253" t="s">
        <v>360</v>
      </c>
      <c r="H58" s="438" t="s">
        <v>171</v>
      </c>
      <c r="I58" s="453"/>
      <c r="J58" s="261"/>
      <c r="K58" s="373"/>
      <c r="N58" s="527"/>
      <c r="AC58" s="318"/>
    </row>
    <row r="59" spans="1:29">
      <c r="A59" s="223">
        <v>29</v>
      </c>
      <c r="B59" s="453">
        <v>46217</v>
      </c>
      <c r="C59" s="224">
        <v>1</v>
      </c>
      <c r="D59" s="255" t="s">
        <v>442</v>
      </c>
      <c r="E59" s="253" t="s">
        <v>443</v>
      </c>
      <c r="F59" s="253" t="s">
        <v>347</v>
      </c>
      <c r="G59" s="253" t="s">
        <v>348</v>
      </c>
      <c r="H59" s="260"/>
      <c r="I59" s="453"/>
      <c r="J59" s="261"/>
      <c r="K59" s="373"/>
      <c r="N59" s="527"/>
      <c r="AC59" s="318"/>
    </row>
    <row r="60" spans="1:29">
      <c r="A60" s="223">
        <v>29</v>
      </c>
      <c r="B60" s="453">
        <v>46217</v>
      </c>
      <c r="C60" s="224">
        <v>1</v>
      </c>
      <c r="D60" s="251" t="s">
        <v>444</v>
      </c>
      <c r="E60" s="253" t="s">
        <v>335</v>
      </c>
      <c r="F60" s="253" t="s">
        <v>347</v>
      </c>
      <c r="G60" s="253" t="s">
        <v>348</v>
      </c>
      <c r="H60" s="253"/>
      <c r="I60" s="453"/>
      <c r="J60" s="254"/>
      <c r="K60" s="373"/>
      <c r="N60" s="527"/>
      <c r="AC60" s="318"/>
    </row>
    <row r="61" spans="1:29">
      <c r="A61" s="223">
        <v>29</v>
      </c>
      <c r="B61" s="453">
        <v>46217</v>
      </c>
      <c r="C61" s="224">
        <v>1</v>
      </c>
      <c r="D61" s="255" t="s">
        <v>423</v>
      </c>
      <c r="E61" s="253" t="s">
        <v>443</v>
      </c>
      <c r="F61" s="253" t="s">
        <v>347</v>
      </c>
      <c r="G61" s="253" t="s">
        <v>348</v>
      </c>
      <c r="H61" s="260"/>
      <c r="I61" s="453"/>
      <c r="J61" s="261"/>
      <c r="K61" s="373"/>
      <c r="N61" s="527"/>
      <c r="AC61" s="318"/>
    </row>
    <row r="62" spans="1:29">
      <c r="A62" s="223">
        <v>29</v>
      </c>
      <c r="B62" s="453">
        <v>46217</v>
      </c>
      <c r="C62" s="224">
        <v>1</v>
      </c>
      <c r="D62" s="255" t="s">
        <v>404</v>
      </c>
      <c r="E62" s="253" t="s">
        <v>445</v>
      </c>
      <c r="F62" s="253" t="s">
        <v>347</v>
      </c>
      <c r="G62" s="253" t="s">
        <v>348</v>
      </c>
      <c r="H62" s="260"/>
      <c r="I62" s="453"/>
      <c r="J62" s="261"/>
      <c r="K62" s="373"/>
      <c r="N62" s="527"/>
      <c r="AC62" s="318"/>
    </row>
    <row r="63" spans="1:29">
      <c r="A63" s="223">
        <v>29</v>
      </c>
      <c r="B63" s="453">
        <v>46217</v>
      </c>
      <c r="C63" s="235">
        <v>2</v>
      </c>
      <c r="D63" s="251" t="s">
        <v>446</v>
      </c>
      <c r="E63" s="253" t="s">
        <v>447</v>
      </c>
      <c r="F63" s="253" t="s">
        <v>171</v>
      </c>
      <c r="G63" s="253" t="s">
        <v>348</v>
      </c>
      <c r="H63" s="438" t="s">
        <v>171</v>
      </c>
      <c r="I63" s="453"/>
      <c r="J63" s="254"/>
      <c r="K63" s="373"/>
      <c r="N63" s="527"/>
      <c r="AC63" s="318"/>
    </row>
    <row r="64" spans="1:29">
      <c r="A64" s="223">
        <v>29</v>
      </c>
      <c r="B64" s="453">
        <v>46217</v>
      </c>
      <c r="C64" s="235">
        <v>2</v>
      </c>
      <c r="D64" s="251" t="s">
        <v>448</v>
      </c>
      <c r="E64" s="253" t="s">
        <v>449</v>
      </c>
      <c r="F64" s="253" t="s">
        <v>171</v>
      </c>
      <c r="G64" s="253" t="s">
        <v>348</v>
      </c>
      <c r="H64" s="438" t="s">
        <v>171</v>
      </c>
      <c r="I64" s="453"/>
      <c r="J64" s="254"/>
      <c r="K64" s="373"/>
      <c r="N64" s="527"/>
      <c r="AC64" s="318"/>
    </row>
    <row r="65" spans="1:29">
      <c r="A65" s="223">
        <v>29</v>
      </c>
      <c r="B65" s="453">
        <v>46217</v>
      </c>
      <c r="C65" s="235">
        <v>2</v>
      </c>
      <c r="D65" s="251" t="s">
        <v>450</v>
      </c>
      <c r="E65" s="253" t="s">
        <v>449</v>
      </c>
      <c r="F65" s="253" t="s">
        <v>171</v>
      </c>
      <c r="G65" s="253" t="s">
        <v>348</v>
      </c>
      <c r="H65" s="438" t="s">
        <v>171</v>
      </c>
      <c r="I65" s="453"/>
      <c r="J65" s="254"/>
      <c r="K65" s="373"/>
      <c r="N65" s="527"/>
      <c r="AC65" s="318"/>
    </row>
    <row r="66" spans="1:29">
      <c r="A66" s="223">
        <v>29</v>
      </c>
      <c r="B66" s="453">
        <v>46217</v>
      </c>
      <c r="C66" s="235">
        <v>2</v>
      </c>
      <c r="D66" s="251" t="s">
        <v>451</v>
      </c>
      <c r="E66" s="253" t="s">
        <v>449</v>
      </c>
      <c r="F66" s="253" t="s">
        <v>335</v>
      </c>
      <c r="G66" s="253" t="s">
        <v>357</v>
      </c>
      <c r="H66" s="253" t="s">
        <v>101</v>
      </c>
      <c r="I66" s="453">
        <v>46217</v>
      </c>
      <c r="J66" s="254"/>
      <c r="K66" s="373"/>
      <c r="N66" s="527"/>
      <c r="AC66" s="318"/>
    </row>
    <row r="67" spans="1:29">
      <c r="A67" s="223">
        <v>29</v>
      </c>
      <c r="B67" s="453">
        <v>46218</v>
      </c>
      <c r="C67" s="235">
        <v>3</v>
      </c>
      <c r="D67" s="251" t="s">
        <v>133</v>
      </c>
      <c r="E67" s="253" t="s">
        <v>452</v>
      </c>
      <c r="F67" s="253" t="s">
        <v>171</v>
      </c>
      <c r="G67" s="253" t="s">
        <v>360</v>
      </c>
      <c r="H67" s="438" t="s">
        <v>171</v>
      </c>
      <c r="I67" s="453"/>
      <c r="J67" s="254"/>
      <c r="K67" s="373"/>
      <c r="N67" s="527"/>
      <c r="AC67" s="318"/>
    </row>
    <row r="68" spans="1:29">
      <c r="A68" s="223">
        <v>29</v>
      </c>
      <c r="B68" s="453">
        <v>46218</v>
      </c>
      <c r="C68" s="235">
        <v>3</v>
      </c>
      <c r="D68" s="251" t="s">
        <v>453</v>
      </c>
      <c r="E68" s="253" t="s">
        <v>362</v>
      </c>
      <c r="F68" s="253" t="s">
        <v>335</v>
      </c>
      <c r="G68" s="253" t="s">
        <v>360</v>
      </c>
      <c r="H68" s="253" t="s">
        <v>101</v>
      </c>
      <c r="I68" s="453">
        <v>46219</v>
      </c>
      <c r="J68" s="254"/>
      <c r="K68" s="373"/>
      <c r="N68" s="527"/>
      <c r="AC68" s="318"/>
    </row>
    <row r="69" spans="1:29">
      <c r="A69" s="223">
        <v>29</v>
      </c>
      <c r="B69" s="453">
        <v>46218</v>
      </c>
      <c r="C69" s="235">
        <v>3</v>
      </c>
      <c r="D69" s="251" t="s">
        <v>454</v>
      </c>
      <c r="E69" s="253" t="s">
        <v>388</v>
      </c>
      <c r="F69" s="253" t="s">
        <v>171</v>
      </c>
      <c r="G69" s="253" t="s">
        <v>360</v>
      </c>
      <c r="H69" s="438" t="s">
        <v>171</v>
      </c>
      <c r="I69" s="453"/>
      <c r="J69" s="254"/>
      <c r="K69" s="373"/>
      <c r="N69" s="527"/>
      <c r="AC69" s="318"/>
    </row>
    <row r="70" spans="1:29">
      <c r="A70" s="223">
        <v>29</v>
      </c>
      <c r="B70" s="453">
        <v>46219</v>
      </c>
      <c r="C70" s="235">
        <v>1</v>
      </c>
      <c r="D70" s="251" t="s">
        <v>455</v>
      </c>
      <c r="E70" s="253" t="s">
        <v>456</v>
      </c>
      <c r="F70" s="253" t="s">
        <v>347</v>
      </c>
      <c r="G70" s="253" t="s">
        <v>348</v>
      </c>
      <c r="H70" s="253"/>
      <c r="I70" s="453"/>
      <c r="J70" s="254"/>
      <c r="K70" s="373"/>
      <c r="N70" s="527"/>
      <c r="AC70" s="318"/>
    </row>
    <row r="71" spans="1:29">
      <c r="A71" s="223">
        <v>29</v>
      </c>
      <c r="B71" s="453">
        <v>46219</v>
      </c>
      <c r="C71" s="235">
        <v>2</v>
      </c>
      <c r="D71" s="251" t="s">
        <v>457</v>
      </c>
      <c r="E71" s="253" t="s">
        <v>458</v>
      </c>
      <c r="F71" s="253" t="s">
        <v>171</v>
      </c>
      <c r="G71" s="253" t="s">
        <v>360</v>
      </c>
      <c r="H71" s="438" t="s">
        <v>171</v>
      </c>
      <c r="I71" s="453"/>
      <c r="J71" s="254"/>
      <c r="K71" s="373"/>
      <c r="N71" s="527"/>
      <c r="AC71" s="318"/>
    </row>
    <row r="72" spans="1:29">
      <c r="A72" s="223">
        <v>29</v>
      </c>
      <c r="B72" s="453">
        <v>46219</v>
      </c>
      <c r="C72" s="235">
        <v>2</v>
      </c>
      <c r="D72" s="251" t="s">
        <v>459</v>
      </c>
      <c r="E72" s="253" t="s">
        <v>458</v>
      </c>
      <c r="F72" s="253" t="s">
        <v>171</v>
      </c>
      <c r="G72" s="253" t="s">
        <v>360</v>
      </c>
      <c r="H72" s="438" t="s">
        <v>171</v>
      </c>
      <c r="I72" s="453"/>
      <c r="J72" s="254"/>
      <c r="K72" s="373"/>
      <c r="N72" s="527"/>
      <c r="AC72" s="318"/>
    </row>
    <row r="73" spans="1:29">
      <c r="A73" s="223">
        <v>29</v>
      </c>
      <c r="B73" s="453">
        <v>46219</v>
      </c>
      <c r="C73" s="235">
        <v>2</v>
      </c>
      <c r="D73" s="251" t="s">
        <v>460</v>
      </c>
      <c r="E73" s="253" t="s">
        <v>458</v>
      </c>
      <c r="F73" s="253" t="s">
        <v>171</v>
      </c>
      <c r="G73" s="253" t="s">
        <v>360</v>
      </c>
      <c r="H73" s="438" t="s">
        <v>171</v>
      </c>
      <c r="I73" s="453"/>
      <c r="J73" s="254"/>
      <c r="K73" s="373"/>
      <c r="N73" s="527"/>
      <c r="AC73" s="318"/>
    </row>
    <row r="74" spans="1:29">
      <c r="A74" s="223">
        <v>29</v>
      </c>
      <c r="B74" s="453">
        <v>46219</v>
      </c>
      <c r="C74" s="235">
        <v>2</v>
      </c>
      <c r="D74" s="251" t="s">
        <v>461</v>
      </c>
      <c r="E74" s="253" t="s">
        <v>458</v>
      </c>
      <c r="F74" s="253" t="s">
        <v>171</v>
      </c>
      <c r="G74" s="253" t="s">
        <v>360</v>
      </c>
      <c r="H74" s="438" t="s">
        <v>171</v>
      </c>
      <c r="I74" s="453"/>
      <c r="J74" s="254"/>
      <c r="K74" s="373"/>
      <c r="N74" s="527"/>
      <c r="AC74" s="318"/>
    </row>
    <row r="75" spans="1:29">
      <c r="A75" s="223">
        <v>29</v>
      </c>
      <c r="B75" s="453">
        <v>46219</v>
      </c>
      <c r="C75" s="235">
        <v>2</v>
      </c>
      <c r="D75" s="251" t="s">
        <v>462</v>
      </c>
      <c r="E75" s="253" t="s">
        <v>463</v>
      </c>
      <c r="F75" s="253" t="s">
        <v>335</v>
      </c>
      <c r="G75" s="253" t="s">
        <v>360</v>
      </c>
      <c r="H75" s="253" t="s">
        <v>101</v>
      </c>
      <c r="I75" s="453">
        <v>46220</v>
      </c>
      <c r="J75" s="254"/>
      <c r="K75" s="373"/>
      <c r="N75" s="527"/>
      <c r="AC75" s="318"/>
    </row>
    <row r="76" spans="1:29">
      <c r="A76" s="223">
        <v>29</v>
      </c>
      <c r="B76" s="453">
        <v>46219</v>
      </c>
      <c r="C76" s="235">
        <v>2</v>
      </c>
      <c r="D76" s="251" t="s">
        <v>464</v>
      </c>
      <c r="E76" s="253" t="s">
        <v>463</v>
      </c>
      <c r="F76" s="253" t="s">
        <v>335</v>
      </c>
      <c r="G76" s="253" t="s">
        <v>360</v>
      </c>
      <c r="H76" s="253" t="s">
        <v>101</v>
      </c>
      <c r="I76" s="453">
        <v>46220</v>
      </c>
      <c r="J76" s="254"/>
      <c r="K76" s="373"/>
      <c r="N76" s="527"/>
      <c r="AC76" s="318"/>
    </row>
    <row r="77" spans="1:29">
      <c r="A77" s="545">
        <v>29</v>
      </c>
      <c r="B77" s="546">
        <v>46219</v>
      </c>
      <c r="C77" s="547">
        <v>3</v>
      </c>
      <c r="D77" s="548" t="s">
        <v>155</v>
      </c>
      <c r="E77" s="549" t="s">
        <v>456</v>
      </c>
      <c r="F77" s="544" t="s">
        <v>347</v>
      </c>
      <c r="G77" s="549" t="s">
        <v>348</v>
      </c>
      <c r="H77" s="549" t="s">
        <v>171</v>
      </c>
      <c r="I77" s="546">
        <v>46221</v>
      </c>
      <c r="J77" s="550" t="s">
        <v>465</v>
      </c>
      <c r="K77" s="373"/>
      <c r="N77" s="527"/>
      <c r="AC77" s="318"/>
    </row>
    <row r="78" spans="1:29">
      <c r="A78" s="223">
        <v>29</v>
      </c>
      <c r="B78" s="453">
        <v>46219</v>
      </c>
      <c r="C78" s="553">
        <v>3</v>
      </c>
      <c r="D78" s="552" t="s">
        <v>182</v>
      </c>
      <c r="E78" s="551" t="s">
        <v>466</v>
      </c>
      <c r="F78" s="551" t="s">
        <v>171</v>
      </c>
      <c r="G78" s="253" t="s">
        <v>360</v>
      </c>
      <c r="H78" s="438" t="s">
        <v>171</v>
      </c>
      <c r="I78" s="453"/>
      <c r="J78" s="254"/>
      <c r="K78" s="373"/>
      <c r="N78" s="527"/>
      <c r="AC78" s="318"/>
    </row>
    <row r="79" spans="1:29">
      <c r="A79" s="223">
        <v>29</v>
      </c>
      <c r="B79" s="453">
        <v>46219</v>
      </c>
      <c r="C79" s="554">
        <v>3</v>
      </c>
      <c r="D79" s="552" t="s">
        <v>467</v>
      </c>
      <c r="E79" s="551" t="s">
        <v>466</v>
      </c>
      <c r="F79" s="551" t="s">
        <v>171</v>
      </c>
      <c r="G79" s="253" t="s">
        <v>360</v>
      </c>
      <c r="H79" s="438" t="s">
        <v>171</v>
      </c>
      <c r="I79" s="453"/>
      <c r="J79" s="261"/>
      <c r="K79" s="373"/>
      <c r="N79" s="527"/>
      <c r="AC79" s="318"/>
    </row>
    <row r="80" spans="1:29">
      <c r="A80" s="223">
        <v>29</v>
      </c>
      <c r="B80" s="453">
        <v>46220</v>
      </c>
      <c r="C80" s="224">
        <v>1</v>
      </c>
      <c r="D80" s="251" t="s">
        <v>468</v>
      </c>
      <c r="E80" s="253" t="s">
        <v>422</v>
      </c>
      <c r="F80" s="253" t="s">
        <v>347</v>
      </c>
      <c r="G80" s="253" t="s">
        <v>348</v>
      </c>
      <c r="H80" s="260"/>
      <c r="I80" s="453"/>
      <c r="J80" s="261"/>
      <c r="K80" s="373"/>
      <c r="N80" s="527"/>
      <c r="AC80" s="318"/>
    </row>
    <row r="81" spans="1:29">
      <c r="A81" s="223">
        <v>29</v>
      </c>
      <c r="B81" s="453">
        <v>46220</v>
      </c>
      <c r="C81" s="224">
        <v>2</v>
      </c>
      <c r="D81" s="251" t="s">
        <v>469</v>
      </c>
      <c r="E81" s="253" t="s">
        <v>470</v>
      </c>
      <c r="F81" s="253" t="s">
        <v>335</v>
      </c>
      <c r="G81" s="253" t="s">
        <v>348</v>
      </c>
      <c r="H81" s="260"/>
      <c r="I81" s="453"/>
      <c r="J81" s="261"/>
      <c r="K81" s="373"/>
      <c r="N81" s="527"/>
      <c r="AC81" s="318"/>
    </row>
    <row r="82" spans="1:29">
      <c r="A82" s="223">
        <v>29</v>
      </c>
      <c r="B82" s="453">
        <v>46220</v>
      </c>
      <c r="C82" s="224">
        <v>3</v>
      </c>
      <c r="D82" s="411" t="s">
        <v>471</v>
      </c>
      <c r="E82" s="253" t="s">
        <v>472</v>
      </c>
      <c r="F82" s="253" t="s">
        <v>335</v>
      </c>
      <c r="G82" s="253" t="s">
        <v>348</v>
      </c>
      <c r="H82" s="438" t="s">
        <v>171</v>
      </c>
      <c r="I82" s="453">
        <v>46224</v>
      </c>
      <c r="J82" s="261" t="s">
        <v>473</v>
      </c>
      <c r="K82" s="373"/>
      <c r="N82" s="527"/>
      <c r="AC82" s="318"/>
    </row>
    <row r="83" spans="1:29">
      <c r="A83" s="223">
        <v>29</v>
      </c>
      <c r="B83" s="453">
        <v>46220</v>
      </c>
      <c r="C83" s="224">
        <v>3</v>
      </c>
      <c r="D83" s="411" t="s">
        <v>474</v>
      </c>
      <c r="E83" s="253" t="s">
        <v>475</v>
      </c>
      <c r="F83" s="253" t="s">
        <v>171</v>
      </c>
      <c r="G83" s="253" t="s">
        <v>360</v>
      </c>
      <c r="H83" s="438" t="s">
        <v>171</v>
      </c>
      <c r="I83" s="453"/>
      <c r="J83" s="261"/>
      <c r="K83" s="373"/>
      <c r="N83" s="527"/>
      <c r="AC83" s="318"/>
    </row>
    <row r="84" spans="1:29">
      <c r="A84" s="223">
        <v>29</v>
      </c>
      <c r="B84" s="453">
        <v>46220</v>
      </c>
      <c r="C84" s="224">
        <v>3</v>
      </c>
      <c r="D84" s="411" t="s">
        <v>476</v>
      </c>
      <c r="E84" s="253" t="s">
        <v>475</v>
      </c>
      <c r="F84" s="253" t="s">
        <v>171</v>
      </c>
      <c r="G84" s="253" t="s">
        <v>360</v>
      </c>
      <c r="H84" s="748" t="s">
        <v>171</v>
      </c>
      <c r="I84" s="453"/>
      <c r="J84" s="254"/>
      <c r="K84" s="373"/>
      <c r="N84" s="527"/>
      <c r="AC84" s="318"/>
    </row>
    <row r="85" spans="1:29">
      <c r="A85" s="223">
        <v>29</v>
      </c>
      <c r="B85" s="453">
        <v>46220</v>
      </c>
      <c r="C85" s="224">
        <v>3</v>
      </c>
      <c r="D85" s="411" t="s">
        <v>477</v>
      </c>
      <c r="E85" s="253" t="s">
        <v>475</v>
      </c>
      <c r="F85" s="253" t="s">
        <v>171</v>
      </c>
      <c r="G85" s="253" t="s">
        <v>360</v>
      </c>
      <c r="H85" s="438" t="s">
        <v>171</v>
      </c>
      <c r="I85" s="453"/>
      <c r="J85" s="261"/>
      <c r="K85" s="373"/>
      <c r="N85" s="527"/>
      <c r="AC85" s="318"/>
    </row>
    <row r="86" spans="1:29">
      <c r="A86" s="223">
        <v>29</v>
      </c>
      <c r="B86" s="453">
        <v>46220</v>
      </c>
      <c r="C86" s="224">
        <v>3</v>
      </c>
      <c r="D86" s="411" t="s">
        <v>478</v>
      </c>
      <c r="E86" s="253" t="s">
        <v>475</v>
      </c>
      <c r="F86" s="253" t="s">
        <v>171</v>
      </c>
      <c r="G86" s="253" t="s">
        <v>360</v>
      </c>
      <c r="H86" s="438" t="s">
        <v>171</v>
      </c>
      <c r="I86" s="453"/>
      <c r="J86" s="261"/>
      <c r="K86" s="373"/>
      <c r="N86" s="527"/>
      <c r="AC86" s="318"/>
    </row>
    <row r="87" spans="1:29">
      <c r="A87" s="223">
        <v>29</v>
      </c>
      <c r="B87" s="453">
        <v>46220</v>
      </c>
      <c r="C87" s="224">
        <v>3</v>
      </c>
      <c r="D87" s="411" t="s">
        <v>479</v>
      </c>
      <c r="E87" s="253" t="s">
        <v>475</v>
      </c>
      <c r="F87" s="253" t="s">
        <v>171</v>
      </c>
      <c r="G87" s="253" t="s">
        <v>360</v>
      </c>
      <c r="H87" s="438" t="s">
        <v>171</v>
      </c>
      <c r="I87" s="453"/>
      <c r="J87" s="254"/>
      <c r="K87" s="373"/>
      <c r="N87" s="527"/>
      <c r="AC87" s="318"/>
    </row>
    <row r="88" spans="1:29">
      <c r="A88" s="223">
        <v>29</v>
      </c>
      <c r="B88" s="453">
        <v>46220</v>
      </c>
      <c r="C88" s="224">
        <v>3</v>
      </c>
      <c r="D88" s="411" t="s">
        <v>480</v>
      </c>
      <c r="E88" s="253" t="s">
        <v>475</v>
      </c>
      <c r="F88" s="253" t="s">
        <v>171</v>
      </c>
      <c r="G88" s="253" t="s">
        <v>360</v>
      </c>
      <c r="H88" s="438" t="s">
        <v>171</v>
      </c>
      <c r="I88" s="453"/>
      <c r="J88" s="254"/>
      <c r="K88" s="373"/>
      <c r="N88" s="527"/>
      <c r="AC88" s="318"/>
    </row>
    <row r="89" spans="1:29">
      <c r="A89" s="223">
        <v>29</v>
      </c>
      <c r="B89" s="453">
        <v>46220</v>
      </c>
      <c r="C89" s="224">
        <v>3</v>
      </c>
      <c r="D89" s="411" t="s">
        <v>481</v>
      </c>
      <c r="E89" s="253" t="s">
        <v>475</v>
      </c>
      <c r="F89" s="253" t="s">
        <v>171</v>
      </c>
      <c r="G89" s="253" t="s">
        <v>360</v>
      </c>
      <c r="H89" s="438" t="s">
        <v>171</v>
      </c>
      <c r="I89" s="453"/>
      <c r="J89" s="261"/>
      <c r="K89" s="373"/>
      <c r="N89" s="527"/>
      <c r="AC89" s="318"/>
    </row>
    <row r="90" spans="1:29">
      <c r="A90" s="223">
        <v>29</v>
      </c>
      <c r="B90" s="453">
        <v>46220</v>
      </c>
      <c r="C90" s="224">
        <v>3</v>
      </c>
      <c r="D90" s="411" t="s">
        <v>482</v>
      </c>
      <c r="E90" s="253" t="s">
        <v>475</v>
      </c>
      <c r="F90" s="253" t="s">
        <v>171</v>
      </c>
      <c r="G90" s="253" t="s">
        <v>360</v>
      </c>
      <c r="H90" s="438" t="s">
        <v>171</v>
      </c>
      <c r="I90" s="453"/>
      <c r="J90" s="261"/>
      <c r="K90" s="373"/>
      <c r="N90" s="527"/>
      <c r="AC90" s="318"/>
    </row>
    <row r="91" spans="1:29">
      <c r="A91" s="223">
        <v>29</v>
      </c>
      <c r="B91" s="453">
        <v>46220</v>
      </c>
      <c r="C91" s="224">
        <v>3</v>
      </c>
      <c r="D91" s="411" t="s">
        <v>483</v>
      </c>
      <c r="E91" s="253" t="s">
        <v>475</v>
      </c>
      <c r="F91" s="253" t="s">
        <v>171</v>
      </c>
      <c r="G91" s="253" t="s">
        <v>360</v>
      </c>
      <c r="H91" s="438" t="s">
        <v>171</v>
      </c>
      <c r="I91" s="453"/>
      <c r="J91" s="261"/>
      <c r="K91" s="373"/>
      <c r="N91" s="527"/>
      <c r="AC91" s="318"/>
    </row>
    <row r="92" spans="1:29">
      <c r="A92" s="223">
        <v>29</v>
      </c>
      <c r="B92" s="453">
        <v>46221</v>
      </c>
      <c r="C92" s="224">
        <v>1</v>
      </c>
      <c r="D92" s="411" t="s">
        <v>484</v>
      </c>
      <c r="E92" s="253" t="s">
        <v>485</v>
      </c>
      <c r="F92" s="253" t="s">
        <v>171</v>
      </c>
      <c r="G92" s="253" t="s">
        <v>360</v>
      </c>
      <c r="H92" s="438" t="s">
        <v>171</v>
      </c>
      <c r="I92" s="453"/>
      <c r="J92" s="261" t="s">
        <v>486</v>
      </c>
      <c r="K92" s="373"/>
      <c r="N92" s="527"/>
      <c r="AC92" s="318"/>
    </row>
    <row r="93" spans="1:29">
      <c r="A93" s="223">
        <v>29</v>
      </c>
      <c r="B93" s="453">
        <v>46221</v>
      </c>
      <c r="C93" s="224">
        <v>1</v>
      </c>
      <c r="D93" s="411" t="s">
        <v>487</v>
      </c>
      <c r="E93" s="253" t="s">
        <v>485</v>
      </c>
      <c r="F93" s="253" t="s">
        <v>171</v>
      </c>
      <c r="G93" s="253" t="s">
        <v>360</v>
      </c>
      <c r="H93" s="438" t="s">
        <v>171</v>
      </c>
      <c r="I93" s="453"/>
      <c r="J93" s="261"/>
      <c r="K93" s="373"/>
      <c r="N93" s="527"/>
      <c r="AC93" s="318"/>
    </row>
    <row r="94" spans="1:29">
      <c r="A94" s="223">
        <v>29</v>
      </c>
      <c r="B94" s="453">
        <v>46221</v>
      </c>
      <c r="C94" s="224">
        <v>1</v>
      </c>
      <c r="D94" s="411" t="s">
        <v>488</v>
      </c>
      <c r="E94" s="253" t="s">
        <v>489</v>
      </c>
      <c r="F94" s="253" t="s">
        <v>335</v>
      </c>
      <c r="G94" s="253" t="s">
        <v>348</v>
      </c>
      <c r="H94" s="253"/>
      <c r="I94" s="560"/>
      <c r="J94" s="254"/>
      <c r="K94" s="373"/>
      <c r="N94" s="527"/>
      <c r="AC94" s="318"/>
    </row>
    <row r="95" spans="1:29">
      <c r="A95" s="223">
        <v>29</v>
      </c>
      <c r="B95" s="453">
        <v>46221</v>
      </c>
      <c r="C95" s="224">
        <v>1</v>
      </c>
      <c r="D95" s="411" t="s">
        <v>490</v>
      </c>
      <c r="E95" s="253" t="s">
        <v>491</v>
      </c>
      <c r="F95" s="253" t="s">
        <v>335</v>
      </c>
      <c r="G95" s="253" t="s">
        <v>360</v>
      </c>
      <c r="H95" s="253" t="s">
        <v>101</v>
      </c>
      <c r="I95" s="560">
        <v>46224</v>
      </c>
      <c r="J95" s="261"/>
      <c r="K95" s="373"/>
      <c r="N95" s="527"/>
      <c r="AC95" s="318"/>
    </row>
    <row r="96" spans="1:29">
      <c r="A96" s="223">
        <v>29</v>
      </c>
      <c r="B96" s="453">
        <v>46221</v>
      </c>
      <c r="C96" s="224">
        <v>1</v>
      </c>
      <c r="D96" s="411" t="s">
        <v>492</v>
      </c>
      <c r="E96" s="253" t="s">
        <v>491</v>
      </c>
      <c r="F96" s="253" t="s">
        <v>335</v>
      </c>
      <c r="G96" s="253" t="s">
        <v>360</v>
      </c>
      <c r="H96" s="438" t="s">
        <v>171</v>
      </c>
      <c r="I96" s="560">
        <v>46223</v>
      </c>
      <c r="J96" s="254" t="s">
        <v>493</v>
      </c>
      <c r="K96" s="373"/>
      <c r="N96" s="527"/>
      <c r="AC96" s="318"/>
    </row>
    <row r="97" spans="1:29">
      <c r="A97" s="223">
        <v>29</v>
      </c>
      <c r="B97" s="453">
        <v>46221</v>
      </c>
      <c r="C97" s="224">
        <v>1</v>
      </c>
      <c r="D97" s="411" t="s">
        <v>494</v>
      </c>
      <c r="E97" s="253" t="s">
        <v>491</v>
      </c>
      <c r="F97" s="253" t="s">
        <v>335</v>
      </c>
      <c r="G97" s="253" t="s">
        <v>360</v>
      </c>
      <c r="H97" s="253" t="s">
        <v>101</v>
      </c>
      <c r="I97" s="560">
        <v>46224</v>
      </c>
      <c r="J97" s="254"/>
      <c r="K97" s="373"/>
      <c r="N97" s="527"/>
      <c r="AC97" s="318"/>
    </row>
    <row r="98" spans="1:29">
      <c r="A98" s="223">
        <v>29</v>
      </c>
      <c r="B98" s="453">
        <v>46221</v>
      </c>
      <c r="C98" s="224">
        <v>1</v>
      </c>
      <c r="D98" s="411" t="s">
        <v>495</v>
      </c>
      <c r="E98" s="253" t="s">
        <v>491</v>
      </c>
      <c r="F98" s="253" t="s">
        <v>335</v>
      </c>
      <c r="G98" s="253" t="s">
        <v>360</v>
      </c>
      <c r="H98" s="253" t="s">
        <v>101</v>
      </c>
      <c r="I98" s="560">
        <v>46225</v>
      </c>
      <c r="J98" s="254"/>
      <c r="K98" s="373"/>
      <c r="N98" s="527"/>
      <c r="AC98" s="318"/>
    </row>
    <row r="99" spans="1:29">
      <c r="A99" s="223">
        <v>29</v>
      </c>
      <c r="B99" s="453">
        <v>46221</v>
      </c>
      <c r="C99" s="224">
        <v>1</v>
      </c>
      <c r="D99" s="411" t="s">
        <v>496</v>
      </c>
      <c r="E99" s="253" t="s">
        <v>491</v>
      </c>
      <c r="F99" s="253" t="s">
        <v>335</v>
      </c>
      <c r="G99" s="253" t="s">
        <v>360</v>
      </c>
      <c r="H99" s="253" t="s">
        <v>101</v>
      </c>
      <c r="I99" s="560">
        <v>46223</v>
      </c>
      <c r="J99" s="254"/>
      <c r="K99" s="373"/>
      <c r="N99" s="527"/>
      <c r="AC99" s="318"/>
    </row>
    <row r="100" spans="1:29">
      <c r="A100" s="223">
        <v>29</v>
      </c>
      <c r="B100" s="453">
        <v>46221</v>
      </c>
      <c r="C100" s="224">
        <v>1</v>
      </c>
      <c r="D100" s="411" t="s">
        <v>497</v>
      </c>
      <c r="E100" s="253" t="s">
        <v>489</v>
      </c>
      <c r="F100" s="253" t="s">
        <v>335</v>
      </c>
      <c r="G100" s="253" t="s">
        <v>348</v>
      </c>
      <c r="H100" s="253"/>
      <c r="I100" s="560"/>
      <c r="J100" s="254"/>
      <c r="K100" s="373"/>
      <c r="N100" s="527"/>
      <c r="AC100" s="318"/>
    </row>
    <row r="101" spans="1:29">
      <c r="A101" s="223">
        <v>29</v>
      </c>
      <c r="B101" s="453">
        <v>46222</v>
      </c>
      <c r="C101" s="224">
        <v>3</v>
      </c>
      <c r="D101" s="411" t="s">
        <v>498</v>
      </c>
      <c r="E101" s="253" t="s">
        <v>491</v>
      </c>
      <c r="F101" s="253" t="s">
        <v>171</v>
      </c>
      <c r="G101" s="253" t="s">
        <v>360</v>
      </c>
      <c r="H101" s="438" t="s">
        <v>171</v>
      </c>
      <c r="I101" s="453"/>
      <c r="J101" s="261"/>
      <c r="K101" s="373"/>
      <c r="N101" s="527"/>
      <c r="AC101" s="318"/>
    </row>
    <row r="102" spans="1:29">
      <c r="A102" s="223">
        <v>29</v>
      </c>
      <c r="B102" s="453">
        <v>46222</v>
      </c>
      <c r="C102" s="224">
        <v>3</v>
      </c>
      <c r="D102" s="411" t="s">
        <v>499</v>
      </c>
      <c r="E102" s="253" t="s">
        <v>491</v>
      </c>
      <c r="F102" s="253" t="s">
        <v>171</v>
      </c>
      <c r="G102" s="253" t="s">
        <v>360</v>
      </c>
      <c r="H102" s="438" t="s">
        <v>171</v>
      </c>
      <c r="I102" s="453"/>
      <c r="J102" s="261"/>
      <c r="K102" s="373"/>
      <c r="N102" s="527"/>
      <c r="AC102" s="318"/>
    </row>
    <row r="103" spans="1:29">
      <c r="A103" s="223">
        <v>29</v>
      </c>
      <c r="B103" s="453">
        <v>46222</v>
      </c>
      <c r="C103" s="224">
        <v>3</v>
      </c>
      <c r="D103" s="411" t="s">
        <v>500</v>
      </c>
      <c r="E103" s="253" t="s">
        <v>491</v>
      </c>
      <c r="F103" s="253" t="s">
        <v>171</v>
      </c>
      <c r="G103" s="253" t="s">
        <v>360</v>
      </c>
      <c r="H103" s="438" t="s">
        <v>171</v>
      </c>
      <c r="I103" s="453"/>
      <c r="J103" s="261"/>
      <c r="K103" s="373"/>
      <c r="N103" s="527"/>
      <c r="AC103" s="318"/>
    </row>
    <row r="104" spans="1:29">
      <c r="A104" s="223">
        <v>29</v>
      </c>
      <c r="B104" s="453">
        <v>46222</v>
      </c>
      <c r="C104" s="224">
        <v>3</v>
      </c>
      <c r="D104" s="411" t="s">
        <v>501</v>
      </c>
      <c r="E104" s="253" t="s">
        <v>491</v>
      </c>
      <c r="F104" s="253" t="s">
        <v>171</v>
      </c>
      <c r="G104" s="253" t="s">
        <v>360</v>
      </c>
      <c r="H104" s="438" t="s">
        <v>171</v>
      </c>
      <c r="I104" s="453"/>
      <c r="J104" s="261"/>
      <c r="K104" s="373"/>
      <c r="N104" s="527"/>
      <c r="AC104" s="318"/>
    </row>
    <row r="105" spans="1:29">
      <c r="A105" s="223">
        <v>29</v>
      </c>
      <c r="B105" s="453">
        <v>46222</v>
      </c>
      <c r="C105" s="224">
        <v>3</v>
      </c>
      <c r="D105" s="411" t="s">
        <v>502</v>
      </c>
      <c r="E105" s="253" t="s">
        <v>491</v>
      </c>
      <c r="F105" s="253" t="s">
        <v>171</v>
      </c>
      <c r="G105" s="253" t="s">
        <v>360</v>
      </c>
      <c r="H105" s="438" t="s">
        <v>171</v>
      </c>
      <c r="I105" s="453"/>
      <c r="J105" s="261"/>
      <c r="K105" s="373"/>
      <c r="N105" s="527"/>
      <c r="AC105" s="318"/>
    </row>
    <row r="106" spans="1:29">
      <c r="A106" s="223">
        <v>29</v>
      </c>
      <c r="B106" s="453">
        <v>46222</v>
      </c>
      <c r="C106" s="224">
        <v>3</v>
      </c>
      <c r="D106" s="411" t="s">
        <v>503</v>
      </c>
      <c r="E106" s="253" t="s">
        <v>491</v>
      </c>
      <c r="F106" s="253" t="s">
        <v>171</v>
      </c>
      <c r="G106" s="253" t="s">
        <v>360</v>
      </c>
      <c r="H106" s="438" t="s">
        <v>171</v>
      </c>
      <c r="I106" s="453"/>
      <c r="J106" s="261"/>
      <c r="K106" s="373"/>
      <c r="N106" s="527"/>
      <c r="AC106" s="318"/>
    </row>
    <row r="107" spans="1:29">
      <c r="A107" s="223">
        <v>29</v>
      </c>
      <c r="B107" s="453">
        <v>46222</v>
      </c>
      <c r="C107" s="224">
        <v>3</v>
      </c>
      <c r="D107" s="411" t="s">
        <v>504</v>
      </c>
      <c r="E107" s="253" t="s">
        <v>472</v>
      </c>
      <c r="F107" s="253" t="s">
        <v>335</v>
      </c>
      <c r="G107" s="253" t="s">
        <v>360</v>
      </c>
      <c r="H107" s="260" t="s">
        <v>101</v>
      </c>
      <c r="I107" s="560">
        <v>46224</v>
      </c>
      <c r="J107" s="261"/>
      <c r="K107" s="373"/>
      <c r="N107" s="527"/>
      <c r="AC107" s="318"/>
    </row>
    <row r="108" spans="1:29">
      <c r="A108" s="223">
        <v>30</v>
      </c>
      <c r="B108" s="453">
        <v>46223</v>
      </c>
      <c r="C108" s="224">
        <v>1</v>
      </c>
      <c r="D108" s="411" t="s">
        <v>505</v>
      </c>
      <c r="E108" s="253" t="s">
        <v>506</v>
      </c>
      <c r="F108" s="253" t="s">
        <v>171</v>
      </c>
      <c r="G108" s="253" t="s">
        <v>360</v>
      </c>
      <c r="H108" s="438" t="s">
        <v>171</v>
      </c>
      <c r="I108" s="453"/>
      <c r="J108" s="261"/>
      <c r="K108" s="373"/>
      <c r="N108" s="527"/>
      <c r="AC108" s="318"/>
    </row>
    <row r="109" spans="1:29">
      <c r="A109" s="223">
        <v>30</v>
      </c>
      <c r="B109" s="453">
        <v>46223</v>
      </c>
      <c r="C109" s="224">
        <v>1</v>
      </c>
      <c r="D109" s="411" t="s">
        <v>507</v>
      </c>
      <c r="E109" s="253" t="s">
        <v>506</v>
      </c>
      <c r="F109" s="253" t="s">
        <v>171</v>
      </c>
      <c r="G109" s="253" t="s">
        <v>360</v>
      </c>
      <c r="H109" s="438" t="s">
        <v>171</v>
      </c>
      <c r="I109" s="453"/>
      <c r="J109" s="254"/>
      <c r="K109" s="373"/>
      <c r="N109" s="527"/>
      <c r="AC109" s="318"/>
    </row>
    <row r="110" spans="1:29">
      <c r="A110" s="223">
        <v>30</v>
      </c>
      <c r="B110" s="453">
        <v>46223</v>
      </c>
      <c r="C110" s="224">
        <v>3</v>
      </c>
      <c r="D110" s="411" t="s">
        <v>508</v>
      </c>
      <c r="E110" s="253" t="s">
        <v>509</v>
      </c>
      <c r="F110" s="253" t="s">
        <v>335</v>
      </c>
      <c r="G110" s="253" t="s">
        <v>360</v>
      </c>
      <c r="H110" s="260" t="s">
        <v>101</v>
      </c>
      <c r="I110" s="560">
        <v>46224</v>
      </c>
      <c r="J110" s="261"/>
      <c r="K110" s="373"/>
      <c r="N110" s="527"/>
      <c r="AC110" s="318"/>
    </row>
    <row r="111" spans="1:29">
      <c r="A111" s="223">
        <v>30</v>
      </c>
      <c r="B111" s="453">
        <v>46224</v>
      </c>
      <c r="C111" s="224">
        <v>1</v>
      </c>
      <c r="D111" s="251" t="s">
        <v>510</v>
      </c>
      <c r="E111" s="253" t="s">
        <v>511</v>
      </c>
      <c r="F111" s="253" t="s">
        <v>171</v>
      </c>
      <c r="G111" s="253" t="s">
        <v>360</v>
      </c>
      <c r="H111" s="260"/>
      <c r="I111" s="453"/>
      <c r="J111" s="261"/>
      <c r="K111" s="373"/>
      <c r="N111" s="527"/>
      <c r="AC111" s="318"/>
    </row>
    <row r="112" spans="1:29">
      <c r="A112" s="223">
        <v>30</v>
      </c>
      <c r="B112" s="453">
        <v>46224</v>
      </c>
      <c r="C112" s="224">
        <v>1</v>
      </c>
      <c r="D112" s="251" t="s">
        <v>512</v>
      </c>
      <c r="E112" s="253" t="s">
        <v>511</v>
      </c>
      <c r="F112" s="253" t="s">
        <v>171</v>
      </c>
      <c r="G112" s="253" t="s">
        <v>360</v>
      </c>
      <c r="H112" s="253"/>
      <c r="I112" s="453"/>
      <c r="J112" s="254"/>
      <c r="K112" s="373"/>
      <c r="N112" s="527"/>
      <c r="AC112" s="318"/>
    </row>
    <row r="113" spans="1:29">
      <c r="A113" s="223">
        <v>30</v>
      </c>
      <c r="B113" s="453">
        <v>46224</v>
      </c>
      <c r="C113" s="224">
        <v>1</v>
      </c>
      <c r="D113" s="251" t="s">
        <v>513</v>
      </c>
      <c r="E113" s="253" t="s">
        <v>511</v>
      </c>
      <c r="F113" s="253" t="s">
        <v>171</v>
      </c>
      <c r="G113" s="253" t="s">
        <v>360</v>
      </c>
      <c r="H113" s="260"/>
      <c r="I113" s="453"/>
      <c r="J113" s="261"/>
      <c r="K113" s="373"/>
      <c r="N113" s="527"/>
      <c r="AC113" s="318"/>
    </row>
    <row r="114" spans="1:29">
      <c r="A114" s="223">
        <v>30</v>
      </c>
      <c r="B114" s="453">
        <v>46224</v>
      </c>
      <c r="C114" s="224">
        <v>1</v>
      </c>
      <c r="D114" s="251" t="s">
        <v>514</v>
      </c>
      <c r="E114" s="253" t="s">
        <v>511</v>
      </c>
      <c r="F114" s="253" t="s">
        <v>171</v>
      </c>
      <c r="G114" s="253" t="s">
        <v>360</v>
      </c>
      <c r="H114" s="260"/>
      <c r="I114" s="453"/>
      <c r="J114" s="261"/>
      <c r="K114" s="373"/>
      <c r="N114" s="527"/>
      <c r="AC114" s="318"/>
    </row>
    <row r="115" spans="1:29">
      <c r="A115" s="223">
        <v>30</v>
      </c>
      <c r="B115" s="453">
        <v>46224</v>
      </c>
      <c r="C115" s="224">
        <v>1</v>
      </c>
      <c r="D115" s="251" t="s">
        <v>515</v>
      </c>
      <c r="E115" s="253" t="s">
        <v>511</v>
      </c>
      <c r="F115" s="253" t="s">
        <v>171</v>
      </c>
      <c r="G115" s="253" t="s">
        <v>360</v>
      </c>
      <c r="H115" s="260"/>
      <c r="I115" s="453"/>
      <c r="J115" s="261"/>
      <c r="K115" s="373"/>
      <c r="N115" s="527"/>
      <c r="AC115" s="318"/>
    </row>
    <row r="116" spans="1:29">
      <c r="A116" s="223">
        <v>30</v>
      </c>
      <c r="B116" s="453">
        <v>46224</v>
      </c>
      <c r="C116" s="224">
        <v>1</v>
      </c>
      <c r="D116" s="579" t="s">
        <v>516</v>
      </c>
      <c r="E116" s="253" t="s">
        <v>511</v>
      </c>
      <c r="F116" s="253" t="s">
        <v>171</v>
      </c>
      <c r="G116" s="253" t="s">
        <v>360</v>
      </c>
      <c r="H116" s="260"/>
      <c r="I116" s="453"/>
      <c r="J116" s="580" t="s">
        <v>517</v>
      </c>
      <c r="K116" s="373"/>
      <c r="N116" s="527"/>
      <c r="AC116" s="318"/>
    </row>
    <row r="117" spans="1:29">
      <c r="A117" s="223" t="s">
        <v>518</v>
      </c>
      <c r="B117" s="453">
        <v>46224</v>
      </c>
      <c r="C117" s="224">
        <v>1</v>
      </c>
      <c r="D117" s="579" t="s">
        <v>519</v>
      </c>
      <c r="E117" s="253" t="s">
        <v>511</v>
      </c>
      <c r="F117" s="253" t="s">
        <v>171</v>
      </c>
      <c r="G117" s="253" t="s">
        <v>360</v>
      </c>
      <c r="H117" s="253"/>
      <c r="I117" s="453"/>
      <c r="J117" s="580" t="s">
        <v>517</v>
      </c>
      <c r="K117" s="373"/>
      <c r="N117" s="527"/>
      <c r="AC117" s="318"/>
    </row>
    <row r="118" spans="1:29">
      <c r="A118" s="223">
        <v>30</v>
      </c>
      <c r="B118" s="453">
        <v>46224</v>
      </c>
      <c r="C118" s="224">
        <v>1</v>
      </c>
      <c r="D118" s="579" t="s">
        <v>520</v>
      </c>
      <c r="E118" s="253" t="s">
        <v>511</v>
      </c>
      <c r="F118" s="253" t="s">
        <v>171</v>
      </c>
      <c r="G118" s="253" t="s">
        <v>360</v>
      </c>
      <c r="H118" s="260"/>
      <c r="I118" s="453"/>
      <c r="J118" s="580" t="s">
        <v>517</v>
      </c>
      <c r="K118" s="373"/>
      <c r="N118" s="527"/>
      <c r="AC118" s="318"/>
    </row>
    <row r="119" spans="1:29">
      <c r="A119" s="223">
        <v>30</v>
      </c>
      <c r="B119" s="453">
        <v>46224</v>
      </c>
      <c r="C119" s="224">
        <v>1</v>
      </c>
      <c r="D119" s="579" t="s">
        <v>521</v>
      </c>
      <c r="E119" s="253" t="s">
        <v>511</v>
      </c>
      <c r="F119" s="253" t="s">
        <v>171</v>
      </c>
      <c r="G119" s="253" t="s">
        <v>360</v>
      </c>
      <c r="H119" s="253"/>
      <c r="I119" s="453"/>
      <c r="J119" s="580" t="s">
        <v>517</v>
      </c>
      <c r="K119" s="373"/>
      <c r="N119" s="527"/>
      <c r="AC119" s="318"/>
    </row>
    <row r="120" spans="1:29">
      <c r="A120" s="223">
        <v>30</v>
      </c>
      <c r="B120" s="453">
        <v>46224</v>
      </c>
      <c r="C120" s="224">
        <v>1</v>
      </c>
      <c r="D120" s="251" t="s">
        <v>442</v>
      </c>
      <c r="E120" s="253" t="s">
        <v>522</v>
      </c>
      <c r="F120" s="253" t="s">
        <v>347</v>
      </c>
      <c r="G120" s="253" t="s">
        <v>348</v>
      </c>
      <c r="H120" s="253"/>
      <c r="I120" s="453"/>
      <c r="J120" s="453"/>
      <c r="K120" s="373"/>
      <c r="N120" s="527"/>
      <c r="AC120" s="318"/>
    </row>
    <row r="121" spans="1:29">
      <c r="A121" s="223">
        <v>30</v>
      </c>
      <c r="B121" s="453">
        <v>46224</v>
      </c>
      <c r="C121" s="224">
        <v>1</v>
      </c>
      <c r="D121" s="251" t="s">
        <v>523</v>
      </c>
      <c r="E121" s="259" t="s">
        <v>524</v>
      </c>
      <c r="F121" s="253" t="s">
        <v>347</v>
      </c>
      <c r="G121" s="253" t="s">
        <v>348</v>
      </c>
      <c r="H121" s="253"/>
      <c r="I121" s="453"/>
      <c r="J121" s="577" t="s">
        <v>525</v>
      </c>
      <c r="K121" s="373"/>
      <c r="N121" s="527"/>
      <c r="AC121" s="318"/>
    </row>
    <row r="122" spans="1:29">
      <c r="A122" s="223">
        <v>30</v>
      </c>
      <c r="B122" s="453">
        <v>46224</v>
      </c>
      <c r="C122" s="224">
        <v>1</v>
      </c>
      <c r="D122" s="251" t="s">
        <v>526</v>
      </c>
      <c r="E122" s="259" t="s">
        <v>524</v>
      </c>
      <c r="F122" s="253" t="s">
        <v>347</v>
      </c>
      <c r="G122" s="253" t="s">
        <v>348</v>
      </c>
      <c r="H122" s="253"/>
      <c r="I122" s="453"/>
      <c r="J122" s="254"/>
      <c r="K122" s="373"/>
      <c r="N122" s="527"/>
      <c r="AC122" s="318"/>
    </row>
    <row r="123" spans="1:29">
      <c r="A123" s="223">
        <v>30</v>
      </c>
      <c r="B123" s="453">
        <v>46224</v>
      </c>
      <c r="C123" s="224">
        <v>1</v>
      </c>
      <c r="D123" s="251" t="s">
        <v>527</v>
      </c>
      <c r="E123" s="259" t="s">
        <v>524</v>
      </c>
      <c r="F123" s="253" t="s">
        <v>347</v>
      </c>
      <c r="G123" s="253" t="s">
        <v>348</v>
      </c>
      <c r="H123" s="253"/>
      <c r="I123" s="453"/>
      <c r="J123" s="254"/>
      <c r="K123" s="373"/>
      <c r="N123" s="527"/>
      <c r="AC123" s="318"/>
    </row>
    <row r="124" spans="1:29">
      <c r="A124" s="223">
        <v>30</v>
      </c>
      <c r="B124" s="453">
        <v>46224</v>
      </c>
      <c r="C124" s="224">
        <v>1</v>
      </c>
      <c r="D124" s="251" t="s">
        <v>528</v>
      </c>
      <c r="E124" s="253" t="s">
        <v>529</v>
      </c>
      <c r="F124" s="253" t="s">
        <v>347</v>
      </c>
      <c r="G124" s="253" t="s">
        <v>348</v>
      </c>
      <c r="H124" s="260"/>
      <c r="I124" s="453"/>
      <c r="J124" s="576" t="s">
        <v>530</v>
      </c>
      <c r="K124" s="373"/>
      <c r="N124" s="527"/>
      <c r="AC124" s="318"/>
    </row>
    <row r="125" spans="1:29">
      <c r="A125" s="223">
        <v>30</v>
      </c>
      <c r="B125" s="453">
        <v>46224</v>
      </c>
      <c r="C125" s="224">
        <v>1</v>
      </c>
      <c r="D125" s="251" t="s">
        <v>531</v>
      </c>
      <c r="E125" s="259" t="s">
        <v>524</v>
      </c>
      <c r="F125" s="253" t="s">
        <v>347</v>
      </c>
      <c r="G125" s="253" t="s">
        <v>348</v>
      </c>
      <c r="H125" s="260"/>
      <c r="I125" s="453"/>
      <c r="J125" s="261"/>
      <c r="K125" s="373"/>
      <c r="N125" s="527"/>
      <c r="AC125" s="318"/>
    </row>
    <row r="126" spans="1:29">
      <c r="A126" s="223">
        <v>30</v>
      </c>
      <c r="B126" s="453">
        <v>46224</v>
      </c>
      <c r="C126" s="224">
        <v>1</v>
      </c>
      <c r="D126" s="251" t="s">
        <v>532</v>
      </c>
      <c r="E126" s="259" t="s">
        <v>524</v>
      </c>
      <c r="F126" s="253" t="s">
        <v>347</v>
      </c>
      <c r="G126" s="253" t="s">
        <v>348</v>
      </c>
      <c r="H126" s="260"/>
      <c r="I126" s="453"/>
      <c r="J126" s="261"/>
      <c r="K126" s="373"/>
      <c r="N126" s="527"/>
      <c r="AC126" s="318"/>
    </row>
    <row r="127" spans="1:29">
      <c r="A127" s="223">
        <v>30</v>
      </c>
      <c r="B127" s="453">
        <v>46225</v>
      </c>
      <c r="C127" s="224">
        <v>1</v>
      </c>
      <c r="D127" s="251" t="s">
        <v>206</v>
      </c>
      <c r="E127" s="259" t="s">
        <v>533</v>
      </c>
      <c r="F127" s="253" t="s">
        <v>347</v>
      </c>
      <c r="G127" s="253" t="s">
        <v>348</v>
      </c>
      <c r="H127" s="253"/>
      <c r="I127" s="453"/>
      <c r="J127" s="254" t="s">
        <v>534</v>
      </c>
      <c r="K127" s="373"/>
      <c r="N127" s="527"/>
      <c r="AC127" s="318"/>
    </row>
    <row r="128" spans="1:29">
      <c r="A128" s="223">
        <v>30</v>
      </c>
      <c r="B128" s="453">
        <v>46227</v>
      </c>
      <c r="C128" s="271">
        <v>1</v>
      </c>
      <c r="D128" s="251" t="s">
        <v>535</v>
      </c>
      <c r="E128" s="253" t="s">
        <v>511</v>
      </c>
      <c r="F128" s="253" t="s">
        <v>171</v>
      </c>
      <c r="G128" s="253" t="s">
        <v>360</v>
      </c>
      <c r="H128" s="253"/>
      <c r="I128" s="453"/>
      <c r="J128" s="254"/>
      <c r="K128" s="373"/>
      <c r="N128" s="527"/>
      <c r="AC128" s="318"/>
    </row>
    <row r="129" spans="1:29">
      <c r="A129" s="223">
        <v>30</v>
      </c>
      <c r="B129" s="453">
        <v>46227</v>
      </c>
      <c r="C129" s="271">
        <v>1</v>
      </c>
      <c r="D129" s="251" t="s">
        <v>536</v>
      </c>
      <c r="E129" s="253" t="s">
        <v>511</v>
      </c>
      <c r="F129" s="253" t="s">
        <v>171</v>
      </c>
      <c r="G129" s="253" t="s">
        <v>360</v>
      </c>
      <c r="H129" s="253"/>
      <c r="I129" s="453"/>
      <c r="J129" s="254"/>
      <c r="K129" s="373"/>
      <c r="N129" s="527"/>
      <c r="AC129" s="318"/>
    </row>
    <row r="130" spans="1:29">
      <c r="A130" s="223">
        <v>30</v>
      </c>
      <c r="B130" s="453">
        <v>46227</v>
      </c>
      <c r="C130" s="271">
        <v>1</v>
      </c>
      <c r="D130" s="251" t="s">
        <v>537</v>
      </c>
      <c r="E130" s="253" t="s">
        <v>511</v>
      </c>
      <c r="F130" s="253" t="s">
        <v>171</v>
      </c>
      <c r="G130" s="253" t="s">
        <v>360</v>
      </c>
      <c r="H130" s="253"/>
      <c r="I130" s="453"/>
      <c r="J130" s="254"/>
      <c r="K130" s="373"/>
      <c r="N130" s="527"/>
      <c r="AC130" s="318"/>
    </row>
    <row r="131" spans="1:29">
      <c r="A131" s="223">
        <v>30</v>
      </c>
      <c r="B131" s="453">
        <v>46227</v>
      </c>
      <c r="C131" s="271">
        <v>1</v>
      </c>
      <c r="D131" s="251" t="s">
        <v>538</v>
      </c>
      <c r="E131" s="253" t="s">
        <v>511</v>
      </c>
      <c r="F131" s="253" t="s">
        <v>171</v>
      </c>
      <c r="G131" s="253" t="s">
        <v>360</v>
      </c>
      <c r="H131" s="253"/>
      <c r="I131" s="453"/>
      <c r="J131" s="254"/>
      <c r="K131" s="373"/>
      <c r="N131" s="527"/>
      <c r="AC131" s="318"/>
    </row>
    <row r="132" spans="1:29">
      <c r="A132" s="223">
        <v>30</v>
      </c>
      <c r="B132" s="453">
        <v>46227</v>
      </c>
      <c r="C132" s="271">
        <v>1</v>
      </c>
      <c r="D132" s="251" t="s">
        <v>539</v>
      </c>
      <c r="E132" s="253" t="s">
        <v>511</v>
      </c>
      <c r="F132" s="253" t="s">
        <v>171</v>
      </c>
      <c r="G132" s="253" t="s">
        <v>360</v>
      </c>
      <c r="H132" s="253"/>
      <c r="I132" s="453"/>
      <c r="J132" s="254"/>
      <c r="K132" s="373"/>
      <c r="N132" s="527"/>
      <c r="AC132" s="318"/>
    </row>
    <row r="133" spans="1:29">
      <c r="A133" s="253">
        <v>30</v>
      </c>
      <c r="B133" s="453">
        <v>46227</v>
      </c>
      <c r="C133" s="271">
        <v>3</v>
      </c>
      <c r="D133" s="251" t="s">
        <v>540</v>
      </c>
      <c r="E133" s="259" t="s">
        <v>541</v>
      </c>
      <c r="F133" s="253" t="s">
        <v>347</v>
      </c>
      <c r="G133" s="253" t="s">
        <v>348</v>
      </c>
      <c r="H133" s="253"/>
      <c r="I133" s="453"/>
      <c r="J133" s="254"/>
      <c r="K133" s="373"/>
      <c r="N133" s="527"/>
      <c r="AC133" s="318"/>
    </row>
    <row r="134" spans="1:29">
      <c r="A134" s="258"/>
      <c r="B134" s="270"/>
      <c r="C134" s="224"/>
      <c r="D134" s="251"/>
      <c r="E134" s="259"/>
      <c r="F134" s="253"/>
      <c r="G134" s="253"/>
      <c r="H134" s="253"/>
      <c r="I134" s="453"/>
      <c r="J134" s="254"/>
      <c r="K134" s="373"/>
      <c r="N134" s="527"/>
      <c r="AC134" s="318"/>
    </row>
    <row r="135" spans="1:29">
      <c r="A135" s="258"/>
      <c r="B135" s="270"/>
      <c r="C135" s="224"/>
      <c r="D135" s="251"/>
      <c r="E135" s="259"/>
      <c r="F135" s="253"/>
      <c r="G135" s="253"/>
      <c r="H135" s="253"/>
      <c r="I135" s="453"/>
      <c r="J135" s="254"/>
      <c r="K135" s="373"/>
      <c r="N135" s="527"/>
      <c r="AC135" s="318"/>
    </row>
    <row r="136" spans="1:29">
      <c r="A136" s="264"/>
      <c r="B136" s="270"/>
      <c r="C136" s="224"/>
      <c r="D136" s="251"/>
      <c r="E136" s="259"/>
      <c r="F136" s="253"/>
      <c r="G136" s="253"/>
      <c r="H136" s="253"/>
      <c r="I136" s="453"/>
      <c r="J136" s="254"/>
      <c r="K136" s="373"/>
      <c r="N136" s="527"/>
      <c r="AC136" s="318"/>
    </row>
    <row r="137" spans="1:29">
      <c r="A137" s="268"/>
      <c r="B137" s="270"/>
      <c r="C137" s="224"/>
      <c r="D137" s="251"/>
      <c r="E137" s="259"/>
      <c r="F137" s="260"/>
      <c r="G137" s="253"/>
      <c r="H137" s="260"/>
      <c r="I137" s="453"/>
      <c r="J137" s="261"/>
      <c r="K137" s="373"/>
      <c r="N137" s="527"/>
      <c r="AC137" s="318"/>
    </row>
    <row r="138" spans="1:29">
      <c r="A138" s="264"/>
      <c r="B138" s="265"/>
      <c r="C138" s="224"/>
      <c r="D138" s="251"/>
      <c r="E138" s="259"/>
      <c r="F138" s="260"/>
      <c r="G138" s="253"/>
      <c r="H138" s="253"/>
      <c r="I138" s="453"/>
      <c r="J138" s="254"/>
      <c r="K138" s="373"/>
      <c r="N138" s="527"/>
      <c r="AC138" s="318"/>
    </row>
    <row r="139" spans="1:29">
      <c r="A139" s="266"/>
      <c r="B139" s="267"/>
      <c r="C139" s="224"/>
      <c r="D139" s="251"/>
      <c r="E139" s="259"/>
      <c r="F139" s="260"/>
      <c r="G139" s="253"/>
      <c r="H139" s="260"/>
      <c r="I139" s="453"/>
      <c r="J139" s="261"/>
      <c r="K139" s="373"/>
      <c r="N139" s="527"/>
      <c r="AC139" s="318"/>
    </row>
    <row r="140" spans="1:29">
      <c r="A140" s="266"/>
      <c r="B140" s="267"/>
      <c r="C140" s="224"/>
      <c r="D140" s="251"/>
      <c r="E140" s="259"/>
      <c r="F140" s="260"/>
      <c r="G140" s="253"/>
      <c r="H140" s="260"/>
      <c r="I140" s="453"/>
      <c r="J140" s="261"/>
      <c r="K140" s="373"/>
      <c r="N140" s="527"/>
      <c r="AC140" s="318"/>
    </row>
    <row r="141" spans="1:29">
      <c r="A141" s="266"/>
      <c r="B141" s="267"/>
      <c r="C141" s="224"/>
      <c r="D141" s="251"/>
      <c r="E141" s="259"/>
      <c r="F141" s="260"/>
      <c r="G141" s="253"/>
      <c r="H141" s="260"/>
      <c r="I141" s="453"/>
      <c r="J141" s="261"/>
      <c r="K141" s="373"/>
      <c r="N141" s="527"/>
      <c r="AC141" s="318"/>
    </row>
    <row r="142" spans="1:29">
      <c r="A142" s="268"/>
      <c r="B142" s="269"/>
      <c r="C142" s="224"/>
      <c r="D142" s="251"/>
      <c r="E142" s="259"/>
      <c r="F142" s="260"/>
      <c r="G142" s="253"/>
      <c r="H142" s="260"/>
      <c r="I142" s="453"/>
      <c r="J142" s="261"/>
      <c r="K142" s="373"/>
      <c r="N142" s="527"/>
      <c r="AC142" s="318"/>
    </row>
    <row r="143" spans="1:29">
      <c r="A143" s="264"/>
      <c r="B143" s="265"/>
      <c r="C143" s="224"/>
      <c r="D143" s="251"/>
      <c r="E143" s="259"/>
      <c r="F143" s="260"/>
      <c r="G143" s="253"/>
      <c r="H143" s="253"/>
      <c r="I143" s="453"/>
      <c r="J143" s="254"/>
      <c r="K143" s="373"/>
      <c r="N143" s="527"/>
      <c r="AC143" s="318"/>
    </row>
    <row r="144" spans="1:29">
      <c r="A144" s="266"/>
      <c r="B144" s="267"/>
      <c r="C144" s="224"/>
      <c r="D144" s="251"/>
      <c r="E144" s="259"/>
      <c r="F144" s="260"/>
      <c r="G144" s="253"/>
      <c r="H144" s="260"/>
      <c r="I144" s="453"/>
      <c r="J144" s="261"/>
      <c r="K144" s="373"/>
      <c r="N144" s="527"/>
      <c r="AC144" s="318"/>
    </row>
    <row r="145" spans="1:29">
      <c r="A145" s="266"/>
      <c r="B145" s="267"/>
      <c r="C145" s="224"/>
      <c r="D145" s="251"/>
      <c r="E145" s="259"/>
      <c r="F145" s="260"/>
      <c r="G145" s="253"/>
      <c r="H145" s="260"/>
      <c r="I145" s="453"/>
      <c r="J145" s="261"/>
      <c r="K145" s="373"/>
      <c r="N145" s="527"/>
      <c r="AC145" s="318"/>
    </row>
    <row r="146" spans="1:29">
      <c r="A146" s="266"/>
      <c r="B146" s="267"/>
      <c r="C146" s="224"/>
      <c r="D146" s="251"/>
      <c r="E146" s="259"/>
      <c r="F146" s="260"/>
      <c r="G146" s="253"/>
      <c r="H146" s="260"/>
      <c r="I146" s="453"/>
      <c r="J146" s="261"/>
      <c r="K146" s="373"/>
      <c r="N146" s="527"/>
      <c r="AC146" s="318"/>
    </row>
    <row r="147" spans="1:29">
      <c r="A147" s="266"/>
      <c r="B147" s="267"/>
      <c r="C147" s="224"/>
      <c r="D147" s="251"/>
      <c r="E147" s="259"/>
      <c r="F147" s="260"/>
      <c r="G147" s="253"/>
      <c r="H147" s="260"/>
      <c r="I147" s="453"/>
      <c r="J147" s="261"/>
      <c r="K147" s="373"/>
      <c r="N147" s="527"/>
      <c r="AC147" s="318"/>
    </row>
    <row r="148" spans="1:29">
      <c r="A148" s="268"/>
      <c r="B148" s="269"/>
      <c r="C148" s="224"/>
      <c r="D148" s="251"/>
      <c r="E148" s="259"/>
      <c r="F148" s="260"/>
      <c r="G148" s="253"/>
      <c r="H148" s="260"/>
      <c r="I148" s="453"/>
      <c r="J148" s="261"/>
      <c r="K148" s="373"/>
      <c r="N148" s="527"/>
      <c r="AC148" s="318"/>
    </row>
    <row r="149" spans="1:29">
      <c r="A149" s="272"/>
      <c r="B149" s="265"/>
      <c r="C149" s="224"/>
      <c r="D149" s="251"/>
      <c r="E149" s="259"/>
      <c r="F149" s="260"/>
      <c r="G149" s="253"/>
      <c r="H149" s="253"/>
      <c r="I149" s="453"/>
      <c r="J149" s="254"/>
      <c r="K149" s="373"/>
      <c r="N149" s="527"/>
      <c r="AC149" s="318"/>
    </row>
    <row r="150" spans="1:29">
      <c r="A150" s="272"/>
      <c r="B150" s="267"/>
      <c r="C150" s="224"/>
      <c r="D150" s="251"/>
      <c r="E150" s="259"/>
      <c r="F150" s="260"/>
      <c r="G150" s="253"/>
      <c r="H150" s="260"/>
      <c r="I150" s="453"/>
      <c r="J150" s="261"/>
      <c r="K150" s="373"/>
      <c r="N150" s="527"/>
      <c r="AC150" s="318"/>
    </row>
    <row r="151" spans="1:29">
      <c r="A151" s="272"/>
      <c r="B151" s="267"/>
      <c r="C151" s="224"/>
      <c r="D151" s="251"/>
      <c r="E151" s="259"/>
      <c r="F151" s="260"/>
      <c r="G151" s="253"/>
      <c r="H151" s="260"/>
      <c r="I151" s="453"/>
      <c r="J151" s="261"/>
      <c r="K151" s="373"/>
      <c r="N151" s="527"/>
      <c r="AC151" s="318"/>
    </row>
    <row r="152" spans="1:29">
      <c r="A152" s="272"/>
      <c r="B152" s="267"/>
      <c r="C152" s="224"/>
      <c r="D152" s="251"/>
      <c r="E152" s="259"/>
      <c r="F152" s="260"/>
      <c r="G152" s="253"/>
      <c r="H152" s="260"/>
      <c r="I152" s="453"/>
      <c r="J152" s="261"/>
      <c r="K152" s="373"/>
      <c r="N152" s="527"/>
      <c r="AC152" s="318"/>
    </row>
    <row r="153" spans="1:29">
      <c r="A153" s="272"/>
      <c r="B153" s="267"/>
      <c r="C153" s="224"/>
      <c r="D153" s="251"/>
      <c r="E153" s="259"/>
      <c r="F153" s="260"/>
      <c r="G153" s="253"/>
      <c r="H153" s="260"/>
      <c r="I153" s="453"/>
      <c r="J153" s="261"/>
      <c r="K153" s="373"/>
      <c r="N153" s="527"/>
      <c r="AC153" s="318"/>
    </row>
    <row r="154" spans="1:29">
      <c r="A154" s="272"/>
      <c r="B154" s="267"/>
      <c r="C154" s="224"/>
      <c r="D154" s="251"/>
      <c r="E154" s="259"/>
      <c r="F154" s="260"/>
      <c r="G154" s="253"/>
      <c r="H154" s="260"/>
      <c r="I154" s="453"/>
      <c r="J154" s="261"/>
      <c r="K154" s="373"/>
      <c r="N154" s="527"/>
      <c r="AC154" s="318"/>
    </row>
    <row r="155" spans="1:29">
      <c r="A155" s="272"/>
      <c r="B155" s="267"/>
      <c r="C155" s="224"/>
      <c r="D155" s="251"/>
      <c r="E155" s="259"/>
      <c r="F155" s="260"/>
      <c r="G155" s="253"/>
      <c r="H155" s="260"/>
      <c r="I155" s="453"/>
      <c r="J155" s="261"/>
      <c r="K155" s="373"/>
      <c r="N155" s="527"/>
      <c r="AC155" s="318"/>
    </row>
    <row r="156" spans="1:29">
      <c r="A156" s="258"/>
      <c r="B156" s="269"/>
      <c r="C156" s="224"/>
      <c r="D156" s="251"/>
      <c r="E156" s="259"/>
      <c r="F156" s="260"/>
      <c r="G156" s="253"/>
      <c r="H156" s="260"/>
      <c r="I156" s="453"/>
      <c r="J156" s="261"/>
      <c r="K156" s="373"/>
      <c r="N156" s="527"/>
      <c r="AC156" s="318"/>
    </row>
    <row r="157" spans="1:29">
      <c r="A157" s="258"/>
      <c r="B157" s="269"/>
      <c r="C157" s="224"/>
      <c r="D157" s="251"/>
      <c r="E157" s="259"/>
      <c r="F157" s="260"/>
      <c r="G157" s="253"/>
      <c r="H157" s="253"/>
      <c r="I157" s="453"/>
      <c r="J157" s="254"/>
      <c r="K157" s="373"/>
      <c r="N157" s="527"/>
      <c r="AC157" s="318"/>
    </row>
  </sheetData>
  <conditionalFormatting sqref="D1:D18 D22:D34 D36:D1048576">
    <cfRule type="duplicateValues" dxfId="486" priority="159"/>
    <cfRule type="duplicateValues" dxfId="485" priority="160"/>
    <cfRule type="duplicateValues" dxfId="484" priority="176"/>
  </conditionalFormatting>
  <conditionalFormatting sqref="D1:D18 D22:D1048576">
    <cfRule type="duplicateValues" dxfId="483" priority="149"/>
    <cfRule type="duplicateValues" dxfId="482" priority="150"/>
  </conditionalFormatting>
  <conditionalFormatting sqref="D5:D157">
    <cfRule type="duplicateValues" dxfId="481" priority="1"/>
    <cfRule type="duplicateValues" dxfId="480" priority="343"/>
  </conditionalFormatting>
  <conditionalFormatting sqref="D19:D21">
    <cfRule type="duplicateValues" dxfId="479" priority="127"/>
    <cfRule type="duplicateValues" dxfId="478" priority="128"/>
    <cfRule type="duplicateValues" dxfId="477" priority="126"/>
    <cfRule type="duplicateValues" dxfId="476" priority="125"/>
    <cfRule type="duplicateValues" dxfId="475" priority="124"/>
    <cfRule type="duplicateValues" dxfId="474" priority="123"/>
  </conditionalFormatting>
  <conditionalFormatting sqref="D35">
    <cfRule type="duplicateValues" dxfId="473" priority="152"/>
    <cfRule type="duplicateValues" dxfId="472" priority="153"/>
    <cfRule type="duplicateValues" dxfId="471" priority="151"/>
  </conditionalFormatting>
  <conditionalFormatting sqref="E2">
    <cfRule type="duplicateValues" dxfId="470" priority="213"/>
    <cfRule type="duplicateValues" dxfId="469" priority="212"/>
  </conditionalFormatting>
  <conditionalFormatting sqref="F57:F58">
    <cfRule type="cellIs" dxfId="468" priority="106" operator="equal">
      <formula>$L$1</formula>
    </cfRule>
    <cfRule type="cellIs" dxfId="467" priority="105" operator="equal">
      <formula>#REF!</formula>
    </cfRule>
    <cfRule type="cellIs" dxfId="466" priority="104" operator="equal">
      <formula>$L$2</formula>
    </cfRule>
    <cfRule type="cellIs" dxfId="465" priority="99" operator="equal">
      <formula>#REF!</formula>
    </cfRule>
    <cfRule type="cellIs" dxfId="464" priority="100" operator="equal">
      <formula>$L$2</formula>
    </cfRule>
    <cfRule type="cellIs" dxfId="463" priority="101" operator="equal">
      <formula>#REF!</formula>
    </cfRule>
    <cfRule type="cellIs" dxfId="462" priority="102" operator="equal">
      <formula>$L$1</formula>
    </cfRule>
    <cfRule type="cellIs" dxfId="461" priority="103" operator="equal">
      <formula>#REF!</formula>
    </cfRule>
  </conditionalFormatting>
  <conditionalFormatting sqref="F71:F74">
    <cfRule type="cellIs" dxfId="460" priority="82" operator="equal">
      <formula>$L$1</formula>
    </cfRule>
    <cfRule type="cellIs" dxfId="459" priority="81" operator="equal">
      <formula>#REF!</formula>
    </cfRule>
    <cfRule type="cellIs" dxfId="458" priority="80" operator="equal">
      <formula>$L$2</formula>
    </cfRule>
    <cfRule type="cellIs" dxfId="457" priority="79" operator="equal">
      <formula>#REF!</formula>
    </cfRule>
    <cfRule type="cellIs" dxfId="456" priority="78" operator="equal">
      <formula>$L$1</formula>
    </cfRule>
    <cfRule type="cellIs" dxfId="455" priority="77" operator="equal">
      <formula>#REF!</formula>
    </cfRule>
    <cfRule type="cellIs" dxfId="454" priority="76" operator="equal">
      <formula>$L$2</formula>
    </cfRule>
    <cfRule type="cellIs" dxfId="453" priority="75" operator="equal">
      <formula>#REF!</formula>
    </cfRule>
  </conditionalFormatting>
  <conditionalFormatting sqref="F78">
    <cfRule type="cellIs" dxfId="452" priority="43" operator="equal">
      <formula>#REF!</formula>
    </cfRule>
    <cfRule type="cellIs" dxfId="451" priority="45" operator="equal">
      <formula>#REF!</formula>
    </cfRule>
    <cfRule type="cellIs" dxfId="450" priority="46" operator="equal">
      <formula>$L$1</formula>
    </cfRule>
    <cfRule type="cellIs" dxfId="449" priority="44" operator="equal">
      <formula>$L$2</formula>
    </cfRule>
  </conditionalFormatting>
  <conditionalFormatting sqref="F78:F79">
    <cfRule type="cellIs" dxfId="448" priority="28" operator="equal">
      <formula>$L$2</formula>
    </cfRule>
    <cfRule type="cellIs" dxfId="447" priority="27" operator="equal">
      <formula>#REF!</formula>
    </cfRule>
    <cfRule type="cellIs" dxfId="446" priority="29" operator="equal">
      <formula>#REF!</formula>
    </cfRule>
    <cfRule type="cellIs" dxfId="445" priority="30" operator="equal">
      <formula>$L$1</formula>
    </cfRule>
  </conditionalFormatting>
  <conditionalFormatting sqref="F79">
    <cfRule type="cellIs" dxfId="444" priority="23" operator="equal">
      <formula>#REF!</formula>
    </cfRule>
    <cfRule type="cellIs" dxfId="443" priority="24" operator="equal">
      <formula>$L$2</formula>
    </cfRule>
    <cfRule type="cellIs" dxfId="442" priority="25" operator="equal">
      <formula>#REF!</formula>
    </cfRule>
    <cfRule type="cellIs" dxfId="441" priority="26" operator="equal">
      <formula>$L$1</formula>
    </cfRule>
  </conditionalFormatting>
  <conditionalFormatting sqref="F5:G157 H82:H106">
    <cfRule type="cellIs" dxfId="440" priority="184" operator="equal">
      <formula>#REF!</formula>
    </cfRule>
    <cfRule type="cellIs" dxfId="439" priority="183" operator="equal">
      <formula>$L$2</formula>
    </cfRule>
    <cfRule type="cellIs" dxfId="438" priority="182" operator="equal">
      <formula>#REF!</formula>
    </cfRule>
    <cfRule type="cellIs" dxfId="437" priority="186" operator="equal">
      <formula>$L$1</formula>
    </cfRule>
  </conditionalFormatting>
  <conditionalFormatting sqref="F52:G52">
    <cfRule type="cellIs" dxfId="436" priority="117" operator="equal">
      <formula>#REF!</formula>
    </cfRule>
    <cfRule type="cellIs" dxfId="435" priority="116" operator="equal">
      <formula>$L$2</formula>
    </cfRule>
    <cfRule type="cellIs" dxfId="434" priority="115" operator="equal">
      <formula>#REF!</formula>
    </cfRule>
    <cfRule type="cellIs" dxfId="433" priority="118" operator="equal">
      <formula>$L$1</formula>
    </cfRule>
  </conditionalFormatting>
  <conditionalFormatting sqref="G32">
    <cfRule type="cellIs" dxfId="432" priority="206" operator="equal">
      <formula>$L$1</formula>
    </cfRule>
    <cfRule type="cellIs" dxfId="431" priority="204" operator="equal">
      <formula>#REF!</formula>
    </cfRule>
    <cfRule type="cellIs" dxfId="430" priority="202" operator="equal">
      <formula>#REF!</formula>
    </cfRule>
    <cfRule type="cellIs" dxfId="429" priority="203" operator="equal">
      <formula>$L$2</formula>
    </cfRule>
  </conditionalFormatting>
  <conditionalFormatting sqref="G40">
    <cfRule type="cellIs" dxfId="428" priority="196" operator="equal">
      <formula>$L$1</formula>
    </cfRule>
    <cfRule type="cellIs" dxfId="427" priority="194" operator="equal">
      <formula>#REF!</formula>
    </cfRule>
    <cfRule type="cellIs" dxfId="426" priority="192" operator="equal">
      <formula>#REF!</formula>
    </cfRule>
    <cfRule type="cellIs" dxfId="425" priority="193" operator="equal">
      <formula>$L$2</formula>
    </cfRule>
  </conditionalFormatting>
  <conditionalFormatting sqref="G45:G48">
    <cfRule type="cellIs" dxfId="424" priority="191" operator="equal">
      <formula>$L$1</formula>
    </cfRule>
    <cfRule type="cellIs" dxfId="423" priority="188" operator="equal">
      <formula>$L$2</formula>
    </cfRule>
    <cfRule type="cellIs" dxfId="422" priority="189" operator="equal">
      <formula>#REF!</formula>
    </cfRule>
    <cfRule type="cellIs" dxfId="421" priority="187" operator="equal">
      <formula>#REF!</formula>
    </cfRule>
  </conditionalFormatting>
  <conditionalFormatting sqref="G53">
    <cfRule type="cellIs" dxfId="420" priority="110" operator="equal">
      <formula>$L$1</formula>
    </cfRule>
    <cfRule type="cellIs" dxfId="419" priority="109" operator="equal">
      <formula>#REF!</formula>
    </cfRule>
    <cfRule type="cellIs" dxfId="418" priority="108" operator="equal">
      <formula>$L$2</formula>
    </cfRule>
    <cfRule type="cellIs" dxfId="417" priority="107" operator="equal">
      <formula>#REF!</formula>
    </cfRule>
  </conditionalFormatting>
  <conditionalFormatting sqref="G57:G58">
    <cfRule type="cellIs" dxfId="416" priority="95" operator="equal">
      <formula>#REF!</formula>
    </cfRule>
    <cfRule type="cellIs" dxfId="415" priority="97" operator="equal">
      <formula>#REF!</formula>
    </cfRule>
    <cfRule type="cellIs" dxfId="414" priority="96" operator="equal">
      <formula>$L$2</formula>
    </cfRule>
    <cfRule type="cellIs" dxfId="413" priority="98" operator="equal">
      <formula>$L$1</formula>
    </cfRule>
  </conditionalFormatting>
  <conditionalFormatting sqref="G62:G76">
    <cfRule type="cellIs" dxfId="412" priority="71" operator="equal">
      <formula>#REF!</formula>
    </cfRule>
    <cfRule type="cellIs" dxfId="411" priority="72" operator="equal">
      <formula>$L$2</formula>
    </cfRule>
    <cfRule type="cellIs" dxfId="410" priority="73" operator="equal">
      <formula>#REF!</formula>
    </cfRule>
    <cfRule type="cellIs" dxfId="409" priority="74" operator="equal">
      <formula>$L$1</formula>
    </cfRule>
  </conditionalFormatting>
  <conditionalFormatting sqref="G75:G77">
    <cfRule type="cellIs" dxfId="408" priority="175" operator="equal">
      <formula>$L$1</formula>
    </cfRule>
    <cfRule type="cellIs" dxfId="407" priority="171" operator="equal">
      <formula>#REF!</formula>
    </cfRule>
    <cfRule type="cellIs" dxfId="406" priority="172" operator="equal">
      <formula>$L$2</formula>
    </cfRule>
    <cfRule type="cellIs" dxfId="405" priority="173" operator="equal">
      <formula>#REF!</formula>
    </cfRule>
  </conditionalFormatting>
  <conditionalFormatting sqref="G117:G119 G121:G127">
    <cfRule type="cellIs" dxfId="404" priority="165" operator="equal">
      <formula>$L$1</formula>
    </cfRule>
    <cfRule type="cellIs" dxfId="403" priority="163" operator="equal">
      <formula>#REF!</formula>
    </cfRule>
    <cfRule type="cellIs" dxfId="402" priority="162" operator="equal">
      <formula>$L$2</formula>
    </cfRule>
    <cfRule type="cellIs" dxfId="401" priority="161" operator="equal">
      <formula>#REF!</formula>
    </cfRule>
  </conditionalFormatting>
  <conditionalFormatting sqref="H7:H11">
    <cfRule type="cellIs" dxfId="400" priority="141" operator="equal">
      <formula>#REF!</formula>
    </cfRule>
    <cfRule type="cellIs" dxfId="399" priority="144" operator="equal">
      <formula>$L$1</formula>
    </cfRule>
    <cfRule type="cellIs" dxfId="398" priority="142" operator="equal">
      <formula>$L$2</formula>
    </cfRule>
    <cfRule type="cellIs" dxfId="397" priority="143" operator="equal">
      <formula>#REF!</formula>
    </cfRule>
  </conditionalFormatting>
  <conditionalFormatting sqref="H16">
    <cfRule type="cellIs" dxfId="396" priority="146" operator="equal">
      <formula>$L$2</formula>
    </cfRule>
    <cfRule type="cellIs" dxfId="395" priority="148" operator="equal">
      <formula>$L$1</formula>
    </cfRule>
    <cfRule type="cellIs" dxfId="394" priority="147" operator="equal">
      <formula>#REF!</formula>
    </cfRule>
    <cfRule type="cellIs" dxfId="393" priority="145" operator="equal">
      <formula>#REF!</formula>
    </cfRule>
  </conditionalFormatting>
  <conditionalFormatting sqref="H22">
    <cfRule type="cellIs" dxfId="392" priority="135" operator="equal">
      <formula>#REF!</formula>
    </cfRule>
    <cfRule type="cellIs" dxfId="391" priority="136" operator="equal">
      <formula>$L$1</formula>
    </cfRule>
    <cfRule type="cellIs" dxfId="390" priority="134" operator="equal">
      <formula>$L$2</formula>
    </cfRule>
    <cfRule type="cellIs" dxfId="389" priority="133" operator="equal">
      <formula>#REF!</formula>
    </cfRule>
  </conditionalFormatting>
  <conditionalFormatting sqref="H28:H29">
    <cfRule type="cellIs" dxfId="388" priority="137" operator="equal">
      <formula>#REF!</formula>
    </cfRule>
    <cfRule type="cellIs" dxfId="387" priority="138" operator="equal">
      <formula>$L$2</formula>
    </cfRule>
    <cfRule type="cellIs" dxfId="386" priority="139" operator="equal">
      <formula>#REF!</formula>
    </cfRule>
    <cfRule type="cellIs" dxfId="385" priority="140" operator="equal">
      <formula>$L$1</formula>
    </cfRule>
  </conditionalFormatting>
  <conditionalFormatting sqref="H41:H43">
    <cfRule type="cellIs" dxfId="384" priority="122" operator="equal">
      <formula>$L$1</formula>
    </cfRule>
    <cfRule type="cellIs" dxfId="383" priority="121" operator="equal">
      <formula>#REF!</formula>
    </cfRule>
    <cfRule type="cellIs" dxfId="382" priority="120" operator="equal">
      <formula>$L$2</formula>
    </cfRule>
    <cfRule type="cellIs" dxfId="381" priority="119" operator="equal">
      <formula>#REF!</formula>
    </cfRule>
  </conditionalFormatting>
  <conditionalFormatting sqref="H46">
    <cfRule type="cellIs" dxfId="380" priority="50" operator="equal">
      <formula>$L$1</formula>
    </cfRule>
    <cfRule type="cellIs" dxfId="379" priority="47" operator="equal">
      <formula>#REF!</formula>
    </cfRule>
    <cfRule type="cellIs" dxfId="378" priority="48" operator="equal">
      <formula>$L$2</formula>
    </cfRule>
    <cfRule type="cellIs" dxfId="377" priority="49" operator="equal">
      <formula>#REF!</formula>
    </cfRule>
  </conditionalFormatting>
  <conditionalFormatting sqref="H52">
    <cfRule type="cellIs" dxfId="376" priority="111" operator="equal">
      <formula>#REF!</formula>
    </cfRule>
    <cfRule type="cellIs" dxfId="375" priority="114" operator="equal">
      <formula>$L$1</formula>
    </cfRule>
    <cfRule type="cellIs" dxfId="374" priority="113" operator="equal">
      <formula>#REF!</formula>
    </cfRule>
    <cfRule type="cellIs" dxfId="373" priority="112" operator="equal">
      <formula>$L$2</formula>
    </cfRule>
  </conditionalFormatting>
  <conditionalFormatting sqref="H57:H58">
    <cfRule type="cellIs" dxfId="372" priority="93" operator="equal">
      <formula>#REF!</formula>
    </cfRule>
    <cfRule type="cellIs" dxfId="371" priority="94" operator="equal">
      <formula>$L$1</formula>
    </cfRule>
    <cfRule type="cellIs" dxfId="370" priority="92" operator="equal">
      <formula>$L$2</formula>
    </cfRule>
    <cfRule type="cellIs" dxfId="369" priority="91" operator="equal">
      <formula>#REF!</formula>
    </cfRule>
  </conditionalFormatting>
  <conditionalFormatting sqref="H63:H65">
    <cfRule type="cellIs" dxfId="368" priority="56" operator="equal">
      <formula>$L$2</formula>
    </cfRule>
    <cfRule type="cellIs" dxfId="367" priority="55" operator="equal">
      <formula>#REF!</formula>
    </cfRule>
    <cfRule type="cellIs" dxfId="366" priority="57" operator="equal">
      <formula>#REF!</formula>
    </cfRule>
    <cfRule type="cellIs" dxfId="365" priority="58" operator="equal">
      <formula>$L$1</formula>
    </cfRule>
  </conditionalFormatting>
  <conditionalFormatting sqref="H67">
    <cfRule type="cellIs" dxfId="364" priority="89" operator="equal">
      <formula>#REF!</formula>
    </cfRule>
    <cfRule type="cellIs" dxfId="363" priority="90" operator="equal">
      <formula>$L$1</formula>
    </cfRule>
    <cfRule type="cellIs" dxfId="362" priority="88" operator="equal">
      <formula>$L$2</formula>
    </cfRule>
    <cfRule type="cellIs" dxfId="361" priority="87" operator="equal">
      <formula>#REF!</formula>
    </cfRule>
  </conditionalFormatting>
  <conditionalFormatting sqref="H69">
    <cfRule type="cellIs" dxfId="360" priority="83" operator="equal">
      <formula>#REF!</formula>
    </cfRule>
    <cfRule type="cellIs" dxfId="359" priority="84" operator="equal">
      <formula>$L$2</formula>
    </cfRule>
    <cfRule type="cellIs" dxfId="358" priority="85" operator="equal">
      <formula>#REF!</formula>
    </cfRule>
    <cfRule type="cellIs" dxfId="357" priority="86" operator="equal">
      <formula>$L$1</formula>
    </cfRule>
  </conditionalFormatting>
  <conditionalFormatting sqref="H71:H74">
    <cfRule type="cellIs" dxfId="356" priority="67" operator="equal">
      <formula>#REF!</formula>
    </cfRule>
    <cfRule type="cellIs" dxfId="355" priority="70" operator="equal">
      <formula>$L$1</formula>
    </cfRule>
    <cfRule type="cellIs" dxfId="354" priority="68" operator="equal">
      <formula>$L$2</formula>
    </cfRule>
    <cfRule type="cellIs" dxfId="353" priority="69" operator="equal">
      <formula>#REF!</formula>
    </cfRule>
  </conditionalFormatting>
  <conditionalFormatting sqref="H78:H79">
    <cfRule type="cellIs" dxfId="352" priority="18" operator="equal">
      <formula>$L$1</formula>
    </cfRule>
    <cfRule type="cellIs" dxfId="351" priority="17" operator="equal">
      <formula>#REF!</formula>
    </cfRule>
    <cfRule type="cellIs" dxfId="350" priority="16" operator="equal">
      <formula>$L$2</formula>
    </cfRule>
    <cfRule type="cellIs" dxfId="349" priority="15" operator="equal">
      <formula>#REF!</formula>
    </cfRule>
  </conditionalFormatting>
  <conditionalFormatting sqref="H108:H109">
    <cfRule type="cellIs" dxfId="348" priority="4" operator="equal">
      <formula>#REF!</formula>
    </cfRule>
    <cfRule type="cellIs" dxfId="347" priority="3" operator="equal">
      <formula>$L$2</formula>
    </cfRule>
    <cfRule type="cellIs" dxfId="346" priority="2" operator="equal">
      <formula>#REF!</formula>
    </cfRule>
    <cfRule type="cellIs" dxfId="345" priority="5" operator="equal">
      <formula>$L$1</formula>
    </cfRule>
  </conditionalFormatting>
  <conditionalFormatting sqref="I7:I11 I22 I28:I29">
    <cfRule type="cellIs" dxfId="344" priority="208" operator="equal">
      <formula>$L$2</formula>
    </cfRule>
    <cfRule type="cellIs" dxfId="343" priority="209" operator="equal">
      <formula>#REF!</formula>
    </cfRule>
    <cfRule type="cellIs" dxfId="342" priority="211" operator="equal">
      <formula>$L$1</formula>
    </cfRule>
    <cfRule type="cellIs" dxfId="341" priority="207" operator="equal">
      <formula>#REF!</formula>
    </cfRule>
  </conditionalFormatting>
  <dataValidations count="3">
    <dataValidation type="list" allowBlank="1" showInputMessage="1" showErrorMessage="1" sqref="F5:F157 I7:I11 I22 I28:I29" xr:uid="{00000000-0002-0000-0800-000000000000}">
      <formula1>$L$1:$L$5</formula1>
    </dataValidation>
    <dataValidation type="list" allowBlank="1" showInputMessage="1" showErrorMessage="1" sqref="H5:H157" xr:uid="{00000000-0002-0000-0800-000001000000}">
      <formula1>$O$2:$O$6</formula1>
    </dataValidation>
    <dataValidation type="list" allowBlank="1" showInputMessage="1" showErrorMessage="1" sqref="G5:G157" xr:uid="{00000000-0002-0000-0800-000002000000}">
      <formula1>$M$1:$M$6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368"/>
  <sheetViews>
    <sheetView showGridLines="0" zoomScaleNormal="100" workbookViewId="0">
      <pane ySplit="4" topLeftCell="A55" activePane="bottomLeft" state="frozen"/>
      <selection pane="bottomLeft" activeCell="R69" sqref="R69"/>
    </sheetView>
  </sheetViews>
  <sheetFormatPr defaultColWidth="9.08984375" defaultRowHeight="15" customHeight="1"/>
  <cols>
    <col min="1" max="1" width="10.54296875" style="277" customWidth="1"/>
    <col min="2" max="2" width="8" style="277" customWidth="1"/>
    <col min="3" max="3" width="16.453125" style="277" bestFit="1" customWidth="1"/>
    <col min="4" max="4" width="15.90625" style="277" bestFit="1" customWidth="1"/>
    <col min="5" max="5" width="11.08984375" style="277" customWidth="1"/>
    <col min="6" max="6" width="13.36328125" style="277" customWidth="1"/>
    <col min="7" max="7" width="15.90625" style="277" bestFit="1" customWidth="1"/>
    <col min="8" max="8" width="10.54296875" style="277" customWidth="1"/>
    <col min="9" max="9" width="15.453125" style="277" bestFit="1" customWidth="1"/>
    <col min="10" max="10" width="15.36328125" style="277" bestFit="1" customWidth="1"/>
    <col min="11" max="11" width="10.54296875" style="277" customWidth="1"/>
    <col min="12" max="12" width="14.08984375" style="277" customWidth="1"/>
    <col min="13" max="13" width="15.90625" style="277" bestFit="1" customWidth="1"/>
    <col min="14" max="14" width="9.54296875" style="277" customWidth="1"/>
    <col min="15" max="15" width="14.08984375" style="277" customWidth="1"/>
    <col min="16" max="16" width="15.90625" style="277" bestFit="1" customWidth="1"/>
    <col min="17" max="17" width="10.453125" style="277" bestFit="1" customWidth="1"/>
    <col min="18" max="18" width="18.6328125" style="277" customWidth="1"/>
    <col min="19" max="19" width="9.08984375" style="277" customWidth="1"/>
    <col min="20" max="16384" width="9.08984375" style="277"/>
  </cols>
  <sheetData>
    <row r="1" spans="1:18" ht="35.25" customHeight="1">
      <c r="A1" s="742" t="s">
        <v>342</v>
      </c>
      <c r="B1" s="743"/>
      <c r="C1" s="743"/>
      <c r="D1" s="743"/>
      <c r="E1" s="743"/>
      <c r="F1" s="743"/>
      <c r="G1" s="743"/>
      <c r="H1" s="743"/>
      <c r="I1" s="743"/>
      <c r="J1" s="743"/>
      <c r="K1" s="743"/>
      <c r="L1" s="743"/>
      <c r="M1" s="743"/>
      <c r="N1" s="743"/>
      <c r="O1" s="743"/>
      <c r="P1" s="743"/>
      <c r="Q1" s="744"/>
    </row>
    <row r="2" spans="1:18" ht="14.4" customHeight="1"/>
    <row r="3" spans="1:18" ht="14.4" customHeight="1"/>
    <row r="4" spans="1:18" s="276" customFormat="1" ht="15" customHeight="1">
      <c r="A4" s="286" t="s">
        <v>56</v>
      </c>
      <c r="B4" s="286" t="s">
        <v>57</v>
      </c>
      <c r="C4" s="287" t="s">
        <v>542</v>
      </c>
      <c r="D4" s="288" t="s">
        <v>543</v>
      </c>
      <c r="E4" s="555" t="s">
        <v>544</v>
      </c>
      <c r="F4" s="287" t="s">
        <v>545</v>
      </c>
      <c r="G4" s="288" t="s">
        <v>546</v>
      </c>
      <c r="H4" s="287" t="s">
        <v>547</v>
      </c>
      <c r="I4" s="287" t="s">
        <v>548</v>
      </c>
      <c r="J4" s="288" t="s">
        <v>549</v>
      </c>
      <c r="K4" s="287" t="s">
        <v>550</v>
      </c>
      <c r="L4" s="287" t="s">
        <v>551</v>
      </c>
      <c r="M4" s="288" t="s">
        <v>552</v>
      </c>
      <c r="N4" s="287" t="s">
        <v>553</v>
      </c>
      <c r="O4" s="287" t="s">
        <v>554</v>
      </c>
      <c r="P4" s="288" t="s">
        <v>555</v>
      </c>
      <c r="Q4" s="287" t="s">
        <v>556</v>
      </c>
      <c r="R4" s="437" t="s">
        <v>26</v>
      </c>
    </row>
    <row r="5" spans="1:18" ht="12.9" customHeight="1">
      <c r="A5" s="467">
        <v>46205</v>
      </c>
      <c r="B5" s="454">
        <v>2</v>
      </c>
      <c r="C5" s="291" t="s">
        <v>557</v>
      </c>
      <c r="D5" s="291" t="s">
        <v>558</v>
      </c>
      <c r="E5" s="291" t="s">
        <v>90</v>
      </c>
      <c r="F5" s="291" t="s">
        <v>559</v>
      </c>
      <c r="G5" s="291" t="s">
        <v>91</v>
      </c>
      <c r="H5" s="291">
        <v>225876</v>
      </c>
      <c r="I5" s="291" t="s">
        <v>559</v>
      </c>
      <c r="J5" s="291" t="s">
        <v>560</v>
      </c>
      <c r="K5" s="291" t="s">
        <v>93</v>
      </c>
      <c r="L5" s="291" t="s">
        <v>559</v>
      </c>
      <c r="M5" s="291" t="s">
        <v>561</v>
      </c>
      <c r="N5" s="291">
        <v>63250612</v>
      </c>
      <c r="O5" s="291" t="s">
        <v>559</v>
      </c>
      <c r="P5" s="291" t="s">
        <v>562</v>
      </c>
      <c r="Q5" s="291" t="s">
        <v>96</v>
      </c>
      <c r="R5" s="435"/>
    </row>
    <row r="6" spans="1:18" ht="12.9" customHeight="1">
      <c r="A6" s="467">
        <v>46205</v>
      </c>
      <c r="B6" s="454">
        <v>3</v>
      </c>
      <c r="C6" s="291" t="s">
        <v>557</v>
      </c>
      <c r="D6" s="291" t="s">
        <v>558</v>
      </c>
      <c r="E6" s="291" t="s">
        <v>90</v>
      </c>
      <c r="F6" s="291" t="s">
        <v>559</v>
      </c>
      <c r="G6" s="291" t="s">
        <v>91</v>
      </c>
      <c r="H6" s="291">
        <v>225876</v>
      </c>
      <c r="I6" s="291" t="s">
        <v>559</v>
      </c>
      <c r="J6" s="291" t="s">
        <v>560</v>
      </c>
      <c r="K6" s="291" t="s">
        <v>93</v>
      </c>
      <c r="L6" s="291" t="s">
        <v>559</v>
      </c>
      <c r="M6" s="291" t="s">
        <v>561</v>
      </c>
      <c r="N6" s="291">
        <v>63250612</v>
      </c>
      <c r="O6" s="291" t="s">
        <v>559</v>
      </c>
      <c r="P6" s="291" t="s">
        <v>562</v>
      </c>
      <c r="Q6" s="291" t="s">
        <v>96</v>
      </c>
      <c r="R6" s="291"/>
    </row>
    <row r="7" spans="1:18" ht="12.9" customHeight="1">
      <c r="A7" s="467">
        <v>46206</v>
      </c>
      <c r="B7" s="454">
        <v>1</v>
      </c>
      <c r="C7" s="291" t="s">
        <v>557</v>
      </c>
      <c r="D7" s="291" t="s">
        <v>558</v>
      </c>
      <c r="E7" s="291" t="s">
        <v>90</v>
      </c>
      <c r="F7" s="291" t="s">
        <v>559</v>
      </c>
      <c r="G7" s="291" t="s">
        <v>91</v>
      </c>
      <c r="H7" s="291">
        <v>225876</v>
      </c>
      <c r="I7" s="291" t="s">
        <v>559</v>
      </c>
      <c r="J7" s="291" t="s">
        <v>560</v>
      </c>
      <c r="K7" s="291" t="s">
        <v>93</v>
      </c>
      <c r="L7" s="291" t="s">
        <v>559</v>
      </c>
      <c r="M7" s="291" t="s">
        <v>561</v>
      </c>
      <c r="N7" s="291">
        <v>63250612</v>
      </c>
      <c r="O7" s="291" t="s">
        <v>559</v>
      </c>
      <c r="P7" s="291" t="s">
        <v>562</v>
      </c>
      <c r="Q7" s="291" t="s">
        <v>96</v>
      </c>
      <c r="R7" s="291"/>
    </row>
    <row r="8" spans="1:18" ht="12.9" customHeight="1">
      <c r="A8" s="467">
        <v>46206</v>
      </c>
      <c r="B8" s="454">
        <v>2</v>
      </c>
      <c r="C8" s="291" t="s">
        <v>557</v>
      </c>
      <c r="D8" s="291" t="s">
        <v>558</v>
      </c>
      <c r="E8" s="291" t="s">
        <v>90</v>
      </c>
      <c r="F8" s="291" t="s">
        <v>559</v>
      </c>
      <c r="G8" s="291" t="s">
        <v>91</v>
      </c>
      <c r="H8" s="291">
        <v>225876</v>
      </c>
      <c r="I8" s="291" t="s">
        <v>559</v>
      </c>
      <c r="J8" s="291" t="s">
        <v>560</v>
      </c>
      <c r="K8" s="291" t="s">
        <v>93</v>
      </c>
      <c r="L8" s="291" t="s">
        <v>559</v>
      </c>
      <c r="M8" s="291" t="s">
        <v>561</v>
      </c>
      <c r="N8" s="291">
        <v>63250612</v>
      </c>
      <c r="O8" s="291" t="s">
        <v>559</v>
      </c>
      <c r="P8" s="291" t="s">
        <v>562</v>
      </c>
      <c r="Q8" s="291" t="s">
        <v>96</v>
      </c>
      <c r="R8" s="291"/>
    </row>
    <row r="9" spans="1:18" ht="12.9" customHeight="1">
      <c r="A9" s="467">
        <v>46206</v>
      </c>
      <c r="B9" s="454">
        <v>3</v>
      </c>
      <c r="C9" s="291" t="s">
        <v>557</v>
      </c>
      <c r="D9" s="291" t="s">
        <v>558</v>
      </c>
      <c r="E9" s="291" t="s">
        <v>90</v>
      </c>
      <c r="F9" s="291" t="s">
        <v>559</v>
      </c>
      <c r="G9" s="291" t="s">
        <v>91</v>
      </c>
      <c r="H9" s="291">
        <v>225876</v>
      </c>
      <c r="I9" s="291" t="s">
        <v>559</v>
      </c>
      <c r="J9" s="291" t="s">
        <v>560</v>
      </c>
      <c r="K9" s="291" t="s">
        <v>93</v>
      </c>
      <c r="L9" s="291" t="s">
        <v>559</v>
      </c>
      <c r="M9" s="291" t="s">
        <v>561</v>
      </c>
      <c r="N9" s="291">
        <v>63250612</v>
      </c>
      <c r="O9" s="291" t="s">
        <v>559</v>
      </c>
      <c r="P9" s="291" t="s">
        <v>562</v>
      </c>
      <c r="Q9" s="291" t="s">
        <v>96</v>
      </c>
      <c r="R9" s="291"/>
    </row>
    <row r="10" spans="1:18" ht="12.9" customHeight="1">
      <c r="A10" s="467">
        <v>46207</v>
      </c>
      <c r="B10" s="454">
        <v>1</v>
      </c>
      <c r="C10" s="291" t="s">
        <v>557</v>
      </c>
      <c r="D10" s="291" t="s">
        <v>558</v>
      </c>
      <c r="E10" s="291" t="s">
        <v>90</v>
      </c>
      <c r="F10" s="291" t="s">
        <v>559</v>
      </c>
      <c r="G10" s="291" t="s">
        <v>91</v>
      </c>
      <c r="H10" s="291">
        <v>225876</v>
      </c>
      <c r="I10" s="291" t="s">
        <v>559</v>
      </c>
      <c r="J10" s="291" t="s">
        <v>560</v>
      </c>
      <c r="K10" s="291" t="s">
        <v>93</v>
      </c>
      <c r="L10" s="291" t="s">
        <v>559</v>
      </c>
      <c r="M10" s="291" t="s">
        <v>561</v>
      </c>
      <c r="N10" s="291">
        <v>63250612</v>
      </c>
      <c r="O10" s="291" t="s">
        <v>559</v>
      </c>
      <c r="P10" s="291" t="s">
        <v>562</v>
      </c>
      <c r="Q10" s="291" t="s">
        <v>96</v>
      </c>
      <c r="R10" s="291"/>
    </row>
    <row r="11" spans="1:18" ht="12.9" customHeight="1">
      <c r="A11" s="467">
        <v>46207</v>
      </c>
      <c r="B11" s="454">
        <v>2</v>
      </c>
      <c r="C11" s="291" t="s">
        <v>557</v>
      </c>
      <c r="D11" s="291" t="s">
        <v>558</v>
      </c>
      <c r="E11" s="291" t="s">
        <v>90</v>
      </c>
      <c r="F11" s="291" t="s">
        <v>559</v>
      </c>
      <c r="G11" s="291" t="s">
        <v>91</v>
      </c>
      <c r="H11" s="291">
        <v>225876</v>
      </c>
      <c r="I11" s="291" t="s">
        <v>559</v>
      </c>
      <c r="J11" s="291" t="s">
        <v>560</v>
      </c>
      <c r="K11" s="291" t="s">
        <v>93</v>
      </c>
      <c r="L11" s="291" t="s">
        <v>559</v>
      </c>
      <c r="M11" s="291" t="s">
        <v>561</v>
      </c>
      <c r="N11" s="291">
        <v>63250612</v>
      </c>
      <c r="O11" s="291" t="s">
        <v>559</v>
      </c>
      <c r="P11" s="291" t="s">
        <v>562</v>
      </c>
      <c r="Q11" s="291" t="s">
        <v>96</v>
      </c>
      <c r="R11" s="291"/>
    </row>
    <row r="12" spans="1:18" ht="12.9" customHeight="1">
      <c r="A12" s="467">
        <v>46208</v>
      </c>
      <c r="B12" s="454">
        <v>3</v>
      </c>
      <c r="C12" s="291" t="s">
        <v>557</v>
      </c>
      <c r="D12" s="291" t="s">
        <v>558</v>
      </c>
      <c r="E12" s="291" t="s">
        <v>90</v>
      </c>
      <c r="F12" s="291" t="s">
        <v>559</v>
      </c>
      <c r="G12" s="291" t="s">
        <v>91</v>
      </c>
      <c r="H12" s="291">
        <v>225876</v>
      </c>
      <c r="I12" s="291" t="s">
        <v>559</v>
      </c>
      <c r="J12" s="291" t="s">
        <v>560</v>
      </c>
      <c r="K12" s="291" t="s">
        <v>93</v>
      </c>
      <c r="L12" s="291" t="s">
        <v>559</v>
      </c>
      <c r="M12" s="291" t="s">
        <v>561</v>
      </c>
      <c r="N12" s="291">
        <v>63250612</v>
      </c>
      <c r="O12" s="291" t="s">
        <v>559</v>
      </c>
      <c r="P12" s="291" t="s">
        <v>562</v>
      </c>
      <c r="Q12" s="434" t="s">
        <v>112</v>
      </c>
      <c r="R12" s="291" t="s">
        <v>563</v>
      </c>
    </row>
    <row r="13" spans="1:18" ht="12.9" customHeight="1">
      <c r="A13" s="467">
        <v>46209</v>
      </c>
      <c r="B13" s="454">
        <v>1</v>
      </c>
      <c r="C13" s="291" t="s">
        <v>557</v>
      </c>
      <c r="D13" s="291" t="s">
        <v>558</v>
      </c>
      <c r="E13" s="291" t="s">
        <v>90</v>
      </c>
      <c r="F13" s="291" t="s">
        <v>559</v>
      </c>
      <c r="G13" s="291" t="s">
        <v>91</v>
      </c>
      <c r="H13" s="291">
        <v>225876</v>
      </c>
      <c r="I13" s="291" t="s">
        <v>559</v>
      </c>
      <c r="J13" s="291" t="s">
        <v>560</v>
      </c>
      <c r="K13" s="291" t="s">
        <v>93</v>
      </c>
      <c r="L13" s="291" t="s">
        <v>559</v>
      </c>
      <c r="M13" s="291" t="s">
        <v>561</v>
      </c>
      <c r="N13" s="291">
        <v>63250612</v>
      </c>
      <c r="O13" s="291" t="s">
        <v>559</v>
      </c>
      <c r="P13" s="291" t="s">
        <v>562</v>
      </c>
      <c r="Q13" s="291" t="s">
        <v>112</v>
      </c>
      <c r="R13" s="291"/>
    </row>
    <row r="14" spans="1:18" ht="12.9" customHeight="1">
      <c r="A14" s="467">
        <v>46209</v>
      </c>
      <c r="B14" s="454">
        <v>2</v>
      </c>
      <c r="C14" s="291" t="s">
        <v>557</v>
      </c>
      <c r="D14" s="291" t="s">
        <v>558</v>
      </c>
      <c r="E14" s="291" t="s">
        <v>90</v>
      </c>
      <c r="F14" s="291" t="s">
        <v>559</v>
      </c>
      <c r="G14" s="291" t="s">
        <v>91</v>
      </c>
      <c r="H14" s="291">
        <v>225876</v>
      </c>
      <c r="I14" s="291" t="s">
        <v>559</v>
      </c>
      <c r="J14" s="291" t="s">
        <v>560</v>
      </c>
      <c r="K14" s="291" t="s">
        <v>93</v>
      </c>
      <c r="L14" s="291" t="s">
        <v>559</v>
      </c>
      <c r="M14" s="291" t="s">
        <v>561</v>
      </c>
      <c r="N14" s="291">
        <v>63250612</v>
      </c>
      <c r="O14" s="291" t="s">
        <v>559</v>
      </c>
      <c r="P14" s="291" t="s">
        <v>562</v>
      </c>
      <c r="Q14" s="291" t="s">
        <v>112</v>
      </c>
      <c r="R14" s="291"/>
    </row>
    <row r="15" spans="1:18" ht="12.9" customHeight="1">
      <c r="A15" s="467">
        <v>46209</v>
      </c>
      <c r="B15" s="454">
        <v>3</v>
      </c>
      <c r="C15" s="291" t="s">
        <v>557</v>
      </c>
      <c r="D15" s="291" t="s">
        <v>558</v>
      </c>
      <c r="E15" s="291" t="s">
        <v>90</v>
      </c>
      <c r="F15" s="291" t="s">
        <v>559</v>
      </c>
      <c r="G15" s="291" t="s">
        <v>91</v>
      </c>
      <c r="H15" s="291">
        <v>225876</v>
      </c>
      <c r="I15" s="291" t="s">
        <v>559</v>
      </c>
      <c r="J15" s="291" t="s">
        <v>560</v>
      </c>
      <c r="K15" s="291" t="s">
        <v>93</v>
      </c>
      <c r="L15" s="291" t="s">
        <v>559</v>
      </c>
      <c r="M15" s="291" t="s">
        <v>561</v>
      </c>
      <c r="N15" s="291">
        <v>63250612</v>
      </c>
      <c r="O15" s="291" t="s">
        <v>559</v>
      </c>
      <c r="P15" s="291" t="s">
        <v>562</v>
      </c>
      <c r="Q15" s="291" t="s">
        <v>112</v>
      </c>
      <c r="R15" s="291"/>
    </row>
    <row r="16" spans="1:18" ht="12.9" customHeight="1">
      <c r="A16" s="467">
        <v>46210</v>
      </c>
      <c r="B16" s="454">
        <v>1</v>
      </c>
      <c r="C16" s="291" t="s">
        <v>557</v>
      </c>
      <c r="D16" s="291" t="s">
        <v>558</v>
      </c>
      <c r="E16" s="291" t="s">
        <v>90</v>
      </c>
      <c r="F16" s="291" t="s">
        <v>559</v>
      </c>
      <c r="G16" s="291" t="s">
        <v>91</v>
      </c>
      <c r="H16" s="291">
        <v>225876</v>
      </c>
      <c r="I16" s="291" t="s">
        <v>559</v>
      </c>
      <c r="J16" s="291" t="s">
        <v>560</v>
      </c>
      <c r="K16" s="291" t="s">
        <v>93</v>
      </c>
      <c r="L16" s="291" t="s">
        <v>559</v>
      </c>
      <c r="M16" s="291" t="s">
        <v>561</v>
      </c>
      <c r="N16" s="291">
        <v>63250612</v>
      </c>
      <c r="O16" s="291" t="s">
        <v>559</v>
      </c>
      <c r="P16" s="291" t="s">
        <v>562</v>
      </c>
      <c r="Q16" s="291" t="s">
        <v>112</v>
      </c>
      <c r="R16" s="291"/>
    </row>
    <row r="17" spans="1:18" ht="12.9" customHeight="1">
      <c r="A17" s="467">
        <v>46210</v>
      </c>
      <c r="B17" s="454">
        <v>1</v>
      </c>
      <c r="C17" s="291" t="s">
        <v>557</v>
      </c>
      <c r="D17" s="291" t="s">
        <v>558</v>
      </c>
      <c r="E17" s="556" t="s">
        <v>122</v>
      </c>
      <c r="F17" s="291" t="s">
        <v>559</v>
      </c>
      <c r="G17" s="291" t="s">
        <v>91</v>
      </c>
      <c r="H17" s="291">
        <v>225876</v>
      </c>
      <c r="I17" s="291" t="s">
        <v>559</v>
      </c>
      <c r="J17" s="291" t="s">
        <v>560</v>
      </c>
      <c r="K17" s="291" t="s">
        <v>93</v>
      </c>
      <c r="L17" s="291" t="s">
        <v>559</v>
      </c>
      <c r="M17" s="291" t="s">
        <v>561</v>
      </c>
      <c r="N17" s="291">
        <v>63250612</v>
      </c>
      <c r="O17" s="291" t="s">
        <v>559</v>
      </c>
      <c r="P17" s="291" t="s">
        <v>562</v>
      </c>
      <c r="Q17" s="291" t="s">
        <v>112</v>
      </c>
      <c r="R17" s="291" t="s">
        <v>564</v>
      </c>
    </row>
    <row r="18" spans="1:18" ht="12.9" customHeight="1">
      <c r="A18" s="467">
        <v>46210</v>
      </c>
      <c r="B18" s="454">
        <v>2</v>
      </c>
      <c r="C18" s="291" t="s">
        <v>557</v>
      </c>
      <c r="D18" s="291" t="s">
        <v>558</v>
      </c>
      <c r="E18" s="291" t="s">
        <v>122</v>
      </c>
      <c r="F18" s="291" t="s">
        <v>559</v>
      </c>
      <c r="G18" s="291" t="s">
        <v>91</v>
      </c>
      <c r="H18" s="291">
        <v>225876</v>
      </c>
      <c r="I18" s="291" t="s">
        <v>559</v>
      </c>
      <c r="J18" s="291" t="s">
        <v>560</v>
      </c>
      <c r="K18" s="291" t="s">
        <v>93</v>
      </c>
      <c r="L18" s="291" t="s">
        <v>559</v>
      </c>
      <c r="M18" s="291" t="s">
        <v>561</v>
      </c>
      <c r="N18" s="291">
        <v>63250612</v>
      </c>
      <c r="O18" s="291" t="s">
        <v>559</v>
      </c>
      <c r="P18" s="291" t="s">
        <v>562</v>
      </c>
      <c r="Q18" s="291" t="s">
        <v>112</v>
      </c>
      <c r="R18" s="291"/>
    </row>
    <row r="19" spans="1:18" ht="12.9" customHeight="1">
      <c r="A19" s="467">
        <v>46210</v>
      </c>
      <c r="B19" s="454">
        <v>3</v>
      </c>
      <c r="C19" s="291" t="s">
        <v>557</v>
      </c>
      <c r="D19" s="291" t="s">
        <v>558</v>
      </c>
      <c r="E19" s="291" t="s">
        <v>122</v>
      </c>
      <c r="F19" s="291" t="s">
        <v>559</v>
      </c>
      <c r="G19" s="291" t="s">
        <v>91</v>
      </c>
      <c r="H19" s="291">
        <v>225876</v>
      </c>
      <c r="I19" s="291" t="s">
        <v>559</v>
      </c>
      <c r="J19" s="291" t="s">
        <v>560</v>
      </c>
      <c r="K19" s="291" t="s">
        <v>93</v>
      </c>
      <c r="L19" s="291" t="s">
        <v>559</v>
      </c>
      <c r="M19" s="291" t="s">
        <v>561</v>
      </c>
      <c r="N19" s="291">
        <v>63250612</v>
      </c>
      <c r="O19" s="291" t="s">
        <v>559</v>
      </c>
      <c r="P19" s="291" t="s">
        <v>562</v>
      </c>
      <c r="Q19" s="291" t="s">
        <v>112</v>
      </c>
      <c r="R19" s="291"/>
    </row>
    <row r="20" spans="1:18" ht="12.9" customHeight="1">
      <c r="A20" s="467">
        <v>46211</v>
      </c>
      <c r="B20" s="454">
        <v>1</v>
      </c>
      <c r="C20" s="291" t="s">
        <v>557</v>
      </c>
      <c r="D20" s="291" t="s">
        <v>558</v>
      </c>
      <c r="E20" s="291" t="s">
        <v>122</v>
      </c>
      <c r="F20" s="291" t="s">
        <v>559</v>
      </c>
      <c r="G20" s="291" t="s">
        <v>91</v>
      </c>
      <c r="H20" s="291">
        <v>225876</v>
      </c>
      <c r="I20" s="291" t="s">
        <v>559</v>
      </c>
      <c r="J20" s="291" t="s">
        <v>560</v>
      </c>
      <c r="K20" s="291" t="s">
        <v>93</v>
      </c>
      <c r="L20" s="291" t="s">
        <v>559</v>
      </c>
      <c r="M20" s="291" t="s">
        <v>561</v>
      </c>
      <c r="N20" s="291">
        <v>63250612</v>
      </c>
      <c r="O20" s="291" t="s">
        <v>559</v>
      </c>
      <c r="P20" s="291" t="s">
        <v>562</v>
      </c>
      <c r="Q20" s="291" t="s">
        <v>112</v>
      </c>
      <c r="R20" s="291"/>
    </row>
    <row r="21" spans="1:18" ht="12.9" customHeight="1">
      <c r="A21" s="467">
        <v>46211</v>
      </c>
      <c r="B21" s="290">
        <v>2</v>
      </c>
      <c r="C21" s="291" t="s">
        <v>557</v>
      </c>
      <c r="D21" s="291" t="s">
        <v>558</v>
      </c>
      <c r="E21" s="291" t="s">
        <v>122</v>
      </c>
      <c r="F21" s="291" t="s">
        <v>559</v>
      </c>
      <c r="G21" s="291" t="s">
        <v>91</v>
      </c>
      <c r="H21" s="291">
        <v>225876</v>
      </c>
      <c r="I21" s="291" t="s">
        <v>559</v>
      </c>
      <c r="J21" s="291" t="s">
        <v>560</v>
      </c>
      <c r="K21" s="291" t="s">
        <v>93</v>
      </c>
      <c r="L21" s="291" t="s">
        <v>559</v>
      </c>
      <c r="M21" s="291" t="s">
        <v>561</v>
      </c>
      <c r="N21" s="291">
        <v>63250612</v>
      </c>
      <c r="O21" s="291" t="s">
        <v>559</v>
      </c>
      <c r="P21" s="291" t="s">
        <v>562</v>
      </c>
      <c r="Q21" s="291" t="s">
        <v>112</v>
      </c>
      <c r="R21" s="291"/>
    </row>
    <row r="22" spans="1:18" ht="12.9" customHeight="1">
      <c r="A22" s="467">
        <v>46211</v>
      </c>
      <c r="B22" s="290">
        <v>3</v>
      </c>
      <c r="C22" s="291" t="s">
        <v>557</v>
      </c>
      <c r="D22" s="291" t="s">
        <v>558</v>
      </c>
      <c r="E22" s="291" t="s">
        <v>122</v>
      </c>
      <c r="F22" s="291" t="s">
        <v>559</v>
      </c>
      <c r="G22" s="291" t="s">
        <v>91</v>
      </c>
      <c r="H22" s="291">
        <v>225876</v>
      </c>
      <c r="I22" s="291" t="s">
        <v>559</v>
      </c>
      <c r="J22" s="291" t="s">
        <v>560</v>
      </c>
      <c r="K22" s="291" t="s">
        <v>93</v>
      </c>
      <c r="L22" s="291" t="s">
        <v>559</v>
      </c>
      <c r="M22" s="291" t="s">
        <v>561</v>
      </c>
      <c r="N22" s="291">
        <v>63250612</v>
      </c>
      <c r="O22" s="291" t="s">
        <v>559</v>
      </c>
      <c r="P22" s="291" t="s">
        <v>562</v>
      </c>
      <c r="Q22" s="291" t="s">
        <v>112</v>
      </c>
      <c r="R22" s="291"/>
    </row>
    <row r="23" spans="1:18" ht="12.9" customHeight="1">
      <c r="A23" s="467">
        <v>46212</v>
      </c>
      <c r="B23" s="290">
        <v>1</v>
      </c>
      <c r="C23" s="291" t="s">
        <v>557</v>
      </c>
      <c r="D23" s="291" t="s">
        <v>558</v>
      </c>
      <c r="E23" s="291" t="s">
        <v>122</v>
      </c>
      <c r="F23" s="291" t="s">
        <v>559</v>
      </c>
      <c r="G23" s="291" t="s">
        <v>91</v>
      </c>
      <c r="H23" s="291">
        <v>225876</v>
      </c>
      <c r="I23" s="291" t="s">
        <v>559</v>
      </c>
      <c r="J23" s="291" t="s">
        <v>560</v>
      </c>
      <c r="K23" s="291" t="s">
        <v>93</v>
      </c>
      <c r="L23" s="291" t="s">
        <v>559</v>
      </c>
      <c r="M23" s="291" t="s">
        <v>561</v>
      </c>
      <c r="N23" s="291">
        <v>63250612</v>
      </c>
      <c r="O23" s="291" t="s">
        <v>559</v>
      </c>
      <c r="P23" s="291" t="s">
        <v>562</v>
      </c>
      <c r="Q23" s="291" t="s">
        <v>112</v>
      </c>
      <c r="R23" s="291"/>
    </row>
    <row r="24" spans="1:18" ht="12.9" customHeight="1">
      <c r="A24" s="467">
        <v>46212</v>
      </c>
      <c r="B24" s="290">
        <v>2</v>
      </c>
      <c r="C24" s="291" t="s">
        <v>557</v>
      </c>
      <c r="D24" s="291" t="s">
        <v>558</v>
      </c>
      <c r="E24" s="291" t="s">
        <v>122</v>
      </c>
      <c r="F24" s="291" t="s">
        <v>559</v>
      </c>
      <c r="G24" s="291" t="s">
        <v>91</v>
      </c>
      <c r="H24" s="291">
        <v>225876</v>
      </c>
      <c r="I24" s="291" t="s">
        <v>559</v>
      </c>
      <c r="J24" s="291" t="s">
        <v>560</v>
      </c>
      <c r="K24" s="291" t="s">
        <v>93</v>
      </c>
      <c r="L24" s="291" t="s">
        <v>559</v>
      </c>
      <c r="M24" s="291" t="s">
        <v>561</v>
      </c>
      <c r="N24" s="291">
        <v>63250612</v>
      </c>
      <c r="O24" s="291" t="s">
        <v>559</v>
      </c>
      <c r="P24" s="291" t="s">
        <v>562</v>
      </c>
      <c r="Q24" s="291" t="s">
        <v>112</v>
      </c>
      <c r="R24" s="291"/>
    </row>
    <row r="25" spans="1:18" ht="12.9" customHeight="1">
      <c r="A25" s="467">
        <v>46212</v>
      </c>
      <c r="B25" s="290">
        <v>3</v>
      </c>
      <c r="C25" s="291" t="s">
        <v>557</v>
      </c>
      <c r="D25" s="291" t="s">
        <v>558</v>
      </c>
      <c r="E25" s="291" t="s">
        <v>122</v>
      </c>
      <c r="F25" s="291" t="s">
        <v>559</v>
      </c>
      <c r="G25" s="291" t="s">
        <v>91</v>
      </c>
      <c r="H25" s="291">
        <v>225876</v>
      </c>
      <c r="I25" s="291" t="s">
        <v>559</v>
      </c>
      <c r="J25" s="291" t="s">
        <v>560</v>
      </c>
      <c r="K25" s="291" t="s">
        <v>93</v>
      </c>
      <c r="L25" s="291" t="s">
        <v>559</v>
      </c>
      <c r="M25" s="291" t="s">
        <v>561</v>
      </c>
      <c r="N25" s="291">
        <v>63250612</v>
      </c>
      <c r="O25" s="291" t="s">
        <v>559</v>
      </c>
      <c r="P25" s="291" t="s">
        <v>562</v>
      </c>
      <c r="Q25" s="291" t="s">
        <v>112</v>
      </c>
      <c r="R25" s="291"/>
    </row>
    <row r="26" spans="1:18" ht="12.9" customHeight="1">
      <c r="A26" s="467">
        <v>46213</v>
      </c>
      <c r="B26" s="290">
        <v>1</v>
      </c>
      <c r="C26" s="291" t="s">
        <v>557</v>
      </c>
      <c r="D26" s="291" t="s">
        <v>558</v>
      </c>
      <c r="E26" s="291" t="s">
        <v>122</v>
      </c>
      <c r="F26" s="291" t="s">
        <v>559</v>
      </c>
      <c r="G26" s="291" t="s">
        <v>91</v>
      </c>
      <c r="H26" s="291">
        <v>225876</v>
      </c>
      <c r="I26" s="291" t="s">
        <v>559</v>
      </c>
      <c r="J26" s="291" t="s">
        <v>560</v>
      </c>
      <c r="K26" s="291" t="s">
        <v>93</v>
      </c>
      <c r="L26" s="291" t="s">
        <v>559</v>
      </c>
      <c r="M26" s="291" t="s">
        <v>561</v>
      </c>
      <c r="N26" s="291">
        <v>63250612</v>
      </c>
      <c r="O26" s="291" t="s">
        <v>559</v>
      </c>
      <c r="P26" s="291" t="s">
        <v>562</v>
      </c>
      <c r="Q26" s="291" t="s">
        <v>112</v>
      </c>
      <c r="R26" s="291"/>
    </row>
    <row r="27" spans="1:18" ht="12.9" customHeight="1">
      <c r="A27" s="467">
        <v>46213</v>
      </c>
      <c r="B27" s="290">
        <v>2</v>
      </c>
      <c r="C27" s="291" t="s">
        <v>557</v>
      </c>
      <c r="D27" s="291" t="s">
        <v>558</v>
      </c>
      <c r="E27" s="291" t="s">
        <v>122</v>
      </c>
      <c r="F27" s="291" t="s">
        <v>559</v>
      </c>
      <c r="G27" s="291" t="s">
        <v>91</v>
      </c>
      <c r="H27" s="291">
        <v>225876</v>
      </c>
      <c r="I27" s="291" t="s">
        <v>559</v>
      </c>
      <c r="J27" s="291" t="s">
        <v>560</v>
      </c>
      <c r="K27" s="291" t="s">
        <v>93</v>
      </c>
      <c r="L27" s="291" t="s">
        <v>559</v>
      </c>
      <c r="M27" s="291" t="s">
        <v>561</v>
      </c>
      <c r="N27" s="291">
        <v>63250612</v>
      </c>
      <c r="O27" s="291" t="s">
        <v>559</v>
      </c>
      <c r="P27" s="291" t="s">
        <v>562</v>
      </c>
      <c r="Q27" s="291" t="s">
        <v>112</v>
      </c>
      <c r="R27" s="291"/>
    </row>
    <row r="28" spans="1:18" ht="12.9" customHeight="1">
      <c r="A28" s="467">
        <v>46213</v>
      </c>
      <c r="B28" s="290">
        <v>3</v>
      </c>
      <c r="C28" s="291" t="s">
        <v>557</v>
      </c>
      <c r="D28" s="291" t="s">
        <v>558</v>
      </c>
      <c r="E28" s="291" t="s">
        <v>122</v>
      </c>
      <c r="F28" s="291" t="s">
        <v>559</v>
      </c>
      <c r="G28" s="291" t="s">
        <v>91</v>
      </c>
      <c r="H28" s="291">
        <v>225876</v>
      </c>
      <c r="I28" s="291" t="s">
        <v>559</v>
      </c>
      <c r="J28" s="291" t="s">
        <v>560</v>
      </c>
      <c r="K28" s="291" t="s">
        <v>93</v>
      </c>
      <c r="L28" s="291" t="s">
        <v>559</v>
      </c>
      <c r="M28" s="291" t="s">
        <v>561</v>
      </c>
      <c r="N28" s="291">
        <v>63250612</v>
      </c>
      <c r="O28" s="291" t="s">
        <v>559</v>
      </c>
      <c r="P28" s="291" t="s">
        <v>562</v>
      </c>
      <c r="Q28" s="291" t="s">
        <v>112</v>
      </c>
      <c r="R28" s="291"/>
    </row>
    <row r="29" spans="1:18" ht="12.9" customHeight="1">
      <c r="A29" s="467">
        <v>46216</v>
      </c>
      <c r="B29" s="290">
        <v>1</v>
      </c>
      <c r="C29" s="291" t="s">
        <v>557</v>
      </c>
      <c r="D29" s="291" t="s">
        <v>558</v>
      </c>
      <c r="E29" s="291" t="s">
        <v>122</v>
      </c>
      <c r="F29" s="291" t="s">
        <v>559</v>
      </c>
      <c r="G29" s="291" t="s">
        <v>91</v>
      </c>
      <c r="H29" s="291">
        <v>225876</v>
      </c>
      <c r="I29" s="291" t="s">
        <v>559</v>
      </c>
      <c r="J29" s="291" t="s">
        <v>560</v>
      </c>
      <c r="K29" s="291" t="s">
        <v>93</v>
      </c>
      <c r="L29" s="291" t="s">
        <v>559</v>
      </c>
      <c r="M29" s="291" t="s">
        <v>561</v>
      </c>
      <c r="N29" s="291">
        <v>63250612</v>
      </c>
      <c r="O29" s="291" t="s">
        <v>559</v>
      </c>
      <c r="P29" s="291" t="s">
        <v>562</v>
      </c>
      <c r="Q29" s="291" t="s">
        <v>112</v>
      </c>
      <c r="R29" s="291"/>
    </row>
    <row r="30" spans="1:18" ht="12.9" customHeight="1">
      <c r="A30" s="467">
        <v>46216</v>
      </c>
      <c r="B30" s="290">
        <v>2</v>
      </c>
      <c r="C30" s="291" t="s">
        <v>557</v>
      </c>
      <c r="D30" s="291" t="s">
        <v>558</v>
      </c>
      <c r="E30" s="291" t="s">
        <v>122</v>
      </c>
      <c r="F30" s="291" t="s">
        <v>559</v>
      </c>
      <c r="G30" s="291" t="s">
        <v>91</v>
      </c>
      <c r="H30" s="291">
        <v>225876</v>
      </c>
      <c r="I30" s="291" t="s">
        <v>559</v>
      </c>
      <c r="J30" s="291" t="s">
        <v>560</v>
      </c>
      <c r="K30" s="291" t="s">
        <v>93</v>
      </c>
      <c r="L30" s="291" t="s">
        <v>559</v>
      </c>
      <c r="M30" s="291" t="s">
        <v>561</v>
      </c>
      <c r="N30" s="291">
        <v>63250612</v>
      </c>
      <c r="O30" s="291" t="s">
        <v>559</v>
      </c>
      <c r="P30" s="291" t="s">
        <v>562</v>
      </c>
      <c r="Q30" s="291" t="s">
        <v>112</v>
      </c>
      <c r="R30" s="291"/>
    </row>
    <row r="31" spans="1:18" ht="12.9" customHeight="1">
      <c r="A31" s="467">
        <v>46216</v>
      </c>
      <c r="B31" s="290">
        <v>3</v>
      </c>
      <c r="C31" s="291" t="s">
        <v>557</v>
      </c>
      <c r="D31" s="291" t="s">
        <v>558</v>
      </c>
      <c r="E31" s="291" t="s">
        <v>122</v>
      </c>
      <c r="F31" s="291" t="s">
        <v>559</v>
      </c>
      <c r="G31" s="291" t="s">
        <v>91</v>
      </c>
      <c r="H31" s="291">
        <v>225876</v>
      </c>
      <c r="I31" s="291" t="s">
        <v>559</v>
      </c>
      <c r="J31" s="291" t="s">
        <v>560</v>
      </c>
      <c r="K31" s="291" t="s">
        <v>93</v>
      </c>
      <c r="L31" s="291" t="s">
        <v>559</v>
      </c>
      <c r="M31" s="291" t="s">
        <v>561</v>
      </c>
      <c r="N31" s="291">
        <v>63250612</v>
      </c>
      <c r="O31" s="291" t="s">
        <v>559</v>
      </c>
      <c r="P31" s="291" t="s">
        <v>562</v>
      </c>
      <c r="Q31" s="291" t="s">
        <v>112</v>
      </c>
      <c r="R31" s="291"/>
    </row>
    <row r="32" spans="1:18" ht="12.9" customHeight="1">
      <c r="A32" s="467">
        <v>46217</v>
      </c>
      <c r="B32" s="290">
        <v>1</v>
      </c>
      <c r="C32" s="291" t="s">
        <v>557</v>
      </c>
      <c r="D32" s="291" t="s">
        <v>558</v>
      </c>
      <c r="E32" s="291" t="s">
        <v>122</v>
      </c>
      <c r="F32" s="291" t="s">
        <v>559</v>
      </c>
      <c r="G32" s="291" t="s">
        <v>91</v>
      </c>
      <c r="H32" s="291">
        <v>225876</v>
      </c>
      <c r="I32" s="291" t="s">
        <v>559</v>
      </c>
      <c r="J32" s="291" t="s">
        <v>560</v>
      </c>
      <c r="K32" s="291" t="s">
        <v>93</v>
      </c>
      <c r="L32" s="291" t="s">
        <v>559</v>
      </c>
      <c r="M32" s="291" t="s">
        <v>561</v>
      </c>
      <c r="N32" s="291">
        <v>63250612</v>
      </c>
      <c r="O32" s="291" t="s">
        <v>559</v>
      </c>
      <c r="P32" s="291" t="s">
        <v>562</v>
      </c>
      <c r="Q32" s="291" t="s">
        <v>112</v>
      </c>
      <c r="R32" s="291"/>
    </row>
    <row r="33" spans="1:18" ht="12.9" customHeight="1">
      <c r="A33" s="467">
        <v>46217</v>
      </c>
      <c r="B33" s="290">
        <v>2</v>
      </c>
      <c r="C33" s="291" t="s">
        <v>557</v>
      </c>
      <c r="D33" s="291" t="s">
        <v>558</v>
      </c>
      <c r="E33" s="291" t="s">
        <v>122</v>
      </c>
      <c r="F33" s="291" t="s">
        <v>559</v>
      </c>
      <c r="G33" s="291" t="s">
        <v>91</v>
      </c>
      <c r="H33" s="291">
        <v>225876</v>
      </c>
      <c r="I33" s="291" t="s">
        <v>559</v>
      </c>
      <c r="J33" s="291" t="s">
        <v>560</v>
      </c>
      <c r="K33" s="291" t="s">
        <v>93</v>
      </c>
      <c r="L33" s="291" t="s">
        <v>559</v>
      </c>
      <c r="M33" s="291" t="s">
        <v>561</v>
      </c>
      <c r="N33" s="291">
        <v>63250612</v>
      </c>
      <c r="O33" s="291" t="s">
        <v>559</v>
      </c>
      <c r="P33" s="291" t="s">
        <v>562</v>
      </c>
      <c r="Q33" s="291" t="s">
        <v>112</v>
      </c>
      <c r="R33" s="291"/>
    </row>
    <row r="34" spans="1:18" ht="12.9" customHeight="1">
      <c r="A34" s="467">
        <v>46217</v>
      </c>
      <c r="B34" s="290">
        <v>3</v>
      </c>
      <c r="C34" s="291" t="s">
        <v>557</v>
      </c>
      <c r="D34" s="291" t="s">
        <v>558</v>
      </c>
      <c r="E34" s="291" t="s">
        <v>122</v>
      </c>
      <c r="F34" s="291" t="s">
        <v>559</v>
      </c>
      <c r="G34" s="291" t="s">
        <v>91</v>
      </c>
      <c r="H34" s="291">
        <v>225876</v>
      </c>
      <c r="I34" s="291" t="s">
        <v>559</v>
      </c>
      <c r="J34" s="291" t="s">
        <v>560</v>
      </c>
      <c r="K34" s="291" t="s">
        <v>93</v>
      </c>
      <c r="L34" s="291" t="s">
        <v>559</v>
      </c>
      <c r="M34" s="291" t="s">
        <v>561</v>
      </c>
      <c r="N34" s="291">
        <v>63250612</v>
      </c>
      <c r="O34" s="291" t="s">
        <v>559</v>
      </c>
      <c r="P34" s="291" t="s">
        <v>562</v>
      </c>
      <c r="Q34" s="291" t="s">
        <v>112</v>
      </c>
      <c r="R34" s="291"/>
    </row>
    <row r="35" spans="1:18" ht="12.9" customHeight="1">
      <c r="A35" s="467">
        <v>46218</v>
      </c>
      <c r="B35" s="290">
        <v>1</v>
      </c>
      <c r="C35" s="291" t="s">
        <v>557</v>
      </c>
      <c r="D35" s="291" t="s">
        <v>558</v>
      </c>
      <c r="E35" s="291" t="s">
        <v>122</v>
      </c>
      <c r="F35" s="291" t="s">
        <v>559</v>
      </c>
      <c r="G35" s="291" t="s">
        <v>91</v>
      </c>
      <c r="H35" s="291">
        <v>225876</v>
      </c>
      <c r="I35" s="291" t="s">
        <v>559</v>
      </c>
      <c r="J35" s="291" t="s">
        <v>560</v>
      </c>
      <c r="K35" s="291" t="s">
        <v>93</v>
      </c>
      <c r="L35" s="291" t="s">
        <v>559</v>
      </c>
      <c r="M35" s="291" t="s">
        <v>561</v>
      </c>
      <c r="N35" s="291">
        <v>63250612</v>
      </c>
      <c r="O35" s="291" t="s">
        <v>559</v>
      </c>
      <c r="P35" s="291" t="s">
        <v>562</v>
      </c>
      <c r="Q35" s="291" t="s">
        <v>112</v>
      </c>
      <c r="R35" s="291"/>
    </row>
    <row r="36" spans="1:18" ht="12.9" customHeight="1">
      <c r="A36" s="467">
        <v>46218</v>
      </c>
      <c r="B36" s="290">
        <v>2</v>
      </c>
      <c r="C36" s="291" t="s">
        <v>557</v>
      </c>
      <c r="D36" s="291" t="s">
        <v>558</v>
      </c>
      <c r="E36" s="291" t="s">
        <v>122</v>
      </c>
      <c r="F36" s="291" t="s">
        <v>559</v>
      </c>
      <c r="G36" s="291" t="s">
        <v>91</v>
      </c>
      <c r="H36" s="291">
        <v>225876</v>
      </c>
      <c r="I36" s="291" t="s">
        <v>559</v>
      </c>
      <c r="J36" s="291" t="s">
        <v>560</v>
      </c>
      <c r="K36" s="291" t="s">
        <v>93</v>
      </c>
      <c r="L36" s="291" t="s">
        <v>559</v>
      </c>
      <c r="M36" s="291" t="s">
        <v>561</v>
      </c>
      <c r="N36" s="291">
        <v>63250612</v>
      </c>
      <c r="O36" s="291" t="s">
        <v>559</v>
      </c>
      <c r="P36" s="291" t="s">
        <v>562</v>
      </c>
      <c r="Q36" s="291" t="s">
        <v>112</v>
      </c>
      <c r="R36" s="291"/>
    </row>
    <row r="37" spans="1:18" ht="12.9" customHeight="1">
      <c r="A37" s="467">
        <v>46218</v>
      </c>
      <c r="B37" s="290">
        <v>3</v>
      </c>
      <c r="C37" s="291" t="s">
        <v>557</v>
      </c>
      <c r="D37" s="291" t="s">
        <v>558</v>
      </c>
      <c r="E37" s="291" t="s">
        <v>122</v>
      </c>
      <c r="F37" s="291" t="s">
        <v>559</v>
      </c>
      <c r="G37" s="291" t="s">
        <v>91</v>
      </c>
      <c r="H37" s="291">
        <v>225876</v>
      </c>
      <c r="I37" s="291" t="s">
        <v>559</v>
      </c>
      <c r="J37" s="291" t="s">
        <v>560</v>
      </c>
      <c r="K37" s="291" t="s">
        <v>93</v>
      </c>
      <c r="L37" s="291" t="s">
        <v>559</v>
      </c>
      <c r="M37" s="291" t="s">
        <v>561</v>
      </c>
      <c r="N37" s="291">
        <v>63250612</v>
      </c>
      <c r="O37" s="291" t="s">
        <v>559</v>
      </c>
      <c r="P37" s="291" t="s">
        <v>562</v>
      </c>
      <c r="Q37" s="291" t="s">
        <v>112</v>
      </c>
      <c r="R37" s="291"/>
    </row>
    <row r="38" spans="1:18" ht="12.9" customHeight="1">
      <c r="A38" s="467">
        <v>46219</v>
      </c>
      <c r="B38" s="290">
        <v>1</v>
      </c>
      <c r="C38" s="291" t="s">
        <v>557</v>
      </c>
      <c r="D38" s="291" t="s">
        <v>558</v>
      </c>
      <c r="E38" s="291" t="s">
        <v>122</v>
      </c>
      <c r="F38" s="291" t="s">
        <v>559</v>
      </c>
      <c r="G38" s="291" t="s">
        <v>91</v>
      </c>
      <c r="H38" s="291">
        <v>225876</v>
      </c>
      <c r="I38" s="291" t="s">
        <v>559</v>
      </c>
      <c r="J38" s="291" t="s">
        <v>560</v>
      </c>
      <c r="K38" s="291" t="s">
        <v>93</v>
      </c>
      <c r="L38" s="291" t="s">
        <v>559</v>
      </c>
      <c r="M38" s="291" t="s">
        <v>561</v>
      </c>
      <c r="N38" s="291">
        <v>63250612</v>
      </c>
      <c r="O38" s="291" t="s">
        <v>559</v>
      </c>
      <c r="P38" s="291" t="s">
        <v>562</v>
      </c>
      <c r="Q38" s="291" t="s">
        <v>112</v>
      </c>
      <c r="R38" s="291"/>
    </row>
    <row r="39" spans="1:18" ht="12.9" customHeight="1">
      <c r="A39" s="467">
        <v>46219</v>
      </c>
      <c r="B39" s="290">
        <v>2</v>
      </c>
      <c r="C39" s="291" t="s">
        <v>557</v>
      </c>
      <c r="D39" s="291" t="s">
        <v>558</v>
      </c>
      <c r="E39" s="291" t="s">
        <v>122</v>
      </c>
      <c r="F39" s="291" t="s">
        <v>559</v>
      </c>
      <c r="G39" s="291" t="s">
        <v>91</v>
      </c>
      <c r="H39" s="291">
        <v>225876</v>
      </c>
      <c r="I39" s="291" t="s">
        <v>559</v>
      </c>
      <c r="J39" s="291" t="s">
        <v>560</v>
      </c>
      <c r="K39" s="291" t="s">
        <v>93</v>
      </c>
      <c r="L39" s="291" t="s">
        <v>559</v>
      </c>
      <c r="M39" s="291" t="s">
        <v>561</v>
      </c>
      <c r="N39" s="291">
        <v>63250612</v>
      </c>
      <c r="O39" s="291" t="s">
        <v>559</v>
      </c>
      <c r="P39" s="291" t="s">
        <v>562</v>
      </c>
      <c r="Q39" s="291" t="s">
        <v>112</v>
      </c>
      <c r="R39" s="291"/>
    </row>
    <row r="40" spans="1:18" ht="12.9" customHeight="1">
      <c r="A40" s="467">
        <v>46219</v>
      </c>
      <c r="B40" s="290">
        <v>3</v>
      </c>
      <c r="C40" s="291" t="s">
        <v>557</v>
      </c>
      <c r="D40" s="291" t="s">
        <v>558</v>
      </c>
      <c r="E40" s="291" t="s">
        <v>122</v>
      </c>
      <c r="F40" s="291" t="s">
        <v>559</v>
      </c>
      <c r="G40" s="291" t="s">
        <v>91</v>
      </c>
      <c r="H40" s="291">
        <v>225876</v>
      </c>
      <c r="I40" s="291" t="s">
        <v>559</v>
      </c>
      <c r="J40" s="291" t="s">
        <v>560</v>
      </c>
      <c r="K40" s="291" t="s">
        <v>93</v>
      </c>
      <c r="L40" s="291" t="s">
        <v>559</v>
      </c>
      <c r="M40" s="291" t="s">
        <v>561</v>
      </c>
      <c r="N40" s="291">
        <v>63250612</v>
      </c>
      <c r="O40" s="291" t="s">
        <v>559</v>
      </c>
      <c r="P40" s="291" t="s">
        <v>562</v>
      </c>
      <c r="Q40" s="291" t="s">
        <v>112</v>
      </c>
      <c r="R40" s="291"/>
    </row>
    <row r="41" spans="1:18" ht="12.9" customHeight="1">
      <c r="A41" s="467">
        <v>46220</v>
      </c>
      <c r="B41" s="290">
        <v>1</v>
      </c>
      <c r="C41" s="291" t="s">
        <v>557</v>
      </c>
      <c r="D41" s="291" t="s">
        <v>558</v>
      </c>
      <c r="E41" s="291" t="s">
        <v>122</v>
      </c>
      <c r="F41" s="291" t="s">
        <v>559</v>
      </c>
      <c r="G41" s="291" t="s">
        <v>91</v>
      </c>
      <c r="H41" s="291">
        <v>225876</v>
      </c>
      <c r="I41" s="291" t="s">
        <v>559</v>
      </c>
      <c r="J41" s="291" t="s">
        <v>560</v>
      </c>
      <c r="K41" s="291" t="s">
        <v>93</v>
      </c>
      <c r="L41" s="291" t="s">
        <v>559</v>
      </c>
      <c r="M41" s="291" t="s">
        <v>561</v>
      </c>
      <c r="N41" s="291">
        <v>63250612</v>
      </c>
      <c r="O41" s="291" t="s">
        <v>559</v>
      </c>
      <c r="P41" s="291" t="s">
        <v>562</v>
      </c>
      <c r="Q41" s="291" t="s">
        <v>112</v>
      </c>
      <c r="R41" s="291"/>
    </row>
    <row r="42" spans="1:18" ht="12.9" customHeight="1">
      <c r="A42" s="467">
        <v>46220</v>
      </c>
      <c r="B42" s="290">
        <v>2</v>
      </c>
      <c r="C42" s="291" t="s">
        <v>557</v>
      </c>
      <c r="D42" s="291" t="s">
        <v>558</v>
      </c>
      <c r="E42" s="291" t="s">
        <v>122</v>
      </c>
      <c r="F42" s="291" t="s">
        <v>559</v>
      </c>
      <c r="G42" s="291" t="s">
        <v>91</v>
      </c>
      <c r="H42" s="291">
        <v>225876</v>
      </c>
      <c r="I42" s="291" t="s">
        <v>559</v>
      </c>
      <c r="J42" s="291" t="s">
        <v>560</v>
      </c>
      <c r="K42" s="291" t="s">
        <v>93</v>
      </c>
      <c r="L42" s="291" t="s">
        <v>559</v>
      </c>
      <c r="M42" s="291" t="s">
        <v>561</v>
      </c>
      <c r="N42" s="291">
        <v>63250612</v>
      </c>
      <c r="O42" s="291" t="s">
        <v>559</v>
      </c>
      <c r="P42" s="291" t="s">
        <v>562</v>
      </c>
      <c r="Q42" s="291" t="s">
        <v>112</v>
      </c>
      <c r="R42" s="291"/>
    </row>
    <row r="43" spans="1:18" ht="12.9" customHeight="1">
      <c r="A43" s="467">
        <v>46220</v>
      </c>
      <c r="B43" s="290">
        <v>3</v>
      </c>
      <c r="C43" s="291" t="s">
        <v>557</v>
      </c>
      <c r="D43" s="291" t="s">
        <v>558</v>
      </c>
      <c r="E43" s="291" t="s">
        <v>122</v>
      </c>
      <c r="F43" s="291" t="s">
        <v>559</v>
      </c>
      <c r="G43" s="291" t="s">
        <v>91</v>
      </c>
      <c r="H43" s="291">
        <v>225876</v>
      </c>
      <c r="I43" s="291" t="s">
        <v>559</v>
      </c>
      <c r="J43" s="291" t="s">
        <v>560</v>
      </c>
      <c r="K43" s="291" t="s">
        <v>93</v>
      </c>
      <c r="L43" s="291" t="s">
        <v>559</v>
      </c>
      <c r="M43" s="291" t="s">
        <v>561</v>
      </c>
      <c r="N43" s="291">
        <v>63250612</v>
      </c>
      <c r="O43" s="291" t="s">
        <v>559</v>
      </c>
      <c r="P43" s="291" t="s">
        <v>562</v>
      </c>
      <c r="Q43" s="291" t="s">
        <v>112</v>
      </c>
      <c r="R43" s="291"/>
    </row>
    <row r="44" spans="1:18" ht="12.9" customHeight="1">
      <c r="A44" s="467">
        <v>46221</v>
      </c>
      <c r="B44" s="290">
        <v>1</v>
      </c>
      <c r="C44" s="291" t="s">
        <v>557</v>
      </c>
      <c r="D44" s="291" t="s">
        <v>558</v>
      </c>
      <c r="E44" s="291" t="s">
        <v>122</v>
      </c>
      <c r="F44" s="291" t="s">
        <v>559</v>
      </c>
      <c r="G44" s="291" t="s">
        <v>91</v>
      </c>
      <c r="H44" s="291">
        <v>225876</v>
      </c>
      <c r="I44" s="291" t="s">
        <v>559</v>
      </c>
      <c r="J44" s="291" t="s">
        <v>560</v>
      </c>
      <c r="K44" s="291" t="s">
        <v>93</v>
      </c>
      <c r="L44" s="291" t="s">
        <v>559</v>
      </c>
      <c r="M44" s="291" t="s">
        <v>561</v>
      </c>
      <c r="N44" s="291">
        <v>63250612</v>
      </c>
      <c r="O44" s="291" t="s">
        <v>559</v>
      </c>
      <c r="P44" s="291" t="s">
        <v>562</v>
      </c>
      <c r="Q44" s="291" t="s">
        <v>112</v>
      </c>
      <c r="R44" s="291"/>
    </row>
    <row r="45" spans="1:18" ht="12.9" customHeight="1">
      <c r="A45" s="467">
        <v>46221</v>
      </c>
      <c r="B45" s="290">
        <v>2</v>
      </c>
      <c r="C45" s="291" t="s">
        <v>557</v>
      </c>
      <c r="D45" s="291" t="s">
        <v>558</v>
      </c>
      <c r="E45" s="556" t="s">
        <v>189</v>
      </c>
      <c r="F45" s="291" t="s">
        <v>559</v>
      </c>
      <c r="G45" s="291" t="s">
        <v>91</v>
      </c>
      <c r="H45" s="291">
        <v>225876</v>
      </c>
      <c r="I45" s="291" t="s">
        <v>559</v>
      </c>
      <c r="J45" s="291" t="s">
        <v>560</v>
      </c>
      <c r="K45" s="291" t="s">
        <v>93</v>
      </c>
      <c r="L45" s="291" t="s">
        <v>559</v>
      </c>
      <c r="M45" s="291" t="s">
        <v>561</v>
      </c>
      <c r="N45" s="291">
        <v>63250612</v>
      </c>
      <c r="O45" s="291" t="s">
        <v>559</v>
      </c>
      <c r="P45" s="291" t="s">
        <v>562</v>
      </c>
      <c r="Q45" s="291" t="s">
        <v>112</v>
      </c>
      <c r="R45" s="291" t="s">
        <v>190</v>
      </c>
    </row>
    <row r="46" spans="1:18" ht="12.9" customHeight="1">
      <c r="A46" s="467">
        <v>46222</v>
      </c>
      <c r="B46" s="290">
        <v>3</v>
      </c>
      <c r="C46" s="291" t="s">
        <v>557</v>
      </c>
      <c r="D46" s="291" t="s">
        <v>558</v>
      </c>
      <c r="E46" s="558" t="s">
        <v>189</v>
      </c>
      <c r="F46" s="291" t="s">
        <v>559</v>
      </c>
      <c r="G46" s="291" t="s">
        <v>91</v>
      </c>
      <c r="H46" s="291">
        <v>225876</v>
      </c>
      <c r="I46" s="291" t="s">
        <v>559</v>
      </c>
      <c r="J46" s="291" t="s">
        <v>560</v>
      </c>
      <c r="K46" s="291" t="s">
        <v>93</v>
      </c>
      <c r="L46" s="291" t="s">
        <v>559</v>
      </c>
      <c r="M46" s="291" t="s">
        <v>561</v>
      </c>
      <c r="N46" s="291">
        <v>63250612</v>
      </c>
      <c r="O46" s="291" t="s">
        <v>559</v>
      </c>
      <c r="P46" s="291" t="s">
        <v>562</v>
      </c>
      <c r="Q46" s="291" t="s">
        <v>112</v>
      </c>
      <c r="R46" s="291"/>
    </row>
    <row r="47" spans="1:18" ht="12.9" customHeight="1">
      <c r="A47" s="467">
        <v>46223</v>
      </c>
      <c r="B47" s="290">
        <v>1</v>
      </c>
      <c r="C47" s="291" t="s">
        <v>557</v>
      </c>
      <c r="D47" s="291" t="s">
        <v>558</v>
      </c>
      <c r="E47" s="558" t="s">
        <v>189</v>
      </c>
      <c r="F47" s="291" t="s">
        <v>559</v>
      </c>
      <c r="G47" s="291" t="s">
        <v>91</v>
      </c>
      <c r="H47" s="291">
        <v>225876</v>
      </c>
      <c r="I47" s="291" t="s">
        <v>559</v>
      </c>
      <c r="J47" s="291" t="s">
        <v>560</v>
      </c>
      <c r="K47" s="291" t="s">
        <v>93</v>
      </c>
      <c r="L47" s="291" t="s">
        <v>559</v>
      </c>
      <c r="M47" s="291" t="s">
        <v>561</v>
      </c>
      <c r="N47" s="291">
        <v>63250612</v>
      </c>
      <c r="O47" s="291" t="s">
        <v>559</v>
      </c>
      <c r="P47" s="291" t="s">
        <v>562</v>
      </c>
      <c r="Q47" s="291" t="s">
        <v>112</v>
      </c>
      <c r="R47" s="291"/>
    </row>
    <row r="48" spans="1:18" ht="12.9" customHeight="1">
      <c r="A48" s="467">
        <v>46223</v>
      </c>
      <c r="B48" s="290">
        <v>2</v>
      </c>
      <c r="C48" s="291" t="s">
        <v>557</v>
      </c>
      <c r="D48" s="291" t="s">
        <v>558</v>
      </c>
      <c r="E48" s="558" t="s">
        <v>189</v>
      </c>
      <c r="F48" s="291" t="s">
        <v>559</v>
      </c>
      <c r="G48" s="291" t="s">
        <v>91</v>
      </c>
      <c r="H48" s="291">
        <v>225876</v>
      </c>
      <c r="I48" s="291" t="s">
        <v>559</v>
      </c>
      <c r="J48" s="291" t="s">
        <v>560</v>
      </c>
      <c r="K48" s="291" t="s">
        <v>93</v>
      </c>
      <c r="L48" s="291" t="s">
        <v>559</v>
      </c>
      <c r="M48" s="291" t="s">
        <v>561</v>
      </c>
      <c r="N48" s="291">
        <v>63250612</v>
      </c>
      <c r="O48" s="291" t="s">
        <v>559</v>
      </c>
      <c r="P48" s="291" t="s">
        <v>562</v>
      </c>
      <c r="Q48" s="291" t="s">
        <v>112</v>
      </c>
      <c r="R48" s="291"/>
    </row>
    <row r="49" spans="1:18" ht="12.9" customHeight="1">
      <c r="A49" s="467">
        <v>46223</v>
      </c>
      <c r="B49" s="290">
        <v>3</v>
      </c>
      <c r="C49" s="291" t="s">
        <v>557</v>
      </c>
      <c r="D49" s="291" t="s">
        <v>558</v>
      </c>
      <c r="E49" s="558" t="s">
        <v>189</v>
      </c>
      <c r="F49" s="291" t="s">
        <v>559</v>
      </c>
      <c r="G49" s="291" t="s">
        <v>91</v>
      </c>
      <c r="H49" s="291">
        <v>225876</v>
      </c>
      <c r="I49" s="291" t="s">
        <v>559</v>
      </c>
      <c r="J49" s="291" t="s">
        <v>560</v>
      </c>
      <c r="K49" s="556" t="s">
        <v>202</v>
      </c>
      <c r="L49" s="291" t="s">
        <v>559</v>
      </c>
      <c r="M49" s="291" t="s">
        <v>561</v>
      </c>
      <c r="N49" s="291">
        <v>63250612</v>
      </c>
      <c r="O49" s="291" t="s">
        <v>559</v>
      </c>
      <c r="P49" s="291" t="s">
        <v>562</v>
      </c>
      <c r="Q49" s="291" t="s">
        <v>112</v>
      </c>
      <c r="R49" s="291"/>
    </row>
    <row r="50" spans="1:18" ht="12.9" customHeight="1">
      <c r="A50" s="467">
        <v>46224</v>
      </c>
      <c r="B50" s="290">
        <v>1</v>
      </c>
      <c r="C50" s="291" t="s">
        <v>557</v>
      </c>
      <c r="D50" s="291" t="s">
        <v>558</v>
      </c>
      <c r="E50" s="558" t="s">
        <v>189</v>
      </c>
      <c r="F50" s="291" t="s">
        <v>559</v>
      </c>
      <c r="G50" s="291" t="s">
        <v>91</v>
      </c>
      <c r="H50" s="291">
        <v>225876</v>
      </c>
      <c r="I50" s="291" t="s">
        <v>559</v>
      </c>
      <c r="J50" s="291" t="s">
        <v>560</v>
      </c>
      <c r="K50" s="558" t="s">
        <v>202</v>
      </c>
      <c r="L50" s="291" t="s">
        <v>559</v>
      </c>
      <c r="M50" s="291" t="s">
        <v>561</v>
      </c>
      <c r="N50" s="291">
        <v>63250612</v>
      </c>
      <c r="O50" s="291" t="s">
        <v>559</v>
      </c>
      <c r="P50" s="291" t="s">
        <v>562</v>
      </c>
      <c r="Q50" s="291" t="s">
        <v>112</v>
      </c>
      <c r="R50" s="291"/>
    </row>
    <row r="51" spans="1:18" ht="12.9" customHeight="1">
      <c r="A51" s="467">
        <v>46224</v>
      </c>
      <c r="B51" s="290">
        <v>2</v>
      </c>
      <c r="C51" s="291" t="s">
        <v>557</v>
      </c>
      <c r="D51" s="291" t="s">
        <v>558</v>
      </c>
      <c r="E51" s="558" t="s">
        <v>189</v>
      </c>
      <c r="F51" s="291" t="s">
        <v>559</v>
      </c>
      <c r="G51" s="291" t="s">
        <v>91</v>
      </c>
      <c r="H51" s="291">
        <v>225876</v>
      </c>
      <c r="I51" s="291" t="s">
        <v>559</v>
      </c>
      <c r="J51" s="291" t="s">
        <v>560</v>
      </c>
      <c r="K51" s="556" t="s">
        <v>93</v>
      </c>
      <c r="L51" s="291" t="s">
        <v>559</v>
      </c>
      <c r="M51" s="291" t="s">
        <v>561</v>
      </c>
      <c r="N51" s="291">
        <v>63250612</v>
      </c>
      <c r="O51" s="291" t="s">
        <v>559</v>
      </c>
      <c r="P51" s="291" t="s">
        <v>562</v>
      </c>
      <c r="Q51" s="291" t="s">
        <v>112</v>
      </c>
      <c r="R51" s="291"/>
    </row>
    <row r="52" spans="1:18" ht="12.9" customHeight="1">
      <c r="A52" s="467">
        <v>46224</v>
      </c>
      <c r="B52" s="290">
        <v>3</v>
      </c>
      <c r="C52" s="291" t="s">
        <v>557</v>
      </c>
      <c r="D52" s="291" t="s">
        <v>558</v>
      </c>
      <c r="E52" s="558" t="s">
        <v>189</v>
      </c>
      <c r="F52" s="291" t="s">
        <v>559</v>
      </c>
      <c r="G52" s="291" t="s">
        <v>91</v>
      </c>
      <c r="H52" s="291">
        <v>225876</v>
      </c>
      <c r="I52" s="291" t="s">
        <v>559</v>
      </c>
      <c r="J52" s="291" t="s">
        <v>560</v>
      </c>
      <c r="K52" s="558" t="s">
        <v>93</v>
      </c>
      <c r="L52" s="291" t="s">
        <v>559</v>
      </c>
      <c r="M52" s="291" t="s">
        <v>561</v>
      </c>
      <c r="N52" s="291">
        <v>63250612</v>
      </c>
      <c r="O52" s="291" t="s">
        <v>559</v>
      </c>
      <c r="P52" s="291" t="s">
        <v>562</v>
      </c>
      <c r="Q52" s="291" t="s">
        <v>112</v>
      </c>
      <c r="R52" s="291"/>
    </row>
    <row r="53" spans="1:18" ht="12.9" customHeight="1">
      <c r="A53" s="467">
        <v>46225</v>
      </c>
      <c r="B53" s="290">
        <v>1</v>
      </c>
      <c r="C53" s="291" t="s">
        <v>557</v>
      </c>
      <c r="D53" s="291" t="s">
        <v>558</v>
      </c>
      <c r="E53" s="558" t="s">
        <v>189</v>
      </c>
      <c r="F53" s="291" t="s">
        <v>559</v>
      </c>
      <c r="G53" s="291" t="s">
        <v>91</v>
      </c>
      <c r="H53" s="291">
        <v>225876</v>
      </c>
      <c r="I53" s="291" t="s">
        <v>559</v>
      </c>
      <c r="J53" s="291" t="s">
        <v>560</v>
      </c>
      <c r="K53" s="558" t="s">
        <v>93</v>
      </c>
      <c r="L53" s="291" t="s">
        <v>559</v>
      </c>
      <c r="M53" s="291" t="s">
        <v>561</v>
      </c>
      <c r="N53" s="291">
        <v>63250612</v>
      </c>
      <c r="O53" s="291" t="s">
        <v>559</v>
      </c>
      <c r="P53" s="291" t="s">
        <v>562</v>
      </c>
      <c r="Q53" s="291" t="s">
        <v>112</v>
      </c>
      <c r="R53" s="291"/>
    </row>
    <row r="54" spans="1:18" ht="15" customHeight="1">
      <c r="A54" s="467">
        <v>46225</v>
      </c>
      <c r="B54" s="290">
        <v>2</v>
      </c>
      <c r="C54" s="291" t="s">
        <v>557</v>
      </c>
      <c r="D54" s="291" t="s">
        <v>558</v>
      </c>
      <c r="E54" s="558" t="s">
        <v>189</v>
      </c>
      <c r="F54" s="291" t="s">
        <v>559</v>
      </c>
      <c r="G54" s="291" t="s">
        <v>91</v>
      </c>
      <c r="H54" s="291">
        <v>225876</v>
      </c>
      <c r="I54" s="291" t="s">
        <v>559</v>
      </c>
      <c r="J54" s="291" t="s">
        <v>560</v>
      </c>
      <c r="K54" s="558" t="s">
        <v>93</v>
      </c>
      <c r="L54" s="291" t="s">
        <v>559</v>
      </c>
      <c r="M54" s="291" t="s">
        <v>561</v>
      </c>
      <c r="N54" s="291">
        <v>63250612</v>
      </c>
      <c r="O54" s="291" t="s">
        <v>559</v>
      </c>
      <c r="P54" s="291" t="s">
        <v>562</v>
      </c>
      <c r="Q54" s="291" t="s">
        <v>112</v>
      </c>
      <c r="R54" s="291"/>
    </row>
    <row r="55" spans="1:18" ht="15" customHeight="1">
      <c r="A55" s="467">
        <v>46225</v>
      </c>
      <c r="B55" s="290">
        <v>3</v>
      </c>
      <c r="C55" s="291" t="s">
        <v>557</v>
      </c>
      <c r="D55" s="291" t="s">
        <v>558</v>
      </c>
      <c r="E55" s="558" t="s">
        <v>189</v>
      </c>
      <c r="F55" s="291" t="s">
        <v>559</v>
      </c>
      <c r="G55" s="291" t="s">
        <v>91</v>
      </c>
      <c r="H55" s="291">
        <v>225876</v>
      </c>
      <c r="I55" s="291" t="s">
        <v>559</v>
      </c>
      <c r="J55" s="291" t="s">
        <v>560</v>
      </c>
      <c r="K55" s="558" t="s">
        <v>93</v>
      </c>
      <c r="L55" s="291" t="s">
        <v>559</v>
      </c>
      <c r="M55" s="291" t="s">
        <v>561</v>
      </c>
      <c r="N55" s="291">
        <v>63250612</v>
      </c>
      <c r="O55" s="291" t="s">
        <v>559</v>
      </c>
      <c r="P55" s="291" t="s">
        <v>562</v>
      </c>
      <c r="Q55" s="291" t="s">
        <v>112</v>
      </c>
      <c r="R55" s="291"/>
    </row>
    <row r="56" spans="1:18" ht="15" customHeight="1">
      <c r="A56" s="467">
        <v>46226</v>
      </c>
      <c r="B56" s="290">
        <v>1</v>
      </c>
      <c r="C56" s="291" t="s">
        <v>557</v>
      </c>
      <c r="D56" s="291" t="s">
        <v>558</v>
      </c>
      <c r="E56" s="558" t="s">
        <v>189</v>
      </c>
      <c r="F56" s="291" t="s">
        <v>559</v>
      </c>
      <c r="G56" s="291" t="s">
        <v>91</v>
      </c>
      <c r="H56" s="291">
        <v>225876</v>
      </c>
      <c r="I56" s="291" t="s">
        <v>559</v>
      </c>
      <c r="J56" s="291" t="s">
        <v>560</v>
      </c>
      <c r="K56" s="558" t="s">
        <v>93</v>
      </c>
      <c r="L56" s="291" t="s">
        <v>559</v>
      </c>
      <c r="M56" s="291" t="s">
        <v>561</v>
      </c>
      <c r="N56" s="291">
        <v>63250612</v>
      </c>
      <c r="O56" s="291" t="s">
        <v>559</v>
      </c>
      <c r="P56" s="291" t="s">
        <v>562</v>
      </c>
      <c r="Q56" s="291" t="s">
        <v>112</v>
      </c>
      <c r="R56" s="291"/>
    </row>
    <row r="57" spans="1:18" ht="15" customHeight="1">
      <c r="A57" s="467">
        <v>46226</v>
      </c>
      <c r="B57" s="290">
        <v>2</v>
      </c>
      <c r="C57" s="291" t="s">
        <v>557</v>
      </c>
      <c r="D57" s="291" t="s">
        <v>558</v>
      </c>
      <c r="E57" s="558" t="s">
        <v>189</v>
      </c>
      <c r="F57" s="291" t="s">
        <v>559</v>
      </c>
      <c r="G57" s="291" t="s">
        <v>91</v>
      </c>
      <c r="H57" s="291">
        <v>225876</v>
      </c>
      <c r="I57" s="291" t="s">
        <v>559</v>
      </c>
      <c r="J57" s="291" t="s">
        <v>560</v>
      </c>
      <c r="K57" s="558" t="s">
        <v>93</v>
      </c>
      <c r="L57" s="291" t="s">
        <v>559</v>
      </c>
      <c r="M57" s="291" t="s">
        <v>561</v>
      </c>
      <c r="N57" s="291">
        <v>63250612</v>
      </c>
      <c r="O57" s="291" t="s">
        <v>559</v>
      </c>
      <c r="P57" s="291" t="s">
        <v>562</v>
      </c>
      <c r="Q57" s="291" t="s">
        <v>112</v>
      </c>
      <c r="R57" s="291"/>
    </row>
    <row r="58" spans="1:18" ht="15" customHeight="1">
      <c r="A58" s="467">
        <v>46226</v>
      </c>
      <c r="B58" s="290">
        <v>3</v>
      </c>
      <c r="C58" s="291" t="s">
        <v>557</v>
      </c>
      <c r="D58" s="291" t="s">
        <v>558</v>
      </c>
      <c r="E58" s="558" t="s">
        <v>189</v>
      </c>
      <c r="F58" s="291" t="s">
        <v>559</v>
      </c>
      <c r="G58" s="291" t="s">
        <v>91</v>
      </c>
      <c r="H58" s="291">
        <v>225876</v>
      </c>
      <c r="I58" s="291" t="s">
        <v>559</v>
      </c>
      <c r="J58" s="291" t="s">
        <v>560</v>
      </c>
      <c r="K58" s="556" t="s">
        <v>228</v>
      </c>
      <c r="L58" s="291" t="s">
        <v>559</v>
      </c>
      <c r="M58" s="291" t="s">
        <v>561</v>
      </c>
      <c r="N58" s="291">
        <v>63250612</v>
      </c>
      <c r="O58" s="291" t="s">
        <v>559</v>
      </c>
      <c r="P58" s="291" t="s">
        <v>562</v>
      </c>
      <c r="Q58" s="291" t="s">
        <v>112</v>
      </c>
      <c r="R58" s="291"/>
    </row>
    <row r="59" spans="1:18" ht="15" customHeight="1">
      <c r="A59" s="467">
        <v>46227</v>
      </c>
      <c r="B59" s="290">
        <v>1</v>
      </c>
      <c r="C59" s="291" t="s">
        <v>557</v>
      </c>
      <c r="D59" s="291" t="s">
        <v>558</v>
      </c>
      <c r="E59" s="558" t="s">
        <v>189</v>
      </c>
      <c r="F59" s="291" t="s">
        <v>559</v>
      </c>
      <c r="G59" s="291" t="s">
        <v>91</v>
      </c>
      <c r="H59" s="291">
        <v>225876</v>
      </c>
      <c r="I59" s="291" t="s">
        <v>559</v>
      </c>
      <c r="J59" s="291" t="s">
        <v>560</v>
      </c>
      <c r="K59" s="558" t="s">
        <v>228</v>
      </c>
      <c r="L59" s="291" t="s">
        <v>559</v>
      </c>
      <c r="M59" s="291" t="s">
        <v>561</v>
      </c>
      <c r="N59" s="291">
        <v>63250612</v>
      </c>
      <c r="O59" s="291" t="s">
        <v>559</v>
      </c>
      <c r="P59" s="291" t="s">
        <v>562</v>
      </c>
      <c r="Q59" s="291" t="s">
        <v>112</v>
      </c>
      <c r="R59" s="291"/>
    </row>
    <row r="60" spans="1:18" ht="15" customHeight="1">
      <c r="A60" s="467">
        <v>46227</v>
      </c>
      <c r="B60" s="290">
        <v>2</v>
      </c>
      <c r="C60" s="291" t="s">
        <v>557</v>
      </c>
      <c r="D60" s="291" t="s">
        <v>558</v>
      </c>
      <c r="E60" s="558" t="s">
        <v>189</v>
      </c>
      <c r="F60" s="291" t="s">
        <v>559</v>
      </c>
      <c r="G60" s="291" t="s">
        <v>91</v>
      </c>
      <c r="H60" s="291">
        <v>225876</v>
      </c>
      <c r="I60" s="291" t="s">
        <v>559</v>
      </c>
      <c r="J60" s="291" t="s">
        <v>560</v>
      </c>
      <c r="K60" s="558" t="s">
        <v>228</v>
      </c>
      <c r="L60" s="291" t="s">
        <v>559</v>
      </c>
      <c r="M60" s="291" t="s">
        <v>561</v>
      </c>
      <c r="N60" s="291">
        <v>63250612</v>
      </c>
      <c r="O60" s="291" t="s">
        <v>559</v>
      </c>
      <c r="P60" s="291" t="s">
        <v>562</v>
      </c>
      <c r="Q60" s="291" t="s">
        <v>112</v>
      </c>
      <c r="R60" s="291"/>
    </row>
    <row r="61" spans="1:18" ht="15" customHeight="1">
      <c r="A61" s="467">
        <v>46227</v>
      </c>
      <c r="B61" s="290">
        <v>3</v>
      </c>
      <c r="C61" s="291" t="s">
        <v>557</v>
      </c>
      <c r="D61" s="291" t="s">
        <v>558</v>
      </c>
      <c r="E61" s="558" t="s">
        <v>189</v>
      </c>
      <c r="F61" s="291" t="s">
        <v>559</v>
      </c>
      <c r="G61" s="291" t="s">
        <v>91</v>
      </c>
      <c r="H61" s="291">
        <v>225876</v>
      </c>
      <c r="I61" s="291" t="s">
        <v>559</v>
      </c>
      <c r="J61" s="291" t="s">
        <v>560</v>
      </c>
      <c r="K61" s="558" t="s">
        <v>228</v>
      </c>
      <c r="L61" s="291" t="s">
        <v>559</v>
      </c>
      <c r="M61" s="291" t="s">
        <v>561</v>
      </c>
      <c r="N61" s="291">
        <v>63250612</v>
      </c>
      <c r="O61" s="291" t="s">
        <v>559</v>
      </c>
      <c r="P61" s="291" t="s">
        <v>562</v>
      </c>
      <c r="Q61" s="291" t="s">
        <v>112</v>
      </c>
      <c r="R61" s="291"/>
    </row>
    <row r="62" spans="1:18" ht="15" customHeight="1">
      <c r="A62" s="467">
        <v>46230</v>
      </c>
      <c r="B62" s="290">
        <v>1</v>
      </c>
      <c r="C62" s="291" t="s">
        <v>557</v>
      </c>
      <c r="D62" s="291" t="s">
        <v>558</v>
      </c>
      <c r="E62" s="558" t="s">
        <v>189</v>
      </c>
      <c r="F62" s="291" t="s">
        <v>559</v>
      </c>
      <c r="G62" s="291" t="s">
        <v>91</v>
      </c>
      <c r="H62" s="291">
        <v>225876</v>
      </c>
      <c r="I62" s="291" t="s">
        <v>559</v>
      </c>
      <c r="J62" s="291" t="s">
        <v>560</v>
      </c>
      <c r="K62" s="558" t="s">
        <v>228</v>
      </c>
      <c r="L62" s="291" t="s">
        <v>559</v>
      </c>
      <c r="M62" s="291" t="s">
        <v>561</v>
      </c>
      <c r="N62" s="556">
        <v>63260124</v>
      </c>
      <c r="O62" s="291" t="s">
        <v>559</v>
      </c>
      <c r="P62" s="291" t="s">
        <v>562</v>
      </c>
      <c r="Q62" s="291" t="s">
        <v>112</v>
      </c>
      <c r="R62" s="291" t="s">
        <v>565</v>
      </c>
    </row>
    <row r="63" spans="1:18" ht="15" customHeight="1">
      <c r="A63" s="289"/>
      <c r="B63" s="290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</row>
    <row r="64" spans="1:18" ht="15" customHeight="1">
      <c r="A64" s="289"/>
      <c r="B64" s="290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</row>
    <row r="65" spans="1:18" ht="15" customHeight="1">
      <c r="A65" s="289"/>
      <c r="B65" s="290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</row>
    <row r="66" spans="1:18" ht="15" customHeight="1">
      <c r="A66" s="289"/>
      <c r="B66" s="290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</row>
    <row r="67" spans="1:18" ht="15" customHeight="1">
      <c r="A67" s="289"/>
      <c r="B67" s="290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</row>
    <row r="68" spans="1:18" ht="15" customHeight="1">
      <c r="A68" s="289"/>
      <c r="B68" s="290"/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</row>
    <row r="69" spans="1:18" ht="15" customHeight="1">
      <c r="A69" s="289"/>
      <c r="B69" s="290"/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</row>
    <row r="70" spans="1:18" ht="15" customHeight="1">
      <c r="A70" s="289"/>
      <c r="B70" s="290"/>
      <c r="C70" s="291"/>
      <c r="D70" s="291"/>
      <c r="E70" s="291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</row>
    <row r="71" spans="1:18" ht="15" customHeight="1">
      <c r="A71" s="289"/>
      <c r="B71" s="290"/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</row>
    <row r="72" spans="1:18" ht="15" customHeight="1">
      <c r="A72" s="289"/>
      <c r="B72" s="290"/>
      <c r="C72" s="291"/>
      <c r="D72" s="291"/>
      <c r="E72" s="291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</row>
    <row r="73" spans="1:18" ht="15" customHeight="1">
      <c r="A73" s="289"/>
      <c r="B73" s="290"/>
      <c r="C73" s="291"/>
      <c r="D73" s="291"/>
      <c r="E73" s="291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</row>
    <row r="74" spans="1:18" ht="15" customHeight="1">
      <c r="A74" s="289"/>
      <c r="B74" s="290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</row>
    <row r="75" spans="1:18" ht="15" customHeight="1">
      <c r="A75" s="289"/>
      <c r="B75" s="290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</row>
    <row r="76" spans="1:18" ht="15" customHeight="1">
      <c r="A76" s="289"/>
      <c r="B76" s="290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</row>
    <row r="77" spans="1:18" ht="15" customHeight="1">
      <c r="A77" s="289"/>
      <c r="B77" s="290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</row>
    <row r="78" spans="1:18" ht="15" customHeight="1">
      <c r="A78" s="289"/>
      <c r="B78" s="290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</row>
    <row r="79" spans="1:18" ht="15" customHeight="1">
      <c r="A79" s="289"/>
      <c r="B79" s="290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</row>
    <row r="80" spans="1:18" ht="15" customHeight="1">
      <c r="A80" s="289"/>
      <c r="B80" s="290"/>
      <c r="C80" s="291"/>
      <c r="D80" s="291"/>
      <c r="E80" s="291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</row>
    <row r="81" spans="1:18" ht="15" customHeight="1">
      <c r="A81" s="289"/>
      <c r="B81" s="290"/>
      <c r="C81" s="291"/>
      <c r="D81" s="291"/>
      <c r="E81" s="291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</row>
    <row r="82" spans="1:18" ht="15" customHeight="1">
      <c r="A82" s="289"/>
      <c r="B82" s="290"/>
      <c r="C82" s="291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</row>
    <row r="83" spans="1:18" ht="15" customHeight="1">
      <c r="A83" s="289"/>
      <c r="B83" s="290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</row>
    <row r="84" spans="1:18" ht="15" customHeight="1">
      <c r="A84" s="289"/>
      <c r="B84" s="290"/>
      <c r="C84" s="291"/>
      <c r="D84" s="291"/>
      <c r="E84" s="291"/>
      <c r="F84" s="291"/>
      <c r="G84" s="291"/>
      <c r="H84" s="291"/>
      <c r="I84" s="291"/>
      <c r="J84" s="291"/>
      <c r="K84" s="291"/>
      <c r="L84" s="291"/>
      <c r="M84" s="291"/>
      <c r="N84" s="291"/>
      <c r="O84" s="291"/>
      <c r="P84" s="291"/>
      <c r="Q84" s="291"/>
      <c r="R84" s="291"/>
    </row>
    <row r="85" spans="1:18" ht="15" customHeight="1">
      <c r="A85" s="289"/>
      <c r="B85" s="290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1"/>
      <c r="O85" s="291"/>
      <c r="P85" s="291"/>
      <c r="Q85" s="291"/>
      <c r="R85" s="291"/>
    </row>
    <row r="86" spans="1:18" ht="15" customHeight="1">
      <c r="A86" s="289"/>
      <c r="B86" s="290"/>
      <c r="C86" s="291"/>
      <c r="D86" s="291"/>
      <c r="E86" s="291"/>
      <c r="F86" s="291"/>
      <c r="G86" s="291"/>
      <c r="H86" s="291"/>
      <c r="I86" s="291"/>
      <c r="J86" s="291"/>
      <c r="K86" s="291"/>
      <c r="L86" s="291"/>
      <c r="M86" s="291"/>
      <c r="N86" s="291"/>
      <c r="O86" s="291"/>
      <c r="P86" s="291"/>
      <c r="Q86" s="291"/>
      <c r="R86" s="291"/>
    </row>
    <row r="87" spans="1:18" ht="15" customHeight="1">
      <c r="A87" s="289"/>
      <c r="B87" s="290"/>
      <c r="C87" s="291"/>
      <c r="D87" s="291"/>
      <c r="E87" s="291"/>
      <c r="F87" s="291"/>
      <c r="G87" s="291"/>
      <c r="H87" s="291"/>
      <c r="I87" s="291"/>
      <c r="J87" s="291"/>
      <c r="K87" s="291"/>
      <c r="L87" s="291"/>
      <c r="M87" s="291"/>
      <c r="N87" s="291"/>
      <c r="O87" s="291"/>
      <c r="P87" s="291"/>
      <c r="Q87" s="291"/>
      <c r="R87" s="291"/>
    </row>
    <row r="88" spans="1:18" ht="15" customHeight="1">
      <c r="A88" s="289"/>
      <c r="B88" s="290"/>
      <c r="C88" s="291"/>
      <c r="D88" s="291"/>
      <c r="E88" s="291"/>
      <c r="F88" s="291"/>
      <c r="G88" s="291"/>
      <c r="H88" s="291"/>
      <c r="I88" s="291"/>
      <c r="J88" s="291"/>
      <c r="K88" s="291"/>
      <c r="L88" s="291"/>
      <c r="M88" s="291"/>
      <c r="N88" s="291"/>
      <c r="O88" s="291"/>
      <c r="P88" s="291"/>
      <c r="Q88" s="291"/>
      <c r="R88" s="291"/>
    </row>
    <row r="89" spans="1:18" ht="15" customHeight="1">
      <c r="A89" s="289"/>
      <c r="B89" s="290"/>
      <c r="C89" s="291"/>
      <c r="D89" s="291"/>
      <c r="E89" s="291"/>
      <c r="F89" s="291"/>
      <c r="G89" s="291"/>
      <c r="H89" s="291"/>
      <c r="I89" s="291"/>
      <c r="J89" s="291"/>
      <c r="K89" s="291"/>
      <c r="L89" s="291"/>
      <c r="M89" s="291"/>
      <c r="N89" s="291"/>
      <c r="O89" s="291"/>
      <c r="P89" s="291"/>
      <c r="Q89" s="291"/>
      <c r="R89" s="291"/>
    </row>
    <row r="90" spans="1:18" ht="15" customHeight="1">
      <c r="A90" s="289"/>
      <c r="B90" s="290"/>
      <c r="C90" s="291"/>
      <c r="D90" s="291"/>
      <c r="E90" s="291"/>
      <c r="F90" s="291"/>
      <c r="G90" s="291"/>
      <c r="H90" s="291"/>
      <c r="I90" s="291"/>
      <c r="J90" s="291"/>
      <c r="K90" s="291"/>
      <c r="L90" s="291"/>
      <c r="M90" s="291"/>
      <c r="N90" s="291"/>
      <c r="O90" s="291"/>
      <c r="P90" s="291"/>
      <c r="Q90" s="291"/>
      <c r="R90" s="291"/>
    </row>
    <row r="91" spans="1:18" ht="15" customHeight="1">
      <c r="A91" s="289"/>
      <c r="B91" s="290"/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</row>
    <row r="92" spans="1:18" ht="15" customHeight="1">
      <c r="A92" s="289"/>
      <c r="B92" s="290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</row>
    <row r="93" spans="1:18" ht="15" customHeight="1">
      <c r="A93" s="289"/>
      <c r="B93" s="290"/>
      <c r="C93" s="291"/>
      <c r="D93" s="291"/>
      <c r="E93" s="291"/>
      <c r="F93" s="291"/>
      <c r="G93" s="291"/>
      <c r="H93" s="291"/>
      <c r="I93" s="291"/>
      <c r="J93" s="291"/>
      <c r="K93" s="291"/>
      <c r="L93" s="291"/>
      <c r="M93" s="291"/>
      <c r="N93" s="291"/>
      <c r="O93" s="291"/>
      <c r="P93" s="291"/>
      <c r="Q93" s="291"/>
      <c r="R93" s="291"/>
    </row>
    <row r="94" spans="1:18" ht="15" customHeight="1">
      <c r="A94" s="289"/>
      <c r="B94" s="290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</row>
    <row r="95" spans="1:18" ht="15" customHeight="1">
      <c r="A95" s="289"/>
      <c r="B95" s="290"/>
      <c r="C95" s="291"/>
      <c r="D95" s="29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</row>
    <row r="96" spans="1:18" ht="15" customHeight="1">
      <c r="A96" s="289"/>
      <c r="B96" s="290"/>
      <c r="C96" s="291"/>
      <c r="D96" s="29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</row>
    <row r="97" spans="1:18" ht="15" customHeight="1">
      <c r="A97" s="289"/>
      <c r="B97" s="290"/>
      <c r="C97" s="291"/>
      <c r="D97" s="29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</row>
    <row r="98" spans="1:18" ht="15" customHeight="1">
      <c r="A98" s="289"/>
      <c r="B98" s="290"/>
      <c r="C98" s="291"/>
      <c r="D98" s="29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</row>
    <row r="99" spans="1:18" ht="15" customHeight="1">
      <c r="A99" s="289"/>
      <c r="B99" s="290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</row>
    <row r="100" spans="1:18" ht="15" customHeight="1">
      <c r="A100" s="289"/>
      <c r="B100" s="290"/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</row>
    <row r="101" spans="1:18" ht="15" customHeight="1">
      <c r="A101" s="289"/>
      <c r="B101" s="290"/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</row>
    <row r="102" spans="1:18" ht="15" customHeight="1">
      <c r="A102" s="289"/>
      <c r="B102" s="290"/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</row>
    <row r="103" spans="1:18" ht="15" customHeight="1">
      <c r="A103" s="289"/>
      <c r="B103" s="290"/>
      <c r="C103" s="291"/>
      <c r="D103" s="291"/>
      <c r="E103" s="291"/>
      <c r="F103" s="291"/>
      <c r="G103" s="291"/>
      <c r="H103" s="291"/>
      <c r="I103" s="291"/>
      <c r="J103" s="291"/>
      <c r="K103" s="291"/>
      <c r="L103" s="291"/>
      <c r="M103" s="291"/>
      <c r="N103" s="291"/>
      <c r="O103" s="291"/>
      <c r="P103" s="291"/>
      <c r="Q103" s="291"/>
      <c r="R103" s="291"/>
    </row>
    <row r="104" spans="1:18" ht="15" customHeight="1">
      <c r="A104" s="289"/>
      <c r="B104" s="290"/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</row>
    <row r="105" spans="1:18" ht="15" customHeight="1">
      <c r="A105" s="289"/>
      <c r="B105" s="290"/>
      <c r="C105" s="291"/>
      <c r="D105" s="291"/>
      <c r="E105" s="291"/>
      <c r="F105" s="291"/>
      <c r="G105" s="291"/>
      <c r="H105" s="291"/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</row>
    <row r="106" spans="1:18" ht="15" customHeight="1">
      <c r="A106" s="289"/>
      <c r="B106" s="290"/>
      <c r="C106" s="291"/>
      <c r="D106" s="291"/>
      <c r="E106" s="291"/>
      <c r="F106" s="291"/>
      <c r="G106" s="291"/>
      <c r="H106" s="291"/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</row>
    <row r="107" spans="1:18" ht="15" customHeight="1">
      <c r="A107" s="289"/>
      <c r="B107" s="290"/>
      <c r="C107" s="291"/>
      <c r="D107" s="291"/>
      <c r="E107" s="291"/>
      <c r="F107" s="291"/>
      <c r="G107" s="291"/>
      <c r="H107" s="291"/>
      <c r="I107" s="291"/>
      <c r="J107" s="291"/>
      <c r="K107" s="291"/>
      <c r="L107" s="291"/>
      <c r="M107" s="291"/>
      <c r="N107" s="291"/>
      <c r="O107" s="291"/>
      <c r="P107" s="291"/>
      <c r="Q107" s="291"/>
      <c r="R107" s="291"/>
    </row>
    <row r="108" spans="1:18" ht="15" customHeight="1">
      <c r="A108" s="289"/>
      <c r="B108" s="290"/>
      <c r="C108" s="291"/>
      <c r="D108" s="291"/>
      <c r="E108" s="291"/>
      <c r="F108" s="291"/>
      <c r="G108" s="291"/>
      <c r="H108" s="291"/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</row>
    <row r="109" spans="1:18" ht="15" customHeight="1">
      <c r="A109" s="289"/>
      <c r="B109" s="290"/>
      <c r="C109" s="291"/>
      <c r="D109" s="291"/>
      <c r="E109" s="291"/>
      <c r="F109" s="291"/>
      <c r="G109" s="291"/>
      <c r="H109" s="291"/>
      <c r="I109" s="291"/>
      <c r="J109" s="291"/>
      <c r="K109" s="291"/>
      <c r="L109" s="291"/>
      <c r="M109" s="291"/>
      <c r="N109" s="291"/>
      <c r="O109" s="291"/>
      <c r="P109" s="291"/>
      <c r="Q109" s="291"/>
      <c r="R109" s="291"/>
    </row>
    <row r="110" spans="1:18" ht="15" customHeight="1">
      <c r="A110" s="289"/>
      <c r="B110" s="290"/>
      <c r="C110" s="291"/>
      <c r="D110" s="291"/>
      <c r="E110" s="291"/>
      <c r="F110" s="291"/>
      <c r="G110" s="291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</row>
    <row r="111" spans="1:18" ht="15" customHeight="1">
      <c r="A111" s="289"/>
      <c r="B111" s="290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</row>
    <row r="112" spans="1:18" ht="15" customHeight="1">
      <c r="A112" s="289"/>
      <c r="B112" s="290"/>
      <c r="C112" s="291"/>
      <c r="D112" s="291"/>
      <c r="E112" s="291"/>
      <c r="F112" s="291"/>
      <c r="G112" s="291"/>
      <c r="H112" s="291"/>
      <c r="I112" s="291"/>
      <c r="J112" s="291"/>
      <c r="K112" s="291"/>
      <c r="L112" s="291"/>
      <c r="M112" s="291"/>
      <c r="N112" s="291"/>
      <c r="O112" s="291"/>
      <c r="P112" s="291"/>
      <c r="Q112" s="291"/>
      <c r="R112" s="291"/>
    </row>
    <row r="113" spans="1:18" ht="15" customHeight="1">
      <c r="A113" s="289"/>
      <c r="B113" s="290"/>
      <c r="C113" s="291"/>
      <c r="D113" s="291"/>
      <c r="E113" s="291"/>
      <c r="F113" s="291"/>
      <c r="G113" s="291"/>
      <c r="H113" s="291"/>
      <c r="I113" s="291"/>
      <c r="J113" s="291"/>
      <c r="K113" s="291"/>
      <c r="L113" s="291"/>
      <c r="M113" s="291"/>
      <c r="N113" s="291"/>
      <c r="O113" s="291"/>
      <c r="P113" s="291"/>
      <c r="Q113" s="291"/>
      <c r="R113" s="291"/>
    </row>
    <row r="114" spans="1:18" ht="15" customHeight="1">
      <c r="A114" s="289"/>
      <c r="B114" s="290"/>
      <c r="C114" s="291"/>
      <c r="D114" s="291"/>
      <c r="E114" s="291"/>
      <c r="F114" s="291"/>
      <c r="G114" s="291"/>
      <c r="H114" s="291"/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</row>
    <row r="115" spans="1:18" ht="15" customHeight="1">
      <c r="A115" s="289"/>
      <c r="B115" s="290"/>
      <c r="C115" s="291"/>
      <c r="D115" s="291"/>
      <c r="E115" s="291"/>
      <c r="F115" s="291"/>
      <c r="G115" s="291"/>
      <c r="H115" s="291"/>
      <c r="I115" s="291"/>
      <c r="J115" s="291"/>
      <c r="K115" s="291"/>
      <c r="L115" s="291"/>
      <c r="M115" s="291"/>
      <c r="N115" s="291"/>
      <c r="O115" s="291"/>
      <c r="P115" s="291"/>
      <c r="Q115" s="291"/>
      <c r="R115" s="291"/>
    </row>
    <row r="116" spans="1:18" ht="15" customHeight="1">
      <c r="A116" s="289"/>
      <c r="B116" s="290"/>
      <c r="C116" s="291"/>
      <c r="D116" s="291"/>
      <c r="E116" s="291"/>
      <c r="F116" s="291"/>
      <c r="G116" s="291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</row>
    <row r="117" spans="1:18" ht="15" customHeight="1">
      <c r="A117" s="289"/>
      <c r="B117" s="290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  <c r="N117" s="291"/>
      <c r="O117" s="291"/>
      <c r="P117" s="291"/>
      <c r="Q117" s="291"/>
      <c r="R117" s="291"/>
    </row>
    <row r="118" spans="1:18" ht="15" customHeight="1">
      <c r="A118" s="289"/>
      <c r="B118" s="290"/>
      <c r="C118" s="291"/>
      <c r="D118" s="291"/>
      <c r="E118" s="291"/>
      <c r="F118" s="291"/>
      <c r="G118" s="291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</row>
    <row r="119" spans="1:18" ht="15" customHeight="1">
      <c r="A119" s="289"/>
      <c r="B119" s="290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</row>
    <row r="120" spans="1:18" ht="15" customHeight="1">
      <c r="A120" s="289"/>
      <c r="B120" s="290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</row>
    <row r="121" spans="1:18" ht="15" customHeight="1">
      <c r="A121" s="289"/>
      <c r="B121" s="290"/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291"/>
      <c r="Q121" s="291"/>
      <c r="R121" s="291"/>
    </row>
    <row r="122" spans="1:18" ht="15" customHeight="1">
      <c r="A122" s="289"/>
      <c r="B122" s="290"/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R122" s="291"/>
    </row>
    <row r="123" spans="1:18" ht="15" customHeight="1">
      <c r="A123" s="289"/>
      <c r="B123" s="290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291"/>
      <c r="Q123" s="291"/>
      <c r="R123" s="291"/>
    </row>
    <row r="124" spans="1:18" ht="15" customHeight="1">
      <c r="A124" s="289"/>
      <c r="B124" s="290"/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</row>
    <row r="125" spans="1:18" ht="15" customHeight="1">
      <c r="A125" s="289"/>
      <c r="B125" s="290"/>
      <c r="C125" s="291"/>
      <c r="D125" s="291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</row>
    <row r="126" spans="1:18" ht="15" customHeight="1">
      <c r="A126" s="289"/>
      <c r="B126" s="290"/>
      <c r="C126" s="291"/>
      <c r="D126" s="291"/>
      <c r="E126" s="291"/>
      <c r="F126" s="291"/>
      <c r="G126" s="291"/>
      <c r="H126" s="291"/>
      <c r="I126" s="291"/>
      <c r="J126" s="291"/>
      <c r="K126" s="291"/>
      <c r="L126" s="291"/>
      <c r="M126" s="291"/>
      <c r="N126" s="291"/>
      <c r="O126" s="291"/>
      <c r="P126" s="291"/>
      <c r="Q126" s="291"/>
      <c r="R126" s="291"/>
    </row>
    <row r="127" spans="1:18" ht="15" customHeight="1">
      <c r="A127" s="289"/>
      <c r="B127" s="290"/>
      <c r="C127" s="291"/>
      <c r="D127" s="291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</row>
    <row r="128" spans="1:18" ht="15" customHeight="1">
      <c r="A128" s="289"/>
      <c r="B128" s="290"/>
      <c r="C128" s="291"/>
      <c r="D128" s="29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</row>
    <row r="129" spans="1:18" ht="15" customHeight="1">
      <c r="A129" s="289"/>
      <c r="B129" s="290"/>
      <c r="C129" s="291"/>
      <c r="D129" s="29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</row>
    <row r="130" spans="1:18" ht="15" customHeight="1">
      <c r="A130" s="289"/>
      <c r="B130" s="290"/>
      <c r="C130" s="291"/>
      <c r="D130" s="29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</row>
    <row r="131" spans="1:18" ht="15" customHeight="1">
      <c r="A131" s="289"/>
      <c r="B131" s="290"/>
      <c r="C131" s="291"/>
      <c r="D131" s="29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</row>
    <row r="132" spans="1:18" ht="15" customHeight="1">
      <c r="A132" s="289"/>
      <c r="B132" s="290"/>
      <c r="C132" s="291"/>
      <c r="D132" s="291"/>
      <c r="E132" s="291"/>
      <c r="F132" s="291"/>
      <c r="G132" s="291"/>
      <c r="H132" s="291"/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</row>
    <row r="133" spans="1:18" ht="15" customHeight="1">
      <c r="A133" s="289"/>
      <c r="B133" s="290"/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</row>
    <row r="134" spans="1:18" ht="15" customHeight="1">
      <c r="A134" s="289"/>
      <c r="B134" s="290"/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</row>
    <row r="135" spans="1:18" ht="15" customHeight="1">
      <c r="A135" s="289"/>
      <c r="B135" s="290"/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</row>
    <row r="136" spans="1:18" ht="15" customHeight="1">
      <c r="A136" s="289"/>
      <c r="B136" s="290"/>
      <c r="C136" s="291"/>
      <c r="D136" s="291"/>
      <c r="E136" s="291"/>
      <c r="F136" s="291"/>
      <c r="G136" s="291"/>
      <c r="H136" s="291"/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</row>
    <row r="137" spans="1:18" ht="15" customHeight="1">
      <c r="A137" s="289"/>
      <c r="B137" s="290"/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</row>
    <row r="138" spans="1:18" ht="15" customHeight="1">
      <c r="A138" s="289"/>
      <c r="B138" s="290"/>
      <c r="C138" s="291"/>
      <c r="D138" s="291"/>
      <c r="E138" s="291"/>
      <c r="F138" s="291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</row>
    <row r="139" spans="1:18" ht="15" customHeight="1">
      <c r="A139" s="289"/>
      <c r="B139" s="290"/>
      <c r="C139" s="291"/>
      <c r="D139" s="291"/>
      <c r="E139" s="291"/>
      <c r="F139" s="291"/>
      <c r="G139" s="291"/>
      <c r="H139" s="291"/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</row>
    <row r="140" spans="1:18" ht="15" customHeight="1">
      <c r="A140" s="289"/>
      <c r="B140" s="290"/>
      <c r="C140" s="291"/>
      <c r="D140" s="291"/>
      <c r="E140" s="291"/>
      <c r="F140" s="291"/>
      <c r="G140" s="291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</row>
    <row r="141" spans="1:18" ht="15" customHeight="1">
      <c r="A141" s="289"/>
      <c r="B141" s="290"/>
      <c r="C141" s="291"/>
      <c r="D141" s="291"/>
      <c r="E141" s="291"/>
      <c r="F141" s="291"/>
      <c r="G141" s="291"/>
      <c r="H141" s="291"/>
      <c r="I141" s="291"/>
      <c r="J141" s="291"/>
      <c r="K141" s="291"/>
      <c r="L141" s="291"/>
      <c r="M141" s="291"/>
      <c r="N141" s="291"/>
      <c r="O141" s="291"/>
      <c r="P141" s="291"/>
      <c r="Q141" s="291"/>
      <c r="R141" s="291"/>
    </row>
    <row r="142" spans="1:18" ht="15" customHeight="1">
      <c r="A142" s="289"/>
      <c r="B142" s="290"/>
      <c r="C142" s="291"/>
      <c r="D142" s="291"/>
      <c r="E142" s="291"/>
      <c r="F142" s="291"/>
      <c r="G142" s="291"/>
      <c r="H142" s="291"/>
      <c r="I142" s="291"/>
      <c r="J142" s="291"/>
      <c r="K142" s="291"/>
      <c r="L142" s="291"/>
      <c r="M142" s="291"/>
      <c r="N142" s="291"/>
      <c r="O142" s="291"/>
      <c r="P142" s="291"/>
      <c r="Q142" s="291"/>
      <c r="R142" s="291"/>
    </row>
    <row r="143" spans="1:18" ht="15" customHeight="1">
      <c r="A143" s="289"/>
      <c r="B143" s="290"/>
      <c r="C143" s="291"/>
      <c r="D143" s="291"/>
      <c r="E143" s="291"/>
      <c r="F143" s="291"/>
      <c r="G143" s="291"/>
      <c r="H143" s="291"/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</row>
    <row r="144" spans="1:18" ht="15" customHeight="1">
      <c r="A144" s="289"/>
      <c r="B144" s="290"/>
      <c r="C144" s="291"/>
      <c r="D144" s="291"/>
      <c r="E144" s="291"/>
      <c r="F144" s="291"/>
      <c r="G144" s="291"/>
      <c r="H144" s="291"/>
      <c r="I144" s="291"/>
      <c r="J144" s="291"/>
      <c r="K144" s="291"/>
      <c r="L144" s="291"/>
      <c r="M144" s="291"/>
      <c r="N144" s="291"/>
      <c r="O144" s="291"/>
      <c r="P144" s="291"/>
      <c r="Q144" s="291"/>
      <c r="R144" s="291"/>
    </row>
    <row r="145" spans="1:18" ht="15" customHeight="1">
      <c r="A145" s="289"/>
      <c r="B145" s="290"/>
      <c r="C145" s="291"/>
      <c r="D145" s="291"/>
      <c r="E145" s="291"/>
      <c r="F145" s="291"/>
      <c r="G145" s="291"/>
      <c r="H145" s="291"/>
      <c r="I145" s="291"/>
      <c r="J145" s="291"/>
      <c r="K145" s="291"/>
      <c r="L145" s="291"/>
      <c r="M145" s="291"/>
      <c r="N145" s="291"/>
      <c r="O145" s="291"/>
      <c r="P145" s="291"/>
      <c r="Q145" s="291"/>
      <c r="R145" s="291"/>
    </row>
    <row r="146" spans="1:18" ht="15" customHeight="1">
      <c r="A146" s="289"/>
      <c r="B146" s="290"/>
      <c r="C146" s="291"/>
      <c r="D146" s="291"/>
      <c r="E146" s="291"/>
      <c r="F146" s="291"/>
      <c r="G146" s="291"/>
      <c r="H146" s="291"/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</row>
    <row r="147" spans="1:18" ht="15" customHeight="1">
      <c r="A147" s="289"/>
      <c r="B147" s="290"/>
      <c r="C147" s="291"/>
      <c r="D147" s="291"/>
      <c r="E147" s="291"/>
      <c r="F147" s="291"/>
      <c r="G147" s="291"/>
      <c r="H147" s="291"/>
      <c r="I147" s="291"/>
      <c r="J147" s="291"/>
      <c r="K147" s="291"/>
      <c r="L147" s="291"/>
      <c r="M147" s="291"/>
      <c r="N147" s="291"/>
      <c r="O147" s="291"/>
      <c r="P147" s="291"/>
      <c r="Q147" s="291"/>
      <c r="R147" s="291"/>
    </row>
    <row r="148" spans="1:18" ht="15" customHeight="1">
      <c r="A148" s="289"/>
      <c r="B148" s="290"/>
      <c r="C148" s="291"/>
      <c r="D148" s="291"/>
      <c r="E148" s="291"/>
      <c r="F148" s="291"/>
      <c r="G148" s="291"/>
      <c r="H148" s="291"/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</row>
    <row r="149" spans="1:18" ht="15" customHeight="1">
      <c r="A149" s="289"/>
      <c r="B149" s="290"/>
      <c r="C149" s="291"/>
      <c r="D149" s="291"/>
      <c r="E149" s="291"/>
      <c r="F149" s="291"/>
      <c r="G149" s="291"/>
      <c r="H149" s="291"/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</row>
    <row r="150" spans="1:18" ht="15" customHeight="1">
      <c r="A150" s="289"/>
      <c r="B150" s="290"/>
      <c r="C150" s="291"/>
      <c r="D150" s="291"/>
      <c r="E150" s="291"/>
      <c r="F150" s="291"/>
      <c r="G150" s="291"/>
      <c r="H150" s="291"/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</row>
    <row r="151" spans="1:18" ht="15" customHeight="1">
      <c r="A151" s="289"/>
      <c r="B151" s="290"/>
      <c r="C151" s="291"/>
      <c r="D151" s="291"/>
      <c r="E151" s="291"/>
      <c r="F151" s="291"/>
      <c r="G151" s="291"/>
      <c r="H151" s="291"/>
      <c r="I151" s="291"/>
      <c r="J151" s="291"/>
      <c r="K151" s="291"/>
      <c r="L151" s="291"/>
      <c r="M151" s="291"/>
      <c r="N151" s="291"/>
      <c r="O151" s="291"/>
      <c r="P151" s="291"/>
      <c r="Q151" s="291"/>
      <c r="R151" s="291"/>
    </row>
    <row r="152" spans="1:18" ht="15" customHeight="1">
      <c r="A152" s="289"/>
      <c r="B152" s="290"/>
      <c r="C152" s="291"/>
      <c r="D152" s="291"/>
      <c r="E152" s="291"/>
      <c r="F152" s="291"/>
      <c r="G152" s="291"/>
      <c r="H152" s="291"/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</row>
    <row r="153" spans="1:18" ht="15" customHeight="1">
      <c r="A153" s="289"/>
      <c r="B153" s="290"/>
      <c r="C153" s="291"/>
      <c r="D153" s="291"/>
      <c r="E153" s="291"/>
      <c r="F153" s="291"/>
      <c r="G153" s="291"/>
      <c r="H153" s="291"/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</row>
    <row r="154" spans="1:18" ht="15" customHeight="1">
      <c r="A154" s="289"/>
      <c r="B154" s="290"/>
      <c r="C154" s="291"/>
      <c r="D154" s="291"/>
      <c r="E154" s="291"/>
      <c r="F154" s="291"/>
      <c r="G154" s="291"/>
      <c r="H154" s="291"/>
      <c r="I154" s="291"/>
      <c r="J154" s="291"/>
      <c r="K154" s="291"/>
      <c r="L154" s="291"/>
      <c r="M154" s="291"/>
      <c r="N154" s="291"/>
      <c r="O154" s="291"/>
      <c r="P154" s="291"/>
      <c r="Q154" s="291"/>
      <c r="R154" s="291"/>
    </row>
    <row r="155" spans="1:18" ht="15" customHeight="1">
      <c r="A155" s="289"/>
      <c r="B155" s="290"/>
      <c r="C155" s="291"/>
      <c r="D155" s="291"/>
      <c r="E155" s="291"/>
      <c r="F155" s="291"/>
      <c r="G155" s="291"/>
      <c r="H155" s="291"/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</row>
    <row r="156" spans="1:18" ht="15" customHeight="1">
      <c r="A156" s="289"/>
      <c r="B156" s="290"/>
      <c r="C156" s="291"/>
      <c r="D156" s="291"/>
      <c r="E156" s="291"/>
      <c r="F156" s="291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</row>
    <row r="157" spans="1:18" ht="15" customHeight="1">
      <c r="A157" s="289"/>
      <c r="B157" s="290"/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</row>
    <row r="158" spans="1:18" ht="15" customHeight="1">
      <c r="A158" s="289"/>
      <c r="B158" s="290"/>
      <c r="C158" s="291"/>
      <c r="D158" s="291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</row>
    <row r="159" spans="1:18" ht="15" customHeight="1">
      <c r="A159" s="289"/>
      <c r="B159" s="290"/>
      <c r="C159" s="291"/>
      <c r="D159" s="291"/>
      <c r="E159" s="291"/>
      <c r="F159" s="291"/>
      <c r="G159" s="291"/>
      <c r="H159" s="291"/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</row>
    <row r="160" spans="1:18" ht="15" customHeight="1">
      <c r="A160" s="289"/>
      <c r="B160" s="290"/>
      <c r="C160" s="291"/>
      <c r="D160" s="291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</row>
    <row r="161" spans="1:18" ht="15" customHeight="1">
      <c r="A161" s="289"/>
      <c r="B161" s="290"/>
      <c r="C161" s="291"/>
      <c r="D161" s="29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</row>
    <row r="162" spans="1:18" ht="15" customHeight="1">
      <c r="A162" s="289"/>
      <c r="B162" s="290"/>
      <c r="C162" s="291"/>
      <c r="D162" s="29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</row>
    <row r="163" spans="1:18" ht="15" customHeight="1">
      <c r="A163" s="289"/>
      <c r="B163" s="290"/>
      <c r="C163" s="291"/>
      <c r="D163" s="29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</row>
    <row r="164" spans="1:18" ht="15" customHeight="1">
      <c r="A164" s="289"/>
      <c r="B164" s="290"/>
      <c r="C164" s="291"/>
      <c r="D164" s="29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</row>
    <row r="165" spans="1:18" ht="15" customHeight="1">
      <c r="A165" s="289"/>
      <c r="B165" s="290"/>
      <c r="C165" s="291"/>
      <c r="D165" s="291"/>
      <c r="E165" s="291"/>
      <c r="F165" s="291"/>
      <c r="G165" s="291"/>
      <c r="H165" s="291"/>
      <c r="I165" s="291"/>
      <c r="J165" s="291"/>
      <c r="K165" s="291"/>
      <c r="L165" s="291"/>
      <c r="M165" s="291"/>
      <c r="N165" s="291"/>
      <c r="O165" s="291"/>
      <c r="P165" s="291"/>
      <c r="Q165" s="291"/>
      <c r="R165" s="291"/>
    </row>
    <row r="166" spans="1:18" ht="15" customHeight="1">
      <c r="A166" s="289"/>
      <c r="B166" s="290"/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</row>
    <row r="167" spans="1:18" ht="15" customHeight="1">
      <c r="A167" s="289"/>
      <c r="B167" s="290"/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</row>
    <row r="168" spans="1:18" ht="15" customHeight="1">
      <c r="A168" s="289"/>
      <c r="B168" s="290"/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</row>
    <row r="169" spans="1:18" ht="15" customHeight="1">
      <c r="A169" s="289"/>
      <c r="B169" s="290"/>
      <c r="C169" s="291"/>
      <c r="D169" s="291"/>
      <c r="E169" s="291"/>
      <c r="F169" s="291"/>
      <c r="G169" s="291"/>
      <c r="H169" s="291"/>
      <c r="I169" s="291"/>
      <c r="J169" s="291"/>
      <c r="K169" s="291"/>
      <c r="L169" s="291"/>
      <c r="M169" s="291"/>
      <c r="N169" s="291"/>
      <c r="O169" s="291"/>
      <c r="P169" s="291"/>
      <c r="Q169" s="291"/>
      <c r="R169" s="291"/>
    </row>
    <row r="170" spans="1:18" ht="15" customHeight="1">
      <c r="A170" s="289"/>
      <c r="B170" s="290"/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</row>
    <row r="171" spans="1:18" ht="15" customHeight="1">
      <c r="A171" s="289"/>
      <c r="B171" s="290"/>
      <c r="C171" s="291"/>
      <c r="D171" s="291"/>
      <c r="E171" s="291"/>
      <c r="F171" s="291"/>
      <c r="G171" s="291"/>
      <c r="H171" s="291"/>
      <c r="I171" s="291"/>
      <c r="J171" s="291"/>
      <c r="K171" s="291"/>
      <c r="L171" s="291"/>
      <c r="M171" s="291"/>
      <c r="N171" s="291"/>
      <c r="O171" s="291"/>
      <c r="P171" s="291"/>
      <c r="Q171" s="291"/>
      <c r="R171" s="291"/>
    </row>
    <row r="172" spans="1:18" ht="15" customHeight="1">
      <c r="A172" s="289"/>
      <c r="B172" s="290"/>
      <c r="C172" s="291"/>
      <c r="D172" s="291"/>
      <c r="E172" s="291"/>
      <c r="F172" s="291"/>
      <c r="G172" s="291"/>
      <c r="H172" s="291"/>
      <c r="I172" s="291"/>
      <c r="J172" s="291"/>
      <c r="K172" s="291"/>
      <c r="L172" s="291"/>
      <c r="M172" s="291"/>
      <c r="N172" s="291"/>
      <c r="O172" s="291"/>
      <c r="P172" s="291"/>
      <c r="Q172" s="291"/>
      <c r="R172" s="291"/>
    </row>
    <row r="173" spans="1:18" ht="15" customHeight="1">
      <c r="A173" s="289"/>
      <c r="B173" s="290"/>
      <c r="C173" s="291"/>
      <c r="D173" s="291"/>
      <c r="E173" s="291"/>
      <c r="F173" s="291"/>
      <c r="G173" s="291"/>
      <c r="H173" s="291"/>
      <c r="I173" s="291"/>
      <c r="J173" s="291"/>
      <c r="K173" s="291"/>
      <c r="L173" s="291"/>
      <c r="M173" s="291"/>
      <c r="N173" s="291"/>
      <c r="O173" s="291"/>
      <c r="P173" s="291"/>
      <c r="Q173" s="291"/>
      <c r="R173" s="291"/>
    </row>
    <row r="174" spans="1:18" ht="15" customHeight="1">
      <c r="A174" s="289"/>
      <c r="B174" s="290"/>
      <c r="C174" s="291"/>
      <c r="D174" s="291"/>
      <c r="E174" s="291"/>
      <c r="F174" s="291"/>
      <c r="G174" s="291"/>
      <c r="H174" s="291"/>
      <c r="I174" s="291"/>
      <c r="J174" s="291"/>
      <c r="K174" s="291"/>
      <c r="L174" s="291"/>
      <c r="M174" s="291"/>
      <c r="N174" s="291"/>
      <c r="O174" s="291"/>
      <c r="P174" s="291"/>
      <c r="Q174" s="291"/>
      <c r="R174" s="291"/>
    </row>
    <row r="175" spans="1:18" ht="15" customHeight="1">
      <c r="A175" s="289"/>
      <c r="B175" s="290"/>
      <c r="C175" s="291"/>
      <c r="D175" s="291"/>
      <c r="E175" s="291"/>
      <c r="F175" s="291"/>
      <c r="G175" s="291"/>
      <c r="H175" s="291"/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</row>
    <row r="176" spans="1:18" ht="15" customHeight="1">
      <c r="A176" s="289"/>
      <c r="B176" s="290"/>
      <c r="C176" s="291"/>
      <c r="D176" s="291"/>
      <c r="E176" s="291"/>
      <c r="F176" s="291"/>
      <c r="G176" s="291"/>
      <c r="H176" s="291"/>
      <c r="I176" s="291"/>
      <c r="J176" s="291"/>
      <c r="K176" s="291"/>
      <c r="L176" s="291"/>
      <c r="M176" s="291"/>
      <c r="N176" s="291"/>
      <c r="O176" s="291"/>
      <c r="P176" s="291"/>
      <c r="Q176" s="291"/>
      <c r="R176" s="291"/>
    </row>
    <row r="177" spans="1:18" ht="15" customHeight="1">
      <c r="A177" s="289"/>
      <c r="B177" s="290"/>
      <c r="C177" s="291"/>
      <c r="D177" s="291"/>
      <c r="E177" s="291"/>
      <c r="F177" s="291"/>
      <c r="G177" s="291"/>
      <c r="H177" s="291"/>
      <c r="I177" s="291"/>
      <c r="J177" s="291"/>
      <c r="K177" s="291"/>
      <c r="L177" s="291"/>
      <c r="M177" s="291"/>
      <c r="N177" s="291"/>
      <c r="O177" s="291"/>
      <c r="P177" s="291"/>
      <c r="Q177" s="291"/>
      <c r="R177" s="291"/>
    </row>
    <row r="178" spans="1:18" ht="15" customHeight="1">
      <c r="A178" s="289"/>
      <c r="B178" s="290"/>
      <c r="C178" s="291"/>
      <c r="D178" s="291"/>
      <c r="E178" s="291"/>
      <c r="F178" s="291"/>
      <c r="G178" s="291"/>
      <c r="H178" s="291"/>
      <c r="I178" s="291"/>
      <c r="J178" s="291"/>
      <c r="K178" s="291"/>
      <c r="L178" s="291"/>
      <c r="M178" s="291"/>
      <c r="N178" s="291"/>
      <c r="O178" s="291"/>
      <c r="P178" s="291"/>
      <c r="Q178" s="291"/>
      <c r="R178" s="291"/>
    </row>
    <row r="179" spans="1:18" ht="15" customHeight="1">
      <c r="A179" s="289"/>
      <c r="B179" s="290"/>
      <c r="C179" s="291"/>
      <c r="D179" s="291"/>
      <c r="E179" s="291"/>
      <c r="F179" s="291"/>
      <c r="G179" s="291"/>
      <c r="H179" s="291"/>
      <c r="I179" s="291"/>
      <c r="J179" s="291"/>
      <c r="K179" s="291"/>
      <c r="L179" s="291"/>
      <c r="M179" s="291"/>
      <c r="N179" s="291"/>
      <c r="O179" s="291"/>
      <c r="P179" s="291"/>
      <c r="Q179" s="291"/>
      <c r="R179" s="291"/>
    </row>
    <row r="180" spans="1:18" ht="15" customHeight="1">
      <c r="A180" s="289"/>
      <c r="B180" s="290"/>
      <c r="C180" s="291"/>
      <c r="D180" s="291"/>
      <c r="E180" s="291"/>
      <c r="F180" s="291"/>
      <c r="G180" s="291"/>
      <c r="H180" s="291"/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</row>
    <row r="181" spans="1:18" ht="15" customHeight="1">
      <c r="A181" s="289"/>
      <c r="B181" s="290"/>
      <c r="C181" s="291"/>
      <c r="D181" s="291"/>
      <c r="E181" s="291"/>
      <c r="F181" s="291"/>
      <c r="G181" s="291"/>
      <c r="H181" s="291"/>
      <c r="I181" s="291"/>
      <c r="J181" s="291"/>
      <c r="K181" s="291"/>
      <c r="L181" s="291"/>
      <c r="M181" s="291"/>
      <c r="N181" s="291"/>
      <c r="O181" s="291"/>
      <c r="P181" s="291"/>
      <c r="Q181" s="291"/>
      <c r="R181" s="291"/>
    </row>
    <row r="182" spans="1:18" ht="15" customHeight="1">
      <c r="A182" s="289"/>
      <c r="B182" s="290"/>
      <c r="C182" s="291"/>
      <c r="D182" s="291"/>
      <c r="E182" s="291"/>
      <c r="F182" s="291"/>
      <c r="G182" s="291"/>
      <c r="H182" s="291"/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</row>
    <row r="183" spans="1:18" ht="15" customHeight="1">
      <c r="A183" s="289"/>
      <c r="B183" s="290"/>
      <c r="C183" s="291"/>
      <c r="D183" s="291"/>
      <c r="E183" s="291"/>
      <c r="F183" s="291"/>
      <c r="G183" s="291"/>
      <c r="H183" s="291"/>
      <c r="I183" s="291"/>
      <c r="J183" s="291"/>
      <c r="K183" s="291"/>
      <c r="L183" s="291"/>
      <c r="M183" s="291"/>
      <c r="N183" s="291"/>
      <c r="O183" s="291"/>
      <c r="P183" s="291"/>
      <c r="Q183" s="291"/>
      <c r="R183" s="291"/>
    </row>
    <row r="184" spans="1:18" ht="15" customHeight="1">
      <c r="A184" s="289"/>
      <c r="B184" s="290"/>
      <c r="C184" s="291"/>
      <c r="D184" s="291"/>
      <c r="E184" s="291"/>
      <c r="F184" s="291"/>
      <c r="G184" s="291"/>
      <c r="H184" s="291"/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</row>
    <row r="185" spans="1:18" ht="15" customHeight="1">
      <c r="A185" s="289"/>
      <c r="B185" s="290"/>
      <c r="C185" s="291"/>
      <c r="D185" s="291"/>
      <c r="E185" s="291"/>
      <c r="F185" s="291"/>
      <c r="G185" s="291"/>
      <c r="H185" s="291"/>
      <c r="I185" s="291"/>
      <c r="J185" s="291"/>
      <c r="K185" s="291"/>
      <c r="L185" s="291"/>
      <c r="M185" s="291"/>
      <c r="N185" s="291"/>
      <c r="O185" s="291"/>
      <c r="P185" s="291"/>
      <c r="Q185" s="291"/>
      <c r="R185" s="291"/>
    </row>
    <row r="186" spans="1:18" ht="15" customHeight="1">
      <c r="A186" s="289"/>
      <c r="B186" s="290"/>
      <c r="C186" s="291"/>
      <c r="D186" s="291"/>
      <c r="E186" s="291"/>
      <c r="F186" s="291"/>
      <c r="G186" s="291"/>
      <c r="H186" s="291"/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</row>
    <row r="187" spans="1:18" ht="15" customHeight="1">
      <c r="A187" s="289"/>
      <c r="B187" s="290"/>
      <c r="C187" s="291"/>
      <c r="D187" s="291"/>
      <c r="E187" s="291"/>
      <c r="F187" s="291"/>
      <c r="G187" s="291"/>
      <c r="H187" s="291"/>
      <c r="I187" s="291"/>
      <c r="J187" s="291"/>
      <c r="K187" s="291"/>
      <c r="L187" s="291"/>
      <c r="M187" s="291"/>
      <c r="N187" s="291"/>
      <c r="O187" s="291"/>
      <c r="P187" s="291"/>
      <c r="Q187" s="291"/>
      <c r="R187" s="291"/>
    </row>
    <row r="188" spans="1:18" ht="15" customHeight="1">
      <c r="A188" s="289"/>
      <c r="B188" s="290"/>
      <c r="C188" s="291"/>
      <c r="D188" s="291"/>
      <c r="E188" s="291"/>
      <c r="F188" s="291"/>
      <c r="G188" s="291"/>
      <c r="H188" s="291"/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</row>
    <row r="189" spans="1:18" ht="15" customHeight="1">
      <c r="A189" s="289"/>
      <c r="B189" s="290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</row>
    <row r="190" spans="1:18" ht="15" customHeight="1">
      <c r="A190" s="289"/>
      <c r="B190" s="290"/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</row>
    <row r="191" spans="1:18" ht="15" customHeight="1">
      <c r="A191" s="289"/>
      <c r="B191" s="290"/>
      <c r="C191" s="291"/>
      <c r="D191" s="291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</row>
    <row r="192" spans="1:18" ht="15" customHeight="1">
      <c r="A192" s="289"/>
      <c r="B192" s="290"/>
      <c r="C192" s="291"/>
      <c r="D192" s="291"/>
      <c r="E192" s="291"/>
      <c r="F192" s="291"/>
      <c r="G192" s="291"/>
      <c r="H192" s="291"/>
      <c r="I192" s="291"/>
      <c r="J192" s="291"/>
      <c r="K192" s="291"/>
      <c r="L192" s="291"/>
      <c r="M192" s="291"/>
      <c r="N192" s="291"/>
      <c r="O192" s="291"/>
      <c r="P192" s="291"/>
      <c r="Q192" s="291"/>
      <c r="R192" s="291"/>
    </row>
    <row r="193" spans="1:18" ht="15" customHeight="1">
      <c r="A193" s="289"/>
      <c r="B193" s="290"/>
      <c r="C193" s="291"/>
      <c r="D193" s="291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</row>
    <row r="194" spans="1:18" ht="15" customHeight="1">
      <c r="A194" s="289"/>
      <c r="B194" s="290"/>
      <c r="C194" s="291"/>
      <c r="D194" s="29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</row>
    <row r="195" spans="1:18" ht="15" customHeight="1">
      <c r="A195" s="289"/>
      <c r="B195" s="290"/>
      <c r="C195" s="291"/>
      <c r="D195" s="29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</row>
    <row r="196" spans="1:18" ht="15" customHeight="1">
      <c r="A196" s="289"/>
      <c r="B196" s="290"/>
      <c r="C196" s="291"/>
      <c r="D196" s="29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</row>
    <row r="197" spans="1:18" ht="15" customHeight="1">
      <c r="A197" s="289"/>
      <c r="B197" s="290"/>
      <c r="C197" s="291"/>
      <c r="D197" s="29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</row>
    <row r="198" spans="1:18" ht="15" customHeight="1">
      <c r="A198" s="289"/>
      <c r="B198" s="290"/>
      <c r="C198" s="291"/>
      <c r="D198" s="291"/>
      <c r="E198" s="291"/>
      <c r="F198" s="291"/>
      <c r="G198" s="291"/>
      <c r="H198" s="291"/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</row>
    <row r="199" spans="1:18" ht="15" customHeight="1">
      <c r="A199" s="289"/>
      <c r="B199" s="290"/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</row>
    <row r="200" spans="1:18" ht="15" customHeight="1">
      <c r="A200" s="289"/>
      <c r="B200" s="290"/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</row>
    <row r="201" spans="1:18" ht="15" customHeight="1">
      <c r="A201" s="289"/>
      <c r="B201" s="290"/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</row>
    <row r="202" spans="1:18" ht="15" customHeight="1">
      <c r="A202" s="289"/>
      <c r="B202" s="290"/>
      <c r="C202" s="291"/>
      <c r="D202" s="291"/>
      <c r="E202" s="291"/>
      <c r="F202" s="291"/>
      <c r="G202" s="291"/>
      <c r="H202" s="291"/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</row>
    <row r="203" spans="1:18" ht="15" customHeight="1">
      <c r="A203" s="289"/>
      <c r="B203" s="290"/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</row>
    <row r="204" spans="1:18" ht="15" customHeight="1">
      <c r="A204" s="289"/>
      <c r="B204" s="290"/>
      <c r="C204" s="291"/>
      <c r="D204" s="291"/>
      <c r="E204" s="291"/>
      <c r="F204" s="291"/>
      <c r="G204" s="291"/>
      <c r="H204" s="291"/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</row>
    <row r="205" spans="1:18" ht="15" customHeight="1">
      <c r="A205" s="289"/>
      <c r="B205" s="290"/>
      <c r="C205" s="291"/>
      <c r="D205" s="291"/>
      <c r="E205" s="291"/>
      <c r="F205" s="291"/>
      <c r="G205" s="291"/>
      <c r="H205" s="291"/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</row>
    <row r="206" spans="1:18" ht="15" customHeight="1">
      <c r="A206" s="289"/>
      <c r="B206" s="290"/>
      <c r="C206" s="291"/>
      <c r="D206" s="291"/>
      <c r="E206" s="291"/>
      <c r="F206" s="291"/>
      <c r="G206" s="291"/>
      <c r="H206" s="291"/>
      <c r="I206" s="291"/>
      <c r="J206" s="291"/>
      <c r="K206" s="291"/>
      <c r="L206" s="291"/>
      <c r="M206" s="291"/>
      <c r="N206" s="291"/>
      <c r="O206" s="291"/>
      <c r="P206" s="291"/>
      <c r="Q206" s="291"/>
      <c r="R206" s="291"/>
    </row>
    <row r="207" spans="1:18" ht="15" customHeight="1">
      <c r="A207" s="289"/>
      <c r="B207" s="290"/>
      <c r="C207" s="291"/>
      <c r="D207" s="291"/>
      <c r="E207" s="291"/>
      <c r="F207" s="291"/>
      <c r="G207" s="291"/>
      <c r="H207" s="291"/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</row>
    <row r="208" spans="1:18" ht="15" customHeight="1">
      <c r="A208" s="289"/>
      <c r="B208" s="290"/>
      <c r="C208" s="291"/>
      <c r="D208" s="291"/>
      <c r="E208" s="291"/>
      <c r="F208" s="291"/>
      <c r="G208" s="291"/>
      <c r="H208" s="291"/>
      <c r="I208" s="291"/>
      <c r="J208" s="291"/>
      <c r="K208" s="291"/>
      <c r="L208" s="291"/>
      <c r="M208" s="291"/>
      <c r="N208" s="291"/>
      <c r="O208" s="291"/>
      <c r="P208" s="291"/>
      <c r="Q208" s="291"/>
      <c r="R208" s="291"/>
    </row>
    <row r="209" spans="1:18" ht="15" customHeight="1">
      <c r="A209" s="289"/>
      <c r="B209" s="290"/>
      <c r="C209" s="291"/>
      <c r="D209" s="291"/>
      <c r="E209" s="291"/>
      <c r="F209" s="291"/>
      <c r="G209" s="291"/>
      <c r="H209" s="291"/>
      <c r="I209" s="291"/>
      <c r="J209" s="291"/>
      <c r="K209" s="291"/>
      <c r="L209" s="291"/>
      <c r="M209" s="291"/>
      <c r="N209" s="291"/>
      <c r="O209" s="291"/>
      <c r="P209" s="291"/>
      <c r="Q209" s="291"/>
      <c r="R209" s="291"/>
    </row>
    <row r="210" spans="1:18" ht="15" customHeight="1">
      <c r="A210" s="289"/>
      <c r="B210" s="290"/>
      <c r="C210" s="291"/>
      <c r="D210" s="291"/>
      <c r="E210" s="291"/>
      <c r="F210" s="291"/>
      <c r="G210" s="291"/>
      <c r="H210" s="291"/>
      <c r="I210" s="291"/>
      <c r="J210" s="291"/>
      <c r="K210" s="291"/>
      <c r="L210" s="291"/>
      <c r="M210" s="291"/>
      <c r="N210" s="291"/>
      <c r="O210" s="291"/>
      <c r="P210" s="291"/>
      <c r="Q210" s="291"/>
      <c r="R210" s="291"/>
    </row>
    <row r="211" spans="1:18" ht="15" customHeight="1">
      <c r="A211" s="289"/>
      <c r="B211" s="290"/>
      <c r="C211" s="291"/>
      <c r="D211" s="291"/>
      <c r="E211" s="291"/>
      <c r="F211" s="291"/>
      <c r="G211" s="291"/>
      <c r="H211" s="291"/>
      <c r="I211" s="291"/>
      <c r="J211" s="291"/>
      <c r="K211" s="291"/>
      <c r="L211" s="291"/>
      <c r="M211" s="291"/>
      <c r="N211" s="291"/>
      <c r="O211" s="291"/>
      <c r="P211" s="291"/>
      <c r="Q211" s="291"/>
      <c r="R211" s="291"/>
    </row>
    <row r="212" spans="1:18" ht="15" customHeight="1">
      <c r="A212" s="289"/>
      <c r="B212" s="290"/>
      <c r="C212" s="291"/>
      <c r="D212" s="291"/>
      <c r="E212" s="291"/>
      <c r="F212" s="291"/>
      <c r="G212" s="291"/>
      <c r="H212" s="291"/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</row>
    <row r="213" spans="1:18" ht="15" customHeight="1">
      <c r="A213" s="289"/>
      <c r="B213" s="290"/>
      <c r="C213" s="291"/>
      <c r="D213" s="291"/>
      <c r="E213" s="291"/>
      <c r="F213" s="291"/>
      <c r="G213" s="291"/>
      <c r="H213" s="291"/>
      <c r="I213" s="291"/>
      <c r="J213" s="291"/>
      <c r="K213" s="291"/>
      <c r="L213" s="291"/>
      <c r="M213" s="291"/>
      <c r="N213" s="291"/>
      <c r="O213" s="291"/>
      <c r="P213" s="291"/>
      <c r="Q213" s="291"/>
      <c r="R213" s="291"/>
    </row>
    <row r="214" spans="1:18" ht="15" customHeight="1">
      <c r="A214" s="289"/>
      <c r="B214" s="290"/>
      <c r="C214" s="291"/>
      <c r="D214" s="291"/>
      <c r="E214" s="291"/>
      <c r="F214" s="291"/>
      <c r="G214" s="291"/>
      <c r="H214" s="291"/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</row>
    <row r="215" spans="1:18" ht="15" customHeight="1">
      <c r="A215" s="289"/>
      <c r="B215" s="290"/>
      <c r="C215" s="291"/>
      <c r="D215" s="291"/>
      <c r="E215" s="291"/>
      <c r="F215" s="291"/>
      <c r="G215" s="291"/>
      <c r="H215" s="291"/>
      <c r="I215" s="291"/>
      <c r="J215" s="291"/>
      <c r="K215" s="291"/>
      <c r="L215" s="291"/>
      <c r="M215" s="291"/>
      <c r="N215" s="291"/>
      <c r="O215" s="291"/>
      <c r="P215" s="291"/>
      <c r="Q215" s="291"/>
      <c r="R215" s="291"/>
    </row>
    <row r="216" spans="1:18" ht="15" customHeight="1">
      <c r="A216" s="289"/>
      <c r="B216" s="290"/>
      <c r="C216" s="291"/>
      <c r="D216" s="291"/>
      <c r="E216" s="291"/>
      <c r="F216" s="291"/>
      <c r="G216" s="291"/>
      <c r="H216" s="291"/>
      <c r="I216" s="291"/>
      <c r="J216" s="291"/>
      <c r="K216" s="291"/>
      <c r="L216" s="291"/>
      <c r="M216" s="291"/>
      <c r="N216" s="291"/>
      <c r="O216" s="291"/>
      <c r="P216" s="291"/>
      <c r="Q216" s="291"/>
      <c r="R216" s="291"/>
    </row>
    <row r="217" spans="1:18" ht="15" customHeight="1">
      <c r="A217" s="289"/>
      <c r="B217" s="290"/>
      <c r="C217" s="291"/>
      <c r="D217" s="291"/>
      <c r="E217" s="291"/>
      <c r="F217" s="291"/>
      <c r="G217" s="291"/>
      <c r="H217" s="291"/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</row>
    <row r="218" spans="1:18" ht="15" customHeight="1">
      <c r="A218" s="289"/>
      <c r="B218" s="290"/>
      <c r="C218" s="291"/>
      <c r="D218" s="291"/>
      <c r="E218" s="291"/>
      <c r="F218" s="291"/>
      <c r="G218" s="291"/>
      <c r="H218" s="291"/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</row>
    <row r="219" spans="1:18" ht="15" customHeight="1">
      <c r="A219" s="292"/>
      <c r="B219" s="290"/>
      <c r="C219" s="291"/>
      <c r="D219" s="291"/>
      <c r="E219" s="291"/>
      <c r="F219" s="291"/>
      <c r="G219" s="291"/>
      <c r="H219" s="291"/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</row>
    <row r="220" spans="1:18" ht="15" customHeight="1">
      <c r="A220" s="292"/>
      <c r="B220" s="290"/>
      <c r="C220" s="291"/>
      <c r="D220" s="291"/>
      <c r="E220" s="291"/>
      <c r="F220" s="291"/>
      <c r="G220" s="291"/>
      <c r="H220" s="291"/>
      <c r="I220" s="291"/>
      <c r="J220" s="291"/>
      <c r="K220" s="291"/>
      <c r="L220" s="291"/>
      <c r="M220" s="291"/>
      <c r="N220" s="291"/>
      <c r="O220" s="291"/>
      <c r="P220" s="291"/>
      <c r="Q220" s="291"/>
      <c r="R220" s="291"/>
    </row>
    <row r="221" spans="1:18" ht="15" customHeight="1">
      <c r="A221" s="292"/>
      <c r="B221" s="290"/>
      <c r="C221" s="291"/>
      <c r="D221" s="291"/>
      <c r="E221" s="291"/>
      <c r="F221" s="291"/>
      <c r="G221" s="291"/>
      <c r="H221" s="291"/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</row>
    <row r="222" spans="1:18" ht="15" customHeight="1">
      <c r="A222" s="292"/>
      <c r="B222" s="290"/>
      <c r="C222" s="291"/>
      <c r="D222" s="291"/>
      <c r="E222" s="291"/>
      <c r="F222" s="291"/>
      <c r="G222" s="291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</row>
    <row r="223" spans="1:18" ht="15" customHeight="1">
      <c r="A223" s="292"/>
      <c r="B223" s="290"/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</row>
    <row r="224" spans="1:18" ht="15" customHeight="1">
      <c r="A224" s="292"/>
      <c r="B224" s="290"/>
      <c r="C224" s="291"/>
      <c r="D224" s="291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</row>
    <row r="225" spans="1:18" ht="15" customHeight="1">
      <c r="A225" s="292"/>
      <c r="B225" s="290"/>
      <c r="C225" s="291"/>
      <c r="D225" s="291"/>
      <c r="E225" s="291"/>
      <c r="F225" s="291"/>
      <c r="G225" s="291"/>
      <c r="H225" s="291"/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</row>
    <row r="226" spans="1:18" ht="15" customHeight="1">
      <c r="A226" s="292"/>
      <c r="B226" s="290"/>
      <c r="C226" s="291"/>
      <c r="D226" s="291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</row>
    <row r="227" spans="1:18" ht="15" customHeight="1">
      <c r="A227" s="292"/>
      <c r="B227" s="290"/>
      <c r="C227" s="291"/>
      <c r="D227" s="29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</row>
    <row r="228" spans="1:18" ht="15" customHeight="1">
      <c r="A228" s="292"/>
      <c r="B228" s="290"/>
      <c r="C228" s="291"/>
      <c r="D228" s="29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</row>
    <row r="229" spans="1:18" ht="15" customHeight="1">
      <c r="A229" s="292"/>
      <c r="B229" s="290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</row>
    <row r="230" spans="1:18" ht="15" customHeight="1">
      <c r="A230" s="292"/>
      <c r="B230" s="290"/>
      <c r="C230" s="291"/>
      <c r="D230" s="29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</row>
    <row r="231" spans="1:18" ht="15" customHeight="1">
      <c r="A231" s="289"/>
      <c r="B231" s="290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</row>
    <row r="232" spans="1:18" ht="15" customHeight="1">
      <c r="A232" s="289"/>
      <c r="B232" s="290"/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</row>
    <row r="233" spans="1:18" ht="15" customHeight="1">
      <c r="A233" s="289"/>
      <c r="B233" s="290"/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</row>
    <row r="234" spans="1:18" ht="15" customHeight="1">
      <c r="A234" s="289"/>
      <c r="B234" s="290"/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</row>
    <row r="235" spans="1:18" ht="15" customHeight="1">
      <c r="A235" s="289"/>
      <c r="B235" s="290"/>
      <c r="C235" s="291"/>
      <c r="D235" s="291"/>
      <c r="E235" s="291"/>
      <c r="F235" s="291"/>
      <c r="G235" s="291"/>
      <c r="H235" s="291"/>
      <c r="I235" s="291"/>
      <c r="J235" s="291"/>
      <c r="K235" s="291"/>
      <c r="L235" s="291"/>
      <c r="M235" s="291"/>
      <c r="N235" s="291"/>
      <c r="O235" s="291"/>
      <c r="P235" s="291"/>
      <c r="Q235" s="291"/>
      <c r="R235" s="291"/>
    </row>
    <row r="236" spans="1:18" ht="15" customHeight="1">
      <c r="A236" s="289"/>
      <c r="B236" s="290"/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</row>
    <row r="237" spans="1:18" ht="15" customHeight="1">
      <c r="A237" s="289"/>
      <c r="B237" s="290"/>
      <c r="C237" s="291"/>
      <c r="D237" s="291"/>
      <c r="E237" s="291"/>
      <c r="F237" s="291"/>
      <c r="G237" s="291"/>
      <c r="H237" s="291"/>
      <c r="I237" s="291"/>
      <c r="J237" s="291"/>
      <c r="K237" s="291"/>
      <c r="L237" s="291"/>
      <c r="M237" s="291"/>
      <c r="N237" s="291"/>
      <c r="O237" s="291"/>
      <c r="P237" s="291"/>
      <c r="Q237" s="291"/>
      <c r="R237" s="291"/>
    </row>
    <row r="238" spans="1:18" ht="15" customHeight="1">
      <c r="A238" s="289"/>
      <c r="B238" s="290"/>
      <c r="C238" s="291"/>
      <c r="D238" s="291"/>
      <c r="E238" s="291"/>
      <c r="F238" s="291"/>
      <c r="G238" s="291"/>
      <c r="H238" s="291"/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</row>
    <row r="239" spans="1:18" ht="15" customHeight="1">
      <c r="A239" s="289"/>
      <c r="B239" s="290"/>
      <c r="C239" s="291"/>
      <c r="D239" s="291"/>
      <c r="E239" s="291"/>
      <c r="F239" s="291"/>
      <c r="G239" s="291"/>
      <c r="H239" s="291"/>
      <c r="I239" s="291"/>
      <c r="J239" s="291"/>
      <c r="K239" s="291"/>
      <c r="L239" s="291"/>
      <c r="M239" s="291"/>
      <c r="N239" s="291"/>
      <c r="O239" s="291"/>
      <c r="P239" s="291"/>
      <c r="Q239" s="291"/>
      <c r="R239" s="291"/>
    </row>
    <row r="240" spans="1:18" ht="15" customHeight="1">
      <c r="A240" s="289"/>
      <c r="B240" s="290"/>
      <c r="C240" s="291"/>
      <c r="D240" s="291"/>
      <c r="E240" s="291"/>
      <c r="F240" s="291"/>
      <c r="G240" s="291"/>
      <c r="H240" s="291"/>
      <c r="I240" s="291"/>
      <c r="J240" s="291"/>
      <c r="K240" s="291"/>
      <c r="L240" s="291"/>
      <c r="M240" s="291"/>
      <c r="N240" s="291"/>
      <c r="O240" s="291"/>
      <c r="P240" s="291"/>
      <c r="Q240" s="291"/>
      <c r="R240" s="291"/>
    </row>
    <row r="241" spans="1:18" ht="15" customHeight="1">
      <c r="A241" s="293"/>
      <c r="B241" s="290"/>
      <c r="C241" s="291"/>
      <c r="D241" s="291"/>
      <c r="E241" s="291"/>
      <c r="F241" s="291"/>
      <c r="G241" s="291"/>
      <c r="H241" s="291"/>
      <c r="I241" s="291"/>
      <c r="J241" s="291"/>
      <c r="K241" s="291"/>
      <c r="L241" s="291"/>
      <c r="M241" s="291"/>
      <c r="N241" s="291"/>
      <c r="O241" s="291"/>
      <c r="P241" s="291"/>
      <c r="Q241" s="291"/>
      <c r="R241" s="291"/>
    </row>
    <row r="242" spans="1:18" ht="15" customHeight="1">
      <c r="A242" s="293"/>
      <c r="B242" s="290"/>
      <c r="C242" s="291"/>
      <c r="D242" s="291"/>
      <c r="E242" s="291"/>
      <c r="F242" s="291"/>
      <c r="G242" s="291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</row>
    <row r="243" spans="1:18" ht="15" customHeight="1">
      <c r="A243" s="293"/>
      <c r="B243" s="290"/>
      <c r="C243" s="291"/>
      <c r="D243" s="291"/>
      <c r="E243" s="291"/>
      <c r="F243" s="291"/>
      <c r="G243" s="291"/>
      <c r="H243" s="291"/>
      <c r="I243" s="291"/>
      <c r="J243" s="291"/>
      <c r="K243" s="291"/>
      <c r="L243" s="291"/>
      <c r="M243" s="291"/>
      <c r="N243" s="291"/>
      <c r="O243" s="291"/>
      <c r="P243" s="291"/>
      <c r="Q243" s="291"/>
      <c r="R243" s="291"/>
    </row>
    <row r="244" spans="1:18" ht="15" customHeight="1">
      <c r="A244" s="293"/>
      <c r="B244" s="290"/>
      <c r="C244" s="291"/>
      <c r="D244" s="291"/>
      <c r="E244" s="291"/>
      <c r="F244" s="291"/>
      <c r="G244" s="291"/>
      <c r="H244" s="291"/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</row>
    <row r="245" spans="1:18" ht="15" customHeight="1">
      <c r="A245" s="293"/>
      <c r="B245" s="290"/>
      <c r="C245" s="291"/>
      <c r="D245" s="291"/>
      <c r="E245" s="291"/>
      <c r="F245" s="291"/>
      <c r="G245" s="291"/>
      <c r="H245" s="291"/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</row>
    <row r="246" spans="1:18" ht="15" customHeight="1">
      <c r="A246" s="293"/>
      <c r="B246" s="290"/>
      <c r="C246" s="291"/>
      <c r="D246" s="291"/>
      <c r="E246" s="291"/>
      <c r="F246" s="291"/>
      <c r="G246" s="291"/>
      <c r="H246" s="291"/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</row>
    <row r="247" spans="1:18" ht="15" customHeight="1">
      <c r="A247" s="293"/>
      <c r="B247" s="290"/>
      <c r="C247" s="291"/>
      <c r="D247" s="291"/>
      <c r="E247" s="291"/>
      <c r="F247" s="291"/>
      <c r="G247" s="291"/>
      <c r="H247" s="291"/>
      <c r="I247" s="291"/>
      <c r="J247" s="291"/>
      <c r="K247" s="291"/>
      <c r="L247" s="291"/>
      <c r="M247" s="291"/>
      <c r="N247" s="291"/>
      <c r="O247" s="291"/>
      <c r="P247" s="291"/>
      <c r="Q247" s="291"/>
      <c r="R247" s="291"/>
    </row>
    <row r="248" spans="1:18" ht="15" customHeight="1">
      <c r="A248" s="293"/>
      <c r="B248" s="290"/>
      <c r="C248" s="291"/>
      <c r="D248" s="291"/>
      <c r="E248" s="291"/>
      <c r="F248" s="291"/>
      <c r="G248" s="291"/>
      <c r="H248" s="291"/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</row>
    <row r="249" spans="1:18" ht="15" customHeight="1">
      <c r="A249" s="293"/>
      <c r="B249" s="290"/>
      <c r="C249" s="291"/>
      <c r="D249" s="291"/>
      <c r="E249" s="291"/>
      <c r="F249" s="291"/>
      <c r="G249" s="291"/>
      <c r="H249" s="291"/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</row>
    <row r="250" spans="1:18" ht="15" customHeight="1">
      <c r="A250" s="293"/>
      <c r="B250" s="290"/>
      <c r="C250" s="291"/>
      <c r="D250" s="291"/>
      <c r="E250" s="291"/>
      <c r="F250" s="291"/>
      <c r="G250" s="291"/>
      <c r="H250" s="291"/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</row>
    <row r="251" spans="1:18" ht="15" customHeight="1">
      <c r="A251" s="293"/>
      <c r="B251" s="290"/>
      <c r="C251" s="291"/>
      <c r="D251" s="291"/>
      <c r="E251" s="291"/>
      <c r="F251" s="291"/>
      <c r="G251" s="291"/>
      <c r="H251" s="291"/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</row>
    <row r="252" spans="1:18" ht="15" customHeight="1">
      <c r="A252" s="293"/>
      <c r="B252" s="290"/>
      <c r="C252" s="291"/>
      <c r="D252" s="291"/>
      <c r="E252" s="291"/>
      <c r="F252" s="291"/>
      <c r="G252" s="291"/>
      <c r="H252" s="291"/>
      <c r="I252" s="291"/>
      <c r="J252" s="291"/>
      <c r="K252" s="291"/>
      <c r="L252" s="291"/>
      <c r="M252" s="291"/>
      <c r="N252" s="291"/>
      <c r="O252" s="291"/>
      <c r="P252" s="291"/>
      <c r="Q252" s="291"/>
      <c r="R252" s="291"/>
    </row>
    <row r="253" spans="1:18" ht="15" customHeight="1">
      <c r="A253" s="293"/>
      <c r="B253" s="290"/>
      <c r="C253" s="291"/>
      <c r="D253" s="291"/>
      <c r="E253" s="291"/>
      <c r="F253" s="291"/>
      <c r="G253" s="291"/>
      <c r="H253" s="291"/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</row>
    <row r="254" spans="1:18" ht="15" customHeight="1">
      <c r="A254" s="293"/>
      <c r="B254" s="290"/>
      <c r="C254" s="291"/>
      <c r="D254" s="291"/>
      <c r="E254" s="291"/>
      <c r="F254" s="291"/>
      <c r="G254" s="291"/>
      <c r="H254" s="291"/>
      <c r="I254" s="291"/>
      <c r="J254" s="291"/>
      <c r="K254" s="291"/>
      <c r="L254" s="291"/>
      <c r="M254" s="291"/>
      <c r="N254" s="291"/>
      <c r="O254" s="291"/>
      <c r="P254" s="291"/>
      <c r="Q254" s="291"/>
      <c r="R254" s="291"/>
    </row>
    <row r="255" spans="1:18" ht="15" customHeight="1">
      <c r="A255" s="293"/>
      <c r="B255" s="290"/>
      <c r="C255" s="291"/>
      <c r="D255" s="291"/>
      <c r="E255" s="291"/>
      <c r="F255" s="291"/>
      <c r="G255" s="291"/>
      <c r="H255" s="291"/>
      <c r="I255" s="291"/>
      <c r="J255" s="291"/>
      <c r="K255" s="291"/>
      <c r="L255" s="291"/>
      <c r="M255" s="291"/>
      <c r="N255" s="291"/>
      <c r="O255" s="291"/>
      <c r="P255" s="291"/>
      <c r="Q255" s="291"/>
      <c r="R255" s="291"/>
    </row>
    <row r="256" spans="1:18" ht="15" customHeight="1">
      <c r="A256" s="293"/>
      <c r="B256" s="290"/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</row>
    <row r="257" spans="1:18" ht="15" customHeight="1">
      <c r="A257" s="293"/>
      <c r="B257" s="290"/>
      <c r="C257" s="291"/>
      <c r="D257" s="291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</row>
    <row r="258" spans="1:18" ht="15" customHeight="1">
      <c r="A258" s="293"/>
      <c r="B258" s="290"/>
      <c r="C258" s="291"/>
      <c r="D258" s="291"/>
      <c r="E258" s="291"/>
      <c r="F258" s="291"/>
      <c r="G258" s="291"/>
      <c r="H258" s="291"/>
      <c r="I258" s="291"/>
      <c r="J258" s="291"/>
      <c r="K258" s="291"/>
      <c r="L258" s="291"/>
      <c r="M258" s="291"/>
      <c r="N258" s="291"/>
      <c r="O258" s="291"/>
      <c r="P258" s="291"/>
      <c r="Q258" s="291"/>
      <c r="R258" s="291"/>
    </row>
    <row r="259" spans="1:18" ht="15" customHeight="1">
      <c r="A259" s="293"/>
      <c r="B259" s="290"/>
      <c r="C259" s="291"/>
      <c r="D259" s="291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</row>
    <row r="260" spans="1:18" ht="15" customHeight="1">
      <c r="A260" s="293"/>
      <c r="B260" s="290"/>
      <c r="C260" s="291"/>
      <c r="D260" s="29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</row>
    <row r="261" spans="1:18" ht="15" customHeight="1">
      <c r="A261" s="293"/>
      <c r="B261" s="290"/>
      <c r="C261" s="291"/>
      <c r="D261" s="29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</row>
    <row r="262" spans="1:18" ht="15" customHeight="1">
      <c r="A262" s="293"/>
      <c r="B262" s="290"/>
      <c r="C262" s="291"/>
      <c r="D262" s="29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</row>
    <row r="263" spans="1:18" ht="15" customHeight="1">
      <c r="A263" s="293"/>
      <c r="B263" s="290"/>
      <c r="C263" s="291"/>
      <c r="D263" s="29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</row>
    <row r="264" spans="1:18" ht="15" customHeight="1">
      <c r="A264" s="289"/>
      <c r="B264" s="290"/>
      <c r="C264" s="291"/>
      <c r="D264" s="291"/>
      <c r="E264" s="291"/>
      <c r="F264" s="291"/>
      <c r="G264" s="291"/>
      <c r="H264" s="291"/>
      <c r="I264" s="291"/>
      <c r="J264" s="291"/>
      <c r="K264" s="291"/>
      <c r="L264" s="291"/>
      <c r="M264" s="291"/>
      <c r="N264" s="291"/>
      <c r="O264" s="291"/>
      <c r="P264" s="291"/>
      <c r="Q264" s="291"/>
      <c r="R264" s="291"/>
    </row>
    <row r="265" spans="1:18" ht="15" customHeight="1">
      <c r="A265" s="289"/>
      <c r="B265" s="290"/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</row>
    <row r="266" spans="1:18" ht="15" customHeight="1">
      <c r="A266" s="289"/>
      <c r="B266" s="290"/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</row>
    <row r="267" spans="1:18" ht="15" customHeight="1">
      <c r="A267" s="289"/>
      <c r="B267" s="290"/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</row>
    <row r="268" spans="1:18" ht="15" customHeight="1">
      <c r="A268" s="289"/>
      <c r="B268" s="290"/>
      <c r="C268" s="291"/>
      <c r="D268" s="291"/>
      <c r="E268" s="291"/>
      <c r="F268" s="291"/>
      <c r="G268" s="291"/>
      <c r="H268" s="291"/>
      <c r="I268" s="291"/>
      <c r="J268" s="291"/>
      <c r="K268" s="291"/>
      <c r="L268" s="291"/>
      <c r="M268" s="291"/>
      <c r="N268" s="291"/>
      <c r="O268" s="291"/>
      <c r="P268" s="291"/>
      <c r="Q268" s="291"/>
      <c r="R268" s="291"/>
    </row>
    <row r="269" spans="1:18" ht="15" customHeight="1">
      <c r="A269" s="289"/>
      <c r="B269" s="290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</row>
    <row r="270" spans="1:18" ht="15" customHeight="1">
      <c r="A270" s="289"/>
      <c r="B270" s="290"/>
      <c r="C270" s="291"/>
      <c r="D270" s="291"/>
      <c r="E270" s="291"/>
      <c r="F270" s="291"/>
      <c r="G270" s="291"/>
      <c r="H270" s="291"/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</row>
    <row r="271" spans="1:18" ht="15" customHeight="1">
      <c r="A271" s="289"/>
      <c r="B271" s="290"/>
      <c r="C271" s="291"/>
      <c r="D271" s="291"/>
      <c r="E271" s="291"/>
      <c r="F271" s="291"/>
      <c r="G271" s="291"/>
      <c r="H271" s="291"/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</row>
    <row r="272" spans="1:18" ht="15" customHeight="1">
      <c r="A272" s="289"/>
      <c r="B272" s="290"/>
      <c r="C272" s="291"/>
      <c r="D272" s="291"/>
      <c r="E272" s="291"/>
      <c r="F272" s="291"/>
      <c r="G272" s="291"/>
      <c r="H272" s="291"/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</row>
    <row r="273" spans="1:18" ht="15" customHeight="1">
      <c r="A273" s="289"/>
      <c r="B273" s="290"/>
      <c r="C273" s="291"/>
      <c r="D273" s="291"/>
      <c r="E273" s="291"/>
      <c r="F273" s="291"/>
      <c r="G273" s="291"/>
      <c r="H273" s="291"/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</row>
    <row r="274" spans="1:18" ht="15" customHeight="1">
      <c r="A274" s="289"/>
      <c r="B274" s="290"/>
      <c r="C274" s="291"/>
      <c r="D274" s="291"/>
      <c r="E274" s="291"/>
      <c r="F274" s="291"/>
      <c r="G274" s="291"/>
      <c r="H274" s="291"/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</row>
    <row r="275" spans="1:18" ht="15" customHeight="1">
      <c r="A275" s="289"/>
      <c r="B275" s="290"/>
      <c r="C275" s="291"/>
      <c r="D275" s="291"/>
      <c r="E275" s="291"/>
      <c r="F275" s="291"/>
      <c r="G275" s="291"/>
      <c r="H275" s="291"/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</row>
    <row r="276" spans="1:18" ht="15" customHeight="1">
      <c r="A276" s="289"/>
      <c r="B276" s="290"/>
      <c r="C276" s="291"/>
      <c r="D276" s="291"/>
      <c r="E276" s="291"/>
      <c r="F276" s="291"/>
      <c r="G276" s="291"/>
      <c r="H276" s="291"/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</row>
    <row r="277" spans="1:18" ht="15" customHeight="1">
      <c r="A277" s="289"/>
      <c r="B277" s="290"/>
      <c r="C277" s="291"/>
      <c r="D277" s="291"/>
      <c r="E277" s="291"/>
      <c r="F277" s="291"/>
      <c r="G277" s="291"/>
      <c r="H277" s="291"/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</row>
    <row r="278" spans="1:18" ht="15" customHeight="1">
      <c r="A278" s="289"/>
      <c r="B278" s="290"/>
      <c r="C278" s="291"/>
      <c r="D278" s="291"/>
      <c r="E278" s="291"/>
      <c r="F278" s="291"/>
      <c r="G278" s="291"/>
      <c r="H278" s="291"/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</row>
    <row r="279" spans="1:18" ht="15" customHeight="1">
      <c r="A279" s="289"/>
      <c r="B279" s="290"/>
      <c r="C279" s="291"/>
      <c r="D279" s="291"/>
      <c r="E279" s="291"/>
      <c r="F279" s="291"/>
      <c r="G279" s="291"/>
      <c r="H279" s="291"/>
      <c r="I279" s="291"/>
      <c r="J279" s="291"/>
      <c r="K279" s="291"/>
      <c r="L279" s="291"/>
      <c r="M279" s="291"/>
      <c r="N279" s="291"/>
      <c r="O279" s="291"/>
      <c r="P279" s="291"/>
      <c r="Q279" s="291"/>
      <c r="R279" s="291"/>
    </row>
    <row r="280" spans="1:18" ht="15" customHeight="1">
      <c r="A280" s="289"/>
      <c r="B280" s="290"/>
      <c r="C280" s="291"/>
      <c r="D280" s="291"/>
      <c r="E280" s="291"/>
      <c r="F280" s="291"/>
      <c r="G280" s="291"/>
      <c r="H280" s="291"/>
      <c r="I280" s="291"/>
      <c r="J280" s="291"/>
      <c r="K280" s="291"/>
      <c r="L280" s="291"/>
      <c r="M280" s="291"/>
      <c r="N280" s="291"/>
      <c r="O280" s="291"/>
      <c r="P280" s="291"/>
      <c r="Q280" s="291"/>
      <c r="R280" s="291"/>
    </row>
    <row r="281" spans="1:18" ht="15" customHeight="1">
      <c r="A281" s="289"/>
      <c r="B281" s="290"/>
      <c r="C281" s="291"/>
      <c r="D281" s="291"/>
      <c r="E281" s="291"/>
      <c r="F281" s="291"/>
      <c r="G281" s="291"/>
      <c r="H281" s="291"/>
      <c r="I281" s="291"/>
      <c r="J281" s="291"/>
      <c r="K281" s="291"/>
      <c r="L281" s="291"/>
      <c r="M281" s="291"/>
      <c r="N281" s="291"/>
      <c r="O281" s="291"/>
      <c r="P281" s="291"/>
      <c r="Q281" s="291"/>
      <c r="R281" s="291"/>
    </row>
    <row r="282" spans="1:18" ht="15" customHeight="1">
      <c r="A282" s="289"/>
      <c r="B282" s="290"/>
      <c r="C282" s="291"/>
      <c r="D282" s="291"/>
      <c r="E282" s="291"/>
      <c r="F282" s="291"/>
      <c r="G282" s="291"/>
      <c r="H282" s="291"/>
      <c r="I282" s="291"/>
      <c r="J282" s="291"/>
      <c r="K282" s="291"/>
      <c r="L282" s="291"/>
      <c r="M282" s="291"/>
      <c r="N282" s="291"/>
      <c r="O282" s="291"/>
      <c r="P282" s="291"/>
      <c r="Q282" s="291"/>
      <c r="R282" s="291"/>
    </row>
    <row r="283" spans="1:18" ht="15" customHeight="1">
      <c r="A283" s="289"/>
      <c r="B283" s="290"/>
      <c r="C283" s="291"/>
      <c r="D283" s="291"/>
      <c r="E283" s="291"/>
      <c r="F283" s="291"/>
      <c r="G283" s="291"/>
      <c r="H283" s="291"/>
      <c r="I283" s="291"/>
      <c r="J283" s="291"/>
      <c r="K283" s="291"/>
      <c r="L283" s="291"/>
      <c r="M283" s="291"/>
      <c r="N283" s="291"/>
      <c r="O283" s="291"/>
      <c r="P283" s="291"/>
      <c r="Q283" s="291"/>
      <c r="R283" s="291"/>
    </row>
    <row r="284" spans="1:18" ht="15" customHeight="1">
      <c r="A284" s="289"/>
      <c r="B284" s="290"/>
      <c r="C284" s="291"/>
      <c r="D284" s="291"/>
      <c r="E284" s="291"/>
      <c r="F284" s="291"/>
      <c r="G284" s="291"/>
      <c r="H284" s="291"/>
      <c r="I284" s="291"/>
      <c r="J284" s="291"/>
      <c r="K284" s="291"/>
      <c r="L284" s="291"/>
      <c r="M284" s="291"/>
      <c r="N284" s="291"/>
      <c r="O284" s="291"/>
      <c r="P284" s="291"/>
      <c r="Q284" s="291"/>
      <c r="R284" s="291"/>
    </row>
    <row r="285" spans="1:18" ht="15" customHeight="1">
      <c r="A285" s="289"/>
      <c r="B285" s="290"/>
      <c r="C285" s="291"/>
      <c r="D285" s="291"/>
      <c r="E285" s="291"/>
      <c r="F285" s="291"/>
      <c r="G285" s="291"/>
      <c r="H285" s="291"/>
      <c r="I285" s="291"/>
      <c r="J285" s="291"/>
      <c r="K285" s="291"/>
      <c r="L285" s="291"/>
      <c r="M285" s="291"/>
      <c r="N285" s="291"/>
      <c r="O285" s="291"/>
      <c r="P285" s="291"/>
      <c r="Q285" s="291"/>
      <c r="R285" s="291"/>
    </row>
    <row r="286" spans="1:18" ht="15" customHeight="1">
      <c r="A286" s="289"/>
      <c r="B286" s="290"/>
      <c r="C286" s="291"/>
      <c r="D286" s="291"/>
      <c r="E286" s="291"/>
      <c r="F286" s="291"/>
      <c r="G286" s="291"/>
      <c r="H286" s="291"/>
      <c r="I286" s="291"/>
      <c r="J286" s="291"/>
      <c r="K286" s="291"/>
      <c r="L286" s="291"/>
      <c r="M286" s="291"/>
      <c r="N286" s="291"/>
      <c r="O286" s="291"/>
      <c r="P286" s="291"/>
      <c r="Q286" s="291"/>
      <c r="R286" s="291"/>
    </row>
    <row r="287" spans="1:18" ht="15" customHeight="1">
      <c r="A287" s="289"/>
      <c r="B287" s="290"/>
      <c r="C287" s="291"/>
      <c r="D287" s="291"/>
      <c r="E287" s="291"/>
      <c r="F287" s="291"/>
      <c r="G287" s="291"/>
      <c r="H287" s="291"/>
      <c r="I287" s="291"/>
      <c r="J287" s="291"/>
      <c r="K287" s="291"/>
      <c r="L287" s="291"/>
      <c r="M287" s="291"/>
      <c r="N287" s="291"/>
      <c r="O287" s="291"/>
      <c r="P287" s="291"/>
      <c r="Q287" s="291"/>
      <c r="R287" s="291"/>
    </row>
    <row r="288" spans="1:18" ht="15" customHeight="1">
      <c r="A288" s="289"/>
      <c r="B288" s="290"/>
      <c r="C288" s="291"/>
      <c r="D288" s="291"/>
      <c r="E288" s="291"/>
      <c r="F288" s="291"/>
      <c r="G288" s="291"/>
      <c r="H288" s="291"/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</row>
    <row r="289" spans="1:18" ht="15" customHeight="1">
      <c r="A289" s="289"/>
      <c r="B289" s="290"/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</row>
    <row r="290" spans="1:18" ht="15" customHeight="1">
      <c r="A290" s="289"/>
      <c r="B290" s="290"/>
      <c r="C290" s="291"/>
      <c r="D290" s="291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</row>
    <row r="291" spans="1:18" ht="15" customHeight="1">
      <c r="A291" s="289"/>
      <c r="B291" s="290"/>
      <c r="C291" s="291"/>
      <c r="D291" s="291"/>
      <c r="E291" s="291"/>
      <c r="F291" s="291"/>
      <c r="G291" s="291"/>
      <c r="H291" s="291"/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</row>
    <row r="292" spans="1:18" ht="15" customHeight="1">
      <c r="A292" s="289"/>
      <c r="B292" s="290"/>
      <c r="C292" s="291"/>
      <c r="D292" s="291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</row>
    <row r="293" spans="1:18" ht="15" customHeight="1">
      <c r="A293" s="289"/>
      <c r="B293" s="290"/>
      <c r="C293" s="291"/>
      <c r="D293" s="29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</row>
    <row r="294" spans="1:18" ht="15" customHeight="1">
      <c r="A294" s="289"/>
      <c r="B294" s="290"/>
      <c r="C294" s="291"/>
      <c r="D294" s="29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</row>
    <row r="295" spans="1:18" ht="15" customHeight="1">
      <c r="A295" s="289"/>
      <c r="B295" s="290"/>
      <c r="C295" s="291"/>
      <c r="D295" s="29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</row>
    <row r="296" spans="1:18" ht="15" customHeight="1">
      <c r="A296" s="289"/>
      <c r="B296" s="290"/>
      <c r="C296" s="291"/>
      <c r="D296" s="29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</row>
    <row r="297" spans="1:18" ht="15" customHeight="1">
      <c r="A297" s="289"/>
      <c r="B297" s="290"/>
      <c r="C297" s="291"/>
      <c r="D297" s="291"/>
      <c r="E297" s="291"/>
      <c r="F297" s="291"/>
      <c r="G297" s="291"/>
      <c r="H297" s="291"/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</row>
    <row r="298" spans="1:18" ht="15" customHeight="1">
      <c r="A298" s="289"/>
      <c r="B298" s="290"/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</row>
    <row r="299" spans="1:18" ht="15" customHeight="1">
      <c r="A299" s="289"/>
      <c r="B299" s="290"/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</row>
    <row r="300" spans="1:18" ht="15" customHeight="1">
      <c r="A300" s="289"/>
      <c r="B300" s="290"/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</row>
    <row r="301" spans="1:18" ht="15" customHeight="1">
      <c r="A301" s="289"/>
      <c r="B301" s="290"/>
      <c r="C301" s="291"/>
      <c r="D301" s="291"/>
      <c r="E301" s="291"/>
      <c r="F301" s="291"/>
      <c r="G301" s="291"/>
      <c r="H301" s="291"/>
      <c r="I301" s="291"/>
      <c r="J301" s="291"/>
      <c r="K301" s="291"/>
      <c r="L301" s="291"/>
      <c r="M301" s="291"/>
      <c r="N301" s="291"/>
      <c r="O301" s="291"/>
      <c r="P301" s="291"/>
      <c r="Q301" s="291"/>
      <c r="R301" s="291"/>
    </row>
    <row r="302" spans="1:18" ht="15" customHeight="1">
      <c r="A302" s="289"/>
      <c r="B302" s="290"/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</row>
    <row r="303" spans="1:18" ht="15" customHeight="1">
      <c r="A303" s="289"/>
      <c r="B303" s="290"/>
      <c r="C303" s="291"/>
      <c r="D303" s="291"/>
      <c r="E303" s="291"/>
      <c r="F303" s="291"/>
      <c r="G303" s="291"/>
      <c r="H303" s="291"/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</row>
    <row r="304" spans="1:18" ht="15" customHeight="1">
      <c r="A304" s="289"/>
      <c r="B304" s="290"/>
      <c r="C304" s="291"/>
      <c r="D304" s="291"/>
      <c r="E304" s="291"/>
      <c r="F304" s="291"/>
      <c r="G304" s="291"/>
      <c r="H304" s="291"/>
      <c r="I304" s="291"/>
      <c r="J304" s="291"/>
      <c r="K304" s="291"/>
      <c r="L304" s="291"/>
      <c r="M304" s="291"/>
      <c r="N304" s="291"/>
      <c r="O304" s="291"/>
      <c r="P304" s="291"/>
      <c r="Q304" s="291"/>
      <c r="R304" s="291"/>
    </row>
    <row r="305" spans="1:18" ht="15" customHeight="1">
      <c r="A305" s="289"/>
      <c r="B305" s="290"/>
      <c r="C305" s="291"/>
      <c r="D305" s="291"/>
      <c r="E305" s="291"/>
      <c r="F305" s="291"/>
      <c r="G305" s="291"/>
      <c r="H305" s="291"/>
      <c r="I305" s="291"/>
      <c r="J305" s="291"/>
      <c r="K305" s="291"/>
      <c r="L305" s="291"/>
      <c r="M305" s="291"/>
      <c r="N305" s="291"/>
      <c r="O305" s="291"/>
      <c r="P305" s="291"/>
      <c r="Q305" s="291"/>
      <c r="R305" s="291"/>
    </row>
    <row r="306" spans="1:18" ht="15" customHeight="1">
      <c r="A306" s="289"/>
      <c r="B306" s="290"/>
      <c r="C306" s="291"/>
      <c r="D306" s="291"/>
      <c r="E306" s="291"/>
      <c r="F306" s="291"/>
      <c r="G306" s="291"/>
      <c r="H306" s="291"/>
      <c r="I306" s="291"/>
      <c r="J306" s="291"/>
      <c r="K306" s="291"/>
      <c r="L306" s="291"/>
      <c r="M306" s="291"/>
      <c r="N306" s="291"/>
      <c r="O306" s="291"/>
      <c r="P306" s="291"/>
      <c r="Q306" s="291"/>
      <c r="R306" s="291"/>
    </row>
    <row r="307" spans="1:18" ht="15" customHeight="1">
      <c r="A307" s="289"/>
      <c r="B307" s="290"/>
      <c r="C307" s="291"/>
      <c r="D307" s="291"/>
      <c r="E307" s="291"/>
      <c r="F307" s="291"/>
      <c r="G307" s="291"/>
      <c r="H307" s="291"/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</row>
    <row r="308" spans="1:18" ht="15" customHeight="1">
      <c r="A308" s="289"/>
      <c r="B308" s="290"/>
      <c r="C308" s="291"/>
      <c r="D308" s="291"/>
      <c r="E308" s="291"/>
      <c r="F308" s="291"/>
      <c r="G308" s="291"/>
      <c r="H308" s="291"/>
      <c r="I308" s="291"/>
      <c r="J308" s="291"/>
      <c r="K308" s="291"/>
      <c r="L308" s="291"/>
      <c r="M308" s="291"/>
      <c r="N308" s="291"/>
      <c r="O308" s="291"/>
      <c r="P308" s="291"/>
      <c r="Q308" s="291"/>
      <c r="R308" s="291"/>
    </row>
    <row r="309" spans="1:18" ht="15" customHeight="1">
      <c r="A309" s="289"/>
      <c r="B309" s="290"/>
      <c r="C309" s="291"/>
      <c r="D309" s="291"/>
      <c r="E309" s="291"/>
      <c r="F309" s="291"/>
      <c r="G309" s="291"/>
      <c r="H309" s="291"/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</row>
    <row r="310" spans="1:18" ht="15" customHeight="1">
      <c r="A310" s="289"/>
      <c r="B310" s="290"/>
      <c r="C310" s="291"/>
      <c r="D310" s="291"/>
      <c r="E310" s="291"/>
      <c r="F310" s="291"/>
      <c r="G310" s="291"/>
      <c r="H310" s="291"/>
      <c r="I310" s="291"/>
      <c r="J310" s="291"/>
      <c r="K310" s="291"/>
      <c r="L310" s="291"/>
      <c r="M310" s="291"/>
      <c r="N310" s="291"/>
      <c r="O310" s="291"/>
      <c r="P310" s="291"/>
      <c r="Q310" s="291"/>
      <c r="R310" s="291"/>
    </row>
    <row r="311" spans="1:18" ht="15" customHeight="1">
      <c r="A311" s="289"/>
      <c r="B311" s="290"/>
      <c r="C311" s="291"/>
      <c r="D311" s="291"/>
      <c r="E311" s="291"/>
      <c r="F311" s="291"/>
      <c r="G311" s="291"/>
      <c r="H311" s="291"/>
      <c r="I311" s="291"/>
      <c r="J311" s="291"/>
      <c r="K311" s="291"/>
      <c r="L311" s="291"/>
      <c r="M311" s="291"/>
      <c r="N311" s="291"/>
      <c r="O311" s="291"/>
      <c r="P311" s="291"/>
      <c r="Q311" s="291"/>
      <c r="R311" s="291"/>
    </row>
    <row r="312" spans="1:18" ht="15" customHeight="1">
      <c r="A312" s="289"/>
      <c r="B312" s="290"/>
      <c r="C312" s="291"/>
      <c r="D312" s="291"/>
      <c r="E312" s="291"/>
      <c r="F312" s="291"/>
      <c r="G312" s="291"/>
      <c r="H312" s="291"/>
      <c r="I312" s="291"/>
      <c r="J312" s="291"/>
      <c r="K312" s="291"/>
      <c r="L312" s="291"/>
      <c r="M312" s="291"/>
      <c r="N312" s="291"/>
      <c r="O312" s="291"/>
      <c r="P312" s="291"/>
      <c r="Q312" s="291"/>
      <c r="R312" s="291"/>
    </row>
    <row r="313" spans="1:18" ht="15" customHeight="1">
      <c r="A313" s="289"/>
      <c r="B313" s="290"/>
      <c r="C313" s="291"/>
      <c r="D313" s="291"/>
      <c r="E313" s="291"/>
      <c r="F313" s="291"/>
      <c r="G313" s="291"/>
      <c r="H313" s="291"/>
      <c r="I313" s="291"/>
      <c r="J313" s="291"/>
      <c r="K313" s="291"/>
      <c r="L313" s="291"/>
      <c r="M313" s="291"/>
      <c r="N313" s="291"/>
      <c r="O313" s="291"/>
      <c r="P313" s="291"/>
      <c r="Q313" s="291"/>
      <c r="R313" s="291"/>
    </row>
    <row r="314" spans="1:18" ht="15" customHeight="1">
      <c r="A314" s="289"/>
      <c r="B314" s="290"/>
      <c r="C314" s="291"/>
      <c r="D314" s="291"/>
      <c r="E314" s="291"/>
      <c r="F314" s="291"/>
      <c r="G314" s="291"/>
      <c r="H314" s="291"/>
      <c r="I314" s="291"/>
      <c r="J314" s="291"/>
      <c r="K314" s="291"/>
      <c r="L314" s="291"/>
      <c r="M314" s="291"/>
      <c r="N314" s="291"/>
      <c r="O314" s="291"/>
      <c r="P314" s="291"/>
      <c r="Q314" s="291"/>
      <c r="R314" s="291"/>
    </row>
    <row r="315" spans="1:18" ht="15" customHeight="1">
      <c r="A315" s="289"/>
      <c r="B315" s="290"/>
      <c r="C315" s="291"/>
      <c r="D315" s="291"/>
      <c r="E315" s="291"/>
      <c r="F315" s="291"/>
      <c r="G315" s="291"/>
      <c r="H315" s="291"/>
      <c r="I315" s="291"/>
      <c r="J315" s="291"/>
      <c r="K315" s="291"/>
      <c r="L315" s="291"/>
      <c r="M315" s="291"/>
      <c r="N315" s="291"/>
      <c r="O315" s="291"/>
      <c r="P315" s="291"/>
      <c r="Q315" s="291"/>
      <c r="R315" s="291"/>
    </row>
    <row r="316" spans="1:18" ht="15" customHeight="1">
      <c r="A316" s="289"/>
      <c r="B316" s="290"/>
      <c r="C316" s="291"/>
      <c r="D316" s="291"/>
      <c r="E316" s="291"/>
      <c r="F316" s="291"/>
      <c r="G316" s="291"/>
      <c r="H316" s="291"/>
      <c r="I316" s="291"/>
      <c r="J316" s="291"/>
      <c r="K316" s="291"/>
      <c r="L316" s="291"/>
      <c r="M316" s="291"/>
      <c r="N316" s="291"/>
      <c r="O316" s="291"/>
      <c r="P316" s="291"/>
      <c r="Q316" s="291"/>
      <c r="R316" s="291"/>
    </row>
    <row r="317" spans="1:18" ht="15" customHeight="1">
      <c r="A317" s="289"/>
      <c r="B317" s="290"/>
      <c r="C317" s="291"/>
      <c r="D317" s="291"/>
      <c r="E317" s="291"/>
      <c r="F317" s="291"/>
      <c r="G317" s="291"/>
      <c r="H317" s="291"/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</row>
    <row r="318" spans="1:18" ht="15" customHeight="1">
      <c r="A318" s="289"/>
      <c r="B318" s="290"/>
      <c r="C318" s="291"/>
      <c r="D318" s="291"/>
      <c r="E318" s="291"/>
      <c r="F318" s="291"/>
      <c r="G318" s="291"/>
      <c r="H318" s="291"/>
      <c r="I318" s="291"/>
      <c r="J318" s="291"/>
      <c r="K318" s="291"/>
      <c r="L318" s="291"/>
      <c r="M318" s="291"/>
      <c r="N318" s="291"/>
      <c r="O318" s="291"/>
      <c r="P318" s="291"/>
      <c r="Q318" s="291"/>
      <c r="R318" s="291"/>
    </row>
    <row r="319" spans="1:18" ht="15" customHeight="1">
      <c r="A319" s="289"/>
      <c r="B319" s="290"/>
      <c r="C319" s="291"/>
      <c r="D319" s="291"/>
      <c r="E319" s="291"/>
      <c r="F319" s="291"/>
      <c r="G319" s="291"/>
      <c r="H319" s="291"/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</row>
    <row r="320" spans="1:18" ht="15" customHeight="1">
      <c r="A320" s="289"/>
      <c r="B320" s="290"/>
      <c r="C320" s="291"/>
      <c r="D320" s="291"/>
      <c r="E320" s="291"/>
      <c r="F320" s="291"/>
      <c r="G320" s="291"/>
      <c r="H320" s="291"/>
      <c r="I320" s="291"/>
      <c r="J320" s="291"/>
      <c r="K320" s="291"/>
      <c r="L320" s="291"/>
      <c r="M320" s="291"/>
      <c r="N320" s="291"/>
      <c r="O320" s="291"/>
      <c r="P320" s="291"/>
      <c r="Q320" s="291"/>
      <c r="R320" s="291"/>
    </row>
    <row r="321" spans="1:18" ht="15" customHeight="1">
      <c r="A321" s="289"/>
      <c r="B321" s="290"/>
      <c r="C321" s="291"/>
      <c r="D321" s="291"/>
      <c r="E321" s="291"/>
      <c r="F321" s="291"/>
      <c r="G321" s="291"/>
      <c r="H321" s="291"/>
      <c r="I321" s="291"/>
      <c r="J321" s="291"/>
      <c r="K321" s="291"/>
      <c r="L321" s="291"/>
      <c r="M321" s="291"/>
      <c r="N321" s="291"/>
      <c r="O321" s="291"/>
      <c r="P321" s="291"/>
      <c r="Q321" s="291"/>
      <c r="R321" s="291"/>
    </row>
    <row r="322" spans="1:18" ht="15" customHeight="1">
      <c r="A322" s="289"/>
      <c r="B322" s="290"/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</row>
    <row r="323" spans="1:18" ht="15" customHeight="1">
      <c r="A323" s="289"/>
      <c r="B323" s="290"/>
      <c r="C323" s="291"/>
      <c r="D323" s="291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</row>
    <row r="324" spans="1:18" ht="15" customHeight="1">
      <c r="A324" s="289"/>
      <c r="B324" s="290"/>
      <c r="C324" s="291"/>
      <c r="D324" s="291"/>
      <c r="E324" s="291"/>
      <c r="F324" s="291"/>
      <c r="G324" s="291"/>
      <c r="H324" s="291"/>
      <c r="I324" s="291"/>
      <c r="J324" s="291"/>
      <c r="K324" s="291"/>
      <c r="L324" s="291"/>
      <c r="M324" s="291"/>
      <c r="N324" s="291"/>
      <c r="O324" s="291"/>
      <c r="P324" s="291"/>
      <c r="Q324" s="291"/>
      <c r="R324" s="291"/>
    </row>
    <row r="325" spans="1:18" ht="15" customHeight="1">
      <c r="A325" s="289"/>
      <c r="B325" s="290"/>
      <c r="C325" s="291"/>
      <c r="D325" s="291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</row>
    <row r="326" spans="1:18" ht="15" customHeight="1">
      <c r="A326" s="289"/>
      <c r="B326" s="290"/>
      <c r="C326" s="291"/>
      <c r="D326" s="29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</row>
    <row r="327" spans="1:18" ht="15" customHeight="1">
      <c r="A327" s="289"/>
      <c r="B327" s="290"/>
      <c r="C327" s="291"/>
      <c r="D327" s="29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</row>
    <row r="328" spans="1:18" ht="15" customHeight="1">
      <c r="A328" s="289"/>
      <c r="B328" s="290"/>
      <c r="C328" s="291"/>
      <c r="D328" s="29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</row>
    <row r="329" spans="1:18" ht="15" customHeight="1">
      <c r="A329" s="289"/>
      <c r="B329" s="290"/>
      <c r="C329" s="291"/>
      <c r="D329" s="29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</row>
    <row r="330" spans="1:18" ht="15" customHeight="1">
      <c r="A330" s="289"/>
      <c r="B330" s="290"/>
      <c r="C330" s="291"/>
      <c r="D330" s="291"/>
      <c r="E330" s="291"/>
      <c r="F330" s="291"/>
      <c r="G330" s="291"/>
      <c r="H330" s="291"/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</row>
    <row r="331" spans="1:18" ht="15" customHeight="1">
      <c r="A331" s="289"/>
      <c r="B331" s="290"/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</row>
    <row r="332" spans="1:18" ht="15" customHeight="1">
      <c r="A332" s="289"/>
      <c r="B332" s="290"/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</row>
    <row r="333" spans="1:18" ht="15" customHeight="1">
      <c r="A333" s="289"/>
      <c r="B333" s="290"/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</row>
    <row r="334" spans="1:18" ht="15" customHeight="1">
      <c r="A334" s="289"/>
      <c r="B334" s="290"/>
      <c r="C334" s="291"/>
      <c r="D334" s="291"/>
      <c r="E334" s="291"/>
      <c r="F334" s="291"/>
      <c r="G334" s="291"/>
      <c r="H334" s="291"/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</row>
    <row r="335" spans="1:18" ht="15" customHeight="1">
      <c r="A335" s="289"/>
      <c r="B335" s="290"/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</row>
    <row r="336" spans="1:18" ht="15" customHeight="1">
      <c r="A336" s="289"/>
      <c r="B336" s="290"/>
      <c r="C336" s="291"/>
      <c r="D336" s="291"/>
      <c r="E336" s="291"/>
      <c r="F336" s="291"/>
      <c r="G336" s="291"/>
      <c r="H336" s="291"/>
      <c r="I336" s="291"/>
      <c r="J336" s="291"/>
      <c r="K336" s="291"/>
      <c r="L336" s="291"/>
      <c r="M336" s="291"/>
      <c r="N336" s="291"/>
      <c r="O336" s="291"/>
      <c r="P336" s="291"/>
      <c r="Q336" s="291"/>
      <c r="R336" s="291"/>
    </row>
    <row r="337" spans="1:18" ht="15" customHeight="1">
      <c r="A337" s="289"/>
      <c r="B337" s="290"/>
      <c r="C337" s="291"/>
      <c r="D337" s="291"/>
      <c r="E337" s="291"/>
      <c r="F337" s="291"/>
      <c r="G337" s="291"/>
      <c r="H337" s="291"/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</row>
    <row r="338" spans="1:18" ht="15" customHeight="1">
      <c r="A338" s="289"/>
      <c r="B338" s="290"/>
      <c r="C338" s="291"/>
      <c r="D338" s="291"/>
      <c r="E338" s="291"/>
      <c r="F338" s="291"/>
      <c r="G338" s="291"/>
      <c r="H338" s="291"/>
      <c r="I338" s="291"/>
      <c r="J338" s="291"/>
      <c r="K338" s="291"/>
      <c r="L338" s="291"/>
      <c r="M338" s="291"/>
      <c r="N338" s="291"/>
      <c r="O338" s="291"/>
      <c r="P338" s="291"/>
      <c r="Q338" s="291"/>
      <c r="R338" s="291"/>
    </row>
    <row r="339" spans="1:18" ht="15" customHeight="1">
      <c r="A339" s="289"/>
      <c r="B339" s="290"/>
      <c r="C339" s="291"/>
      <c r="D339" s="291"/>
      <c r="E339" s="291"/>
      <c r="F339" s="291"/>
      <c r="G339" s="291"/>
      <c r="H339" s="291"/>
      <c r="I339" s="291"/>
      <c r="J339" s="291"/>
      <c r="K339" s="291"/>
      <c r="L339" s="291"/>
      <c r="M339" s="291"/>
      <c r="N339" s="291"/>
      <c r="O339" s="291"/>
      <c r="P339" s="291"/>
      <c r="Q339" s="291"/>
      <c r="R339" s="291"/>
    </row>
    <row r="340" spans="1:18" ht="15" customHeight="1">
      <c r="A340" s="289"/>
      <c r="B340" s="290"/>
      <c r="C340" s="291"/>
      <c r="D340" s="291"/>
      <c r="E340" s="291"/>
      <c r="F340" s="291"/>
      <c r="G340" s="291"/>
      <c r="H340" s="291"/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</row>
    <row r="341" spans="1:18" ht="15" customHeight="1">
      <c r="A341" s="289"/>
      <c r="B341" s="290"/>
      <c r="C341" s="291"/>
      <c r="D341" s="291"/>
      <c r="E341" s="291"/>
      <c r="F341" s="291"/>
      <c r="G341" s="291"/>
      <c r="H341" s="291"/>
      <c r="I341" s="291"/>
      <c r="J341" s="291"/>
      <c r="K341" s="291"/>
      <c r="L341" s="291"/>
      <c r="M341" s="291"/>
      <c r="N341" s="291"/>
      <c r="O341" s="291"/>
      <c r="P341" s="291"/>
      <c r="Q341" s="291"/>
      <c r="R341" s="291"/>
    </row>
    <row r="342" spans="1:18" ht="15" customHeight="1">
      <c r="A342" s="289"/>
      <c r="B342" s="290"/>
      <c r="C342" s="291"/>
      <c r="D342" s="291"/>
      <c r="E342" s="291"/>
      <c r="F342" s="291"/>
      <c r="G342" s="291"/>
      <c r="H342" s="291"/>
      <c r="I342" s="291"/>
      <c r="J342" s="291"/>
      <c r="K342" s="291"/>
      <c r="L342" s="291"/>
      <c r="M342" s="291"/>
      <c r="N342" s="291"/>
      <c r="O342" s="291"/>
      <c r="P342" s="291"/>
      <c r="Q342" s="291"/>
      <c r="R342" s="291"/>
    </row>
    <row r="343" spans="1:18" ht="15" customHeight="1">
      <c r="A343" s="289"/>
      <c r="B343" s="290"/>
      <c r="C343" s="291"/>
      <c r="D343" s="291"/>
      <c r="E343" s="291"/>
      <c r="F343" s="291"/>
      <c r="G343" s="291"/>
      <c r="H343" s="291"/>
      <c r="I343" s="291"/>
      <c r="J343" s="291"/>
      <c r="K343" s="291"/>
      <c r="L343" s="291"/>
      <c r="M343" s="291"/>
      <c r="N343" s="291"/>
      <c r="O343" s="291"/>
      <c r="P343" s="291"/>
      <c r="Q343" s="291"/>
      <c r="R343" s="291"/>
    </row>
    <row r="344" spans="1:18" ht="15" customHeight="1">
      <c r="A344" s="289"/>
      <c r="B344" s="290"/>
      <c r="C344" s="291"/>
      <c r="D344" s="291"/>
      <c r="E344" s="291"/>
      <c r="F344" s="291"/>
      <c r="G344" s="291"/>
      <c r="H344" s="291"/>
      <c r="I344" s="291"/>
      <c r="J344" s="291"/>
      <c r="K344" s="291"/>
      <c r="L344" s="291"/>
      <c r="M344" s="291"/>
      <c r="N344" s="291"/>
      <c r="O344" s="291"/>
      <c r="P344" s="291"/>
      <c r="Q344" s="291"/>
      <c r="R344" s="291"/>
    </row>
    <row r="345" spans="1:18" ht="15" customHeight="1">
      <c r="A345" s="289"/>
      <c r="B345" s="290"/>
      <c r="C345" s="291"/>
      <c r="D345" s="291"/>
      <c r="E345" s="291"/>
      <c r="F345" s="291"/>
      <c r="G345" s="291"/>
      <c r="H345" s="291"/>
      <c r="I345" s="291"/>
      <c r="J345" s="291"/>
      <c r="K345" s="291"/>
      <c r="L345" s="291"/>
      <c r="M345" s="291"/>
      <c r="N345" s="291"/>
      <c r="O345" s="291"/>
      <c r="P345" s="291"/>
      <c r="Q345" s="291"/>
      <c r="R345" s="291"/>
    </row>
    <row r="346" spans="1:18" ht="15" customHeight="1">
      <c r="A346" s="289"/>
      <c r="B346" s="290"/>
      <c r="C346" s="291"/>
      <c r="D346" s="291"/>
      <c r="E346" s="291"/>
      <c r="F346" s="291"/>
      <c r="G346" s="291"/>
      <c r="H346" s="291"/>
      <c r="I346" s="291"/>
      <c r="J346" s="291"/>
      <c r="K346" s="291"/>
      <c r="L346" s="291"/>
      <c r="M346" s="291"/>
      <c r="N346" s="291"/>
      <c r="O346" s="291"/>
      <c r="P346" s="291"/>
      <c r="Q346" s="291"/>
      <c r="R346" s="291"/>
    </row>
    <row r="347" spans="1:18" ht="15" customHeight="1">
      <c r="A347" s="289"/>
      <c r="B347" s="290"/>
      <c r="C347" s="291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</row>
    <row r="348" spans="1:18" ht="15" customHeight="1">
      <c r="A348" s="289"/>
      <c r="B348" s="290"/>
      <c r="C348" s="291"/>
      <c r="D348" s="291"/>
      <c r="E348" s="291"/>
      <c r="F348" s="291"/>
      <c r="G348" s="291"/>
      <c r="H348" s="291"/>
      <c r="I348" s="291"/>
      <c r="J348" s="291"/>
      <c r="K348" s="291"/>
      <c r="L348" s="291"/>
      <c r="M348" s="291"/>
      <c r="N348" s="291"/>
      <c r="O348" s="291"/>
      <c r="P348" s="291"/>
      <c r="Q348" s="291"/>
      <c r="R348" s="291"/>
    </row>
    <row r="349" spans="1:18" ht="15" customHeight="1">
      <c r="A349" s="289"/>
      <c r="B349" s="290"/>
      <c r="C349" s="291"/>
      <c r="D349" s="291"/>
      <c r="E349" s="291"/>
      <c r="F349" s="291"/>
      <c r="G349" s="291"/>
      <c r="H349" s="291"/>
      <c r="I349" s="291"/>
      <c r="J349" s="291"/>
      <c r="K349" s="291"/>
      <c r="L349" s="291"/>
      <c r="M349" s="291"/>
      <c r="N349" s="291"/>
      <c r="O349" s="291"/>
      <c r="P349" s="291"/>
      <c r="Q349" s="291"/>
      <c r="R349" s="291"/>
    </row>
    <row r="350" spans="1:18" ht="15" customHeight="1">
      <c r="A350" s="289"/>
      <c r="B350" s="290"/>
      <c r="C350" s="291"/>
      <c r="D350" s="291"/>
      <c r="E350" s="291"/>
      <c r="F350" s="291"/>
      <c r="G350" s="291"/>
      <c r="H350" s="291"/>
      <c r="I350" s="291"/>
      <c r="J350" s="291"/>
      <c r="K350" s="291"/>
      <c r="L350" s="291"/>
      <c r="M350" s="291"/>
      <c r="N350" s="291"/>
      <c r="O350" s="291"/>
      <c r="P350" s="291"/>
      <c r="Q350" s="291"/>
      <c r="R350" s="291"/>
    </row>
    <row r="351" spans="1:18" ht="15" customHeight="1">
      <c r="A351" s="289"/>
      <c r="B351" s="290"/>
      <c r="C351" s="291"/>
      <c r="D351" s="291"/>
      <c r="E351" s="291"/>
      <c r="F351" s="291"/>
      <c r="G351" s="291"/>
      <c r="H351" s="291"/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</row>
    <row r="352" spans="1:18" ht="15" customHeight="1">
      <c r="A352" s="289"/>
      <c r="B352" s="290"/>
      <c r="C352" s="291"/>
      <c r="D352" s="291"/>
      <c r="E352" s="291"/>
      <c r="F352" s="291"/>
      <c r="G352" s="291"/>
      <c r="H352" s="291"/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</row>
    <row r="353" spans="1:18" ht="15" customHeight="1">
      <c r="A353" s="289"/>
      <c r="B353" s="290"/>
      <c r="C353" s="291"/>
      <c r="D353" s="291"/>
      <c r="E353" s="291"/>
      <c r="F353" s="291"/>
      <c r="G353" s="291"/>
      <c r="H353" s="291"/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</row>
    <row r="354" spans="1:18" ht="15" customHeight="1">
      <c r="A354" s="289"/>
      <c r="B354" s="290"/>
      <c r="C354" s="291"/>
      <c r="D354" s="291"/>
      <c r="E354" s="291"/>
      <c r="F354" s="291"/>
      <c r="G354" s="291"/>
      <c r="H354" s="291"/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</row>
    <row r="355" spans="1:18" ht="15" customHeight="1">
      <c r="A355" s="289"/>
      <c r="B355" s="290"/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</row>
    <row r="356" spans="1:18" ht="15" customHeight="1">
      <c r="A356" s="289"/>
      <c r="B356" s="290"/>
      <c r="C356" s="291"/>
      <c r="D356" s="291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</row>
    <row r="357" spans="1:18" ht="15" customHeight="1">
      <c r="A357" s="289"/>
      <c r="B357" s="290"/>
      <c r="C357" s="291"/>
      <c r="D357" s="291"/>
      <c r="E357" s="291"/>
      <c r="F357" s="291"/>
      <c r="G357" s="291"/>
      <c r="H357" s="291"/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</row>
    <row r="358" spans="1:18" ht="15" customHeight="1">
      <c r="A358" s="289"/>
      <c r="B358" s="290"/>
      <c r="C358" s="291"/>
      <c r="D358" s="291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</row>
    <row r="359" spans="1:18" ht="15" customHeight="1">
      <c r="A359" s="289"/>
      <c r="B359" s="290"/>
      <c r="C359" s="291"/>
      <c r="D359" s="29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</row>
    <row r="360" spans="1:18" ht="15" customHeight="1">
      <c r="A360" s="289"/>
      <c r="B360" s="290"/>
      <c r="C360" s="291"/>
      <c r="D360" s="29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</row>
    <row r="361" spans="1:18" ht="15" customHeight="1">
      <c r="A361" s="289"/>
      <c r="B361" s="290"/>
      <c r="C361" s="291"/>
      <c r="D361" s="29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</row>
    <row r="362" spans="1:18" ht="15" customHeight="1">
      <c r="A362" s="289"/>
      <c r="B362" s="290"/>
      <c r="C362" s="291"/>
      <c r="D362" s="29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</row>
    <row r="363" spans="1:18" ht="15" customHeight="1">
      <c r="A363" s="289"/>
      <c r="B363" s="290"/>
      <c r="C363" s="291"/>
      <c r="D363" s="291"/>
      <c r="E363" s="291"/>
      <c r="F363" s="291"/>
      <c r="G363" s="291"/>
      <c r="H363" s="291"/>
      <c r="I363" s="291"/>
      <c r="J363" s="291"/>
      <c r="K363" s="291"/>
      <c r="L363" s="291"/>
      <c r="M363" s="291"/>
      <c r="N363" s="291"/>
      <c r="O363" s="291"/>
      <c r="P363" s="291"/>
      <c r="Q363" s="291"/>
      <c r="R363" s="291"/>
    </row>
    <row r="364" spans="1:18" ht="15" customHeight="1">
      <c r="A364" s="289"/>
      <c r="B364" s="290"/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</row>
    <row r="365" spans="1:18" ht="15" customHeight="1">
      <c r="A365" s="289"/>
      <c r="B365" s="290"/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</row>
    <row r="366" spans="1:18" ht="15" customHeight="1">
      <c r="A366" s="289"/>
      <c r="B366" s="290"/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</row>
    <row r="367" spans="1:18" ht="15" customHeight="1">
      <c r="A367" s="289"/>
      <c r="B367" s="290"/>
      <c r="C367" s="291"/>
      <c r="D367" s="291"/>
      <c r="E367" s="291"/>
      <c r="F367" s="291"/>
      <c r="G367" s="291"/>
      <c r="H367" s="291"/>
      <c r="I367" s="291"/>
      <c r="J367" s="291"/>
      <c r="K367" s="291"/>
      <c r="L367" s="291"/>
      <c r="M367" s="291"/>
      <c r="N367" s="291"/>
      <c r="O367" s="291"/>
      <c r="P367" s="291"/>
      <c r="Q367" s="291"/>
      <c r="R367" s="291"/>
    </row>
    <row r="368" spans="1:18" ht="15" customHeight="1">
      <c r="A368" s="289"/>
      <c r="B368" s="290"/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436"/>
    </row>
  </sheetData>
  <mergeCells count="1">
    <mergeCell ref="A1:Q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C162"/>
  <sheetViews>
    <sheetView showGridLines="0" zoomScaleNormal="100" workbookViewId="0">
      <pane ySplit="4" topLeftCell="A125" activePane="bottomLeft" state="frozen"/>
      <selection pane="bottomLeft" activeCell="H141" sqref="H141"/>
    </sheetView>
  </sheetViews>
  <sheetFormatPr defaultRowHeight="14.5"/>
  <cols>
    <col min="1" max="1" width="12.36328125" customWidth="1"/>
    <col min="2" max="2" width="9.90625" customWidth="1"/>
    <col min="4" max="4" width="11" customWidth="1"/>
    <col min="5" max="5" width="36.08984375" customWidth="1"/>
    <col min="6" max="6" width="12.453125" customWidth="1"/>
    <col min="7" max="7" width="11.54296875" customWidth="1"/>
    <col min="8" max="9" width="12.453125" customWidth="1"/>
    <col min="10" max="10" width="41.36328125" style="318" customWidth="1"/>
    <col min="11" max="11" width="10" style="373" customWidth="1"/>
    <col min="12" max="12" width="12.453125" style="374" customWidth="1"/>
    <col min="13" max="13" width="11.90625" style="374" customWidth="1"/>
    <col min="14" max="14" width="15.08984375" style="374" customWidth="1"/>
    <col min="15" max="17" width="9.08984375" style="373" customWidth="1"/>
    <col min="18" max="21" width="8.90625" style="373" customWidth="1"/>
    <col min="22" max="29" width="8.90625" style="318" customWidth="1"/>
  </cols>
  <sheetData>
    <row r="1" spans="1:29" ht="38.25" customHeight="1">
      <c r="A1" s="242" t="s">
        <v>342</v>
      </c>
      <c r="B1" s="243"/>
      <c r="C1" s="244"/>
      <c r="D1" s="244"/>
      <c r="E1" s="244"/>
      <c r="F1" s="244"/>
      <c r="G1" s="244"/>
      <c r="H1" s="244"/>
      <c r="I1" s="244"/>
      <c r="J1" s="439"/>
      <c r="M1" s="374" t="s">
        <v>343</v>
      </c>
      <c r="N1" s="374" t="s">
        <v>344</v>
      </c>
      <c r="O1" s="374"/>
    </row>
    <row r="2" spans="1:29" s="249" customFormat="1">
      <c r="A2" s="296"/>
      <c r="B2" s="246"/>
      <c r="C2" s="296"/>
      <c r="D2" s="246"/>
      <c r="E2" s="296"/>
      <c r="F2" s="246"/>
      <c r="G2" s="246"/>
      <c r="H2" s="246"/>
      <c r="I2" s="246"/>
      <c r="J2" s="441"/>
      <c r="K2" s="530"/>
      <c r="L2" s="528"/>
      <c r="M2" s="374" t="s">
        <v>347</v>
      </c>
      <c r="N2" s="374" t="s">
        <v>348</v>
      </c>
      <c r="O2" s="528"/>
      <c r="P2" s="530"/>
      <c r="Q2" s="530"/>
      <c r="R2" s="530"/>
      <c r="S2" s="530"/>
      <c r="T2" s="530"/>
      <c r="U2" s="530"/>
      <c r="V2" s="319"/>
      <c r="W2" s="319"/>
      <c r="X2" s="319"/>
      <c r="Y2" s="319"/>
      <c r="Z2" s="319"/>
      <c r="AA2" s="319"/>
      <c r="AB2" s="319"/>
      <c r="AC2" s="319"/>
    </row>
    <row r="3" spans="1:29" s="249" customFormat="1" ht="17.25" customHeight="1">
      <c r="A3" s="273" t="s">
        <v>566</v>
      </c>
      <c r="B3" s="250"/>
      <c r="C3" s="250"/>
      <c r="D3" s="250"/>
      <c r="E3" s="250"/>
      <c r="F3" s="250"/>
      <c r="G3" s="250"/>
      <c r="H3" s="250"/>
      <c r="I3" s="250"/>
      <c r="J3" s="443"/>
      <c r="K3" s="530"/>
      <c r="L3" s="528"/>
      <c r="M3" s="374" t="s">
        <v>335</v>
      </c>
      <c r="N3" s="374" t="s">
        <v>350</v>
      </c>
      <c r="O3" s="528"/>
      <c r="P3" s="530"/>
      <c r="Q3" s="530"/>
      <c r="R3" s="530"/>
      <c r="S3" s="530"/>
      <c r="T3" s="530"/>
      <c r="U3" s="530"/>
      <c r="V3" s="319"/>
      <c r="W3" s="319"/>
      <c r="X3" s="319"/>
      <c r="Y3" s="319"/>
      <c r="Z3" s="319"/>
      <c r="AA3" s="319"/>
      <c r="AB3" s="319"/>
      <c r="AC3" s="319"/>
    </row>
    <row r="4" spans="1:29" ht="15" customHeight="1">
      <c r="A4" s="274" t="s">
        <v>331</v>
      </c>
      <c r="B4" s="274" t="s">
        <v>56</v>
      </c>
      <c r="C4" s="274" t="s">
        <v>57</v>
      </c>
      <c r="D4" s="275" t="s">
        <v>351</v>
      </c>
      <c r="E4" s="275" t="s">
        <v>352</v>
      </c>
      <c r="F4" s="274" t="s">
        <v>353</v>
      </c>
      <c r="G4" s="274" t="s">
        <v>567</v>
      </c>
      <c r="H4" s="274" t="s">
        <v>568</v>
      </c>
      <c r="I4" s="274" t="s">
        <v>569</v>
      </c>
      <c r="J4" s="444" t="s">
        <v>338</v>
      </c>
      <c r="M4" s="528" t="s">
        <v>171</v>
      </c>
      <c r="N4" s="374" t="s">
        <v>357</v>
      </c>
    </row>
    <row r="5" spans="1:29" ht="15" customHeight="1">
      <c r="A5" s="409">
        <v>27</v>
      </c>
      <c r="B5" s="453">
        <v>46205</v>
      </c>
      <c r="C5" s="410">
        <v>2</v>
      </c>
      <c r="D5" s="251" t="s">
        <v>300</v>
      </c>
      <c r="E5" s="480" t="s">
        <v>570</v>
      </c>
      <c r="F5" s="481" t="s">
        <v>171</v>
      </c>
      <c r="G5" s="481">
        <f>IF(Item1.3LPP.OnHold4[[#This Row],[Pipe]]&lt;&gt;"",COUNTIF(Item1.3LPP.OnHold4[Pipe],D5),"")</f>
        <v>1</v>
      </c>
      <c r="H5" s="481" t="str">
        <f>IF(Item1.3LPP.OnHold4[[#This Row],[Pipe]]&lt;&gt;"",IF(COUNTIF(Item1.3LPP.OnHold46[Pipe],D5)&gt;0,"Sim","Não"),"")</f>
        <v>Sim</v>
      </c>
      <c r="I5" s="481">
        <f>IF(Item1.3LPP.OnHold4[[#This Row],[Pipe]]&lt;&gt;"",COUNTIF(Item1.3LPP.OnHold46[Pipe],D5),"")</f>
        <v>1</v>
      </c>
      <c r="J5" s="445"/>
      <c r="M5" s="528" t="s">
        <v>571</v>
      </c>
      <c r="N5" s="528" t="s">
        <v>360</v>
      </c>
    </row>
    <row r="6" spans="1:29" ht="15" customHeight="1">
      <c r="A6" s="409">
        <v>27</v>
      </c>
      <c r="B6" s="453">
        <v>46206</v>
      </c>
      <c r="C6" s="410">
        <v>3</v>
      </c>
      <c r="D6" s="411" t="s">
        <v>572</v>
      </c>
      <c r="E6" s="412" t="s">
        <v>570</v>
      </c>
      <c r="F6" s="413" t="s">
        <v>171</v>
      </c>
      <c r="G6" s="481">
        <f>IF(Item1.3LPP.OnHold4[[#This Row],[Pipe]]&lt;&gt;"",COUNTIF(Item1.3LPP.OnHold4[Pipe],D6),"")</f>
        <v>1</v>
      </c>
      <c r="H6" s="413" t="str">
        <f>IF(Item1.3LPP.OnHold4[[#This Row],[Pipe]]&lt;&gt;"",IF(COUNTIF(Item1.3LPP.OnHold46[Pipe],D6)&gt;0,"Sim","Não"),"")</f>
        <v>Não</v>
      </c>
      <c r="I6" s="413">
        <f>IF(Item1.3LPP.OnHold4[[#This Row],[Pipe]]&lt;&gt;"",COUNTIF(Item1.3LPP.OnHold46[Pipe],D6),"")</f>
        <v>0</v>
      </c>
      <c r="J6" s="482"/>
      <c r="M6" s="528"/>
      <c r="N6" s="528"/>
    </row>
    <row r="7" spans="1:29">
      <c r="A7" s="409">
        <v>27</v>
      </c>
      <c r="B7" s="453">
        <v>46206</v>
      </c>
      <c r="C7" s="410">
        <v>3</v>
      </c>
      <c r="D7" s="411" t="s">
        <v>389</v>
      </c>
      <c r="E7" s="412" t="s">
        <v>570</v>
      </c>
      <c r="F7" s="413" t="s">
        <v>171</v>
      </c>
      <c r="G7" s="481">
        <f>IF(Item1.3LPP.OnHold4[[#This Row],[Pipe]]&lt;&gt;"",COUNTIF(Item1.3LPP.OnHold4[Pipe],D7),"")</f>
        <v>1</v>
      </c>
      <c r="H7" s="413" t="str">
        <f>IF(Item1.3LPP.OnHold4[[#This Row],[Pipe]]&lt;&gt;"",IF(COUNTIF(Item1.3LPP.OnHold46[Pipe],D7)&gt;0,"Sim","Não"),"")</f>
        <v>Não</v>
      </c>
      <c r="I7" s="413">
        <f>IF(Item1.3LPP.OnHold4[[#This Row],[Pipe]]&lt;&gt;"",COUNTIF(Item1.3LPP.OnHold46[Pipe],D7),"")</f>
        <v>0</v>
      </c>
      <c r="J7" s="445"/>
      <c r="M7" s="374" t="s">
        <v>570</v>
      </c>
    </row>
    <row r="8" spans="1:29">
      <c r="A8" s="409">
        <v>27</v>
      </c>
      <c r="B8" s="453">
        <v>46206</v>
      </c>
      <c r="C8" s="410">
        <v>4</v>
      </c>
      <c r="D8" s="411" t="s">
        <v>100</v>
      </c>
      <c r="E8" s="412" t="s">
        <v>570</v>
      </c>
      <c r="F8" s="413" t="s">
        <v>171</v>
      </c>
      <c r="G8" s="481">
        <f>IF(Item1.3LPP.OnHold4[[#This Row],[Pipe]]&lt;&gt;"",COUNTIF(Item1.3LPP.OnHold4[Pipe],D8),"")</f>
        <v>1</v>
      </c>
      <c r="H8" s="413" t="str">
        <f>IF(Item1.3LPP.OnHold4[[#This Row],[Pipe]]&lt;&gt;"",IF(COUNTIF(Item1.3LPP.OnHold46[Pipe],D8)&gt;0,"Sim","Não"),"")</f>
        <v>Não</v>
      </c>
      <c r="I8" s="413">
        <f>IF(Item1.3LPP.OnHold4[[#This Row],[Pipe]]&lt;&gt;"",COUNTIF(Item1.3LPP.OnHold46[Pipe],D8),"")</f>
        <v>0</v>
      </c>
      <c r="J8" s="482" t="s">
        <v>573</v>
      </c>
    </row>
    <row r="9" spans="1:29">
      <c r="A9" s="236">
        <v>27</v>
      </c>
      <c r="B9" s="453">
        <v>46206</v>
      </c>
      <c r="C9" s="237">
        <v>2</v>
      </c>
      <c r="D9" s="251" t="s">
        <v>363</v>
      </c>
      <c r="E9" s="252" t="s">
        <v>364</v>
      </c>
      <c r="F9" s="413" t="s">
        <v>171</v>
      </c>
      <c r="G9" s="481">
        <f>IF(Item1.3LPP.OnHold4[[#This Row],[Pipe]]&lt;&gt;"",COUNTIF(Item1.3LPP.OnHold4[Pipe],D9),"")</f>
        <v>1</v>
      </c>
      <c r="H9" s="413" t="str">
        <f>IF(Item1.3LPP.OnHold4[[#This Row],[Pipe]]&lt;&gt;"",IF(COUNTIF(Item1.3LPP.OnHold46[Pipe],D9)&gt;0,"Sim","Não"),"")</f>
        <v>Sim</v>
      </c>
      <c r="I9" s="413">
        <f>IF(Item1.3LPP.OnHold4[[#This Row],[Pipe]]&lt;&gt;"",COUNTIF(Item1.3LPP.OnHold46[Pipe],D9),"")</f>
        <v>1</v>
      </c>
      <c r="J9" s="445"/>
    </row>
    <row r="10" spans="1:29">
      <c r="A10" s="236">
        <v>27</v>
      </c>
      <c r="B10" s="453">
        <v>46206</v>
      </c>
      <c r="C10" s="237">
        <v>2</v>
      </c>
      <c r="D10" s="251" t="s">
        <v>365</v>
      </c>
      <c r="E10" s="252" t="s">
        <v>364</v>
      </c>
      <c r="F10" s="413" t="s">
        <v>171</v>
      </c>
      <c r="G10" s="481">
        <f>IF(Item1.3LPP.OnHold4[[#This Row],[Pipe]]&lt;&gt;"",COUNTIF(Item1.3LPP.OnHold4[Pipe],D10),"")</f>
        <v>1</v>
      </c>
      <c r="H10" s="413" t="str">
        <f>IF(Item1.3LPP.OnHold4[[#This Row],[Pipe]]&lt;&gt;"",IF(COUNTIF(Item1.3LPP.OnHold46[Pipe],D10)&gt;0,"Sim","Não"),"")</f>
        <v>Sim</v>
      </c>
      <c r="I10" s="413">
        <f>IF(Item1.3LPP.OnHold4[[#This Row],[Pipe]]&lt;&gt;"",COUNTIF(Item1.3LPP.OnHold46[Pipe],D10),"")</f>
        <v>1</v>
      </c>
      <c r="J10" s="445"/>
    </row>
    <row r="11" spans="1:29">
      <c r="A11" s="236">
        <v>27</v>
      </c>
      <c r="B11" s="453">
        <v>46206</v>
      </c>
      <c r="C11" s="237">
        <v>2</v>
      </c>
      <c r="D11" s="251" t="s">
        <v>366</v>
      </c>
      <c r="E11" s="252" t="s">
        <v>364</v>
      </c>
      <c r="F11" s="413" t="s">
        <v>171</v>
      </c>
      <c r="G11" s="481">
        <f>IF(Item1.3LPP.OnHold4[[#This Row],[Pipe]]&lt;&gt;"",COUNTIF(Item1.3LPP.OnHold4[Pipe],D11),"")</f>
        <v>1</v>
      </c>
      <c r="H11" s="413" t="str">
        <f>IF(Item1.3LPP.OnHold4[[#This Row],[Pipe]]&lt;&gt;"",IF(COUNTIF(Item1.3LPP.OnHold46[Pipe],D11)&gt;0,"Sim","Não"),"")</f>
        <v>Sim</v>
      </c>
      <c r="I11" s="413">
        <f>IF(Item1.3LPP.OnHold4[[#This Row],[Pipe]]&lt;&gt;"",COUNTIF(Item1.3LPP.OnHold46[Pipe],D11),"")</f>
        <v>1</v>
      </c>
      <c r="J11" s="445"/>
    </row>
    <row r="12" spans="1:29">
      <c r="A12" s="236">
        <v>27</v>
      </c>
      <c r="B12" s="453">
        <v>46206</v>
      </c>
      <c r="C12" s="237">
        <v>2</v>
      </c>
      <c r="D12" s="255" t="s">
        <v>367</v>
      </c>
      <c r="E12" s="252" t="s">
        <v>364</v>
      </c>
      <c r="F12" s="413" t="s">
        <v>171</v>
      </c>
      <c r="G12" s="481">
        <f>IF(Item1.3LPP.OnHold4[[#This Row],[Pipe]]&lt;&gt;"",COUNTIF(Item1.3LPP.OnHold4[Pipe],D12),"")</f>
        <v>1</v>
      </c>
      <c r="H12" s="413" t="str">
        <f>IF(Item1.3LPP.OnHold4[[#This Row],[Pipe]]&lt;&gt;"",IF(COUNTIF(Item1.3LPP.OnHold46[Pipe],D12)&gt;0,"Sim","Não"),"")</f>
        <v>Sim</v>
      </c>
      <c r="I12" s="413">
        <f>IF(Item1.3LPP.OnHold4[[#This Row],[Pipe]]&lt;&gt;"",COUNTIF(Item1.3LPP.OnHold46[Pipe],D12),"")</f>
        <v>1</v>
      </c>
      <c r="J12" s="445"/>
    </row>
    <row r="13" spans="1:29">
      <c r="A13" s="236">
        <v>27</v>
      </c>
      <c r="B13" s="453">
        <v>46206</v>
      </c>
      <c r="C13" s="237">
        <v>2</v>
      </c>
      <c r="D13" s="251" t="s">
        <v>368</v>
      </c>
      <c r="E13" s="252" t="s">
        <v>369</v>
      </c>
      <c r="F13" s="413" t="s">
        <v>171</v>
      </c>
      <c r="G13" s="481">
        <f>IF(Item1.3LPP.OnHold4[[#This Row],[Pipe]]&lt;&gt;"",COUNTIF(Item1.3LPP.OnHold4[Pipe],D13),"")</f>
        <v>1</v>
      </c>
      <c r="H13" s="413" t="str">
        <f>IF(Item1.3LPP.OnHold4[[#This Row],[Pipe]]&lt;&gt;"",IF(COUNTIF(Item1.3LPP.OnHold46[Pipe],D13)&gt;0,"Sim","Não"),"")</f>
        <v>Sim</v>
      </c>
      <c r="I13" s="413">
        <f>IF(Item1.3LPP.OnHold4[[#This Row],[Pipe]]&lt;&gt;"",COUNTIF(Item1.3LPP.OnHold46[Pipe],D13),"")</f>
        <v>1</v>
      </c>
      <c r="J13" s="445"/>
    </row>
    <row r="14" spans="1:29">
      <c r="A14" s="236">
        <v>27</v>
      </c>
      <c r="B14" s="453">
        <v>46206</v>
      </c>
      <c r="C14" s="237">
        <v>2</v>
      </c>
      <c r="D14" s="251" t="s">
        <v>97</v>
      </c>
      <c r="E14" s="412" t="s">
        <v>570</v>
      </c>
      <c r="F14" s="413" t="s">
        <v>171</v>
      </c>
      <c r="G14" s="481">
        <f>IF(Item1.3LPP.OnHold4[[#This Row],[Pipe]]&lt;&gt;"",COUNTIF(Item1.3LPP.OnHold4[Pipe],D14),"")</f>
        <v>1</v>
      </c>
      <c r="H14" s="413" t="str">
        <f>IF(Item1.3LPP.OnHold4[[#This Row],[Pipe]]&lt;&gt;"",IF(COUNTIF(Item1.3LPP.OnHold46[Pipe],D14)&gt;0,"Sim","Não"),"")</f>
        <v>Sim</v>
      </c>
      <c r="I14" s="413">
        <f>IF(Item1.3LPP.OnHold4[[#This Row],[Pipe]]&lt;&gt;"",COUNTIF(Item1.3LPP.OnHold46[Pipe],D14),"")</f>
        <v>1</v>
      </c>
      <c r="J14" s="482" t="s">
        <v>573</v>
      </c>
    </row>
    <row r="15" spans="1:29">
      <c r="A15" s="236">
        <v>27</v>
      </c>
      <c r="B15" s="453">
        <v>46207</v>
      </c>
      <c r="C15" s="224">
        <v>1</v>
      </c>
      <c r="D15" s="251" t="s">
        <v>105</v>
      </c>
      <c r="E15" s="412" t="s">
        <v>570</v>
      </c>
      <c r="F15" s="413" t="s">
        <v>171</v>
      </c>
      <c r="G15" s="481">
        <f>IF(Item1.3LPP.OnHold4[[#This Row],[Pipe]]&lt;&gt;"",COUNTIF(Item1.3LPP.OnHold4[Pipe],D15),"")</f>
        <v>1</v>
      </c>
      <c r="H15" s="413" t="str">
        <f>IF(Item1.3LPP.OnHold4[[#This Row],[Pipe]]&lt;&gt;"",IF(COUNTIF(Item1.3LPP.OnHold46[Pipe],D15)&gt;0,"Sim","Não"),"")</f>
        <v>Sim</v>
      </c>
      <c r="I15" s="413">
        <f>IF(Item1.3LPP.OnHold4[[#This Row],[Pipe]]&lt;&gt;"",COUNTIF(Item1.3LPP.OnHold46[Pipe],D15),"")</f>
        <v>1</v>
      </c>
      <c r="J15" s="482" t="s">
        <v>573</v>
      </c>
    </row>
    <row r="16" spans="1:29">
      <c r="A16" s="236">
        <v>27</v>
      </c>
      <c r="B16" s="453">
        <v>46207</v>
      </c>
      <c r="C16" s="427">
        <v>2</v>
      </c>
      <c r="D16" s="251" t="s">
        <v>107</v>
      </c>
      <c r="E16" s="412" t="s">
        <v>570</v>
      </c>
      <c r="F16" s="413" t="s">
        <v>171</v>
      </c>
      <c r="G16" s="481">
        <f>IF(Item1.3LPP.OnHold4[[#This Row],[Pipe]]&lt;&gt;"",COUNTIF(Item1.3LPP.OnHold4[Pipe],D16),"")</f>
        <v>1</v>
      </c>
      <c r="H16" s="413" t="str">
        <f>IF(Item1.3LPP.OnHold4[[#This Row],[Pipe]]&lt;&gt;"",IF(COUNTIF(Item1.3LPP.OnHold46[Pipe],D16)&gt;0,"Sim","Não"),"")</f>
        <v>Não</v>
      </c>
      <c r="I16" s="413">
        <f>IF(Item1.3LPP.OnHold4[[#This Row],[Pipe]]&lt;&gt;"",COUNTIF(Item1.3LPP.OnHold46[Pipe],D16),"")</f>
        <v>0</v>
      </c>
      <c r="J16" s="482" t="s">
        <v>573</v>
      </c>
    </row>
    <row r="17" spans="1:10">
      <c r="A17" s="236">
        <v>28</v>
      </c>
      <c r="B17" s="453">
        <v>46208</v>
      </c>
      <c r="C17" s="237">
        <v>3</v>
      </c>
      <c r="D17" s="251" t="s">
        <v>126</v>
      </c>
      <c r="E17" s="252" t="s">
        <v>376</v>
      </c>
      <c r="F17" s="253" t="s">
        <v>171</v>
      </c>
      <c r="G17" s="481">
        <f>IF(Item1.3LPP.OnHold4[[#This Row],[Pipe]]&lt;&gt;"",COUNTIF(Item1.3LPP.OnHold4[Pipe],D17),"")</f>
        <v>1</v>
      </c>
      <c r="H17" s="253" t="str">
        <f>IF(Item1.3LPP.OnHold4[[#This Row],[Pipe]]&lt;&gt;"",IF(COUNTIF(Item1.3LPP.OnHold46[Pipe],D17)&gt;0,"Sim","Não"),"")</f>
        <v>Não</v>
      </c>
      <c r="I17" s="253">
        <f>IF(Item1.3LPP.OnHold4[[#This Row],[Pipe]]&lt;&gt;"",COUNTIF(Item1.3LPP.OnHold46[Pipe],D17),"")</f>
        <v>0</v>
      </c>
      <c r="J17" s="445" t="s">
        <v>574</v>
      </c>
    </row>
    <row r="18" spans="1:10">
      <c r="A18" s="236">
        <v>28</v>
      </c>
      <c r="B18" s="453">
        <v>46209</v>
      </c>
      <c r="C18" s="410">
        <v>1</v>
      </c>
      <c r="D18" s="411" t="s">
        <v>381</v>
      </c>
      <c r="E18" s="253" t="s">
        <v>575</v>
      </c>
      <c r="F18" s="253" t="s">
        <v>347</v>
      </c>
      <c r="G18" s="481">
        <f>IF(Item1.3LPP.OnHold4[[#This Row],[Pipe]]&lt;&gt;"",COUNTIF(Item1.3LPP.OnHold4[Pipe],D18),"")</f>
        <v>1</v>
      </c>
      <c r="H18" s="253" t="str">
        <f>IF(Item1.3LPP.OnHold4[[#This Row],[Pipe]]&lt;&gt;"",IF(COUNTIF(Item1.3LPP.OnHold46[Pipe],D18)&gt;0,"Sim","Não"),"")</f>
        <v>Não</v>
      </c>
      <c r="I18" s="253">
        <f>IF(Item1.3LPP.OnHold4[[#This Row],[Pipe]]&lt;&gt;"",COUNTIF(Item1.3LPP.OnHold46[Pipe],D18),"")</f>
        <v>0</v>
      </c>
      <c r="J18" s="446" t="s">
        <v>576</v>
      </c>
    </row>
    <row r="19" spans="1:10">
      <c r="A19" s="236">
        <v>28</v>
      </c>
      <c r="B19" s="453">
        <v>46209</v>
      </c>
      <c r="C19" s="483">
        <v>2</v>
      </c>
      <c r="D19" s="411" t="s">
        <v>115</v>
      </c>
      <c r="E19" s="412" t="s">
        <v>570</v>
      </c>
      <c r="F19" s="413" t="s">
        <v>171</v>
      </c>
      <c r="G19" s="481">
        <f>IF(Item1.3LPP.OnHold4[[#This Row],[Pipe]]&lt;&gt;"",COUNTIF(Item1.3LPP.OnHold4[Pipe],D19),"")</f>
        <v>1</v>
      </c>
      <c r="H19" s="413" t="str">
        <f>IF(Item1.3LPP.OnHold4[[#This Row],[Pipe]]&lt;&gt;"",IF(COUNTIF(Item1.3LPP.OnHold46[Pipe],D19)&gt;0,"Sim","Não"),"")</f>
        <v>Sim</v>
      </c>
      <c r="I19" s="413">
        <f>IF(Item1.3LPP.OnHold4[[#This Row],[Pipe]]&lt;&gt;"",COUNTIF(Item1.3LPP.OnHold46[Pipe],D19),"")</f>
        <v>1</v>
      </c>
      <c r="J19" s="482" t="s">
        <v>573</v>
      </c>
    </row>
    <row r="20" spans="1:10">
      <c r="A20" s="236">
        <v>28</v>
      </c>
      <c r="B20" s="453">
        <v>46209</v>
      </c>
      <c r="C20" s="237">
        <v>3</v>
      </c>
      <c r="D20" s="251" t="s">
        <v>387</v>
      </c>
      <c r="E20" s="253" t="s">
        <v>388</v>
      </c>
      <c r="F20" s="413" t="s">
        <v>171</v>
      </c>
      <c r="G20" s="481">
        <f>IF(Item1.3LPP.OnHold4[[#This Row],[Pipe]]&lt;&gt;"",COUNTIF(Item1.3LPP.OnHold4[Pipe],D20),"")</f>
        <v>1</v>
      </c>
      <c r="H20" s="413" t="str">
        <f>IF(Item1.3LPP.OnHold4[[#This Row],[Pipe]]&lt;&gt;"",IF(COUNTIF(Item1.3LPP.OnHold46[Pipe],D20)&gt;0,"Sim","Não"),"")</f>
        <v>Sim</v>
      </c>
      <c r="I20" s="413">
        <f>IF(Item1.3LPP.OnHold4[[#This Row],[Pipe]]&lt;&gt;"",COUNTIF(Item1.3LPP.OnHold46[Pipe],D20),"")</f>
        <v>2</v>
      </c>
      <c r="J20" s="445"/>
    </row>
    <row r="21" spans="1:10">
      <c r="A21" s="409">
        <v>28</v>
      </c>
      <c r="B21" s="453">
        <v>46210</v>
      </c>
      <c r="C21" s="427">
        <v>2</v>
      </c>
      <c r="D21" s="251" t="s">
        <v>124</v>
      </c>
      <c r="E21" s="412" t="s">
        <v>570</v>
      </c>
      <c r="F21" s="413" t="s">
        <v>171</v>
      </c>
      <c r="G21" s="481">
        <f>IF(Item1.3LPP.OnHold4[[#This Row],[Pipe]]&lt;&gt;"",COUNTIF(Item1.3LPP.OnHold4[Pipe],D21),"")</f>
        <v>1</v>
      </c>
      <c r="H21" s="413" t="str">
        <f>IF(Item1.3LPP.OnHold4[[#This Row],[Pipe]]&lt;&gt;"",IF(COUNTIF(Item1.3LPP.OnHold46[Pipe],D21)&gt;0,"Sim","Não"),"")</f>
        <v>Sim</v>
      </c>
      <c r="I21" s="413">
        <f>IF(Item1.3LPP.OnHold4[[#This Row],[Pipe]]&lt;&gt;"",COUNTIF(Item1.3LPP.OnHold46[Pipe],D21),"")</f>
        <v>1</v>
      </c>
      <c r="J21" s="482" t="s">
        <v>573</v>
      </c>
    </row>
    <row r="22" spans="1:10">
      <c r="A22" s="256">
        <v>28</v>
      </c>
      <c r="B22" s="453">
        <v>46210</v>
      </c>
      <c r="C22" s="257">
        <v>3</v>
      </c>
      <c r="D22" s="251" t="s">
        <v>396</v>
      </c>
      <c r="E22" s="253" t="s">
        <v>397</v>
      </c>
      <c r="F22" s="413" t="s">
        <v>171</v>
      </c>
      <c r="G22" s="481">
        <f>IF(Item1.3LPP.OnHold4[[#This Row],[Pipe]]&lt;&gt;"",COUNTIF(Item1.3LPP.OnHold4[Pipe],D22),"")</f>
        <v>1</v>
      </c>
      <c r="H22" s="413" t="str">
        <f>IF(Item1.3LPP.OnHold4[[#This Row],[Pipe]]&lt;&gt;"",IF(COUNTIF(Item1.3LPP.OnHold46[Pipe],D22)&gt;0,"Sim","Não"),"")</f>
        <v>Sim</v>
      </c>
      <c r="I22" s="413">
        <f>IF(Item1.3LPP.OnHold4[[#This Row],[Pipe]]&lt;&gt;"",COUNTIF(Item1.3LPP.OnHold46[Pipe],D22),"")</f>
        <v>1</v>
      </c>
      <c r="J22" s="445"/>
    </row>
    <row r="23" spans="1:10">
      <c r="A23" s="409">
        <v>28</v>
      </c>
      <c r="B23" s="453">
        <v>46210</v>
      </c>
      <c r="C23" s="257">
        <v>3</v>
      </c>
      <c r="D23" s="411" t="s">
        <v>398</v>
      </c>
      <c r="E23" s="253" t="s">
        <v>397</v>
      </c>
      <c r="F23" s="413" t="s">
        <v>171</v>
      </c>
      <c r="G23" s="481">
        <f>IF(Item1.3LPP.OnHold4[[#This Row],[Pipe]]&lt;&gt;"",COUNTIF(Item1.3LPP.OnHold4[Pipe],D23),"")</f>
        <v>1</v>
      </c>
      <c r="H23" s="413" t="str">
        <f>IF(Item1.3LPP.OnHold4[[#This Row],[Pipe]]&lt;&gt;"",IF(COUNTIF(Item1.3LPP.OnHold46[Pipe],D23)&gt;0,"Sim","Não"),"")</f>
        <v>Sim</v>
      </c>
      <c r="I23" s="413">
        <f>IF(Item1.3LPP.OnHold4[[#This Row],[Pipe]]&lt;&gt;"",COUNTIF(Item1.3LPP.OnHold46[Pipe],D23),"")</f>
        <v>1</v>
      </c>
      <c r="J23" s="445"/>
    </row>
    <row r="24" spans="1:10">
      <c r="A24" s="256">
        <v>28</v>
      </c>
      <c r="B24" s="453">
        <v>46211</v>
      </c>
      <c r="C24" s="484">
        <v>2</v>
      </c>
      <c r="D24" s="251" t="s">
        <v>131</v>
      </c>
      <c r="E24" s="412" t="s">
        <v>570</v>
      </c>
      <c r="F24" s="413" t="s">
        <v>171</v>
      </c>
      <c r="G24" s="481">
        <f>IF(Item1.3LPP.OnHold4[[#This Row],[Pipe]]&lt;&gt;"",COUNTIF(Item1.3LPP.OnHold4[Pipe],D24),"")</f>
        <v>1</v>
      </c>
      <c r="H24" s="413" t="str">
        <f>IF(Item1.3LPP.OnHold4[[#This Row],[Pipe]]&lt;&gt;"",IF(COUNTIF(Item1.3LPP.OnHold46[Pipe],D24)&gt;0,"Sim","Não"),"")</f>
        <v>Não</v>
      </c>
      <c r="I24" s="413">
        <f>IF(Item1.3LPP.OnHold4[[#This Row],[Pipe]]&lt;&gt;"",COUNTIF(Item1.3LPP.OnHold46[Pipe],D24),"")</f>
        <v>0</v>
      </c>
      <c r="J24" s="482" t="s">
        <v>573</v>
      </c>
    </row>
    <row r="25" spans="1:10">
      <c r="A25" s="256">
        <v>28</v>
      </c>
      <c r="B25" s="453">
        <v>46211</v>
      </c>
      <c r="C25" s="263">
        <v>3</v>
      </c>
      <c r="D25" s="255" t="s">
        <v>418</v>
      </c>
      <c r="E25" s="253" t="s">
        <v>419</v>
      </c>
      <c r="F25" s="413" t="s">
        <v>171</v>
      </c>
      <c r="G25" s="481">
        <f>IF(Item1.3LPP.OnHold4[[#This Row],[Pipe]]&lt;&gt;"",COUNTIF(Item1.3LPP.OnHold4[Pipe],D25),"")</f>
        <v>1</v>
      </c>
      <c r="H25" s="413" t="str">
        <f>IF(Item1.3LPP.OnHold4[[#This Row],[Pipe]]&lt;&gt;"",IF(COUNTIF(Item1.3LPP.OnHold46[Pipe],D25)&gt;0,"Sim","Não"),"")</f>
        <v>Sim</v>
      </c>
      <c r="I25" s="413">
        <f>IF(Item1.3LPP.OnHold4[[#This Row],[Pipe]]&lt;&gt;"",COUNTIF(Item1.3LPP.OnHold46[Pipe],D25),"")</f>
        <v>1</v>
      </c>
      <c r="J25" s="445"/>
    </row>
    <row r="26" spans="1:10">
      <c r="A26" s="256">
        <v>28</v>
      </c>
      <c r="B26" s="453">
        <v>46211</v>
      </c>
      <c r="C26" s="263">
        <v>3</v>
      </c>
      <c r="D26" s="255" t="s">
        <v>420</v>
      </c>
      <c r="E26" s="253" t="s">
        <v>419</v>
      </c>
      <c r="F26" s="413" t="s">
        <v>171</v>
      </c>
      <c r="G26" s="481">
        <f>IF(Item1.3LPP.OnHold4[[#This Row],[Pipe]]&lt;&gt;"",COUNTIF(Item1.3LPP.OnHold4[Pipe],D26),"")</f>
        <v>1</v>
      </c>
      <c r="H26" s="413" t="str">
        <f>IF(Item1.3LPP.OnHold4[[#This Row],[Pipe]]&lt;&gt;"",IF(COUNTIF(Item1.3LPP.OnHold46[Pipe],D26)&gt;0,"Sim","Não"),"")</f>
        <v>Sim</v>
      </c>
      <c r="I26" s="413">
        <f>IF(Item1.3LPP.OnHold4[[#This Row],[Pipe]]&lt;&gt;"",COUNTIF(Item1.3LPP.OnHold46[Pipe],D26),"")</f>
        <v>1</v>
      </c>
      <c r="J26" s="445"/>
    </row>
    <row r="27" spans="1:10">
      <c r="A27" s="256">
        <v>28</v>
      </c>
      <c r="B27" s="453">
        <v>46211</v>
      </c>
      <c r="C27" s="263">
        <v>3</v>
      </c>
      <c r="D27" s="255" t="s">
        <v>421</v>
      </c>
      <c r="E27" s="253" t="s">
        <v>419</v>
      </c>
      <c r="F27" s="413" t="s">
        <v>171</v>
      </c>
      <c r="G27" s="481">
        <f>IF(Item1.3LPP.OnHold4[[#This Row],[Pipe]]&lt;&gt;"",COUNTIF(Item1.3LPP.OnHold4[Pipe],D27),"")</f>
        <v>1</v>
      </c>
      <c r="H27" s="413" t="str">
        <f>IF(Item1.3LPP.OnHold4[[#This Row],[Pipe]]&lt;&gt;"",IF(COUNTIF(Item1.3LPP.OnHold46[Pipe],D27)&gt;0,"Sim","Não"),"")</f>
        <v>Sim</v>
      </c>
      <c r="I27" s="413">
        <f>IF(Item1.3LPP.OnHold4[[#This Row],[Pipe]]&lt;&gt;"",COUNTIF(Item1.3LPP.OnHold46[Pipe],D27),"")</f>
        <v>1</v>
      </c>
      <c r="J27" s="445"/>
    </row>
    <row r="28" spans="1:10">
      <c r="A28" s="256">
        <v>28</v>
      </c>
      <c r="B28" s="453">
        <v>46211</v>
      </c>
      <c r="C28" s="263">
        <v>3</v>
      </c>
      <c r="D28" s="251" t="s">
        <v>577</v>
      </c>
      <c r="E28" s="412" t="s">
        <v>570</v>
      </c>
      <c r="F28" s="413" t="s">
        <v>171</v>
      </c>
      <c r="G28" s="481">
        <f>IF(Item1.3LPP.OnHold4[[#This Row],[Pipe]]&lt;&gt;"",COUNTIF(Item1.3LPP.OnHold4[Pipe],D28),"")</f>
        <v>1</v>
      </c>
      <c r="H28" s="413" t="str">
        <f>IF(Item1.3LPP.OnHold4[[#This Row],[Pipe]]&lt;&gt;"",IF(COUNTIF(Item1.3LPP.OnHold46[Pipe],D28)&gt;0,"Sim","Não"),"")</f>
        <v>Sim</v>
      </c>
      <c r="I28" s="413">
        <f>IF(Item1.3LPP.OnHold4[[#This Row],[Pipe]]&lt;&gt;"",COUNTIF(Item1.3LPP.OnHold46[Pipe],D28),"")</f>
        <v>1</v>
      </c>
      <c r="J28" s="445"/>
    </row>
    <row r="29" spans="1:10">
      <c r="A29" s="256">
        <v>28</v>
      </c>
      <c r="B29" s="453">
        <v>46211</v>
      </c>
      <c r="C29" s="263">
        <v>3</v>
      </c>
      <c r="D29" s="251" t="s">
        <v>578</v>
      </c>
      <c r="E29" s="412" t="s">
        <v>570</v>
      </c>
      <c r="F29" s="413" t="s">
        <v>171</v>
      </c>
      <c r="G29" s="481">
        <f>IF(Item1.3LPP.OnHold4[[#This Row],[Pipe]]&lt;&gt;"",COUNTIF(Item1.3LPP.OnHold4[Pipe],D29),"")</f>
        <v>1</v>
      </c>
      <c r="H29" s="413" t="str">
        <f>IF(Item1.3LPP.OnHold4[[#This Row],[Pipe]]&lt;&gt;"",IF(COUNTIF(Item1.3LPP.OnHold46[Pipe],D29)&gt;0,"Sim","Não"),"")</f>
        <v>Sim</v>
      </c>
      <c r="I29" s="413">
        <f>IF(Item1.3LPP.OnHold4[[#This Row],[Pipe]]&lt;&gt;"",COUNTIF(Item1.3LPP.OnHold46[Pipe],D29),"")</f>
        <v>1</v>
      </c>
      <c r="J29" s="445"/>
    </row>
    <row r="30" spans="1:10">
      <c r="A30" s="256">
        <v>28</v>
      </c>
      <c r="B30" s="453">
        <v>46211</v>
      </c>
      <c r="C30" s="263">
        <v>3</v>
      </c>
      <c r="D30" s="251" t="s">
        <v>579</v>
      </c>
      <c r="E30" s="412" t="s">
        <v>570</v>
      </c>
      <c r="F30" s="413" t="s">
        <v>171</v>
      </c>
      <c r="G30" s="481">
        <f>IF(Item1.3LPP.OnHold4[[#This Row],[Pipe]]&lt;&gt;"",COUNTIF(Item1.3LPP.OnHold4[Pipe],D30),"")</f>
        <v>1</v>
      </c>
      <c r="H30" s="413" t="str">
        <f>IF(Item1.3LPP.OnHold4[[#This Row],[Pipe]]&lt;&gt;"",IF(COUNTIF(Item1.3LPP.OnHold46[Pipe],D30)&gt;0,"Sim","Não"),"")</f>
        <v>Sim</v>
      </c>
      <c r="I30" s="413">
        <f>IF(Item1.3LPP.OnHold4[[#This Row],[Pipe]]&lt;&gt;"",COUNTIF(Item1.3LPP.OnHold46[Pipe],D30),"")</f>
        <v>1</v>
      </c>
      <c r="J30" s="445"/>
    </row>
    <row r="31" spans="1:10">
      <c r="A31" s="256">
        <v>28</v>
      </c>
      <c r="B31" s="453">
        <v>46211</v>
      </c>
      <c r="C31" s="263">
        <v>3</v>
      </c>
      <c r="D31" s="251" t="s">
        <v>580</v>
      </c>
      <c r="E31" s="412" t="s">
        <v>570</v>
      </c>
      <c r="F31" s="413" t="s">
        <v>171</v>
      </c>
      <c r="G31" s="481">
        <f>IF(Item1.3LPP.OnHold4[[#This Row],[Pipe]]&lt;&gt;"",COUNTIF(Item1.3LPP.OnHold4[Pipe],D31),"")</f>
        <v>2</v>
      </c>
      <c r="H31" s="413" t="str">
        <f>IF(Item1.3LPP.OnHold4[[#This Row],[Pipe]]&lt;&gt;"",IF(COUNTIF(Item1.3LPP.OnHold46[Pipe],D31)&gt;0,"Sim","Não"),"")</f>
        <v>Sim</v>
      </c>
      <c r="I31" s="413">
        <f>IF(Item1.3LPP.OnHold4[[#This Row],[Pipe]]&lt;&gt;"",COUNTIF(Item1.3LPP.OnHold46[Pipe],D31),"")</f>
        <v>1</v>
      </c>
      <c r="J31" s="445"/>
    </row>
    <row r="32" spans="1:10">
      <c r="A32" s="256">
        <v>28</v>
      </c>
      <c r="B32" s="453">
        <v>46212</v>
      </c>
      <c r="C32" s="263">
        <v>1</v>
      </c>
      <c r="D32" s="251" t="s">
        <v>581</v>
      </c>
      <c r="E32" s="253" t="s">
        <v>575</v>
      </c>
      <c r="F32" s="253" t="s">
        <v>347</v>
      </c>
      <c r="G32" s="481">
        <f>IF(Item1.3LPP.OnHold4[[#This Row],[Pipe]]&lt;&gt;"",COUNTIF(Item1.3LPP.OnHold4[Pipe],D32),"")</f>
        <v>1</v>
      </c>
      <c r="H32" s="253" t="str">
        <f>IF(Item1.3LPP.OnHold4[[#This Row],[Pipe]]&lt;&gt;"",IF(COUNTIF(Item1.3LPP.OnHold46[Pipe],D32)&gt;0,"Sim","Não"),"")</f>
        <v>Não</v>
      </c>
      <c r="I32" s="253">
        <f>IF(Item1.3LPP.OnHold4[[#This Row],[Pipe]]&lt;&gt;"",COUNTIF(Item1.3LPP.OnHold46[Pipe],D32),"")</f>
        <v>0</v>
      </c>
      <c r="J32" s="445"/>
    </row>
    <row r="33" spans="1:10">
      <c r="A33" s="256">
        <v>28</v>
      </c>
      <c r="B33" s="453">
        <v>46212</v>
      </c>
      <c r="C33" s="257">
        <v>1</v>
      </c>
      <c r="D33" s="251" t="s">
        <v>582</v>
      </c>
      <c r="E33" s="253" t="s">
        <v>575</v>
      </c>
      <c r="F33" s="253" t="s">
        <v>347</v>
      </c>
      <c r="G33" s="481">
        <f>IF(Item1.3LPP.OnHold4[[#This Row],[Pipe]]&lt;&gt;"",COUNTIF(Item1.3LPP.OnHold4[Pipe],D33),"")</f>
        <v>1</v>
      </c>
      <c r="H33" s="253" t="str">
        <f>IF(Item1.3LPP.OnHold4[[#This Row],[Pipe]]&lt;&gt;"",IF(COUNTIF(Item1.3LPP.OnHold46[Pipe],D33)&gt;0,"Sim","Não"),"")</f>
        <v>Não</v>
      </c>
      <c r="I33" s="253">
        <f>IF(Item1.3LPP.OnHold4[[#This Row],[Pipe]]&lt;&gt;"",COUNTIF(Item1.3LPP.OnHold46[Pipe],D33),"")</f>
        <v>0</v>
      </c>
      <c r="J33" s="445"/>
    </row>
    <row r="34" spans="1:10">
      <c r="A34" s="256">
        <v>28</v>
      </c>
      <c r="B34" s="453">
        <v>46212</v>
      </c>
      <c r="C34" s="263">
        <v>1</v>
      </c>
      <c r="D34" s="251" t="s">
        <v>583</v>
      </c>
      <c r="E34" s="412" t="s">
        <v>570</v>
      </c>
      <c r="F34" s="413" t="s">
        <v>171</v>
      </c>
      <c r="G34" s="481">
        <f>IF(Item1.3LPP.OnHold4[[#This Row],[Pipe]]&lt;&gt;"",COUNTIF(Item1.3LPP.OnHold4[Pipe],D34),"")</f>
        <v>1</v>
      </c>
      <c r="H34" s="413" t="str">
        <f>IF(Item1.3LPP.OnHold4[[#This Row],[Pipe]]&lt;&gt;"",IF(COUNTIF(Item1.3LPP.OnHold46[Pipe],D34)&gt;0,"Sim","Não"),"")</f>
        <v>Sim</v>
      </c>
      <c r="I34" s="413">
        <f>IF(Item1.3LPP.OnHold4[[#This Row],[Pipe]]&lt;&gt;"",COUNTIF(Item1.3LPP.OnHold46[Pipe],D34),"")</f>
        <v>1</v>
      </c>
      <c r="J34" s="445"/>
    </row>
    <row r="35" spans="1:10">
      <c r="A35" s="256">
        <v>28</v>
      </c>
      <c r="B35" s="453">
        <v>46212</v>
      </c>
      <c r="C35" s="257">
        <v>1</v>
      </c>
      <c r="D35" s="251" t="s">
        <v>584</v>
      </c>
      <c r="E35" s="412" t="s">
        <v>570</v>
      </c>
      <c r="F35" s="413" t="s">
        <v>171</v>
      </c>
      <c r="G35" s="481">
        <f>IF(Item1.3LPP.OnHold4[[#This Row],[Pipe]]&lt;&gt;"",COUNTIF(Item1.3LPP.OnHold4[Pipe],D35),"")</f>
        <v>1</v>
      </c>
      <c r="H35" s="413" t="str">
        <f>IF(Item1.3LPP.OnHold4[[#This Row],[Pipe]]&lt;&gt;"",IF(COUNTIF(Item1.3LPP.OnHold46[Pipe],D35)&gt;0,"Sim","Não"),"")</f>
        <v>Sim</v>
      </c>
      <c r="I35" s="413">
        <f>IF(Item1.3LPP.OnHold4[[#This Row],[Pipe]]&lt;&gt;"",COUNTIF(Item1.3LPP.OnHold46[Pipe],D35),"")</f>
        <v>1</v>
      </c>
      <c r="J35" s="445"/>
    </row>
    <row r="36" spans="1:10">
      <c r="A36" s="479">
        <v>28</v>
      </c>
      <c r="B36" s="453">
        <v>46212</v>
      </c>
      <c r="C36" s="257">
        <v>2</v>
      </c>
      <c r="D36" s="251" t="s">
        <v>139</v>
      </c>
      <c r="E36" s="412" t="s">
        <v>570</v>
      </c>
      <c r="F36" s="413" t="s">
        <v>171</v>
      </c>
      <c r="G36" s="481">
        <f>IF(Item1.3LPP.OnHold4[[#This Row],[Pipe]]&lt;&gt;"",COUNTIF(Item1.3LPP.OnHold4[Pipe],D36),"")</f>
        <v>1</v>
      </c>
      <c r="H36" s="413" t="str">
        <f>IF(Item1.3LPP.OnHold4[[#This Row],[Pipe]]&lt;&gt;"",IF(COUNTIF(Item1.3LPP.OnHold46[Pipe],D36)&gt;0,"Sim","Não"),"")</f>
        <v>Não</v>
      </c>
      <c r="I36" s="413">
        <f>IF(Item1.3LPP.OnHold4[[#This Row],[Pipe]]&lt;&gt;"",COUNTIF(Item1.3LPP.OnHold46[Pipe],D36),"")</f>
        <v>0</v>
      </c>
      <c r="J36" s="482" t="s">
        <v>573</v>
      </c>
    </row>
    <row r="37" spans="1:10">
      <c r="A37" s="256">
        <v>28</v>
      </c>
      <c r="B37" s="453">
        <v>46212</v>
      </c>
      <c r="C37" s="257">
        <v>3</v>
      </c>
      <c r="D37" s="251" t="s">
        <v>141</v>
      </c>
      <c r="E37" s="412" t="s">
        <v>570</v>
      </c>
      <c r="F37" s="413" t="s">
        <v>171</v>
      </c>
      <c r="G37" s="481">
        <f>IF(Item1.3LPP.OnHold4[[#This Row],[Pipe]]&lt;&gt;"",COUNTIF(Item1.3LPP.OnHold4[Pipe],D37),"")</f>
        <v>1</v>
      </c>
      <c r="H37" s="413" t="str">
        <f>IF(Item1.3LPP.OnHold4[[#This Row],[Pipe]]&lt;&gt;"",IF(COUNTIF(Item1.3LPP.OnHold46[Pipe],D37)&gt;0,"Sim","Não"),"")</f>
        <v>Não</v>
      </c>
      <c r="I37" s="413">
        <f>IF(Item1.3LPP.OnHold4[[#This Row],[Pipe]]&lt;&gt;"",COUNTIF(Item1.3LPP.OnHold46[Pipe],D37),"")</f>
        <v>0</v>
      </c>
      <c r="J37" s="445"/>
    </row>
    <row r="38" spans="1:10">
      <c r="A38" s="256">
        <v>28</v>
      </c>
      <c r="B38" s="453">
        <v>46212</v>
      </c>
      <c r="C38" s="257">
        <v>3</v>
      </c>
      <c r="D38" s="251" t="s">
        <v>585</v>
      </c>
      <c r="E38" s="412" t="s">
        <v>570</v>
      </c>
      <c r="F38" s="413" t="s">
        <v>171</v>
      </c>
      <c r="G38" s="481">
        <f>IF(Item1.3LPP.OnHold4[[#This Row],[Pipe]]&lt;&gt;"",COUNTIF(Item1.3LPP.OnHold4[Pipe],D38),"")</f>
        <v>1</v>
      </c>
      <c r="H38" s="413" t="str">
        <f>IF(Item1.3LPP.OnHold4[[#This Row],[Pipe]]&lt;&gt;"",IF(COUNTIF(Item1.3LPP.OnHold46[Pipe],D38)&gt;0,"Sim","Não"),"")</f>
        <v>Sim</v>
      </c>
      <c r="I38" s="413">
        <f>IF(Item1.3LPP.OnHold4[[#This Row],[Pipe]]&lt;&gt;"",COUNTIF(Item1.3LPP.OnHold46[Pipe],D38),"")</f>
        <v>1</v>
      </c>
      <c r="J38" s="445"/>
    </row>
    <row r="39" spans="1:10">
      <c r="A39" s="256">
        <v>28</v>
      </c>
      <c r="B39" s="453">
        <v>46212</v>
      </c>
      <c r="C39" s="257">
        <v>3</v>
      </c>
      <c r="D39" s="251" t="s">
        <v>155</v>
      </c>
      <c r="E39" s="412" t="s">
        <v>570</v>
      </c>
      <c r="F39" s="413" t="s">
        <v>171</v>
      </c>
      <c r="G39" s="481">
        <f>IF(Item1.3LPP.OnHold4[[#This Row],[Pipe]]&lt;&gt;"",COUNTIF(Item1.3LPP.OnHold4[Pipe],D39),"")</f>
        <v>2</v>
      </c>
      <c r="H39" s="413" t="str">
        <f>IF(Item1.3LPP.OnHold4[[#This Row],[Pipe]]&lt;&gt;"",IF(COUNTIF(Item1.3LPP.OnHold46[Pipe],D39)&gt;0,"Sim","Não"),"")</f>
        <v>Sim</v>
      </c>
      <c r="I39" s="413">
        <f>IF(Item1.3LPP.OnHold4[[#This Row],[Pipe]]&lt;&gt;"",COUNTIF(Item1.3LPP.OnHold46[Pipe],D39),"")</f>
        <v>2</v>
      </c>
      <c r="J39" s="445"/>
    </row>
    <row r="40" spans="1:10">
      <c r="A40" s="234">
        <v>29</v>
      </c>
      <c r="B40" s="453">
        <v>46216</v>
      </c>
      <c r="C40" s="263">
        <v>1</v>
      </c>
      <c r="D40" s="255" t="s">
        <v>431</v>
      </c>
      <c r="E40" s="253" t="s">
        <v>432</v>
      </c>
      <c r="F40" s="413" t="s">
        <v>171</v>
      </c>
      <c r="G40" s="481">
        <f>IF(Item1.3LPP.OnHold4[[#This Row],[Pipe]]&lt;&gt;"",COUNTIF(Item1.3LPP.OnHold4[Pipe],D40),"")</f>
        <v>1</v>
      </c>
      <c r="H40" s="413" t="str">
        <f>IF(Item1.3LPP.OnHold4[[#This Row],[Pipe]]&lt;&gt;"",IF(COUNTIF(Item1.3LPP.OnHold46[Pipe],D40)&gt;0,"Sim","Não"),"")</f>
        <v>Sim</v>
      </c>
      <c r="I40" s="413">
        <f>IF(Item1.3LPP.OnHold4[[#This Row],[Pipe]]&lt;&gt;"",COUNTIF(Item1.3LPP.OnHold46[Pipe],D40),"")</f>
        <v>1</v>
      </c>
      <c r="J40" s="445"/>
    </row>
    <row r="41" spans="1:10">
      <c r="A41" s="234">
        <v>29</v>
      </c>
      <c r="B41" s="453">
        <v>46216</v>
      </c>
      <c r="C41" s="263">
        <v>1</v>
      </c>
      <c r="D41" s="251" t="s">
        <v>586</v>
      </c>
      <c r="E41" s="412" t="s">
        <v>570</v>
      </c>
      <c r="F41" s="413" t="s">
        <v>171</v>
      </c>
      <c r="G41" s="481">
        <f>IF(Item1.3LPP.OnHold4[[#This Row],[Pipe]]&lt;&gt;"",COUNTIF(Item1.3LPP.OnHold4[Pipe],D41),"")</f>
        <v>1</v>
      </c>
      <c r="H41" s="413" t="str">
        <f>IF(Item1.3LPP.OnHold4[[#This Row],[Pipe]]&lt;&gt;"",IF(COUNTIF(Item1.3LPP.OnHold46[Pipe],D41)&gt;0,"Sim","Não"),"")</f>
        <v>Sim</v>
      </c>
      <c r="I41" s="413">
        <f>IF(Item1.3LPP.OnHold4[[#This Row],[Pipe]]&lt;&gt;"",COUNTIF(Item1.3LPP.OnHold46[Pipe],D41),"")</f>
        <v>1</v>
      </c>
      <c r="J41" s="445"/>
    </row>
    <row r="42" spans="1:10">
      <c r="A42" s="234">
        <v>29</v>
      </c>
      <c r="B42" s="453">
        <v>46216</v>
      </c>
      <c r="C42" s="263">
        <v>1</v>
      </c>
      <c r="D42" s="251" t="s">
        <v>587</v>
      </c>
      <c r="E42" s="412" t="s">
        <v>570</v>
      </c>
      <c r="F42" s="413" t="s">
        <v>171</v>
      </c>
      <c r="G42" s="481">
        <f>IF(Item1.3LPP.OnHold4[[#This Row],[Pipe]]&lt;&gt;"",COUNTIF(Item1.3LPP.OnHold4[Pipe],D42),"")</f>
        <v>1</v>
      </c>
      <c r="H42" s="413" t="str">
        <f>IF(Item1.3LPP.OnHold4[[#This Row],[Pipe]]&lt;&gt;"",IF(COUNTIF(Item1.3LPP.OnHold46[Pipe],D42)&gt;0,"Sim","Não"),"")</f>
        <v>Sim</v>
      </c>
      <c r="I42" s="413">
        <f>IF(Item1.3LPP.OnHold4[[#This Row],[Pipe]]&lt;&gt;"",COUNTIF(Item1.3LPP.OnHold46[Pipe],D42),"")</f>
        <v>1</v>
      </c>
      <c r="J42" s="445"/>
    </row>
    <row r="43" spans="1:10">
      <c r="A43" s="234">
        <v>29</v>
      </c>
      <c r="B43" s="453">
        <v>46216</v>
      </c>
      <c r="C43" s="224">
        <v>2</v>
      </c>
      <c r="D43" s="251" t="s">
        <v>145</v>
      </c>
      <c r="E43" s="412" t="s">
        <v>570</v>
      </c>
      <c r="F43" s="413" t="s">
        <v>171</v>
      </c>
      <c r="G43" s="481">
        <f>IF(Item1.3LPP.OnHold4[[#This Row],[Pipe]]&lt;&gt;"",COUNTIF(Item1.3LPP.OnHold4[Pipe],D43),"")</f>
        <v>1</v>
      </c>
      <c r="H43" s="583" t="str">
        <f>IF(Item1.3LPP.OnHold4[[#This Row],[Pipe]]&lt;&gt;"",IF(COUNTIF(Item1.3LPP.OnHold46[Pipe],D43)&gt;0,"Sim","Não"),"")</f>
        <v>Sim</v>
      </c>
      <c r="I43" s="583">
        <f>IF(Item1.3LPP.OnHold4[[#This Row],[Pipe]]&lt;&gt;"",COUNTIF(Item1.3LPP.OnHold46[Pipe],D43),"")</f>
        <v>1</v>
      </c>
      <c r="J43" s="447" t="s">
        <v>573</v>
      </c>
    </row>
    <row r="44" spans="1:10">
      <c r="A44" s="234">
        <v>29</v>
      </c>
      <c r="B44" s="453">
        <v>46216</v>
      </c>
      <c r="C44" s="263">
        <v>3</v>
      </c>
      <c r="D44" s="251" t="s">
        <v>588</v>
      </c>
      <c r="E44" s="253" t="s">
        <v>589</v>
      </c>
      <c r="F44" s="413" t="s">
        <v>171</v>
      </c>
      <c r="G44" s="481">
        <f>IF(Item1.3LPP.OnHold4[[#This Row],[Pipe]]&lt;&gt;"",COUNTIF(Item1.3LPP.OnHold4[Pipe],D44),"")</f>
        <v>1</v>
      </c>
      <c r="H44" s="413" t="str">
        <f>IF(Item1.3LPP.OnHold4[[#This Row],[Pipe]]&lt;&gt;"",IF(COUNTIF(Item1.3LPP.OnHold46[Pipe],D44)&gt;0,"Sim","Não"),"")</f>
        <v>Não</v>
      </c>
      <c r="I44" s="413">
        <f>IF(Item1.3LPP.OnHold4[[#This Row],[Pipe]]&lt;&gt;"",COUNTIF(Item1.3LPP.OnHold46[Pipe],D44),"")</f>
        <v>0</v>
      </c>
      <c r="J44" s="445"/>
    </row>
    <row r="45" spans="1:10">
      <c r="A45" s="515">
        <v>29</v>
      </c>
      <c r="B45" s="516">
        <v>46216</v>
      </c>
      <c r="C45" s="517">
        <v>3</v>
      </c>
      <c r="D45" s="518" t="s">
        <v>590</v>
      </c>
      <c r="E45" s="519" t="s">
        <v>591</v>
      </c>
      <c r="F45" s="519" t="s">
        <v>171</v>
      </c>
      <c r="G45" s="586">
        <f>IF(Item1.3LPP.OnHold4[[#This Row],[Pipe]]&lt;&gt;"",COUNTIF(Item1.3LPP.OnHold4[Pipe],D45),"")</f>
        <v>1</v>
      </c>
      <c r="H45" s="584" t="str">
        <f>IF(Item1.3LPP.OnHold4[[#This Row],[Pipe]]&lt;&gt;"",IF(COUNTIF(Item1.3LPP.OnHold46[Pipe],D45)&gt;0,"Sim","Não"),"")</f>
        <v>Não</v>
      </c>
      <c r="I45" s="584">
        <f>IF(Item1.3LPP.OnHold4[[#This Row],[Pipe]]&lt;&gt;"",COUNTIF(Item1.3LPP.OnHold46[Pipe],D45),"")</f>
        <v>0</v>
      </c>
      <c r="J45" s="587"/>
    </row>
    <row r="46" spans="1:10">
      <c r="A46" s="234">
        <v>29</v>
      </c>
      <c r="B46" s="453">
        <v>46216</v>
      </c>
      <c r="C46" s="263">
        <v>3</v>
      </c>
      <c r="D46" s="255" t="s">
        <v>149</v>
      </c>
      <c r="E46" s="253" t="s">
        <v>570</v>
      </c>
      <c r="F46" s="253" t="s">
        <v>171</v>
      </c>
      <c r="G46" s="481">
        <f>IF(Item1.3LPP.OnHold4[[#This Row],[Pipe]]&lt;&gt;"",COUNTIF(Item1.3LPP.OnHold4[Pipe],D46),"")</f>
        <v>1</v>
      </c>
      <c r="H46" s="260" t="str">
        <f>IF(Item1.3LPP.OnHold4[[#This Row],[Pipe]]&lt;&gt;"",IF(COUNTIF(Item1.3LPP.OnHold46[Pipe],D46)&gt;0,"Sim","Não"),"")</f>
        <v>Sim</v>
      </c>
      <c r="I46" s="260">
        <f>IF(Item1.3LPP.OnHold4[[#This Row],[Pipe]]&lt;&gt;"",COUNTIF(Item1.3LPP.OnHold46[Pipe],D46),"")</f>
        <v>1</v>
      </c>
      <c r="J46" s="447"/>
    </row>
    <row r="47" spans="1:10">
      <c r="A47" s="223">
        <v>29</v>
      </c>
      <c r="B47" s="453">
        <v>46217</v>
      </c>
      <c r="C47" s="224">
        <v>1</v>
      </c>
      <c r="D47" s="251" t="s">
        <v>152</v>
      </c>
      <c r="E47" s="253" t="s">
        <v>439</v>
      </c>
      <c r="F47" s="253" t="s">
        <v>171</v>
      </c>
      <c r="G47" s="481">
        <f>IF(Item1.3LPP.OnHold4[[#This Row],[Pipe]]&lt;&gt;"",COUNTIF(Item1.3LPP.OnHold4[Pipe],D47),"")</f>
        <v>1</v>
      </c>
      <c r="H47" s="260" t="str">
        <f>IF(Item1.3LPP.OnHold4[[#This Row],[Pipe]]&lt;&gt;"",IF(COUNTIF(Item1.3LPP.OnHold46[Pipe],D47)&gt;0,"Sim","Não"),"")</f>
        <v>Não</v>
      </c>
      <c r="I47" s="260">
        <f>IF(Item1.3LPP.OnHold4[[#This Row],[Pipe]]&lt;&gt;"",COUNTIF(Item1.3LPP.OnHold46[Pipe],D47),"")</f>
        <v>0</v>
      </c>
      <c r="J47" s="447"/>
    </row>
    <row r="48" spans="1:10">
      <c r="A48" s="223">
        <v>29</v>
      </c>
      <c r="B48" s="453">
        <v>46217</v>
      </c>
      <c r="C48" s="224">
        <v>1</v>
      </c>
      <c r="D48" s="255" t="s">
        <v>440</v>
      </c>
      <c r="E48" s="253" t="s">
        <v>441</v>
      </c>
      <c r="F48" s="253" t="s">
        <v>171</v>
      </c>
      <c r="G48" s="481">
        <f>IF(Item1.3LPP.OnHold4[[#This Row],[Pipe]]&lt;&gt;"",COUNTIF(Item1.3LPP.OnHold4[Pipe],D48),"")</f>
        <v>1</v>
      </c>
      <c r="H48" s="253" t="str">
        <f>IF(Item1.3LPP.OnHold4[[#This Row],[Pipe]]&lt;&gt;"",IF(COUNTIF(Item1.3LPP.OnHold46[Pipe],D48)&gt;0,"Sim","Não"),"")</f>
        <v>Não</v>
      </c>
      <c r="I48" s="253">
        <f>IF(Item1.3LPP.OnHold4[[#This Row],[Pipe]]&lt;&gt;"",COUNTIF(Item1.3LPP.OnHold46[Pipe],D48),"")</f>
        <v>0</v>
      </c>
      <c r="J48" s="445"/>
    </row>
    <row r="49" spans="1:10">
      <c r="A49" s="234">
        <v>29</v>
      </c>
      <c r="B49" s="453">
        <v>46217</v>
      </c>
      <c r="C49" s="263">
        <v>1</v>
      </c>
      <c r="D49" s="255" t="s">
        <v>592</v>
      </c>
      <c r="E49" s="253" t="s">
        <v>570</v>
      </c>
      <c r="F49" s="253" t="s">
        <v>171</v>
      </c>
      <c r="G49" s="481">
        <f>IF(Item1.3LPP.OnHold4[[#This Row],[Pipe]]&lt;&gt;"",COUNTIF(Item1.3LPP.OnHold4[Pipe],D49),"")</f>
        <v>1</v>
      </c>
      <c r="H49" s="260" t="str">
        <f>IF(Item1.3LPP.OnHold4[[#This Row],[Pipe]]&lt;&gt;"",IF(COUNTIF(Item1.3LPP.OnHold46[Pipe],D49)&gt;0,"Sim","Não"),"")</f>
        <v>Sim</v>
      </c>
      <c r="I49" s="260">
        <f>IF(Item1.3LPP.OnHold4[[#This Row],[Pipe]]&lt;&gt;"",COUNTIF(Item1.3LPP.OnHold46[Pipe],D49),"")</f>
        <v>1</v>
      </c>
      <c r="J49" s="447"/>
    </row>
    <row r="50" spans="1:10">
      <c r="A50" s="534">
        <v>29</v>
      </c>
      <c r="B50" s="516">
        <v>46217</v>
      </c>
      <c r="C50" s="517">
        <v>2</v>
      </c>
      <c r="D50" s="518" t="s">
        <v>155</v>
      </c>
      <c r="E50" s="519" t="s">
        <v>570</v>
      </c>
      <c r="F50" s="519" t="s">
        <v>171</v>
      </c>
      <c r="G50" s="586">
        <f>IF(Item1.3LPP.OnHold4[[#This Row],[Pipe]]&lt;&gt;"",COUNTIF(Item1.3LPP.OnHold4[Pipe],D50),"")</f>
        <v>2</v>
      </c>
      <c r="H50" s="584" t="str">
        <f>IF(Item1.3LPP.OnHold4[[#This Row],[Pipe]]&lt;&gt;"",IF(COUNTIF(Item1.3LPP.OnHold46[Pipe],D50)&gt;0,"Sim","Não"),"")</f>
        <v>Sim</v>
      </c>
      <c r="I50" s="584">
        <f>IF(Item1.3LPP.OnHold4[[#This Row],[Pipe]]&lt;&gt;"",COUNTIF(Item1.3LPP.OnHold46[Pipe],D50),"")</f>
        <v>2</v>
      </c>
      <c r="J50" s="535" t="s">
        <v>591</v>
      </c>
    </row>
    <row r="51" spans="1:10">
      <c r="A51" s="234">
        <v>29</v>
      </c>
      <c r="B51" s="453">
        <v>46217</v>
      </c>
      <c r="C51" s="263">
        <v>2</v>
      </c>
      <c r="D51" s="255" t="s">
        <v>593</v>
      </c>
      <c r="E51" s="253" t="s">
        <v>570</v>
      </c>
      <c r="F51" s="253" t="s">
        <v>171</v>
      </c>
      <c r="G51" s="481">
        <f>IF(Item1.3LPP.OnHold4[[#This Row],[Pipe]]&lt;&gt;"",COUNTIF(Item1.3LPP.OnHold4[Pipe],D51),"")</f>
        <v>1</v>
      </c>
      <c r="H51" s="260" t="str">
        <f>IF(Item1.3LPP.OnHold4[[#This Row],[Pipe]]&lt;&gt;"",IF(COUNTIF(Item1.3LPP.OnHold46[Pipe],D51)&gt;0,"Sim","Não"),"")</f>
        <v>Sim</v>
      </c>
      <c r="I51" s="260">
        <f>IF(Item1.3LPP.OnHold4[[#This Row],[Pipe]]&lt;&gt;"",COUNTIF(Item1.3LPP.OnHold46[Pipe],D51),"")</f>
        <v>1</v>
      </c>
      <c r="J51" s="447"/>
    </row>
    <row r="52" spans="1:10">
      <c r="A52" s="223">
        <v>29</v>
      </c>
      <c r="B52" s="453">
        <v>46217</v>
      </c>
      <c r="C52" s="235">
        <v>3</v>
      </c>
      <c r="D52" s="251" t="s">
        <v>594</v>
      </c>
      <c r="E52" s="253" t="s">
        <v>570</v>
      </c>
      <c r="F52" s="253" t="s">
        <v>171</v>
      </c>
      <c r="G52" s="481">
        <f>IF(Item1.3LPP.OnHold4[[#This Row],[Pipe]]&lt;&gt;"",COUNTIF(Item1.3LPP.OnHold4[Pipe],D52),"")</f>
        <v>1</v>
      </c>
      <c r="H52" s="260" t="str">
        <f>IF(Item1.3LPP.OnHold4[[#This Row],[Pipe]]&lt;&gt;"",IF(COUNTIF(Item1.3LPP.OnHold46[Pipe],D52)&gt;0,"Sim","Não"),"")</f>
        <v>Sim</v>
      </c>
      <c r="I52" s="260">
        <f>IF(Item1.3LPP.OnHold4[[#This Row],[Pipe]]&lt;&gt;"",COUNTIF(Item1.3LPP.OnHold46[Pipe],D52),"")</f>
        <v>1</v>
      </c>
      <c r="J52" s="447"/>
    </row>
    <row r="53" spans="1:10">
      <c r="A53" s="234">
        <v>29</v>
      </c>
      <c r="B53" s="453">
        <v>46217</v>
      </c>
      <c r="C53" s="235">
        <v>3</v>
      </c>
      <c r="D53" s="251" t="s">
        <v>157</v>
      </c>
      <c r="E53" s="253" t="s">
        <v>570</v>
      </c>
      <c r="F53" s="253" t="s">
        <v>171</v>
      </c>
      <c r="G53" s="481">
        <f>IF(Item1.3LPP.OnHold4[[#This Row],[Pipe]]&lt;&gt;"",COUNTIF(Item1.3LPP.OnHold4[Pipe],D53),"")</f>
        <v>1</v>
      </c>
      <c r="H53" s="253" t="str">
        <f>IF(Item1.3LPP.OnHold4[[#This Row],[Pipe]]&lt;&gt;"",IF(COUNTIF(Item1.3LPP.OnHold46[Pipe],D53)&gt;0,"Sim","Não"),"")</f>
        <v>Não</v>
      </c>
      <c r="I53" s="253">
        <f>IF(Item1.3LPP.OnHold4[[#This Row],[Pipe]]&lt;&gt;"",COUNTIF(Item1.3LPP.OnHold46[Pipe],D53),"")</f>
        <v>0</v>
      </c>
      <c r="J53" s="445"/>
    </row>
    <row r="54" spans="1:10">
      <c r="A54" s="223">
        <v>29</v>
      </c>
      <c r="B54" s="453">
        <v>46218</v>
      </c>
      <c r="C54" s="263">
        <v>1</v>
      </c>
      <c r="D54" s="255" t="s">
        <v>162</v>
      </c>
      <c r="E54" s="253" t="s">
        <v>570</v>
      </c>
      <c r="F54" s="253" t="s">
        <v>171</v>
      </c>
      <c r="G54" s="481">
        <f>IF(Item1.3LPP.OnHold4[[#This Row],[Pipe]]&lt;&gt;"",COUNTIF(Item1.3LPP.OnHold4[Pipe],D54),"")</f>
        <v>1</v>
      </c>
      <c r="H54" s="260" t="str">
        <f>IF(Item1.3LPP.OnHold4[[#This Row],[Pipe]]&lt;&gt;"",IF(COUNTIF(Item1.3LPP.OnHold46[Pipe],D54)&gt;0,"Sim","Não"),"")</f>
        <v>Não</v>
      </c>
      <c r="I54" s="260">
        <f>IF(Item1.3LPP.OnHold4[[#This Row],[Pipe]]&lt;&gt;"",COUNTIF(Item1.3LPP.OnHold46[Pipe],D54),"")</f>
        <v>0</v>
      </c>
      <c r="J54" s="447" t="s">
        <v>573</v>
      </c>
    </row>
    <row r="55" spans="1:10">
      <c r="A55" s="223">
        <v>29</v>
      </c>
      <c r="B55" s="453">
        <v>46218</v>
      </c>
      <c r="C55" s="263">
        <v>2</v>
      </c>
      <c r="D55" s="255" t="s">
        <v>163</v>
      </c>
      <c r="E55" s="253" t="s">
        <v>570</v>
      </c>
      <c r="F55" s="253" t="s">
        <v>171</v>
      </c>
      <c r="G55" s="481">
        <f>IF(Item1.3LPP.OnHold4[[#This Row],[Pipe]]&lt;&gt;"",COUNTIF(Item1.3LPP.OnHold4[Pipe],D55),"")</f>
        <v>1</v>
      </c>
      <c r="H55" s="260" t="str">
        <f>IF(Item1.3LPP.OnHold4[[#This Row],[Pipe]]&lt;&gt;"",IF(COUNTIF(Item1.3LPP.OnHold46[Pipe],D55)&gt;0,"Sim","Não"),"")</f>
        <v>Não</v>
      </c>
      <c r="I55" s="260">
        <f>IF(Item1.3LPP.OnHold4[[#This Row],[Pipe]]&lt;&gt;"",COUNTIF(Item1.3LPP.OnHold46[Pipe],D55),"")</f>
        <v>0</v>
      </c>
      <c r="J55" s="447" t="s">
        <v>573</v>
      </c>
    </row>
    <row r="56" spans="1:10">
      <c r="A56" s="223">
        <v>29</v>
      </c>
      <c r="B56" s="453">
        <v>46218</v>
      </c>
      <c r="C56" s="235">
        <v>3</v>
      </c>
      <c r="D56" s="251" t="s">
        <v>133</v>
      </c>
      <c r="E56" s="253" t="s">
        <v>452</v>
      </c>
      <c r="F56" s="253" t="s">
        <v>171</v>
      </c>
      <c r="G56" s="481">
        <f>IF(Item1.3LPP.OnHold4[[#This Row],[Pipe]]&lt;&gt;"",COUNTIF(Item1.3LPP.OnHold4[Pipe],D56),"")</f>
        <v>1</v>
      </c>
      <c r="H56" s="253" t="str">
        <f>IF(Item1.3LPP.OnHold4[[#This Row],[Pipe]]&lt;&gt;"",IF(COUNTIF(Item1.3LPP.OnHold46[Pipe],D56)&gt;0,"Sim","Não"),"")</f>
        <v>Sim</v>
      </c>
      <c r="I56" s="253">
        <f>IF(Item1.3LPP.OnHold4[[#This Row],[Pipe]]&lt;&gt;"",COUNTIF(Item1.3LPP.OnHold46[Pipe],D56),"")</f>
        <v>1</v>
      </c>
      <c r="J56" s="445"/>
    </row>
    <row r="57" spans="1:10">
      <c r="A57" s="223">
        <v>29</v>
      </c>
      <c r="B57" s="453">
        <v>46218</v>
      </c>
      <c r="C57" s="235">
        <v>3</v>
      </c>
      <c r="D57" s="251" t="s">
        <v>454</v>
      </c>
      <c r="E57" s="253" t="s">
        <v>388</v>
      </c>
      <c r="F57" s="253" t="s">
        <v>171</v>
      </c>
      <c r="G57" s="481">
        <f>IF(Item1.3LPP.OnHold4[[#This Row],[Pipe]]&lt;&gt;"",COUNTIF(Item1.3LPP.OnHold4[Pipe],D57),"")</f>
        <v>1</v>
      </c>
      <c r="H57" s="253" t="str">
        <f>IF(Item1.3LPP.OnHold4[[#This Row],[Pipe]]&lt;&gt;"",IF(COUNTIF(Item1.3LPP.OnHold46[Pipe],D57)&gt;0,"Sim","Não"),"")</f>
        <v>Não</v>
      </c>
      <c r="I57" s="253">
        <f>IF(Item1.3LPP.OnHold4[[#This Row],[Pipe]]&lt;&gt;"",COUNTIF(Item1.3LPP.OnHold46[Pipe],D57),"")</f>
        <v>0</v>
      </c>
      <c r="J57" s="445"/>
    </row>
    <row r="58" spans="1:10">
      <c r="A58" s="223">
        <v>29</v>
      </c>
      <c r="B58" s="453">
        <v>46218</v>
      </c>
      <c r="C58" s="235">
        <v>3</v>
      </c>
      <c r="D58" s="255" t="s">
        <v>595</v>
      </c>
      <c r="E58" s="253" t="s">
        <v>570</v>
      </c>
      <c r="F58" s="253" t="s">
        <v>171</v>
      </c>
      <c r="G58" s="481">
        <f>IF(Item1.3LPP.OnHold4[[#This Row],[Pipe]]&lt;&gt;"",COUNTIF(Item1.3LPP.OnHold4[Pipe],D58),"")</f>
        <v>1</v>
      </c>
      <c r="H58" s="253" t="str">
        <f>IF(Item1.3LPP.OnHold4[[#This Row],[Pipe]]&lt;&gt;"",IF(COUNTIF(Item1.3LPP.OnHold46[Pipe],D58)&gt;0,"Sim","Não"),"")</f>
        <v>Sim</v>
      </c>
      <c r="I58" s="253">
        <f>IF(Item1.3LPP.OnHold4[[#This Row],[Pipe]]&lt;&gt;"",COUNTIF(Item1.3LPP.OnHold46[Pipe],D58),"")</f>
        <v>1</v>
      </c>
      <c r="J58" s="445"/>
    </row>
    <row r="59" spans="1:10">
      <c r="A59" s="223">
        <v>29</v>
      </c>
      <c r="B59" s="453">
        <v>46218</v>
      </c>
      <c r="C59" s="235">
        <v>3</v>
      </c>
      <c r="D59" s="251" t="s">
        <v>596</v>
      </c>
      <c r="E59" s="253" t="s">
        <v>589</v>
      </c>
      <c r="F59" s="253" t="s">
        <v>171</v>
      </c>
      <c r="G59" s="481">
        <f>IF(Item1.3LPP.OnHold4[[#This Row],[Pipe]]&lt;&gt;"",COUNTIF(Item1.3LPP.OnHold4[Pipe],D59),"")</f>
        <v>1</v>
      </c>
      <c r="H59" s="253" t="str">
        <f>IF(Item1.3LPP.OnHold4[[#This Row],[Pipe]]&lt;&gt;"",IF(COUNTIF(Item1.3LPP.OnHold46[Pipe],D59)&gt;0,"Sim","Não"),"")</f>
        <v>Não</v>
      </c>
      <c r="I59" s="253">
        <f>IF(Item1.3LPP.OnHold4[[#This Row],[Pipe]]&lt;&gt;"",COUNTIF(Item1.3LPP.OnHold46[Pipe],D59),"")</f>
        <v>0</v>
      </c>
      <c r="J59" s="445"/>
    </row>
    <row r="60" spans="1:10">
      <c r="A60" s="223">
        <v>29</v>
      </c>
      <c r="B60" s="453">
        <v>46218</v>
      </c>
      <c r="C60" s="235">
        <v>3</v>
      </c>
      <c r="D60" s="255" t="s">
        <v>580</v>
      </c>
      <c r="E60" s="253" t="s">
        <v>597</v>
      </c>
      <c r="F60" s="253" t="s">
        <v>171</v>
      </c>
      <c r="G60" s="481">
        <f>IF(Item1.3LPP.OnHold4[[#This Row],[Pipe]]&lt;&gt;"",COUNTIF(Item1.3LPP.OnHold4[Pipe],D60),"")</f>
        <v>2</v>
      </c>
      <c r="H60" s="260" t="str">
        <f>IF(Item1.3LPP.OnHold4[[#This Row],[Pipe]]&lt;&gt;"",IF(COUNTIF(Item1.3LPP.OnHold46[Pipe],D60)&gt;0,"Sim","Não"),"")</f>
        <v>Sim</v>
      </c>
      <c r="I60" s="260">
        <f>IF(Item1.3LPP.OnHold4[[#This Row],[Pipe]]&lt;&gt;"",COUNTIF(Item1.3LPP.OnHold46[Pipe],D60),"")</f>
        <v>1</v>
      </c>
      <c r="J60" s="447"/>
    </row>
    <row r="61" spans="1:10">
      <c r="A61" s="223">
        <v>29</v>
      </c>
      <c r="B61" s="453">
        <v>46218</v>
      </c>
      <c r="C61" s="235">
        <v>3</v>
      </c>
      <c r="D61" s="255" t="s">
        <v>165</v>
      </c>
      <c r="E61" s="253" t="s">
        <v>570</v>
      </c>
      <c r="F61" s="253" t="s">
        <v>171</v>
      </c>
      <c r="G61" s="481">
        <f>IF(Item1.3LPP.OnHold4[[#This Row],[Pipe]]&lt;&gt;"",COUNTIF(Item1.3LPP.OnHold4[Pipe],D61),"")</f>
        <v>1</v>
      </c>
      <c r="H61" s="260" t="str">
        <f>IF(Item1.3LPP.OnHold4[[#This Row],[Pipe]]&lt;&gt;"",IF(COUNTIF(Item1.3LPP.OnHold46[Pipe],D61)&gt;0,"Sim","Não"),"")</f>
        <v>Sim</v>
      </c>
      <c r="I61" s="260">
        <f>IF(Item1.3LPP.OnHold4[[#This Row],[Pipe]]&lt;&gt;"",COUNTIF(Item1.3LPP.OnHold46[Pipe],D61),"")</f>
        <v>1</v>
      </c>
      <c r="J61" s="447" t="s">
        <v>598</v>
      </c>
    </row>
    <row r="62" spans="1:10">
      <c r="A62" s="223">
        <v>29</v>
      </c>
      <c r="B62" s="453">
        <v>46219</v>
      </c>
      <c r="C62" s="224">
        <v>1</v>
      </c>
      <c r="D62" s="251" t="s">
        <v>599</v>
      </c>
      <c r="E62" s="253" t="s">
        <v>570</v>
      </c>
      <c r="F62" s="253" t="s">
        <v>171</v>
      </c>
      <c r="G62" s="481">
        <f>IF(Item1.3LPP.OnHold4[[#This Row],[Pipe]]&lt;&gt;"",COUNTIF(Item1.3LPP.OnHold4[Pipe],D62),"")</f>
        <v>1</v>
      </c>
      <c r="H62" s="253" t="str">
        <f>IF(Item1.3LPP.OnHold4[[#This Row],[Pipe]]&lt;&gt;"",IF(COUNTIF(Item1.3LPP.OnHold46[Pipe],D62)&gt;0,"Sim","Não"),"")</f>
        <v>Sim</v>
      </c>
      <c r="I62" s="253">
        <f>IF(Item1.3LPP.OnHold4[[#This Row],[Pipe]]&lt;&gt;"",COUNTIF(Item1.3LPP.OnHold46[Pipe],D62),"")</f>
        <v>2</v>
      </c>
      <c r="J62" s="445"/>
    </row>
    <row r="63" spans="1:10">
      <c r="A63" s="223">
        <v>29</v>
      </c>
      <c r="B63" s="453">
        <v>46219</v>
      </c>
      <c r="C63" s="224">
        <v>1</v>
      </c>
      <c r="D63" s="255" t="s">
        <v>600</v>
      </c>
      <c r="E63" s="253" t="s">
        <v>570</v>
      </c>
      <c r="F63" s="253" t="s">
        <v>171</v>
      </c>
      <c r="G63" s="481">
        <f>IF(Item1.3LPP.OnHold4[[#This Row],[Pipe]]&lt;&gt;"",COUNTIF(Item1.3LPP.OnHold4[Pipe],D63),"")</f>
        <v>1</v>
      </c>
      <c r="H63" s="260" t="str">
        <f>IF(Item1.3LPP.OnHold4[[#This Row],[Pipe]]&lt;&gt;"",IF(COUNTIF(Item1.3LPP.OnHold46[Pipe],D63)&gt;0,"Sim","Não"),"")</f>
        <v>Não</v>
      </c>
      <c r="I63" s="260">
        <f>IF(Item1.3LPP.OnHold4[[#This Row],[Pipe]]&lt;&gt;"",COUNTIF(Item1.3LPP.OnHold46[Pipe],D63),"")</f>
        <v>0</v>
      </c>
      <c r="J63" s="447"/>
    </row>
    <row r="64" spans="1:10">
      <c r="A64" s="223">
        <v>29</v>
      </c>
      <c r="B64" s="453">
        <v>46219</v>
      </c>
      <c r="C64" s="224">
        <v>1</v>
      </c>
      <c r="D64" s="255" t="s">
        <v>601</v>
      </c>
      <c r="E64" s="253" t="s">
        <v>570</v>
      </c>
      <c r="F64" s="253" t="s">
        <v>171</v>
      </c>
      <c r="G64" s="481">
        <f>IF(Item1.3LPP.OnHold4[[#This Row],[Pipe]]&lt;&gt;"",COUNTIF(Item1.3LPP.OnHold4[Pipe],D64),"")</f>
        <v>1</v>
      </c>
      <c r="H64" s="260" t="str">
        <f>IF(Item1.3LPP.OnHold4[[#This Row],[Pipe]]&lt;&gt;"",IF(COUNTIF(Item1.3LPP.OnHold46[Pipe],D64)&gt;0,"Sim","Não"),"")</f>
        <v>Sim</v>
      </c>
      <c r="I64" s="260">
        <f>IF(Item1.3LPP.OnHold4[[#This Row],[Pipe]]&lt;&gt;"",COUNTIF(Item1.3LPP.OnHold46[Pipe],D64),"")</f>
        <v>1</v>
      </c>
      <c r="J64" s="447"/>
    </row>
    <row r="65" spans="1:10">
      <c r="A65" s="223">
        <v>29</v>
      </c>
      <c r="B65" s="453">
        <v>46219</v>
      </c>
      <c r="C65" s="224">
        <v>1</v>
      </c>
      <c r="D65" s="255" t="s">
        <v>168</v>
      </c>
      <c r="E65" s="253" t="s">
        <v>570</v>
      </c>
      <c r="F65" s="253" t="s">
        <v>171</v>
      </c>
      <c r="G65" s="481">
        <f>IF(Item1.3LPP.OnHold4[[#This Row],[Pipe]]&lt;&gt;"",COUNTIF(Item1.3LPP.OnHold4[Pipe],D65),"")</f>
        <v>1</v>
      </c>
      <c r="H65" s="260" t="str">
        <f>IF(Item1.3LPP.OnHold4[[#This Row],[Pipe]]&lt;&gt;"",IF(COUNTIF(Item1.3LPP.OnHold46[Pipe],D65)&gt;0,"Sim","Não"),"")</f>
        <v>Sim</v>
      </c>
      <c r="I65" s="260">
        <f>IF(Item1.3LPP.OnHold4[[#This Row],[Pipe]]&lt;&gt;"",COUNTIF(Item1.3LPP.OnHold46[Pipe],D65),"")</f>
        <v>1</v>
      </c>
      <c r="J65" s="447" t="s">
        <v>598</v>
      </c>
    </row>
    <row r="66" spans="1:10">
      <c r="A66" s="223">
        <v>29</v>
      </c>
      <c r="B66" s="453">
        <v>46219</v>
      </c>
      <c r="C66" s="224">
        <v>2</v>
      </c>
      <c r="D66" s="255" t="s">
        <v>170</v>
      </c>
      <c r="E66" s="253" t="s">
        <v>570</v>
      </c>
      <c r="F66" s="253" t="s">
        <v>171</v>
      </c>
      <c r="G66" s="481">
        <f>IF(Item1.3LPP.OnHold4[[#This Row],[Pipe]]&lt;&gt;"",COUNTIF(Item1.3LPP.OnHold4[Pipe],D66),"")</f>
        <v>1</v>
      </c>
      <c r="H66" s="260" t="str">
        <f>IF(Item1.3LPP.OnHold4[[#This Row],[Pipe]]&lt;&gt;"",IF(COUNTIF(Item1.3LPP.OnHold46[Pipe],D66)&gt;0,"Sim","Não"),"")</f>
        <v>Não</v>
      </c>
      <c r="I66" s="260">
        <f>IF(Item1.3LPP.OnHold4[[#This Row],[Pipe]]&lt;&gt;"",COUNTIF(Item1.3LPP.OnHold46[Pipe],D66),"")</f>
        <v>0</v>
      </c>
      <c r="J66" s="447" t="s">
        <v>573</v>
      </c>
    </row>
    <row r="67" spans="1:10">
      <c r="A67" s="223">
        <v>29</v>
      </c>
      <c r="B67" s="453">
        <v>46219</v>
      </c>
      <c r="C67" s="224">
        <v>2</v>
      </c>
      <c r="D67" s="255" t="s">
        <v>172</v>
      </c>
      <c r="E67" s="253" t="s">
        <v>570</v>
      </c>
      <c r="F67" s="253" t="s">
        <v>171</v>
      </c>
      <c r="G67" s="481">
        <f>IF(Item1.3LPP.OnHold4[[#This Row],[Pipe]]&lt;&gt;"",COUNTIF(Item1.3LPP.OnHold4[Pipe],D67),"")</f>
        <v>1</v>
      </c>
      <c r="H67" s="260" t="str">
        <f>IF(Item1.3LPP.OnHold4[[#This Row],[Pipe]]&lt;&gt;"",IF(COUNTIF(Item1.3LPP.OnHold46[Pipe],D67)&gt;0,"Sim","Não"),"")</f>
        <v>Não</v>
      </c>
      <c r="I67" s="260">
        <f>IF(Item1.3LPP.OnHold4[[#This Row],[Pipe]]&lt;&gt;"",COUNTIF(Item1.3LPP.OnHold46[Pipe],D67),"")</f>
        <v>0</v>
      </c>
      <c r="J67" s="447" t="s">
        <v>573</v>
      </c>
    </row>
    <row r="68" spans="1:10">
      <c r="A68" s="223">
        <v>29</v>
      </c>
      <c r="B68" s="453">
        <v>46219</v>
      </c>
      <c r="C68" s="235">
        <v>2</v>
      </c>
      <c r="D68" s="251" t="s">
        <v>457</v>
      </c>
      <c r="E68" s="253" t="s">
        <v>439</v>
      </c>
      <c r="F68" s="253" t="s">
        <v>171</v>
      </c>
      <c r="G68" s="481">
        <f>IF(Item1.3LPP.OnHold4[[#This Row],[Pipe]]&lt;&gt;"",COUNTIF(Item1.3LPP.OnHold4[Pipe],D68),"")</f>
        <v>1</v>
      </c>
      <c r="H68" s="260" t="str">
        <f>IF(Item1.3LPP.OnHold4[[#This Row],[Pipe]]&lt;&gt;"",IF(COUNTIF(Item1.3LPP.OnHold46[Pipe],D68)&gt;0,"Sim","Não"),"")</f>
        <v>Não</v>
      </c>
      <c r="I68" s="260">
        <f>IF(Item1.3LPP.OnHold4[[#This Row],[Pipe]]&lt;&gt;"",COUNTIF(Item1.3LPP.OnHold46[Pipe],D68),"")</f>
        <v>0</v>
      </c>
      <c r="J68" s="447"/>
    </row>
    <row r="69" spans="1:10">
      <c r="A69" s="223">
        <v>29</v>
      </c>
      <c r="B69" s="453">
        <v>46219</v>
      </c>
      <c r="C69" s="235">
        <v>2</v>
      </c>
      <c r="D69" s="251" t="s">
        <v>459</v>
      </c>
      <c r="E69" s="253" t="s">
        <v>439</v>
      </c>
      <c r="F69" s="253" t="s">
        <v>171</v>
      </c>
      <c r="G69" s="481">
        <f>IF(Item1.3LPP.OnHold4[[#This Row],[Pipe]]&lt;&gt;"",COUNTIF(Item1.3LPP.OnHold4[Pipe],D69),"")</f>
        <v>1</v>
      </c>
      <c r="H69" s="253" t="str">
        <f>IF(Item1.3LPP.OnHold4[[#This Row],[Pipe]]&lt;&gt;"",IF(COUNTIF(Item1.3LPP.OnHold46[Pipe],D69)&gt;0,"Sim","Não"),"")</f>
        <v>Não</v>
      </c>
      <c r="I69" s="253">
        <f>IF(Item1.3LPP.OnHold4[[#This Row],[Pipe]]&lt;&gt;"",COUNTIF(Item1.3LPP.OnHold46[Pipe],D69),"")</f>
        <v>0</v>
      </c>
      <c r="J69" s="445"/>
    </row>
    <row r="70" spans="1:10">
      <c r="A70" s="223">
        <v>29</v>
      </c>
      <c r="B70" s="453">
        <v>46219</v>
      </c>
      <c r="C70" s="235">
        <v>2</v>
      </c>
      <c r="D70" s="251" t="s">
        <v>460</v>
      </c>
      <c r="E70" s="253" t="s">
        <v>439</v>
      </c>
      <c r="F70" s="253" t="s">
        <v>171</v>
      </c>
      <c r="G70" s="481">
        <f>IF(Item1.3LPP.OnHold4[[#This Row],[Pipe]]&lt;&gt;"",COUNTIF(Item1.3LPP.OnHold4[Pipe],D70),"")</f>
        <v>1</v>
      </c>
      <c r="H70" s="260" t="str">
        <f>IF(Item1.3LPP.OnHold4[[#This Row],[Pipe]]&lt;&gt;"",IF(COUNTIF(Item1.3LPP.OnHold46[Pipe],D70)&gt;0,"Sim","Não"),"")</f>
        <v>Não</v>
      </c>
      <c r="I70" s="260">
        <f>IF(Item1.3LPP.OnHold4[[#This Row],[Pipe]]&lt;&gt;"",COUNTIF(Item1.3LPP.OnHold46[Pipe],D70),"")</f>
        <v>0</v>
      </c>
      <c r="J70" s="447"/>
    </row>
    <row r="71" spans="1:10">
      <c r="A71" s="223">
        <v>29</v>
      </c>
      <c r="B71" s="453">
        <v>46219</v>
      </c>
      <c r="C71" s="235">
        <v>2</v>
      </c>
      <c r="D71" s="251" t="s">
        <v>461</v>
      </c>
      <c r="E71" s="253" t="s">
        <v>439</v>
      </c>
      <c r="F71" s="253" t="s">
        <v>171</v>
      </c>
      <c r="G71" s="481">
        <f>IF(Item1.3LPP.OnHold4[[#This Row],[Pipe]]&lt;&gt;"",COUNTIF(Item1.3LPP.OnHold4[Pipe],D71),"")</f>
        <v>1</v>
      </c>
      <c r="H71" s="260" t="str">
        <f>IF(Item1.3LPP.OnHold4[[#This Row],[Pipe]]&lt;&gt;"",IF(COUNTIF(Item1.3LPP.OnHold46[Pipe],D71)&gt;0,"Sim","Não"),"")</f>
        <v>Não</v>
      </c>
      <c r="I71" s="260">
        <f>IF(Item1.3LPP.OnHold4[[#This Row],[Pipe]]&lt;&gt;"",COUNTIF(Item1.3LPP.OnHold46[Pipe],D71),"")</f>
        <v>0</v>
      </c>
      <c r="J71" s="447"/>
    </row>
    <row r="72" spans="1:10">
      <c r="A72" s="238">
        <v>29</v>
      </c>
      <c r="B72" s="453">
        <v>46219</v>
      </c>
      <c r="C72" s="235">
        <v>3</v>
      </c>
      <c r="D72" s="251" t="s">
        <v>174</v>
      </c>
      <c r="E72" s="253" t="s">
        <v>570</v>
      </c>
      <c r="F72" s="253" t="s">
        <v>171</v>
      </c>
      <c r="G72" s="481">
        <f>IF(Item1.3LPP.OnHold4[[#This Row],[Pipe]]&lt;&gt;"",COUNTIF(Item1.3LPP.OnHold4[Pipe],D72),"")</f>
        <v>1</v>
      </c>
      <c r="H72" s="260" t="str">
        <f>IF(Item1.3LPP.OnHold4[[#This Row],[Pipe]]&lt;&gt;"",IF(COUNTIF(Item1.3LPP.OnHold46[Pipe],D72)&gt;0,"Sim","Não"),"")</f>
        <v>Não</v>
      </c>
      <c r="I72" s="260">
        <f>IF(Item1.3LPP.OnHold4[[#This Row],[Pipe]]&lt;&gt;"",COUNTIF(Item1.3LPP.OnHold46[Pipe],D72),"")</f>
        <v>0</v>
      </c>
      <c r="J72" s="447" t="s">
        <v>573</v>
      </c>
    </row>
    <row r="73" spans="1:10">
      <c r="A73" s="223">
        <v>29</v>
      </c>
      <c r="B73" s="453">
        <v>46219</v>
      </c>
      <c r="C73" s="224">
        <v>3</v>
      </c>
      <c r="D73" s="251" t="s">
        <v>182</v>
      </c>
      <c r="E73" s="413" t="s">
        <v>466</v>
      </c>
      <c r="F73" s="253" t="s">
        <v>171</v>
      </c>
      <c r="G73" s="481">
        <f>IF(Item1.3LPP.OnHold4[[#This Row],[Pipe]]&lt;&gt;"",COUNTIF(Item1.3LPP.OnHold4[Pipe],D73),"")</f>
        <v>1</v>
      </c>
      <c r="H73" s="253" t="str">
        <f>IF(Item1.3LPP.OnHold4[[#This Row],[Pipe]]&lt;&gt;"",IF(COUNTIF(Item1.3LPP.OnHold46[Pipe],D73)&gt;0,"Sim","Não"),"")</f>
        <v>Sim</v>
      </c>
      <c r="I73" s="253">
        <f>IF(Item1.3LPP.OnHold4[[#This Row],[Pipe]]&lt;&gt;"",COUNTIF(Item1.3LPP.OnHold46[Pipe],D73),"")</f>
        <v>1</v>
      </c>
      <c r="J73" s="253"/>
    </row>
    <row r="74" spans="1:10">
      <c r="A74" s="223">
        <v>29</v>
      </c>
      <c r="B74" s="453">
        <v>46219</v>
      </c>
      <c r="C74" s="235">
        <v>3</v>
      </c>
      <c r="D74" s="251" t="s">
        <v>467</v>
      </c>
      <c r="E74" s="413" t="s">
        <v>466</v>
      </c>
      <c r="F74" s="253" t="s">
        <v>171</v>
      </c>
      <c r="G74" s="481">
        <f>IF(Item1.3LPP.OnHold4[[#This Row],[Pipe]]&lt;&gt;"",COUNTIF(Item1.3LPP.OnHold4[Pipe],D74),"")</f>
        <v>1</v>
      </c>
      <c r="H74" s="253" t="str">
        <f>IF(Item1.3LPP.OnHold4[[#This Row],[Pipe]]&lt;&gt;"",IF(COUNTIF(Item1.3LPP.OnHold46[Pipe],D74)&gt;0,"Sim","Não"),"")</f>
        <v>Sim</v>
      </c>
      <c r="I74" s="253">
        <f>IF(Item1.3LPP.OnHold4[[#This Row],[Pipe]]&lt;&gt;"",COUNTIF(Item1.3LPP.OnHold46[Pipe],D74),"")</f>
        <v>1</v>
      </c>
      <c r="J74" s="253"/>
    </row>
    <row r="75" spans="1:10">
      <c r="A75" s="223">
        <v>29</v>
      </c>
      <c r="B75" s="453">
        <v>46220</v>
      </c>
      <c r="C75" s="235">
        <v>1</v>
      </c>
      <c r="D75" s="251" t="s">
        <v>602</v>
      </c>
      <c r="E75" s="253" t="s">
        <v>575</v>
      </c>
      <c r="F75" s="253" t="s">
        <v>347</v>
      </c>
      <c r="G75" s="481">
        <f>IF(Item1.3LPP.OnHold4[[#This Row],[Pipe]]&lt;&gt;"",COUNTIF(Item1.3LPP.OnHold4[Pipe],D75),"")</f>
        <v>1</v>
      </c>
      <c r="H75" s="253" t="str">
        <f>IF(Item1.3LPP.OnHold4[[#This Row],[Pipe]]&lt;&gt;"",IF(COUNTIF(Item1.3LPP.OnHold46[Pipe],D75)&gt;0,"Sim","Não"),"")</f>
        <v>Não</v>
      </c>
      <c r="I75" s="253">
        <f>IF(Item1.3LPP.OnHold4[[#This Row],[Pipe]]&lt;&gt;"",COUNTIF(Item1.3LPP.OnHold46[Pipe],D75),"")</f>
        <v>0</v>
      </c>
      <c r="J75" s="445" t="s">
        <v>603</v>
      </c>
    </row>
    <row r="76" spans="1:10">
      <c r="A76" s="223">
        <v>29</v>
      </c>
      <c r="B76" s="453">
        <v>46220</v>
      </c>
      <c r="C76" s="235">
        <v>1</v>
      </c>
      <c r="D76" s="251" t="s">
        <v>604</v>
      </c>
      <c r="E76" s="253" t="s">
        <v>605</v>
      </c>
      <c r="F76" s="253" t="s">
        <v>347</v>
      </c>
      <c r="G76" s="481">
        <f>IF(Item1.3LPP.OnHold4[[#This Row],[Pipe]]&lt;&gt;"",COUNTIF(Item1.3LPP.OnHold4[Pipe],D76),"")</f>
        <v>1</v>
      </c>
      <c r="H76" s="253" t="str">
        <f>IF(Item1.3LPP.OnHold4[[#This Row],[Pipe]]&lt;&gt;"",IF(COUNTIF(Item1.3LPP.OnHold46[Pipe],D76)&gt;0,"Sim","Não"),"")</f>
        <v>Não</v>
      </c>
      <c r="I76" s="253">
        <f>IF(Item1.3LPP.OnHold4[[#This Row],[Pipe]]&lt;&gt;"",COUNTIF(Item1.3LPP.OnHold46[Pipe],D76),"")</f>
        <v>0</v>
      </c>
      <c r="J76" s="445" t="s">
        <v>603</v>
      </c>
    </row>
    <row r="77" spans="1:10">
      <c r="A77" s="223">
        <v>29</v>
      </c>
      <c r="B77" s="453">
        <v>46220</v>
      </c>
      <c r="C77" s="235">
        <v>1</v>
      </c>
      <c r="D77" s="251" t="s">
        <v>606</v>
      </c>
      <c r="E77" s="253" t="s">
        <v>575</v>
      </c>
      <c r="F77" s="253" t="s">
        <v>347</v>
      </c>
      <c r="G77" s="481">
        <f>IF(Item1.3LPP.OnHold4[[#This Row],[Pipe]]&lt;&gt;"",COUNTIF(Item1.3LPP.OnHold4[Pipe],D77),"")</f>
        <v>1</v>
      </c>
      <c r="H77" s="253" t="str">
        <f>IF(Item1.3LPP.OnHold4[[#This Row],[Pipe]]&lt;&gt;"",IF(COUNTIF(Item1.3LPP.OnHold46[Pipe],D77)&gt;0,"Sim","Não"),"")</f>
        <v>Não</v>
      </c>
      <c r="I77" s="253">
        <f>IF(Item1.3LPP.OnHold4[[#This Row],[Pipe]]&lt;&gt;"",COUNTIF(Item1.3LPP.OnHold46[Pipe],D77),"")</f>
        <v>0</v>
      </c>
      <c r="J77" s="445" t="s">
        <v>603</v>
      </c>
    </row>
    <row r="78" spans="1:10">
      <c r="A78" s="223">
        <v>29</v>
      </c>
      <c r="B78" s="453">
        <v>46220</v>
      </c>
      <c r="C78" s="235">
        <v>1</v>
      </c>
      <c r="D78" s="251" t="s">
        <v>177</v>
      </c>
      <c r="E78" s="253" t="s">
        <v>570</v>
      </c>
      <c r="F78" s="253" t="s">
        <v>171</v>
      </c>
      <c r="G78" s="481">
        <f>IF(Item1.3LPP.OnHold4[[#This Row],[Pipe]]&lt;&gt;"",COUNTIF(Item1.3LPP.OnHold4[Pipe],D78),"")</f>
        <v>1</v>
      </c>
      <c r="H78" s="260" t="str">
        <f>IF(Item1.3LPP.OnHold4[[#This Row],[Pipe]]&lt;&gt;"",IF(COUNTIF(Item1.3LPP.OnHold46[Pipe],D78)&gt;0,"Sim","Não"),"")</f>
        <v>Não</v>
      </c>
      <c r="I78" s="260">
        <f>IF(Item1.3LPP.OnHold4[[#This Row],[Pipe]]&lt;&gt;"",COUNTIF(Item1.3LPP.OnHold46[Pipe],D78),"")</f>
        <v>0</v>
      </c>
      <c r="J78" s="447" t="s">
        <v>573</v>
      </c>
    </row>
    <row r="79" spans="1:10">
      <c r="A79" s="223">
        <v>29</v>
      </c>
      <c r="B79" s="453">
        <v>46220</v>
      </c>
      <c r="C79" s="235">
        <v>2</v>
      </c>
      <c r="D79" s="251" t="s">
        <v>179</v>
      </c>
      <c r="E79" s="253" t="s">
        <v>570</v>
      </c>
      <c r="F79" s="253" t="s">
        <v>171</v>
      </c>
      <c r="G79" s="481">
        <f>IF(Item1.3LPP.OnHold4[[#This Row],[Pipe]]&lt;&gt;"",COUNTIF(Item1.3LPP.OnHold4[Pipe],D79),"")</f>
        <v>1</v>
      </c>
      <c r="H79" s="260" t="str">
        <f>IF(Item1.3LPP.OnHold4[[#This Row],[Pipe]]&lt;&gt;"",IF(COUNTIF(Item1.3LPP.OnHold46[Pipe],D79)&gt;0,"Sim","Não"),"")</f>
        <v>Não</v>
      </c>
      <c r="I79" s="260">
        <f>IF(Item1.3LPP.OnHold4[[#This Row],[Pipe]]&lt;&gt;"",COUNTIF(Item1.3LPP.OnHold46[Pipe],D79),"")</f>
        <v>0</v>
      </c>
      <c r="J79" s="447" t="s">
        <v>573</v>
      </c>
    </row>
    <row r="80" spans="1:10">
      <c r="A80" s="223">
        <v>29</v>
      </c>
      <c r="B80" s="453">
        <v>46220</v>
      </c>
      <c r="C80" s="235">
        <v>3</v>
      </c>
      <c r="D80" s="251" t="s">
        <v>181</v>
      </c>
      <c r="E80" s="253" t="s">
        <v>570</v>
      </c>
      <c r="F80" s="253" t="s">
        <v>171</v>
      </c>
      <c r="G80" s="481">
        <f>IF(Item1.3LPP.OnHold4[[#This Row],[Pipe]]&lt;&gt;"",COUNTIF(Item1.3LPP.OnHold4[Pipe],D80),"")</f>
        <v>1</v>
      </c>
      <c r="H80" s="260" t="str">
        <f>IF(Item1.3LPP.OnHold4[[#This Row],[Pipe]]&lt;&gt;"",IF(COUNTIF(Item1.3LPP.OnHold46[Pipe],D80)&gt;0,"Sim","Não"),"")</f>
        <v>Sim</v>
      </c>
      <c r="I80" s="260">
        <f>IF(Item1.3LPP.OnHold4[[#This Row],[Pipe]]&lt;&gt;"",COUNTIF(Item1.3LPP.OnHold46[Pipe],D80),"")</f>
        <v>1</v>
      </c>
      <c r="J80" s="447" t="s">
        <v>573</v>
      </c>
    </row>
    <row r="81" spans="1:10">
      <c r="A81" s="223">
        <v>29</v>
      </c>
      <c r="B81" s="453">
        <v>46221</v>
      </c>
      <c r="C81" s="224">
        <v>1</v>
      </c>
      <c r="D81" s="251" t="s">
        <v>484</v>
      </c>
      <c r="E81" s="253" t="s">
        <v>485</v>
      </c>
      <c r="F81" s="253" t="s">
        <v>171</v>
      </c>
      <c r="G81" s="481">
        <f>IF(Item1.3LPP.OnHold4[[#This Row],[Pipe]]&lt;&gt;"",COUNTIF(Item1.3LPP.OnHold4[Pipe],D81),"")</f>
        <v>1</v>
      </c>
      <c r="H81" s="260" t="str">
        <f>IF(Item1.3LPP.OnHold4[[#This Row],[Pipe]]&lt;&gt;"",IF(COUNTIF(Item1.3LPP.OnHold46[Pipe],D81)&gt;0,"Sim","Não"),"")</f>
        <v>Sim</v>
      </c>
      <c r="I81" s="260">
        <f>IF(Item1.3LPP.OnHold4[[#This Row],[Pipe]]&lt;&gt;"",COUNTIF(Item1.3LPP.OnHold46[Pipe],D81),"")</f>
        <v>1</v>
      </c>
      <c r="J81" s="447" t="s">
        <v>573</v>
      </c>
    </row>
    <row r="82" spans="1:10">
      <c r="A82" s="223">
        <v>29</v>
      </c>
      <c r="B82" s="453">
        <v>46221</v>
      </c>
      <c r="C82" s="224">
        <v>1</v>
      </c>
      <c r="D82" s="251" t="s">
        <v>487</v>
      </c>
      <c r="E82" s="253" t="s">
        <v>485</v>
      </c>
      <c r="F82" s="253" t="s">
        <v>171</v>
      </c>
      <c r="G82" s="481">
        <f>IF(Item1.3LPP.OnHold4[[#This Row],[Pipe]]&lt;&gt;"",COUNTIF(Item1.3LPP.OnHold4[Pipe],D82),"")</f>
        <v>1</v>
      </c>
      <c r="H82" s="253" t="str">
        <f>IF(Item1.3LPP.OnHold4[[#This Row],[Pipe]]&lt;&gt;"",IF(COUNTIF(Item1.3LPP.OnHold46[Pipe],D82)&gt;0,"Sim","Não"),"")</f>
        <v>Não</v>
      </c>
      <c r="I82" s="253">
        <f>IF(Item1.3LPP.OnHold4[[#This Row],[Pipe]]&lt;&gt;"",COUNTIF(Item1.3LPP.OnHold46[Pipe],D82),"")</f>
        <v>0</v>
      </c>
      <c r="J82" s="253"/>
    </row>
    <row r="83" spans="1:10">
      <c r="A83" s="223">
        <v>29</v>
      </c>
      <c r="B83" s="453">
        <v>46221</v>
      </c>
      <c r="C83" s="235">
        <v>1</v>
      </c>
      <c r="D83" s="251" t="s">
        <v>184</v>
      </c>
      <c r="E83" s="253" t="s">
        <v>570</v>
      </c>
      <c r="F83" s="253" t="s">
        <v>171</v>
      </c>
      <c r="G83" s="481">
        <f>IF(Item1.3LPP.OnHold4[[#This Row],[Pipe]]&lt;&gt;"",COUNTIF(Item1.3LPP.OnHold4[Pipe],D83),"")</f>
        <v>1</v>
      </c>
      <c r="H83" s="260" t="str">
        <f>IF(Item1.3LPP.OnHold4[[#This Row],[Pipe]]&lt;&gt;"",IF(COUNTIF(Item1.3LPP.OnHold46[Pipe],D83)&gt;0,"Sim","Não"),"")</f>
        <v>Não</v>
      </c>
      <c r="I83" s="260">
        <f>IF(Item1.3LPP.OnHold4[[#This Row],[Pipe]]&lt;&gt;"",COUNTIF(Item1.3LPP.OnHold46[Pipe],D83),"")</f>
        <v>0</v>
      </c>
      <c r="J83" s="447" t="s">
        <v>573</v>
      </c>
    </row>
    <row r="84" spans="1:10">
      <c r="A84" s="223">
        <v>29</v>
      </c>
      <c r="B84" s="453">
        <v>46221</v>
      </c>
      <c r="C84" s="235">
        <v>2</v>
      </c>
      <c r="D84" s="251" t="s">
        <v>186</v>
      </c>
      <c r="E84" s="253" t="s">
        <v>570</v>
      </c>
      <c r="F84" s="253" t="s">
        <v>171</v>
      </c>
      <c r="G84" s="481">
        <f>IF(Item1.3LPP.OnHold4[[#This Row],[Pipe]]&lt;&gt;"",COUNTIF(Item1.3LPP.OnHold4[Pipe],D84),"")</f>
        <v>1</v>
      </c>
      <c r="H84" s="260" t="str">
        <f>IF(Item1.3LPP.OnHold4[[#This Row],[Pipe]]&lt;&gt;"",IF(COUNTIF(Item1.3LPP.OnHold46[Pipe],D84)&gt;0,"Sim","Não"),"")</f>
        <v>Não</v>
      </c>
      <c r="I84" s="260">
        <f>IF(Item1.3LPP.OnHold4[[#This Row],[Pipe]]&lt;&gt;"",COUNTIF(Item1.3LPP.OnHold46[Pipe],D84),"")</f>
        <v>0</v>
      </c>
      <c r="J84" s="447" t="s">
        <v>573</v>
      </c>
    </row>
    <row r="85" spans="1:10">
      <c r="A85" s="223">
        <v>29</v>
      </c>
      <c r="B85" s="453">
        <v>46222</v>
      </c>
      <c r="C85" s="235">
        <v>3</v>
      </c>
      <c r="D85" s="251" t="s">
        <v>193</v>
      </c>
      <c r="E85" s="253" t="s">
        <v>570</v>
      </c>
      <c r="F85" s="253" t="s">
        <v>171</v>
      </c>
      <c r="G85" s="481">
        <f>IF(Item1.3LPP.OnHold4[[#This Row],[Pipe]]&lt;&gt;"",COUNTIF(Item1.3LPP.OnHold4[Pipe],D85),"")</f>
        <v>1</v>
      </c>
      <c r="H85" s="260" t="str">
        <f>IF(Item1.3LPP.OnHold4[[#This Row],[Pipe]]&lt;&gt;"",IF(COUNTIF(Item1.3LPP.OnHold46[Pipe],D85)&gt;0,"Sim","Não"),"")</f>
        <v>Sim</v>
      </c>
      <c r="I85" s="260">
        <f>IF(Item1.3LPP.OnHold4[[#This Row],[Pipe]]&lt;&gt;"",COUNTIF(Item1.3LPP.OnHold46[Pipe],D85),"")</f>
        <v>3</v>
      </c>
      <c r="J85" s="447" t="s">
        <v>573</v>
      </c>
    </row>
    <row r="86" spans="1:10">
      <c r="A86" s="223">
        <v>29</v>
      </c>
      <c r="B86" s="453">
        <v>46222</v>
      </c>
      <c r="C86" s="235">
        <v>3</v>
      </c>
      <c r="D86" s="251" t="s">
        <v>607</v>
      </c>
      <c r="E86" s="253" t="s">
        <v>570</v>
      </c>
      <c r="F86" s="253" t="s">
        <v>171</v>
      </c>
      <c r="G86" s="481">
        <f>IF(Item1.3LPP.OnHold4[[#This Row],[Pipe]]&lt;&gt;"",COUNTIF(Item1.3LPP.OnHold4[Pipe],D86),"")</f>
        <v>1</v>
      </c>
      <c r="H86" s="253" t="str">
        <f>IF(Item1.3LPP.OnHold4[[#This Row],[Pipe]]&lt;&gt;"",IF(COUNTIF(Item1.3LPP.OnHold46[Pipe],D86)&gt;0,"Sim","Não"),"")</f>
        <v>Não</v>
      </c>
      <c r="I86" s="253">
        <f>IF(Item1.3LPP.OnHold4[[#This Row],[Pipe]]&lt;&gt;"",COUNTIF(Item1.3LPP.OnHold46[Pipe],D86),"")</f>
        <v>0</v>
      </c>
      <c r="J86" s="445"/>
    </row>
    <row r="87" spans="1:10">
      <c r="A87" s="223">
        <v>29</v>
      </c>
      <c r="B87" s="453">
        <v>46222</v>
      </c>
      <c r="C87" s="235">
        <v>3</v>
      </c>
      <c r="D87" s="251" t="s">
        <v>608</v>
      </c>
      <c r="E87" s="253" t="s">
        <v>570</v>
      </c>
      <c r="F87" s="253" t="s">
        <v>171</v>
      </c>
      <c r="G87" s="481">
        <f>IF(Item1.3LPP.OnHold4[[#This Row],[Pipe]]&lt;&gt;"",COUNTIF(Item1.3LPP.OnHold4[Pipe],D87),"")</f>
        <v>1</v>
      </c>
      <c r="H87" s="253" t="str">
        <f>IF(Item1.3LPP.OnHold4[[#This Row],[Pipe]]&lt;&gt;"",IF(COUNTIF(Item1.3LPP.OnHold46[Pipe],D87)&gt;0,"Sim","Não"),"")</f>
        <v>Sim</v>
      </c>
      <c r="I87" s="253">
        <f>IF(Item1.3LPP.OnHold4[[#This Row],[Pipe]]&lt;&gt;"",COUNTIF(Item1.3LPP.OnHold46[Pipe],D87),"")</f>
        <v>1</v>
      </c>
      <c r="J87" s="445"/>
    </row>
    <row r="88" spans="1:10">
      <c r="A88" s="223">
        <v>29</v>
      </c>
      <c r="B88" s="453">
        <v>46222</v>
      </c>
      <c r="C88" s="235">
        <v>3</v>
      </c>
      <c r="D88" s="251" t="s">
        <v>609</v>
      </c>
      <c r="E88" s="253" t="s">
        <v>570</v>
      </c>
      <c r="F88" s="253" t="s">
        <v>171</v>
      </c>
      <c r="G88" s="481">
        <f>IF(Item1.3LPP.OnHold4[[#This Row],[Pipe]]&lt;&gt;"",COUNTIF(Item1.3LPP.OnHold4[Pipe],D88),"")</f>
        <v>1</v>
      </c>
      <c r="H88" s="253" t="str">
        <f>IF(Item1.3LPP.OnHold4[[#This Row],[Pipe]]&lt;&gt;"",IF(COUNTIF(Item1.3LPP.OnHold46[Pipe],D88)&gt;0,"Sim","Não"),"")</f>
        <v>Não</v>
      </c>
      <c r="I88" s="253">
        <f>IF(Item1.3LPP.OnHold4[[#This Row],[Pipe]]&lt;&gt;"",COUNTIF(Item1.3LPP.OnHold46[Pipe],D88),"")</f>
        <v>0</v>
      </c>
      <c r="J88" s="445"/>
    </row>
    <row r="89" spans="1:10">
      <c r="A89" s="223">
        <v>29</v>
      </c>
      <c r="B89" s="453">
        <v>46222</v>
      </c>
      <c r="C89" s="235">
        <v>3</v>
      </c>
      <c r="D89" s="251" t="s">
        <v>610</v>
      </c>
      <c r="E89" s="253" t="s">
        <v>570</v>
      </c>
      <c r="F89" s="253" t="s">
        <v>171</v>
      </c>
      <c r="G89" s="481">
        <f>IF(Item1.3LPP.OnHold4[[#This Row],[Pipe]]&lt;&gt;"",COUNTIF(Item1.3LPP.OnHold4[Pipe],D89),"")</f>
        <v>1</v>
      </c>
      <c r="H89" s="253" t="str">
        <f>IF(Item1.3LPP.OnHold4[[#This Row],[Pipe]]&lt;&gt;"",IF(COUNTIF(Item1.3LPP.OnHold46[Pipe],D89)&gt;0,"Sim","Não"),"")</f>
        <v>Sim</v>
      </c>
      <c r="I89" s="253">
        <f>IF(Item1.3LPP.OnHold4[[#This Row],[Pipe]]&lt;&gt;"",COUNTIF(Item1.3LPP.OnHold46[Pipe],D89),"")</f>
        <v>1</v>
      </c>
      <c r="J89" s="445"/>
    </row>
    <row r="90" spans="1:10">
      <c r="A90" s="223">
        <v>29</v>
      </c>
      <c r="B90" s="453">
        <v>46222</v>
      </c>
      <c r="C90" s="235">
        <v>3</v>
      </c>
      <c r="D90" s="251" t="s">
        <v>611</v>
      </c>
      <c r="E90" s="253" t="s">
        <v>570</v>
      </c>
      <c r="F90" s="253" t="s">
        <v>171</v>
      </c>
      <c r="G90" s="481">
        <f>IF(Item1.3LPP.OnHold4[[#This Row],[Pipe]]&lt;&gt;"",COUNTIF(Item1.3LPP.OnHold4[Pipe],D90),"")</f>
        <v>1</v>
      </c>
      <c r="H90" s="260" t="str">
        <f>IF(Item1.3LPP.OnHold4[[#This Row],[Pipe]]&lt;&gt;"",IF(COUNTIF(Item1.3LPP.OnHold46[Pipe],D90)&gt;0,"Sim","Não"),"")</f>
        <v>Sim</v>
      </c>
      <c r="I90" s="260">
        <f>IF(Item1.3LPP.OnHold4[[#This Row],[Pipe]]&lt;&gt;"",COUNTIF(Item1.3LPP.OnHold46[Pipe],D90),"")</f>
        <v>1</v>
      </c>
      <c r="J90" s="447"/>
    </row>
    <row r="91" spans="1:10">
      <c r="A91" s="223">
        <v>29</v>
      </c>
      <c r="B91" s="453">
        <v>46222</v>
      </c>
      <c r="C91" s="224">
        <v>3</v>
      </c>
      <c r="D91" s="251" t="s">
        <v>498</v>
      </c>
      <c r="E91" s="253" t="s">
        <v>491</v>
      </c>
      <c r="F91" s="253" t="s">
        <v>171</v>
      </c>
      <c r="G91" s="481">
        <f>IF(Item1.3LPP.OnHold4[[#This Row],[Pipe]]&lt;&gt;"",COUNTIF(Item1.3LPP.OnHold4[Pipe],D91),"")</f>
        <v>1</v>
      </c>
      <c r="H91" s="260" t="str">
        <f>IF(Item1.3LPP.OnHold4[[#This Row],[Pipe]]&lt;&gt;"",IF(COUNTIF(Item1.3LPP.OnHold46[Pipe],D91)&gt;0,"Sim","Não"),"")</f>
        <v>Não</v>
      </c>
      <c r="I91" s="260">
        <f>IF(Item1.3LPP.OnHold4[[#This Row],[Pipe]]&lt;&gt;"",COUNTIF(Item1.3LPP.OnHold46[Pipe],D91),"")</f>
        <v>0</v>
      </c>
      <c r="J91" s="447"/>
    </row>
    <row r="92" spans="1:10">
      <c r="A92" s="223">
        <v>29</v>
      </c>
      <c r="B92" s="453">
        <v>46222</v>
      </c>
      <c r="C92" s="224">
        <v>3</v>
      </c>
      <c r="D92" s="251" t="s">
        <v>499</v>
      </c>
      <c r="E92" s="253" t="s">
        <v>491</v>
      </c>
      <c r="F92" s="253" t="s">
        <v>171</v>
      </c>
      <c r="G92" s="481">
        <f>IF(Item1.3LPP.OnHold4[[#This Row],[Pipe]]&lt;&gt;"",COUNTIF(Item1.3LPP.OnHold4[Pipe],D92),"")</f>
        <v>1</v>
      </c>
      <c r="H92" s="260" t="str">
        <f>IF(Item1.3LPP.OnHold4[[#This Row],[Pipe]]&lt;&gt;"",IF(COUNTIF(Item1.3LPP.OnHold46[Pipe],D92)&gt;0,"Sim","Não"),"")</f>
        <v>Não</v>
      </c>
      <c r="I92" s="260">
        <f>IF(Item1.3LPP.OnHold4[[#This Row],[Pipe]]&lt;&gt;"",COUNTIF(Item1.3LPP.OnHold46[Pipe],D92),"")</f>
        <v>0</v>
      </c>
      <c r="J92" s="447"/>
    </row>
    <row r="93" spans="1:10">
      <c r="A93" s="223">
        <v>29</v>
      </c>
      <c r="B93" s="453">
        <v>46222</v>
      </c>
      <c r="C93" s="224">
        <v>3</v>
      </c>
      <c r="D93" s="251" t="s">
        <v>500</v>
      </c>
      <c r="E93" s="253" t="s">
        <v>491</v>
      </c>
      <c r="F93" s="253" t="s">
        <v>171</v>
      </c>
      <c r="G93" s="481">
        <f>IF(Item1.3LPP.OnHold4[[#This Row],[Pipe]]&lt;&gt;"",COUNTIF(Item1.3LPP.OnHold4[Pipe],D93),"")</f>
        <v>1</v>
      </c>
      <c r="H93" s="260" t="str">
        <f>IF(Item1.3LPP.OnHold4[[#This Row],[Pipe]]&lt;&gt;"",IF(COUNTIF(Item1.3LPP.OnHold46[Pipe],D93)&gt;0,"Sim","Não"),"")</f>
        <v>Não</v>
      </c>
      <c r="I93" s="260">
        <f>IF(Item1.3LPP.OnHold4[[#This Row],[Pipe]]&lt;&gt;"",COUNTIF(Item1.3LPP.OnHold46[Pipe],D93),"")</f>
        <v>0</v>
      </c>
      <c r="J93" s="447"/>
    </row>
    <row r="94" spans="1:10">
      <c r="A94" s="223">
        <v>29</v>
      </c>
      <c r="B94" s="453">
        <v>46222</v>
      </c>
      <c r="C94" s="224">
        <v>3</v>
      </c>
      <c r="D94" s="251" t="s">
        <v>501</v>
      </c>
      <c r="E94" s="253" t="s">
        <v>491</v>
      </c>
      <c r="F94" s="253" t="s">
        <v>171</v>
      </c>
      <c r="G94" s="481">
        <f>IF(Item1.3LPP.OnHold4[[#This Row],[Pipe]]&lt;&gt;"",COUNTIF(Item1.3LPP.OnHold4[Pipe],D94),"")</f>
        <v>1</v>
      </c>
      <c r="H94" s="260" t="str">
        <f>IF(Item1.3LPP.OnHold4[[#This Row],[Pipe]]&lt;&gt;"",IF(COUNTIF(Item1.3LPP.OnHold46[Pipe],D94)&gt;0,"Sim","Não"),"")</f>
        <v>Não</v>
      </c>
      <c r="I94" s="260">
        <f>IF(Item1.3LPP.OnHold4[[#This Row],[Pipe]]&lt;&gt;"",COUNTIF(Item1.3LPP.OnHold46[Pipe],D94),"")</f>
        <v>0</v>
      </c>
      <c r="J94" s="447"/>
    </row>
    <row r="95" spans="1:10">
      <c r="A95" s="223">
        <v>29</v>
      </c>
      <c r="B95" s="453">
        <v>46222</v>
      </c>
      <c r="C95" s="224">
        <v>3</v>
      </c>
      <c r="D95" s="251" t="s">
        <v>502</v>
      </c>
      <c r="E95" s="253" t="s">
        <v>491</v>
      </c>
      <c r="F95" s="253" t="s">
        <v>171</v>
      </c>
      <c r="G95" s="481">
        <f>IF(Item1.3LPP.OnHold4[[#This Row],[Pipe]]&lt;&gt;"",COUNTIF(Item1.3LPP.OnHold4[Pipe],D95),"")</f>
        <v>1</v>
      </c>
      <c r="H95" s="253" t="str">
        <f>IF(Item1.3LPP.OnHold4[[#This Row],[Pipe]]&lt;&gt;"",IF(COUNTIF(Item1.3LPP.OnHold46[Pipe],D95)&gt;0,"Sim","Não"),"")</f>
        <v>Não</v>
      </c>
      <c r="I95" s="253">
        <f>IF(Item1.3LPP.OnHold4[[#This Row],[Pipe]]&lt;&gt;"",COUNTIF(Item1.3LPP.OnHold46[Pipe],D95),"")</f>
        <v>0</v>
      </c>
      <c r="J95" s="445"/>
    </row>
    <row r="96" spans="1:10">
      <c r="A96" s="223">
        <v>29</v>
      </c>
      <c r="B96" s="453">
        <v>46222</v>
      </c>
      <c r="C96" s="224">
        <v>3</v>
      </c>
      <c r="D96" s="251" t="s">
        <v>503</v>
      </c>
      <c r="E96" s="253" t="s">
        <v>491</v>
      </c>
      <c r="F96" s="253" t="s">
        <v>171</v>
      </c>
      <c r="G96" s="481">
        <f>IF(Item1.3LPP.OnHold4[[#This Row],[Pipe]]&lt;&gt;"",COUNTIF(Item1.3LPP.OnHold4[Pipe],D96),"")</f>
        <v>1</v>
      </c>
      <c r="H96" s="260" t="str">
        <f>IF(Item1.3LPP.OnHold4[[#This Row],[Pipe]]&lt;&gt;"",IF(COUNTIF(Item1.3LPP.OnHold46[Pipe],D96)&gt;0,"Sim","Não"),"")</f>
        <v>Não</v>
      </c>
      <c r="I96" s="260">
        <f>IF(Item1.3LPP.OnHold4[[#This Row],[Pipe]]&lt;&gt;"",COUNTIF(Item1.3LPP.OnHold46[Pipe],D96),"")</f>
        <v>0</v>
      </c>
      <c r="J96" s="447"/>
    </row>
    <row r="97" spans="1:10">
      <c r="A97" s="223">
        <v>30</v>
      </c>
      <c r="B97" s="453">
        <v>46223</v>
      </c>
      <c r="C97" s="224">
        <v>1</v>
      </c>
      <c r="D97" s="251" t="s">
        <v>505</v>
      </c>
      <c r="E97" s="253" t="s">
        <v>506</v>
      </c>
      <c r="F97" s="253" t="s">
        <v>171</v>
      </c>
      <c r="G97" s="481">
        <f>IF(Item1.3LPP.OnHold4[[#This Row],[Pipe]]&lt;&gt;"",COUNTIF(Item1.3LPP.OnHold4[Pipe],D97),"")</f>
        <v>1</v>
      </c>
      <c r="H97" s="260" t="str">
        <f>IF(Item1.3LPP.OnHold4[[#This Row],[Pipe]]&lt;&gt;"",IF(COUNTIF(Item1.3LPP.OnHold46[Pipe],D97)&gt;0,"Sim","Não"),"")</f>
        <v>Não</v>
      </c>
      <c r="I97" s="260">
        <f>IF(Item1.3LPP.OnHold4[[#This Row],[Pipe]]&lt;&gt;"",COUNTIF(Item1.3LPP.OnHold46[Pipe],D97),"")</f>
        <v>0</v>
      </c>
      <c r="J97" s="447"/>
    </row>
    <row r="98" spans="1:10">
      <c r="A98" s="223">
        <v>30</v>
      </c>
      <c r="B98" s="453">
        <v>46223</v>
      </c>
      <c r="C98" s="224">
        <v>1</v>
      </c>
      <c r="D98" s="251" t="s">
        <v>507</v>
      </c>
      <c r="E98" s="253" t="s">
        <v>506</v>
      </c>
      <c r="F98" s="253" t="s">
        <v>171</v>
      </c>
      <c r="G98" s="481">
        <f>IF(Item1.3LPP.OnHold4[[#This Row],[Pipe]]&lt;&gt;"",COUNTIF(Item1.3LPP.OnHold4[Pipe],D98),"")</f>
        <v>1</v>
      </c>
      <c r="H98" s="253" t="str">
        <f>IF(Item1.3LPP.OnHold4[[#This Row],[Pipe]]&lt;&gt;"",IF(COUNTIF(Item1.3LPP.OnHold46[Pipe],D98)&gt;0,"Sim","Não"),"")</f>
        <v>Não</v>
      </c>
      <c r="I98" s="253">
        <f>IF(Item1.3LPP.OnHold4[[#This Row],[Pipe]]&lt;&gt;"",COUNTIF(Item1.3LPP.OnHold46[Pipe],D98),"")</f>
        <v>0</v>
      </c>
      <c r="J98" s="445"/>
    </row>
    <row r="99" spans="1:10">
      <c r="A99" s="223">
        <v>30</v>
      </c>
      <c r="B99" s="453">
        <v>46223</v>
      </c>
      <c r="C99" s="224">
        <v>2</v>
      </c>
      <c r="D99" s="251" t="s">
        <v>198</v>
      </c>
      <c r="E99" s="253" t="s">
        <v>570</v>
      </c>
      <c r="F99" s="253" t="s">
        <v>171</v>
      </c>
      <c r="G99" s="481">
        <f>IF(Item1.3LPP.OnHold4[[#This Row],[Pipe]]&lt;&gt;"",COUNTIF(Item1.3LPP.OnHold4[Pipe],D99),"")</f>
        <v>1</v>
      </c>
      <c r="H99" s="260" t="str">
        <f>IF(Item1.3LPP.OnHold4[[#This Row],[Pipe]]&lt;&gt;"",IF(COUNTIF(Item1.3LPP.OnHold46[Pipe],D99)&gt;0,"Sim","Não"),"")</f>
        <v>Não</v>
      </c>
      <c r="I99" s="260">
        <f>IF(Item1.3LPP.OnHold4[[#This Row],[Pipe]]&lt;&gt;"",COUNTIF(Item1.3LPP.OnHold46[Pipe],D99),"")</f>
        <v>0</v>
      </c>
      <c r="J99" s="447"/>
    </row>
    <row r="100" spans="1:10">
      <c r="A100" s="223">
        <v>30</v>
      </c>
      <c r="B100" s="453">
        <v>46223</v>
      </c>
      <c r="C100" s="224">
        <v>2</v>
      </c>
      <c r="D100" s="251" t="s">
        <v>199</v>
      </c>
      <c r="E100" s="253" t="s">
        <v>570</v>
      </c>
      <c r="F100" s="253" t="s">
        <v>171</v>
      </c>
      <c r="G100" s="481">
        <f>IF(Item1.3LPP.OnHold4[[#This Row],[Pipe]]&lt;&gt;"",COUNTIF(Item1.3LPP.OnHold4[Pipe],D100),"")</f>
        <v>1</v>
      </c>
      <c r="H100" s="253" t="str">
        <f>IF(Item1.3LPP.OnHold4[[#This Row],[Pipe]]&lt;&gt;"",IF(COUNTIF(Item1.3LPP.OnHold46[Pipe],D100)&gt;0,"Sim","Não"),"")</f>
        <v>Não</v>
      </c>
      <c r="I100" s="253">
        <f>IF(Item1.3LPP.OnHold4[[#This Row],[Pipe]]&lt;&gt;"",COUNTIF(Item1.3LPP.OnHold46[Pipe],D100),"")</f>
        <v>0</v>
      </c>
      <c r="J100" s="445"/>
    </row>
    <row r="101" spans="1:10">
      <c r="A101" s="223">
        <v>30</v>
      </c>
      <c r="B101" s="453">
        <v>46223</v>
      </c>
      <c r="C101" s="224">
        <v>3</v>
      </c>
      <c r="D101" s="251" t="s">
        <v>201</v>
      </c>
      <c r="E101" s="253" t="s">
        <v>570</v>
      </c>
      <c r="F101" s="253" t="s">
        <v>171</v>
      </c>
      <c r="G101" s="481">
        <f>IF(Item1.3LPP.OnHold4[[#This Row],[Pipe]]&lt;&gt;"",COUNTIF(Item1.3LPP.OnHold4[Pipe],D101),"")</f>
        <v>1</v>
      </c>
      <c r="H101" s="260" t="str">
        <f>IF(Item1.3LPP.OnHold4[[#This Row],[Pipe]]&lt;&gt;"",IF(COUNTIF(Item1.3LPP.OnHold46[Pipe],D101)&gt;0,"Sim","Não"),"")</f>
        <v>Não</v>
      </c>
      <c r="I101" s="260">
        <f>IF(Item1.3LPP.OnHold4[[#This Row],[Pipe]]&lt;&gt;"",COUNTIF(Item1.3LPP.OnHold46[Pipe],D101),"")</f>
        <v>0</v>
      </c>
      <c r="J101" s="447" t="s">
        <v>573</v>
      </c>
    </row>
    <row r="102" spans="1:10">
      <c r="A102" s="266">
        <v>30</v>
      </c>
      <c r="B102" s="453">
        <v>46223</v>
      </c>
      <c r="C102" s="224">
        <v>3</v>
      </c>
      <c r="D102" s="251" t="s">
        <v>612</v>
      </c>
      <c r="E102" s="253" t="s">
        <v>570</v>
      </c>
      <c r="F102" s="253" t="s">
        <v>171</v>
      </c>
      <c r="G102" s="481">
        <f>IF(Item1.3LPP.OnHold4[[#This Row],[Pipe]]&lt;&gt;"",COUNTIF(Item1.3LPP.OnHold4[Pipe],D102),"")</f>
        <v>1</v>
      </c>
      <c r="H102" s="260" t="str">
        <f>IF(Item1.3LPP.OnHold4[[#This Row],[Pipe]]&lt;&gt;"",IF(COUNTIF(Item1.3LPP.OnHold46[Pipe],D102)&gt;0,"Sim","Não"),"")</f>
        <v>Sim</v>
      </c>
      <c r="I102" s="260">
        <f>IF(Item1.3LPP.OnHold4[[#This Row],[Pipe]]&lt;&gt;"",COUNTIF(Item1.3LPP.OnHold46[Pipe],D102),"")</f>
        <v>1</v>
      </c>
      <c r="J102" s="447"/>
    </row>
    <row r="103" spans="1:10">
      <c r="A103" s="223">
        <v>30</v>
      </c>
      <c r="B103" s="453">
        <v>46224</v>
      </c>
      <c r="C103" s="224">
        <v>1</v>
      </c>
      <c r="D103" s="251" t="s">
        <v>206</v>
      </c>
      <c r="E103" s="253" t="s">
        <v>570</v>
      </c>
      <c r="F103" s="253" t="s">
        <v>171</v>
      </c>
      <c r="G103" s="481">
        <f>IF(Item1.3LPP.OnHold4[[#This Row],[Pipe]]&lt;&gt;"",COUNTIF(Item1.3LPP.OnHold4[Pipe],D103),"")</f>
        <v>1</v>
      </c>
      <c r="H103" s="260" t="str">
        <f>IF(Item1.3LPP.OnHold4[[#This Row],[Pipe]]&lt;&gt;"",IF(COUNTIF(Item1.3LPP.OnHold46[Pipe],D103)&gt;0,"Sim","Não"),"")</f>
        <v>Sim</v>
      </c>
      <c r="I103" s="260">
        <f>IF(Item1.3LPP.OnHold4[[#This Row],[Pipe]]&lt;&gt;"",COUNTIF(Item1.3LPP.OnHold46[Pipe],D103),"")</f>
        <v>1</v>
      </c>
      <c r="J103" s="447" t="s">
        <v>573</v>
      </c>
    </row>
    <row r="104" spans="1:10">
      <c r="A104" s="266">
        <v>30</v>
      </c>
      <c r="B104" s="453">
        <v>46224</v>
      </c>
      <c r="C104" s="224">
        <v>1</v>
      </c>
      <c r="D104" s="251" t="s">
        <v>207</v>
      </c>
      <c r="E104" s="253" t="s">
        <v>570</v>
      </c>
      <c r="F104" s="253" t="s">
        <v>171</v>
      </c>
      <c r="G104" s="481">
        <f>IF(Item1.3LPP.OnHold4[[#This Row],[Pipe]]&lt;&gt;"",COUNTIF(Item1.3LPP.OnHold4[Pipe],D104),"")</f>
        <v>1</v>
      </c>
      <c r="H104" s="260" t="str">
        <f>IF(Item1.3LPP.OnHold4[[#This Row],[Pipe]]&lt;&gt;"",IF(COUNTIF(Item1.3LPP.OnHold46[Pipe],D104)&gt;0,"Sim","Não"),"")</f>
        <v>Não</v>
      </c>
      <c r="I104" s="260">
        <f>IF(Item1.3LPP.OnHold4[[#This Row],[Pipe]]&lt;&gt;"",COUNTIF(Item1.3LPP.OnHold46[Pipe],D104),"")</f>
        <v>0</v>
      </c>
      <c r="J104" s="447" t="s">
        <v>573</v>
      </c>
    </row>
    <row r="105" spans="1:10">
      <c r="A105" s="223">
        <v>30</v>
      </c>
      <c r="B105" s="453">
        <v>46224</v>
      </c>
      <c r="C105" s="224">
        <v>1</v>
      </c>
      <c r="D105" s="251" t="s">
        <v>613</v>
      </c>
      <c r="E105" s="253" t="s">
        <v>570</v>
      </c>
      <c r="F105" s="253" t="s">
        <v>171</v>
      </c>
      <c r="G105" s="481">
        <f>IF(Item1.3LPP.OnHold4[[#This Row],[Pipe]]&lt;&gt;"",COUNTIF(Item1.3LPP.OnHold4[Pipe],D105),"")</f>
        <v>1</v>
      </c>
      <c r="H105" s="260" t="str">
        <f>IF(Item1.3LPP.OnHold4[[#This Row],[Pipe]]&lt;&gt;"",IF(COUNTIF(Item1.3LPP.OnHold46[Pipe],D105)&gt;0,"Sim","Não"),"")</f>
        <v>Sim</v>
      </c>
      <c r="I105" s="260">
        <f>IF(Item1.3LPP.OnHold4[[#This Row],[Pipe]]&lt;&gt;"",COUNTIF(Item1.3LPP.OnHold46[Pipe],D105),"")</f>
        <v>3</v>
      </c>
      <c r="J105" s="447"/>
    </row>
    <row r="106" spans="1:10">
      <c r="A106" s="223">
        <v>30</v>
      </c>
      <c r="B106" s="453">
        <v>46224</v>
      </c>
      <c r="C106" s="224">
        <v>1</v>
      </c>
      <c r="D106" s="251" t="s">
        <v>510</v>
      </c>
      <c r="E106" s="253" t="s">
        <v>511</v>
      </c>
      <c r="F106" s="253" t="s">
        <v>171</v>
      </c>
      <c r="G106" s="481">
        <f>IF(Item1.3LPP.OnHold4[[#This Row],[Pipe]]&lt;&gt;"",COUNTIF(Item1.3LPP.OnHold4[Pipe],D106),"")</f>
        <v>1</v>
      </c>
      <c r="H106" s="260" t="str">
        <f>IF(Item1.3LPP.OnHold4[[#This Row],[Pipe]]&lt;&gt;"",IF(COUNTIF(Item1.3LPP.OnHold46[Pipe],D106)&gt;0,"Sim","Não"),"")</f>
        <v>Não</v>
      </c>
      <c r="I106" s="260">
        <f>IF(Item1.3LPP.OnHold4[[#This Row],[Pipe]]&lt;&gt;"",COUNTIF(Item1.3LPP.OnHold46[Pipe],D106),"")</f>
        <v>0</v>
      </c>
      <c r="J106" s="447"/>
    </row>
    <row r="107" spans="1:10">
      <c r="A107" s="223">
        <v>30</v>
      </c>
      <c r="B107" s="453">
        <v>46224</v>
      </c>
      <c r="C107" s="224">
        <v>1</v>
      </c>
      <c r="D107" s="251" t="s">
        <v>512</v>
      </c>
      <c r="E107" s="253" t="s">
        <v>511</v>
      </c>
      <c r="F107" s="253" t="s">
        <v>171</v>
      </c>
      <c r="G107" s="481">
        <f>IF(Item1.3LPP.OnHold4[[#This Row],[Pipe]]&lt;&gt;"",COUNTIF(Item1.3LPP.OnHold4[Pipe],D107),"")</f>
        <v>1</v>
      </c>
      <c r="H107" s="260" t="str">
        <f>IF(Item1.3LPP.OnHold4[[#This Row],[Pipe]]&lt;&gt;"",IF(COUNTIF(Item1.3LPP.OnHold46[Pipe],D107)&gt;0,"Sim","Não"),"")</f>
        <v>Não</v>
      </c>
      <c r="I107" s="260">
        <f>IF(Item1.3LPP.OnHold4[[#This Row],[Pipe]]&lt;&gt;"",COUNTIF(Item1.3LPP.OnHold46[Pipe],D107),"")</f>
        <v>0</v>
      </c>
      <c r="J107" s="447"/>
    </row>
    <row r="108" spans="1:10">
      <c r="A108" s="223">
        <v>30</v>
      </c>
      <c r="B108" s="453">
        <v>46224</v>
      </c>
      <c r="C108" s="224">
        <v>1</v>
      </c>
      <c r="D108" s="251" t="s">
        <v>513</v>
      </c>
      <c r="E108" s="253" t="s">
        <v>511</v>
      </c>
      <c r="F108" s="253" t="s">
        <v>171</v>
      </c>
      <c r="G108" s="481">
        <f>IF(Item1.3LPP.OnHold4[[#This Row],[Pipe]]&lt;&gt;"",COUNTIF(Item1.3LPP.OnHold4[Pipe],D108),"")</f>
        <v>1</v>
      </c>
      <c r="H108" s="260" t="str">
        <f>IF(Item1.3LPP.OnHold4[[#This Row],[Pipe]]&lt;&gt;"",IF(COUNTIF(Item1.3LPP.OnHold46[Pipe],D108)&gt;0,"Sim","Não"),"")</f>
        <v>Não</v>
      </c>
      <c r="I108" s="260">
        <f>IF(Item1.3LPP.OnHold4[[#This Row],[Pipe]]&lt;&gt;"",COUNTIF(Item1.3LPP.OnHold46[Pipe],D108),"")</f>
        <v>0</v>
      </c>
      <c r="J108" s="447"/>
    </row>
    <row r="109" spans="1:10">
      <c r="A109" s="223">
        <v>30</v>
      </c>
      <c r="B109" s="453">
        <v>46224</v>
      </c>
      <c r="C109" s="224">
        <v>1</v>
      </c>
      <c r="D109" s="251" t="s">
        <v>514</v>
      </c>
      <c r="E109" s="253" t="s">
        <v>511</v>
      </c>
      <c r="F109" s="253" t="s">
        <v>171</v>
      </c>
      <c r="G109" s="481">
        <f>IF(Item1.3LPP.OnHold4[[#This Row],[Pipe]]&lt;&gt;"",COUNTIF(Item1.3LPP.OnHold4[Pipe],D109),"")</f>
        <v>1</v>
      </c>
      <c r="H109" s="260" t="str">
        <f>IF(Item1.3LPP.OnHold4[[#This Row],[Pipe]]&lt;&gt;"",IF(COUNTIF(Item1.3LPP.OnHold46[Pipe],D109)&gt;0,"Sim","Não"),"")</f>
        <v>Não</v>
      </c>
      <c r="I109" s="260">
        <f>IF(Item1.3LPP.OnHold4[[#This Row],[Pipe]]&lt;&gt;"",COUNTIF(Item1.3LPP.OnHold46[Pipe],D109),"")</f>
        <v>0</v>
      </c>
      <c r="J109" s="447"/>
    </row>
    <row r="110" spans="1:10">
      <c r="A110" s="223">
        <v>30</v>
      </c>
      <c r="B110" s="453">
        <v>46224</v>
      </c>
      <c r="C110" s="224">
        <v>1</v>
      </c>
      <c r="D110" s="251" t="s">
        <v>515</v>
      </c>
      <c r="E110" s="253" t="s">
        <v>511</v>
      </c>
      <c r="F110" s="253" t="s">
        <v>171</v>
      </c>
      <c r="G110" s="481">
        <f>IF(Item1.3LPP.OnHold4[[#This Row],[Pipe]]&lt;&gt;"",COUNTIF(Item1.3LPP.OnHold4[Pipe],D110),"")</f>
        <v>1</v>
      </c>
      <c r="H110" s="260" t="str">
        <f>IF(Item1.3LPP.OnHold4[[#This Row],[Pipe]]&lt;&gt;"",IF(COUNTIF(Item1.3LPP.OnHold46[Pipe],D110)&gt;0,"Sim","Não"),"")</f>
        <v>Não</v>
      </c>
      <c r="I110" s="260">
        <f>IF(Item1.3LPP.OnHold4[[#This Row],[Pipe]]&lt;&gt;"",COUNTIF(Item1.3LPP.OnHold46[Pipe],D110),"")</f>
        <v>0</v>
      </c>
      <c r="J110" s="447"/>
    </row>
    <row r="111" spans="1:10">
      <c r="A111" s="223">
        <v>30</v>
      </c>
      <c r="B111" s="453">
        <v>46224</v>
      </c>
      <c r="C111" s="224">
        <v>1</v>
      </c>
      <c r="D111" s="251" t="s">
        <v>516</v>
      </c>
      <c r="E111" s="253" t="s">
        <v>511</v>
      </c>
      <c r="F111" s="253" t="s">
        <v>171</v>
      </c>
      <c r="G111" s="481">
        <f>IF(Item1.3LPP.OnHold4[[#This Row],[Pipe]]&lt;&gt;"",COUNTIF(Item1.3LPP.OnHold4[Pipe],D111),"")</f>
        <v>1</v>
      </c>
      <c r="H111" s="260" t="str">
        <f>IF(Item1.3LPP.OnHold4[[#This Row],[Pipe]]&lt;&gt;"",IF(COUNTIF(Item1.3LPP.OnHold46[Pipe],D111)&gt;0,"Sim","Não"),"")</f>
        <v>Não</v>
      </c>
      <c r="I111" s="260">
        <f>IF(Item1.3LPP.OnHold4[[#This Row],[Pipe]]&lt;&gt;"",COUNTIF(Item1.3LPP.OnHold46[Pipe],D111),"")</f>
        <v>0</v>
      </c>
      <c r="J111" s="447"/>
    </row>
    <row r="112" spans="1:10">
      <c r="A112" s="223">
        <v>30</v>
      </c>
      <c r="B112" s="453">
        <v>46224</v>
      </c>
      <c r="C112" s="224">
        <v>1</v>
      </c>
      <c r="D112" s="251" t="s">
        <v>519</v>
      </c>
      <c r="E112" s="253" t="s">
        <v>511</v>
      </c>
      <c r="F112" s="253" t="s">
        <v>171</v>
      </c>
      <c r="G112" s="481">
        <f>IF(Item1.3LPP.OnHold4[[#This Row],[Pipe]]&lt;&gt;"",COUNTIF(Item1.3LPP.OnHold4[Pipe],D112),"")</f>
        <v>1</v>
      </c>
      <c r="H112" s="260" t="str">
        <f>IF(Item1.3LPP.OnHold4[[#This Row],[Pipe]]&lt;&gt;"",IF(COUNTIF(Item1.3LPP.OnHold46[Pipe],D112)&gt;0,"Sim","Não"),"")</f>
        <v>Não</v>
      </c>
      <c r="I112" s="260">
        <f>IF(Item1.3LPP.OnHold4[[#This Row],[Pipe]]&lt;&gt;"",COUNTIF(Item1.3LPP.OnHold46[Pipe],D112),"")</f>
        <v>0</v>
      </c>
      <c r="J112" s="447"/>
    </row>
    <row r="113" spans="1:10">
      <c r="A113" s="223">
        <v>30</v>
      </c>
      <c r="B113" s="453">
        <v>46224</v>
      </c>
      <c r="C113" s="224">
        <v>1</v>
      </c>
      <c r="D113" s="251" t="s">
        <v>520</v>
      </c>
      <c r="E113" s="253" t="s">
        <v>511</v>
      </c>
      <c r="F113" s="253" t="s">
        <v>171</v>
      </c>
      <c r="G113" s="481">
        <f>IF(Item1.3LPP.OnHold4[[#This Row],[Pipe]]&lt;&gt;"",COUNTIF(Item1.3LPP.OnHold4[Pipe],D113),"")</f>
        <v>1</v>
      </c>
      <c r="H113" s="260" t="str">
        <f>IF(Item1.3LPP.OnHold4[[#This Row],[Pipe]]&lt;&gt;"",IF(COUNTIF(Item1.3LPP.OnHold46[Pipe],D113)&gt;0,"Sim","Não"),"")</f>
        <v>Não</v>
      </c>
      <c r="I113" s="260">
        <f>IF(Item1.3LPP.OnHold4[[#This Row],[Pipe]]&lt;&gt;"",COUNTIF(Item1.3LPP.OnHold46[Pipe],D113),"")</f>
        <v>0</v>
      </c>
      <c r="J113" s="447"/>
    </row>
    <row r="114" spans="1:10">
      <c r="A114" s="223">
        <v>30</v>
      </c>
      <c r="B114" s="453">
        <v>46224</v>
      </c>
      <c r="C114" s="224">
        <v>1</v>
      </c>
      <c r="D114" s="251" t="s">
        <v>521</v>
      </c>
      <c r="E114" s="253" t="s">
        <v>511</v>
      </c>
      <c r="F114" s="253" t="s">
        <v>171</v>
      </c>
      <c r="G114" s="481">
        <f>IF(Item1.3LPP.OnHold4[[#This Row],[Pipe]]&lt;&gt;"",COUNTIF(Item1.3LPP.OnHold4[Pipe],D114),"")</f>
        <v>1</v>
      </c>
      <c r="H114" s="253" t="str">
        <f>IF(Item1.3LPP.OnHold4[[#This Row],[Pipe]]&lt;&gt;"",IF(COUNTIF(Item1.3LPP.OnHold46[Pipe],D114)&gt;0,"Sim","Não"),"")</f>
        <v>Não</v>
      </c>
      <c r="I114" s="253">
        <f>IF(Item1.3LPP.OnHold4[[#This Row],[Pipe]]&lt;&gt;"",COUNTIF(Item1.3LPP.OnHold46[Pipe],D114),"")</f>
        <v>0</v>
      </c>
      <c r="J114" s="445"/>
    </row>
    <row r="115" spans="1:10">
      <c r="A115" s="223">
        <v>30</v>
      </c>
      <c r="B115" s="453">
        <v>46224</v>
      </c>
      <c r="C115" s="224">
        <v>2</v>
      </c>
      <c r="D115" s="251" t="s">
        <v>210</v>
      </c>
      <c r="E115" s="253" t="s">
        <v>570</v>
      </c>
      <c r="F115" s="253" t="s">
        <v>171</v>
      </c>
      <c r="G115" s="481">
        <f>IF(Item1.3LPP.OnHold4[[#This Row],[Pipe]]&lt;&gt;"",COUNTIF(Item1.3LPP.OnHold4[Pipe],D115),"")</f>
        <v>1</v>
      </c>
      <c r="H115" s="260" t="str">
        <f>IF(Item1.3LPP.OnHold4[[#This Row],[Pipe]]&lt;&gt;"",IF(COUNTIF(Item1.3LPP.OnHold46[Pipe],D115)&gt;0,"Sim","Não"),"")</f>
        <v>Não</v>
      </c>
      <c r="I115" s="260">
        <f>IF(Item1.3LPP.OnHold4[[#This Row],[Pipe]]&lt;&gt;"",COUNTIF(Item1.3LPP.OnHold46[Pipe],D115),"")</f>
        <v>0</v>
      </c>
      <c r="J115" s="447" t="s">
        <v>573</v>
      </c>
    </row>
    <row r="116" spans="1:10">
      <c r="A116" s="223">
        <v>30</v>
      </c>
      <c r="B116" s="453">
        <v>46224</v>
      </c>
      <c r="C116" s="224">
        <v>2</v>
      </c>
      <c r="D116" s="251" t="s">
        <v>614</v>
      </c>
      <c r="E116" s="253" t="s">
        <v>570</v>
      </c>
      <c r="F116" s="253" t="s">
        <v>171</v>
      </c>
      <c r="G116" s="481">
        <f>IF(Item1.3LPP.OnHold4[[#This Row],[Pipe]]&lt;&gt;"",COUNTIF(Item1.3LPP.OnHold4[Pipe],D116),"")</f>
        <v>1</v>
      </c>
      <c r="H116" s="260" t="str">
        <f>IF(Item1.3LPP.OnHold4[[#This Row],[Pipe]]&lt;&gt;"",IF(COUNTIF(Item1.3LPP.OnHold46[Pipe],D116)&gt;0,"Sim","Não"),"")</f>
        <v>Sim</v>
      </c>
      <c r="I116" s="260">
        <f>IF(Item1.3LPP.OnHold4[[#This Row],[Pipe]]&lt;&gt;"",COUNTIF(Item1.3LPP.OnHold46[Pipe],D116),"")</f>
        <v>1</v>
      </c>
      <c r="J116" s="447" t="s">
        <v>573</v>
      </c>
    </row>
    <row r="117" spans="1:10">
      <c r="A117" s="223">
        <v>30</v>
      </c>
      <c r="B117" s="453">
        <v>46224</v>
      </c>
      <c r="C117" s="224">
        <v>3</v>
      </c>
      <c r="D117" s="251" t="s">
        <v>212</v>
      </c>
      <c r="E117" s="253" t="s">
        <v>570</v>
      </c>
      <c r="F117" s="253" t="s">
        <v>171</v>
      </c>
      <c r="G117" s="481">
        <f>IF(Item1.3LPP.OnHold4[[#This Row],[Pipe]]&lt;&gt;"",COUNTIF(Item1.3LPP.OnHold4[Pipe],D117),"")</f>
        <v>1</v>
      </c>
      <c r="H117" s="260" t="str">
        <f>IF(Item1.3LPP.OnHold4[[#This Row],[Pipe]]&lt;&gt;"",IF(COUNTIF(Item1.3LPP.OnHold46[Pipe],D117)&gt;0,"Sim","Não"),"")</f>
        <v>Não</v>
      </c>
      <c r="I117" s="260">
        <f>IF(Item1.3LPP.OnHold4[[#This Row],[Pipe]]&lt;&gt;"",COUNTIF(Item1.3LPP.OnHold46[Pipe],D117),"")</f>
        <v>0</v>
      </c>
      <c r="J117" s="447" t="s">
        <v>573</v>
      </c>
    </row>
    <row r="118" spans="1:10">
      <c r="A118" s="223">
        <v>30</v>
      </c>
      <c r="B118" s="453">
        <v>46224</v>
      </c>
      <c r="C118" s="224">
        <v>3</v>
      </c>
      <c r="D118" s="251" t="s">
        <v>615</v>
      </c>
      <c r="E118" s="253" t="s">
        <v>570</v>
      </c>
      <c r="F118" s="253" t="s">
        <v>171</v>
      </c>
      <c r="G118" s="481">
        <f>IF(Item1.3LPP.OnHold4[[#This Row],[Pipe]]&lt;&gt;"",COUNTIF(Item1.3LPP.OnHold4[Pipe],D118),"")</f>
        <v>1</v>
      </c>
      <c r="H118" s="260" t="str">
        <f>IF(Item1.3LPP.OnHold4[[#This Row],[Pipe]]&lt;&gt;"",IF(COUNTIF(Item1.3LPP.OnHold46[Pipe],D118)&gt;0,"Sim","Não"),"")</f>
        <v>Sim</v>
      </c>
      <c r="I118" s="260">
        <f>IF(Item1.3LPP.OnHold4[[#This Row],[Pipe]]&lt;&gt;"",COUNTIF(Item1.3LPP.OnHold46[Pipe],D118),"")</f>
        <v>1</v>
      </c>
      <c r="J118" s="447" t="s">
        <v>573</v>
      </c>
    </row>
    <row r="119" spans="1:10">
      <c r="A119" s="223">
        <v>30</v>
      </c>
      <c r="B119" s="453">
        <v>46224</v>
      </c>
      <c r="C119" s="224">
        <v>3</v>
      </c>
      <c r="D119" s="251" t="s">
        <v>616</v>
      </c>
      <c r="E119" s="253" t="s">
        <v>570</v>
      </c>
      <c r="F119" s="253" t="s">
        <v>171</v>
      </c>
      <c r="G119" s="481">
        <f>IF(Item1.3LPP.OnHold4[[#This Row],[Pipe]]&lt;&gt;"",COUNTIF(Item1.3LPP.OnHold4[Pipe],D119),"")</f>
        <v>1</v>
      </c>
      <c r="H119" s="260" t="str">
        <f>IF(Item1.3LPP.OnHold4[[#This Row],[Pipe]]&lt;&gt;"",IF(COUNTIF(Item1.3LPP.OnHold46[Pipe],D119)&gt;0,"Sim","Não"),"")</f>
        <v>Sim</v>
      </c>
      <c r="I119" s="260">
        <f>IF(Item1.3LPP.OnHold4[[#This Row],[Pipe]]&lt;&gt;"",COUNTIF(Item1.3LPP.OnHold46[Pipe],D119),"")</f>
        <v>1</v>
      </c>
      <c r="J119" s="447"/>
    </row>
    <row r="120" spans="1:10">
      <c r="A120" s="223">
        <v>30</v>
      </c>
      <c r="B120" s="453">
        <v>46224</v>
      </c>
      <c r="C120" s="224">
        <v>3</v>
      </c>
      <c r="D120" s="251" t="s">
        <v>617</v>
      </c>
      <c r="E120" s="253" t="s">
        <v>570</v>
      </c>
      <c r="F120" s="253" t="s">
        <v>171</v>
      </c>
      <c r="G120" s="481">
        <f>IF(Item1.3LPP.OnHold4[[#This Row],[Pipe]]&lt;&gt;"",COUNTIF(Item1.3LPP.OnHold4[Pipe],D120),"")</f>
        <v>1</v>
      </c>
      <c r="H120" s="260" t="str">
        <f>IF(Item1.3LPP.OnHold4[[#This Row],[Pipe]]&lt;&gt;"",IF(COUNTIF(Item1.3LPP.OnHold46[Pipe],D120)&gt;0,"Sim","Não"),"")</f>
        <v>Sim</v>
      </c>
      <c r="I120" s="260">
        <f>IF(Item1.3LPP.OnHold4[[#This Row],[Pipe]]&lt;&gt;"",COUNTIF(Item1.3LPP.OnHold46[Pipe],D120),"")</f>
        <v>1</v>
      </c>
      <c r="J120" s="447"/>
    </row>
    <row r="121" spans="1:10">
      <c r="A121" s="223">
        <v>30</v>
      </c>
      <c r="B121" s="453">
        <v>46225</v>
      </c>
      <c r="C121" s="224">
        <v>1</v>
      </c>
      <c r="D121" s="251" t="s">
        <v>618</v>
      </c>
      <c r="E121" s="253" t="s">
        <v>570</v>
      </c>
      <c r="F121" s="253" t="s">
        <v>171</v>
      </c>
      <c r="G121" s="481">
        <f>IF(Item1.3LPP.OnHold4[[#This Row],[Pipe]]&lt;&gt;"",COUNTIF(Item1.3LPP.OnHold4[Pipe],D121),"")</f>
        <v>1</v>
      </c>
      <c r="H121" s="260" t="str">
        <f>IF(Item1.3LPP.OnHold4[[#This Row],[Pipe]]&lt;&gt;"",IF(COUNTIF(Item1.3LPP.OnHold46[Pipe],D121)&gt;0,"Sim","Não"),"")</f>
        <v>Sim</v>
      </c>
      <c r="I121" s="260">
        <f>IF(Item1.3LPP.OnHold4[[#This Row],[Pipe]]&lt;&gt;"",COUNTIF(Item1.3LPP.OnHold46[Pipe],D121),"")</f>
        <v>1</v>
      </c>
      <c r="J121" s="447"/>
    </row>
    <row r="122" spans="1:10">
      <c r="A122" s="223">
        <v>30</v>
      </c>
      <c r="B122" s="453">
        <v>46225</v>
      </c>
      <c r="C122" s="224">
        <v>1</v>
      </c>
      <c r="D122" s="251" t="s">
        <v>215</v>
      </c>
      <c r="E122" s="253" t="s">
        <v>570</v>
      </c>
      <c r="F122" s="253" t="s">
        <v>171</v>
      </c>
      <c r="G122" s="481">
        <f>IF(Item1.3LPP.OnHold4[[#This Row],[Pipe]]&lt;&gt;"",COUNTIF(Item1.3LPP.OnHold4[Pipe],D122),"")</f>
        <v>1</v>
      </c>
      <c r="H122" s="260" t="str">
        <f>IF(Item1.3LPP.OnHold4[[#This Row],[Pipe]]&lt;&gt;"",IF(COUNTIF(Item1.3LPP.OnHold46[Pipe],D122)&gt;0,"Sim","Não"),"")</f>
        <v>Não</v>
      </c>
      <c r="I122" s="260">
        <f>IF(Item1.3LPP.OnHold4[[#This Row],[Pipe]]&lt;&gt;"",COUNTIF(Item1.3LPP.OnHold46[Pipe],D122),"")</f>
        <v>0</v>
      </c>
      <c r="J122" s="447" t="s">
        <v>573</v>
      </c>
    </row>
    <row r="123" spans="1:10">
      <c r="A123" s="223">
        <v>30</v>
      </c>
      <c r="B123" s="453">
        <v>46225</v>
      </c>
      <c r="C123" s="224">
        <v>1</v>
      </c>
      <c r="D123" s="251" t="s">
        <v>217</v>
      </c>
      <c r="E123" s="253" t="s">
        <v>570</v>
      </c>
      <c r="F123" s="253" t="s">
        <v>171</v>
      </c>
      <c r="G123" s="481">
        <f>IF(Item1.3LPP.OnHold4[[#This Row],[Pipe]]&lt;&gt;"",COUNTIF(Item1.3LPP.OnHold4[Pipe],D123),"")</f>
        <v>1</v>
      </c>
      <c r="H123" s="260" t="str">
        <f>IF(Item1.3LPP.OnHold4[[#This Row],[Pipe]]&lt;&gt;"",IF(COUNTIF(Item1.3LPP.OnHold46[Pipe],D123)&gt;0,"Sim","Não"),"")</f>
        <v>Não</v>
      </c>
      <c r="I123" s="260">
        <f>IF(Item1.3LPP.OnHold4[[#This Row],[Pipe]]&lt;&gt;"",COUNTIF(Item1.3LPP.OnHold46[Pipe],D123),"")</f>
        <v>0</v>
      </c>
      <c r="J123" s="447" t="s">
        <v>573</v>
      </c>
    </row>
    <row r="124" spans="1:10">
      <c r="A124" s="223">
        <v>30</v>
      </c>
      <c r="B124" s="453">
        <v>46225</v>
      </c>
      <c r="C124" s="224">
        <v>2</v>
      </c>
      <c r="D124" s="251" t="s">
        <v>219</v>
      </c>
      <c r="E124" s="253" t="s">
        <v>570</v>
      </c>
      <c r="F124" s="253" t="s">
        <v>171</v>
      </c>
      <c r="G124" s="481">
        <f>IF(Item1.3LPP.OnHold4[[#This Row],[Pipe]]&lt;&gt;"",COUNTIF(Item1.3LPP.OnHold4[Pipe],D124),"")</f>
        <v>1</v>
      </c>
      <c r="H124" s="260" t="str">
        <f>IF(Item1.3LPP.OnHold4[[#This Row],[Pipe]]&lt;&gt;"",IF(COUNTIF(Item1.3LPP.OnHold46[Pipe],D124)&gt;0,"Sim","Não"),"")</f>
        <v>Não</v>
      </c>
      <c r="I124" s="260">
        <f>IF(Item1.3LPP.OnHold4[[#This Row],[Pipe]]&lt;&gt;"",COUNTIF(Item1.3LPP.OnHold46[Pipe],D124),"")</f>
        <v>0</v>
      </c>
      <c r="J124" s="447" t="s">
        <v>573</v>
      </c>
    </row>
    <row r="125" spans="1:10">
      <c r="A125" s="223">
        <v>30</v>
      </c>
      <c r="B125" s="453">
        <v>46225</v>
      </c>
      <c r="C125" s="224">
        <v>2</v>
      </c>
      <c r="D125" s="251" t="s">
        <v>619</v>
      </c>
      <c r="E125" s="253" t="s">
        <v>570</v>
      </c>
      <c r="F125" s="253" t="s">
        <v>171</v>
      </c>
      <c r="G125" s="481">
        <f>IF(Item1.3LPP.OnHold4[[#This Row],[Pipe]]&lt;&gt;"",COUNTIF(Item1.3LPP.OnHold4[Pipe],D125),"")</f>
        <v>1</v>
      </c>
      <c r="H125" s="260" t="str">
        <f>IF(Item1.3LPP.OnHold4[[#This Row],[Pipe]]&lt;&gt;"",IF(COUNTIF(Item1.3LPP.OnHold46[Pipe],D125)&gt;0,"Sim","Não"),"")</f>
        <v>Sim</v>
      </c>
      <c r="I125" s="260">
        <f>IF(Item1.3LPP.OnHold4[[#This Row],[Pipe]]&lt;&gt;"",COUNTIF(Item1.3LPP.OnHold46[Pipe],D125),"")</f>
        <v>1</v>
      </c>
      <c r="J125" s="447" t="s">
        <v>573</v>
      </c>
    </row>
    <row r="126" spans="1:10">
      <c r="A126" s="223">
        <v>30</v>
      </c>
      <c r="B126" s="453">
        <v>46225</v>
      </c>
      <c r="C126" s="224">
        <v>3</v>
      </c>
      <c r="D126" s="251" t="s">
        <v>221</v>
      </c>
      <c r="E126" s="253" t="s">
        <v>570</v>
      </c>
      <c r="F126" s="253" t="s">
        <v>171</v>
      </c>
      <c r="G126" s="481">
        <f>IF(Item1.3LPP.OnHold4[[#This Row],[Pipe]]&lt;&gt;"",COUNTIF(Item1.3LPP.OnHold4[Pipe],D126),"")</f>
        <v>1</v>
      </c>
      <c r="H126" s="260" t="str">
        <f>IF(Item1.3LPP.OnHold4[[#This Row],[Pipe]]&lt;&gt;"",IF(COUNTIF(Item1.3LPP.OnHold46[Pipe],D126)&gt;0,"Sim","Não"),"")</f>
        <v>Não</v>
      </c>
      <c r="I126" s="260">
        <f>IF(Item1.3LPP.OnHold4[[#This Row],[Pipe]]&lt;&gt;"",COUNTIF(Item1.3LPP.OnHold46[Pipe],D126),"")</f>
        <v>0</v>
      </c>
      <c r="J126" s="447" t="s">
        <v>573</v>
      </c>
    </row>
    <row r="127" spans="1:10">
      <c r="A127" s="223">
        <v>30</v>
      </c>
      <c r="B127" s="453">
        <v>46226</v>
      </c>
      <c r="C127" s="224">
        <v>1</v>
      </c>
      <c r="D127" s="251" t="s">
        <v>223</v>
      </c>
      <c r="E127" s="253" t="s">
        <v>570</v>
      </c>
      <c r="F127" s="253" t="s">
        <v>171</v>
      </c>
      <c r="G127" s="481">
        <f>IF(Item1.3LPP.OnHold4[[#This Row],[Pipe]]&lt;&gt;"",COUNTIF(Item1.3LPP.OnHold4[Pipe],D127),"")</f>
        <v>1</v>
      </c>
      <c r="H127" s="260" t="str">
        <f>IF(Item1.3LPP.OnHold4[[#This Row],[Pipe]]&lt;&gt;"",IF(COUNTIF(Item1.3LPP.OnHold46[Pipe],D127)&gt;0,"Sim","Não"),"")</f>
        <v>Sim</v>
      </c>
      <c r="I127" s="260">
        <f>IF(Item1.3LPP.OnHold4[[#This Row],[Pipe]]&lt;&gt;"",COUNTIF(Item1.3LPP.OnHold46[Pipe],D127),"")</f>
        <v>1</v>
      </c>
      <c r="J127" s="447" t="s">
        <v>573</v>
      </c>
    </row>
    <row r="128" spans="1:10">
      <c r="A128" s="223">
        <v>30</v>
      </c>
      <c r="B128" s="453">
        <v>46226</v>
      </c>
      <c r="C128" s="224">
        <v>2</v>
      </c>
      <c r="D128" s="251" t="s">
        <v>225</v>
      </c>
      <c r="E128" s="253" t="s">
        <v>570</v>
      </c>
      <c r="F128" s="253" t="s">
        <v>171</v>
      </c>
      <c r="G128" s="481">
        <f>IF(Item1.3LPP.OnHold4[[#This Row],[Pipe]]&lt;&gt;"",COUNTIF(Item1.3LPP.OnHold4[Pipe],D128),"")</f>
        <v>1</v>
      </c>
      <c r="H128" s="260" t="str">
        <f>IF(Item1.3LPP.OnHold4[[#This Row],[Pipe]]&lt;&gt;"",IF(COUNTIF(Item1.3LPP.OnHold46[Pipe],D128)&gt;0,"Sim","Não"),"")</f>
        <v>Não</v>
      </c>
      <c r="I128" s="260">
        <f>IF(Item1.3LPP.OnHold4[[#This Row],[Pipe]]&lt;&gt;"",COUNTIF(Item1.3LPP.OnHold46[Pipe],D128),"")</f>
        <v>0</v>
      </c>
      <c r="J128" s="447" t="s">
        <v>573</v>
      </c>
    </row>
    <row r="129" spans="1:10">
      <c r="A129" s="223">
        <v>30</v>
      </c>
      <c r="B129" s="453">
        <v>46226</v>
      </c>
      <c r="C129" s="235">
        <v>2</v>
      </c>
      <c r="D129" s="251" t="s">
        <v>620</v>
      </c>
      <c r="E129" s="253" t="s">
        <v>575</v>
      </c>
      <c r="F129" s="253" t="s">
        <v>347</v>
      </c>
      <c r="G129" s="481">
        <f>IF(Item1.3LPP.OnHold4[[#This Row],[Pipe]]&lt;&gt;"",COUNTIF(Item1.3LPP.OnHold4[Pipe],D129),"")</f>
        <v>1</v>
      </c>
      <c r="H129" s="253" t="str">
        <f>IF(Item1.3LPP.OnHold4[[#This Row],[Pipe]]&lt;&gt;"",IF(COUNTIF(Item1.3LPP.OnHold46[Pipe],D129)&gt;0,"Sim","Não"),"")</f>
        <v>Não</v>
      </c>
      <c r="I129" s="253">
        <f>IF(Item1.3LPP.OnHold4[[#This Row],[Pipe]]&lt;&gt;"",COUNTIF(Item1.3LPP.OnHold46[Pipe],D129),"")</f>
        <v>0</v>
      </c>
      <c r="J129" s="445" t="s">
        <v>603</v>
      </c>
    </row>
    <row r="130" spans="1:10">
      <c r="A130" s="223">
        <v>30</v>
      </c>
      <c r="B130" s="453">
        <v>46226</v>
      </c>
      <c r="C130" s="224">
        <v>3</v>
      </c>
      <c r="D130" s="251" t="s">
        <v>227</v>
      </c>
      <c r="E130" s="253" t="s">
        <v>570</v>
      </c>
      <c r="F130" s="253" t="s">
        <v>171</v>
      </c>
      <c r="G130" s="481">
        <f>IF(Item1.3LPP.OnHold4[[#This Row],[Pipe]]&lt;&gt;"",COUNTIF(Item1.3LPP.OnHold4[Pipe],D130),"")</f>
        <v>1</v>
      </c>
      <c r="H130" s="260" t="str">
        <f>IF(Item1.3LPP.OnHold4[[#This Row],[Pipe]]&lt;&gt;"",IF(COUNTIF(Item1.3LPP.OnHold46[Pipe],D130)&gt;0,"Sim","Não"),"")</f>
        <v>Sim</v>
      </c>
      <c r="I130" s="260">
        <f>IF(Item1.3LPP.OnHold4[[#This Row],[Pipe]]&lt;&gt;"",COUNTIF(Item1.3LPP.OnHold46[Pipe],D130),"")</f>
        <v>1</v>
      </c>
      <c r="J130" s="447" t="s">
        <v>573</v>
      </c>
    </row>
    <row r="131" spans="1:10">
      <c r="A131" s="223">
        <v>30</v>
      </c>
      <c r="B131" s="453">
        <v>46226</v>
      </c>
      <c r="C131" s="224">
        <v>3</v>
      </c>
      <c r="D131" s="251" t="s">
        <v>621</v>
      </c>
      <c r="E131" s="253" t="s">
        <v>570</v>
      </c>
      <c r="F131" s="253" t="s">
        <v>171</v>
      </c>
      <c r="G131" s="481">
        <f>IF(Item1.3LPP.OnHold4[[#This Row],[Pipe]]&lt;&gt;"",COUNTIF(Item1.3LPP.OnHold4[Pipe],D131),"")</f>
        <v>1</v>
      </c>
      <c r="H131" s="260" t="str">
        <f>IF(Item1.3LPP.OnHold4[[#This Row],[Pipe]]&lt;&gt;"",IF(COUNTIF(Item1.3LPP.OnHold46[Pipe],D131)&gt;0,"Sim","Não"),"")</f>
        <v>Sim</v>
      </c>
      <c r="I131" s="260">
        <f>IF(Item1.3LPP.OnHold4[[#This Row],[Pipe]]&lt;&gt;"",COUNTIF(Item1.3LPP.OnHold46[Pipe],D131),"")</f>
        <v>1</v>
      </c>
      <c r="J131" s="447"/>
    </row>
    <row r="132" spans="1:10">
      <c r="A132" s="223">
        <v>30</v>
      </c>
      <c r="B132" s="453">
        <v>46226</v>
      </c>
      <c r="C132" s="224">
        <v>3</v>
      </c>
      <c r="D132" s="251" t="s">
        <v>622</v>
      </c>
      <c r="E132" s="253" t="s">
        <v>570</v>
      </c>
      <c r="F132" s="253" t="s">
        <v>171</v>
      </c>
      <c r="G132" s="481">
        <f>IF(Item1.3LPP.OnHold4[[#This Row],[Pipe]]&lt;&gt;"",COUNTIF(Item1.3LPP.OnHold4[Pipe],D132),"")</f>
        <v>1</v>
      </c>
      <c r="H132" s="253" t="str">
        <f>IF(Item1.3LPP.OnHold4[[#This Row],[Pipe]]&lt;&gt;"",IF(COUNTIF(Item1.3LPP.OnHold46[Pipe],D132)&gt;0,"Sim","Não"),"")</f>
        <v>Sim</v>
      </c>
      <c r="I132" s="253">
        <f>IF(Item1.3LPP.OnHold4[[#This Row],[Pipe]]&lt;&gt;"",COUNTIF(Item1.3LPP.OnHold46[Pipe],D132),"")</f>
        <v>1</v>
      </c>
      <c r="J132" s="445"/>
    </row>
    <row r="133" spans="1:10">
      <c r="A133" s="223">
        <v>30</v>
      </c>
      <c r="B133" s="453">
        <v>46227</v>
      </c>
      <c r="C133" s="271">
        <v>1</v>
      </c>
      <c r="D133" s="251" t="s">
        <v>230</v>
      </c>
      <c r="E133" s="253" t="s">
        <v>570</v>
      </c>
      <c r="F133" s="253" t="s">
        <v>171</v>
      </c>
      <c r="G133" s="481">
        <f>IF(Item1.3LPP.OnHold4[[#This Row],[Pipe]]&lt;&gt;"",COUNTIF(Item1.3LPP.OnHold4[Pipe],D133),"")</f>
        <v>1</v>
      </c>
      <c r="H133" s="260" t="str">
        <f>IF(Item1.3LPP.OnHold4[[#This Row],[Pipe]]&lt;&gt;"",IF(COUNTIF(Item1.3LPP.OnHold46[Pipe],D133)&gt;0,"Sim","Não"),"")</f>
        <v>Não</v>
      </c>
      <c r="I133" s="260">
        <f>IF(Item1.3LPP.OnHold4[[#This Row],[Pipe]]&lt;&gt;"",COUNTIF(Item1.3LPP.OnHold46[Pipe],D133),"")</f>
        <v>0</v>
      </c>
      <c r="J133" s="447" t="s">
        <v>573</v>
      </c>
    </row>
    <row r="134" spans="1:10">
      <c r="A134" s="223">
        <v>30</v>
      </c>
      <c r="B134" s="453">
        <v>46227</v>
      </c>
      <c r="C134" s="271">
        <v>1</v>
      </c>
      <c r="D134" s="251" t="s">
        <v>232</v>
      </c>
      <c r="E134" s="253" t="s">
        <v>570</v>
      </c>
      <c r="F134" s="253" t="s">
        <v>171</v>
      </c>
      <c r="G134" s="481">
        <f>IF(Item1.3LPP.OnHold4[[#This Row],[Pipe]]&lt;&gt;"",COUNTIF(Item1.3LPP.OnHold4[Pipe],D134),"")</f>
        <v>1</v>
      </c>
      <c r="H134" s="260" t="str">
        <f>IF(Item1.3LPP.OnHold4[[#This Row],[Pipe]]&lt;&gt;"",IF(COUNTIF(Item1.3LPP.OnHold46[Pipe],D134)&gt;0,"Sim","Não"),"")</f>
        <v>Sim</v>
      </c>
      <c r="I134" s="260">
        <f>IF(Item1.3LPP.OnHold4[[#This Row],[Pipe]]&lt;&gt;"",COUNTIF(Item1.3LPP.OnHold46[Pipe],D134),"")</f>
        <v>1</v>
      </c>
      <c r="J134" s="447" t="s">
        <v>573</v>
      </c>
    </row>
    <row r="135" spans="1:10">
      <c r="A135" s="223">
        <v>30</v>
      </c>
      <c r="B135" s="453">
        <v>46227</v>
      </c>
      <c r="C135" s="271">
        <v>1</v>
      </c>
      <c r="D135" s="251" t="s">
        <v>233</v>
      </c>
      <c r="E135" s="253" t="s">
        <v>570</v>
      </c>
      <c r="F135" s="253" t="s">
        <v>171</v>
      </c>
      <c r="G135" s="481">
        <f>IF(Item1.3LPP.OnHold4[[#This Row],[Pipe]]&lt;&gt;"",COUNTIF(Item1.3LPP.OnHold4[Pipe],D135),"")</f>
        <v>1</v>
      </c>
      <c r="H135" s="260" t="str">
        <f>IF(Item1.3LPP.OnHold4[[#This Row],[Pipe]]&lt;&gt;"",IF(COUNTIF(Item1.3LPP.OnHold46[Pipe],D135)&gt;0,"Sim","Não"),"")</f>
        <v>Sim</v>
      </c>
      <c r="I135" s="260">
        <f>IF(Item1.3LPP.OnHold4[[#This Row],[Pipe]]&lt;&gt;"",COUNTIF(Item1.3LPP.OnHold46[Pipe],D135),"")</f>
        <v>1</v>
      </c>
      <c r="J135" s="447" t="s">
        <v>573</v>
      </c>
    </row>
    <row r="136" spans="1:10">
      <c r="A136" s="223">
        <v>30</v>
      </c>
      <c r="B136" s="453">
        <v>46227</v>
      </c>
      <c r="C136" s="271">
        <v>2</v>
      </c>
      <c r="D136" s="251" t="s">
        <v>234</v>
      </c>
      <c r="E136" s="253" t="s">
        <v>570</v>
      </c>
      <c r="F136" s="253" t="s">
        <v>171</v>
      </c>
      <c r="G136" s="481">
        <f>IF(Item1.3LPP.OnHold4[[#This Row],[Pipe]]&lt;&gt;"",COUNTIF(Item1.3LPP.OnHold4[Pipe],D136),"")</f>
        <v>1</v>
      </c>
      <c r="H136" s="260" t="str">
        <f>IF(Item1.3LPP.OnHold4[[#This Row],[Pipe]]&lt;&gt;"",IF(COUNTIF(Item1.3LPP.OnHold46[Pipe],D136)&gt;0,"Sim","Não"),"")</f>
        <v>Não</v>
      </c>
      <c r="I136" s="260">
        <f>IF(Item1.3LPP.OnHold4[[#This Row],[Pipe]]&lt;&gt;"",COUNTIF(Item1.3LPP.OnHold46[Pipe],D136),"")</f>
        <v>0</v>
      </c>
      <c r="J136" s="447" t="s">
        <v>573</v>
      </c>
    </row>
    <row r="137" spans="1:10">
      <c r="A137" s="223">
        <v>30</v>
      </c>
      <c r="B137" s="453">
        <v>46227</v>
      </c>
      <c r="C137" s="271">
        <v>2</v>
      </c>
      <c r="D137" s="251" t="s">
        <v>623</v>
      </c>
      <c r="E137" s="253" t="s">
        <v>570</v>
      </c>
      <c r="F137" s="253" t="s">
        <v>171</v>
      </c>
      <c r="G137" s="481">
        <f>IF(Item1.3LPP.OnHold4[[#This Row],[Pipe]]&lt;&gt;"",COUNTIF(Item1.3LPP.OnHold4[Pipe],D137),"")</f>
        <v>1</v>
      </c>
      <c r="H137" s="260" t="str">
        <f>IF(Item1.3LPP.OnHold4[[#This Row],[Pipe]]&lt;&gt;"",IF(COUNTIF(Item1.3LPP.OnHold46[Pipe],D137)&gt;0,"Sim","Não"),"")</f>
        <v>Não</v>
      </c>
      <c r="I137" s="260">
        <f>IF(Item1.3LPP.OnHold4[[#This Row],[Pipe]]&lt;&gt;"",COUNTIF(Item1.3LPP.OnHold46[Pipe],D137),"")</f>
        <v>0</v>
      </c>
      <c r="J137" s="447" t="s">
        <v>573</v>
      </c>
    </row>
    <row r="138" spans="1:10">
      <c r="A138" s="223">
        <v>30</v>
      </c>
      <c r="B138" s="453">
        <v>46227</v>
      </c>
      <c r="C138" s="271">
        <v>3</v>
      </c>
      <c r="D138" s="251" t="s">
        <v>236</v>
      </c>
      <c r="E138" s="253" t="s">
        <v>570</v>
      </c>
      <c r="F138" s="253" t="s">
        <v>171</v>
      </c>
      <c r="G138" s="481">
        <f>IF(Item1.3LPP.OnHold4[[#This Row],[Pipe]]&lt;&gt;"",COUNTIF(Item1.3LPP.OnHold4[Pipe],D138),"")</f>
        <v>1</v>
      </c>
      <c r="H138" s="260" t="str">
        <f>IF(Item1.3LPP.OnHold4[[#This Row],[Pipe]]&lt;&gt;"",IF(COUNTIF(Item1.3LPP.OnHold46[Pipe],D138)&gt;0,"Sim","Não"),"")</f>
        <v>Sim</v>
      </c>
      <c r="I138" s="260">
        <f>IF(Item1.3LPP.OnHold4[[#This Row],[Pipe]]&lt;&gt;"",COUNTIF(Item1.3LPP.OnHold46[Pipe],D138),"")</f>
        <v>1</v>
      </c>
      <c r="J138" s="447" t="s">
        <v>573</v>
      </c>
    </row>
    <row r="139" spans="1:10">
      <c r="A139" s="223">
        <v>30</v>
      </c>
      <c r="B139" s="453">
        <v>46230</v>
      </c>
      <c r="C139" s="224">
        <v>1</v>
      </c>
      <c r="D139" s="251" t="s">
        <v>239</v>
      </c>
      <c r="E139" s="253" t="s">
        <v>570</v>
      </c>
      <c r="F139" s="253" t="s">
        <v>171</v>
      </c>
      <c r="G139" s="481">
        <f>IF(Item1.3LPP.OnHold4[[#This Row],[Pipe]]&lt;&gt;"",COUNTIF(Item1.3LPP.OnHold4[Pipe],D139),"")</f>
        <v>1</v>
      </c>
      <c r="H139" s="253"/>
      <c r="I139" s="260"/>
      <c r="J139" s="447" t="s">
        <v>573</v>
      </c>
    </row>
    <row r="140" spans="1:10">
      <c r="A140" s="258"/>
      <c r="B140" s="270"/>
      <c r="C140" s="224"/>
      <c r="D140" s="251"/>
      <c r="E140" s="259"/>
      <c r="F140" s="253"/>
      <c r="G140" s="481" t="str">
        <f>IF(Item1.3LPP.OnHold4[[#This Row],[Pipe]]&lt;&gt;"",COUNTIF(Item1.3LPP.OnHold4[Pipe],D140),"")</f>
        <v/>
      </c>
      <c r="H140" s="253" t="str">
        <f>IF(Item1.3LPP.OnHold4[[#This Row],[Pipe]]&lt;&gt;"",IF(COUNTIF(Item1.3LPP.OnHold46[Pipe],D140)&gt;0,"Sim","Não"),"")</f>
        <v/>
      </c>
      <c r="I140" s="253" t="str">
        <f>IF(Item1.3LPP.OnHold4[[#This Row],[Pipe]]&lt;&gt;"",COUNTIF(Item1.3LPP.OnHold46[Pipe],D140),"")</f>
        <v/>
      </c>
      <c r="J140" s="445"/>
    </row>
    <row r="141" spans="1:10">
      <c r="A141" s="264"/>
      <c r="B141" s="270"/>
      <c r="C141" s="224"/>
      <c r="D141" s="251"/>
      <c r="E141" s="259"/>
      <c r="F141" s="253"/>
      <c r="G141" s="481" t="str">
        <f>IF(Item1.3LPP.OnHold4[[#This Row],[Pipe]]&lt;&gt;"",COUNTIF(Item1.3LPP.OnHold4[Pipe],D141),"")</f>
        <v/>
      </c>
      <c r="H141" s="253" t="str">
        <f>IF(Item1.3LPP.OnHold4[[#This Row],[Pipe]]&lt;&gt;"",IF(COUNTIF(Item1.3LPP.OnHold46[Pipe],D141)&gt;0,"Sim","Não"),"")</f>
        <v/>
      </c>
      <c r="I141" s="253" t="str">
        <f>IF(Item1.3LPP.OnHold4[[#This Row],[Pipe]]&lt;&gt;"",COUNTIF(Item1.3LPP.OnHold46[Pipe],D141),"")</f>
        <v/>
      </c>
      <c r="J141" s="445"/>
    </row>
    <row r="142" spans="1:10">
      <c r="A142" s="268"/>
      <c r="B142" s="270"/>
      <c r="C142" s="224"/>
      <c r="D142" s="251"/>
      <c r="E142" s="259"/>
      <c r="F142" s="260"/>
      <c r="G142" s="481" t="str">
        <f>IF(Item1.3LPP.OnHold4[[#This Row],[Pipe]]&lt;&gt;"",COUNTIF(Item1.3LPP.OnHold4[Pipe],D142),"")</f>
        <v/>
      </c>
      <c r="H142" s="260" t="str">
        <f>IF(Item1.3LPP.OnHold4[[#This Row],[Pipe]]&lt;&gt;"",IF(COUNTIF(Item1.3LPP.OnHold46[Pipe],D142)&gt;0,"Sim","Não"),"")</f>
        <v/>
      </c>
      <c r="I142" s="260" t="str">
        <f>IF(Item1.3LPP.OnHold4[[#This Row],[Pipe]]&lt;&gt;"",COUNTIF(Item1.3LPP.OnHold46[Pipe],D142),"")</f>
        <v/>
      </c>
      <c r="J142" s="447"/>
    </row>
    <row r="143" spans="1:10">
      <c r="A143" s="264"/>
      <c r="B143" s="265"/>
      <c r="C143" s="224"/>
      <c r="D143" s="251"/>
      <c r="E143" s="259"/>
      <c r="F143" s="260"/>
      <c r="G143" s="481" t="str">
        <f>IF(Item1.3LPP.OnHold4[[#This Row],[Pipe]]&lt;&gt;"",COUNTIF(Item1.3LPP.OnHold4[Pipe],D143),"")</f>
        <v/>
      </c>
      <c r="H143" s="260" t="str">
        <f>IF(Item1.3LPP.OnHold4[[#This Row],[Pipe]]&lt;&gt;"",IF(COUNTIF(Item1.3LPP.OnHold46[Pipe],D143)&gt;0,"Sim","Não"),"")</f>
        <v/>
      </c>
      <c r="I143" s="260" t="str">
        <f>IF(Item1.3LPP.OnHold4[[#This Row],[Pipe]]&lt;&gt;"",COUNTIF(Item1.3LPP.OnHold46[Pipe],D143),"")</f>
        <v/>
      </c>
      <c r="J143" s="445"/>
    </row>
    <row r="144" spans="1:10">
      <c r="A144" s="266"/>
      <c r="B144" s="267"/>
      <c r="C144" s="224"/>
      <c r="D144" s="251"/>
      <c r="E144" s="259"/>
      <c r="F144" s="260"/>
      <c r="G144" s="481" t="str">
        <f>IF(Item1.3LPP.OnHold4[[#This Row],[Pipe]]&lt;&gt;"",COUNTIF(Item1.3LPP.OnHold4[Pipe],D144),"")</f>
        <v/>
      </c>
      <c r="H144" s="260" t="str">
        <f>IF(Item1.3LPP.OnHold4[[#This Row],[Pipe]]&lt;&gt;"",IF(COUNTIF(Item1.3LPP.OnHold46[Pipe],D144)&gt;0,"Sim","Não"),"")</f>
        <v/>
      </c>
      <c r="I144" s="260" t="str">
        <f>IF(Item1.3LPP.OnHold4[[#This Row],[Pipe]]&lt;&gt;"",COUNTIF(Item1.3LPP.OnHold46[Pipe],D144),"")</f>
        <v/>
      </c>
      <c r="J144" s="447"/>
    </row>
    <row r="145" spans="1:10">
      <c r="A145" s="266"/>
      <c r="B145" s="267"/>
      <c r="C145" s="224"/>
      <c r="D145" s="251"/>
      <c r="E145" s="259"/>
      <c r="F145" s="260"/>
      <c r="G145" s="481" t="str">
        <f>IF(Item1.3LPP.OnHold4[[#This Row],[Pipe]]&lt;&gt;"",COUNTIF(Item1.3LPP.OnHold4[Pipe],D145),"")</f>
        <v/>
      </c>
      <c r="H145" s="260" t="str">
        <f>IF(Item1.3LPP.OnHold4[[#This Row],[Pipe]]&lt;&gt;"",IF(COUNTIF(Item1.3LPP.OnHold46[Pipe],D145)&gt;0,"Sim","Não"),"")</f>
        <v/>
      </c>
      <c r="I145" s="260" t="str">
        <f>IF(Item1.3LPP.OnHold4[[#This Row],[Pipe]]&lt;&gt;"",COUNTIF(Item1.3LPP.OnHold46[Pipe],D145),"")</f>
        <v/>
      </c>
      <c r="J145" s="447"/>
    </row>
    <row r="146" spans="1:10">
      <c r="A146" s="266"/>
      <c r="B146" s="267"/>
      <c r="C146" s="224"/>
      <c r="D146" s="251"/>
      <c r="E146" s="259"/>
      <c r="F146" s="260"/>
      <c r="G146" s="481" t="str">
        <f>IF(Item1.3LPP.OnHold4[[#This Row],[Pipe]]&lt;&gt;"",COUNTIF(Item1.3LPP.OnHold4[Pipe],D146),"")</f>
        <v/>
      </c>
      <c r="H146" s="260" t="str">
        <f>IF(Item1.3LPP.OnHold4[[#This Row],[Pipe]]&lt;&gt;"",IF(COUNTIF(Item1.3LPP.OnHold46[Pipe],D146)&gt;0,"Sim","Não"),"")</f>
        <v/>
      </c>
      <c r="I146" s="260" t="str">
        <f>IF(Item1.3LPP.OnHold4[[#This Row],[Pipe]]&lt;&gt;"",COUNTIF(Item1.3LPP.OnHold46[Pipe],D146),"")</f>
        <v/>
      </c>
      <c r="J146" s="447"/>
    </row>
    <row r="147" spans="1:10">
      <c r="A147" s="268"/>
      <c r="B147" s="269"/>
      <c r="C147" s="224"/>
      <c r="D147" s="251"/>
      <c r="E147" s="259"/>
      <c r="F147" s="260"/>
      <c r="G147" s="481" t="str">
        <f>IF(Item1.3LPP.OnHold4[[#This Row],[Pipe]]&lt;&gt;"",COUNTIF(Item1.3LPP.OnHold4[Pipe],D147),"")</f>
        <v/>
      </c>
      <c r="H147" s="260" t="str">
        <f>IF(Item1.3LPP.OnHold4[[#This Row],[Pipe]]&lt;&gt;"",IF(COUNTIF(Item1.3LPP.OnHold46[Pipe],D147)&gt;0,"Sim","Não"),"")</f>
        <v/>
      </c>
      <c r="I147" s="260" t="str">
        <f>IF(Item1.3LPP.OnHold4[[#This Row],[Pipe]]&lt;&gt;"",COUNTIF(Item1.3LPP.OnHold46[Pipe],D147),"")</f>
        <v/>
      </c>
      <c r="J147" s="447"/>
    </row>
    <row r="148" spans="1:10">
      <c r="A148" s="264"/>
      <c r="B148" s="265"/>
      <c r="C148" s="224"/>
      <c r="D148" s="251"/>
      <c r="E148" s="259"/>
      <c r="F148" s="260"/>
      <c r="G148" s="481" t="str">
        <f>IF(Item1.3LPP.OnHold4[[#This Row],[Pipe]]&lt;&gt;"",COUNTIF(Item1.3LPP.OnHold4[Pipe],D148),"")</f>
        <v/>
      </c>
      <c r="H148" s="260" t="str">
        <f>IF(Item1.3LPP.OnHold4[[#This Row],[Pipe]]&lt;&gt;"",IF(COUNTIF(Item1.3LPP.OnHold46[Pipe],D148)&gt;0,"Sim","Não"),"")</f>
        <v/>
      </c>
      <c r="I148" s="260" t="str">
        <f>IF(Item1.3LPP.OnHold4[[#This Row],[Pipe]]&lt;&gt;"",COUNTIF(Item1.3LPP.OnHold46[Pipe],D148),"")</f>
        <v/>
      </c>
      <c r="J148" s="445"/>
    </row>
    <row r="149" spans="1:10">
      <c r="A149" s="266"/>
      <c r="B149" s="267"/>
      <c r="C149" s="224"/>
      <c r="D149" s="251"/>
      <c r="E149" s="259"/>
      <c r="F149" s="260"/>
      <c r="G149" s="481" t="str">
        <f>IF(Item1.3LPP.OnHold4[[#This Row],[Pipe]]&lt;&gt;"",COUNTIF(Item1.3LPP.OnHold4[Pipe],D149),"")</f>
        <v/>
      </c>
      <c r="H149" s="260" t="str">
        <f>IF(Item1.3LPP.OnHold4[[#This Row],[Pipe]]&lt;&gt;"",IF(COUNTIF(Item1.3LPP.OnHold46[Pipe],D149)&gt;0,"Sim","Não"),"")</f>
        <v/>
      </c>
      <c r="I149" s="260" t="str">
        <f>IF(Item1.3LPP.OnHold4[[#This Row],[Pipe]]&lt;&gt;"",COUNTIF(Item1.3LPP.OnHold46[Pipe],D149),"")</f>
        <v/>
      </c>
      <c r="J149" s="447"/>
    </row>
    <row r="150" spans="1:10">
      <c r="A150" s="266"/>
      <c r="B150" s="267"/>
      <c r="C150" s="224"/>
      <c r="D150" s="251"/>
      <c r="E150" s="259"/>
      <c r="F150" s="260"/>
      <c r="G150" s="481" t="str">
        <f>IF(Item1.3LPP.OnHold4[[#This Row],[Pipe]]&lt;&gt;"",COUNTIF(Item1.3LPP.OnHold4[Pipe],D150),"")</f>
        <v/>
      </c>
      <c r="H150" s="260" t="str">
        <f>IF(Item1.3LPP.OnHold4[[#This Row],[Pipe]]&lt;&gt;"",IF(COUNTIF(Item1.3LPP.OnHold46[Pipe],D150)&gt;0,"Sim","Não"),"")</f>
        <v/>
      </c>
      <c r="I150" s="260" t="str">
        <f>IF(Item1.3LPP.OnHold4[[#This Row],[Pipe]]&lt;&gt;"",COUNTIF(Item1.3LPP.OnHold46[Pipe],D150),"")</f>
        <v/>
      </c>
      <c r="J150" s="447"/>
    </row>
    <row r="151" spans="1:10">
      <c r="A151" s="266"/>
      <c r="B151" s="267"/>
      <c r="C151" s="224"/>
      <c r="D151" s="251"/>
      <c r="E151" s="259"/>
      <c r="F151" s="260"/>
      <c r="G151" s="481" t="str">
        <f>IF(Item1.3LPP.OnHold4[[#This Row],[Pipe]]&lt;&gt;"",COUNTIF(Item1.3LPP.OnHold4[Pipe],D151),"")</f>
        <v/>
      </c>
      <c r="H151" s="260" t="str">
        <f>IF(Item1.3LPP.OnHold4[[#This Row],[Pipe]]&lt;&gt;"",IF(COUNTIF(Item1.3LPP.OnHold46[Pipe],D151)&gt;0,"Sim","Não"),"")</f>
        <v/>
      </c>
      <c r="I151" s="260" t="str">
        <f>IF(Item1.3LPP.OnHold4[[#This Row],[Pipe]]&lt;&gt;"",COUNTIF(Item1.3LPP.OnHold46[Pipe],D151),"")</f>
        <v/>
      </c>
      <c r="J151" s="447"/>
    </row>
    <row r="152" spans="1:10">
      <c r="A152" s="266"/>
      <c r="B152" s="267"/>
      <c r="C152" s="224"/>
      <c r="D152" s="251"/>
      <c r="E152" s="259"/>
      <c r="F152" s="260"/>
      <c r="G152" s="481" t="str">
        <f>IF(Item1.3LPP.OnHold4[[#This Row],[Pipe]]&lt;&gt;"",COUNTIF(Item1.3LPP.OnHold4[Pipe],D152),"")</f>
        <v/>
      </c>
      <c r="H152" s="260" t="str">
        <f>IF(Item1.3LPP.OnHold4[[#This Row],[Pipe]]&lt;&gt;"",IF(COUNTIF(Item1.3LPP.OnHold46[Pipe],D152)&gt;0,"Sim","Não"),"")</f>
        <v/>
      </c>
      <c r="I152" s="260" t="str">
        <f>IF(Item1.3LPP.OnHold4[[#This Row],[Pipe]]&lt;&gt;"",COUNTIF(Item1.3LPP.OnHold46[Pipe],D152),"")</f>
        <v/>
      </c>
      <c r="J152" s="447"/>
    </row>
    <row r="153" spans="1:10">
      <c r="A153" s="268"/>
      <c r="B153" s="269"/>
      <c r="C153" s="224"/>
      <c r="D153" s="251"/>
      <c r="E153" s="259"/>
      <c r="F153" s="260"/>
      <c r="G153" s="481" t="str">
        <f>IF(Item1.3LPP.OnHold4[[#This Row],[Pipe]]&lt;&gt;"",COUNTIF(Item1.3LPP.OnHold4[Pipe],D153),"")</f>
        <v/>
      </c>
      <c r="H153" s="260" t="str">
        <f>IF(Item1.3LPP.OnHold4[[#This Row],[Pipe]]&lt;&gt;"",IF(COUNTIF(Item1.3LPP.OnHold46[Pipe],D153)&gt;0,"Sim","Não"),"")</f>
        <v/>
      </c>
      <c r="I153" s="260" t="str">
        <f>IF(Item1.3LPP.OnHold4[[#This Row],[Pipe]]&lt;&gt;"",COUNTIF(Item1.3LPP.OnHold46[Pipe],D153),"")</f>
        <v/>
      </c>
      <c r="J153" s="447"/>
    </row>
    <row r="154" spans="1:10">
      <c r="A154" s="272"/>
      <c r="B154" s="265"/>
      <c r="C154" s="224"/>
      <c r="D154" s="251"/>
      <c r="E154" s="259"/>
      <c r="F154" s="260"/>
      <c r="G154" s="481" t="str">
        <f>IF(Item1.3LPP.OnHold4[[#This Row],[Pipe]]&lt;&gt;"",COUNTIF(Item1.3LPP.OnHold4[Pipe],D154),"")</f>
        <v/>
      </c>
      <c r="H154" s="260" t="str">
        <f>IF(Item1.3LPP.OnHold4[[#This Row],[Pipe]]&lt;&gt;"",IF(COUNTIF(Item1.3LPP.OnHold46[Pipe],D154)&gt;0,"Sim","Não"),"")</f>
        <v/>
      </c>
      <c r="I154" s="260" t="str">
        <f>IF(Item1.3LPP.OnHold4[[#This Row],[Pipe]]&lt;&gt;"",COUNTIF(Item1.3LPP.OnHold46[Pipe],D154),"")</f>
        <v/>
      </c>
      <c r="J154" s="445"/>
    </row>
    <row r="155" spans="1:10">
      <c r="A155" s="272"/>
      <c r="B155" s="267"/>
      <c r="C155" s="224"/>
      <c r="D155" s="251"/>
      <c r="E155" s="259"/>
      <c r="F155" s="260"/>
      <c r="G155" s="481" t="str">
        <f>IF(Item1.3LPP.OnHold4[[#This Row],[Pipe]]&lt;&gt;"",COUNTIF(Item1.3LPP.OnHold4[Pipe],D155),"")</f>
        <v/>
      </c>
      <c r="H155" s="260" t="str">
        <f>IF(Item1.3LPP.OnHold4[[#This Row],[Pipe]]&lt;&gt;"",IF(COUNTIF(Item1.3LPP.OnHold46[Pipe],D155)&gt;0,"Sim","Não"),"")</f>
        <v/>
      </c>
      <c r="I155" s="260" t="str">
        <f>IF(Item1.3LPP.OnHold4[[#This Row],[Pipe]]&lt;&gt;"",COUNTIF(Item1.3LPP.OnHold46[Pipe],D155),"")</f>
        <v/>
      </c>
      <c r="J155" s="447"/>
    </row>
    <row r="156" spans="1:10">
      <c r="A156" s="272"/>
      <c r="B156" s="267"/>
      <c r="C156" s="224"/>
      <c r="D156" s="251"/>
      <c r="E156" s="259"/>
      <c r="F156" s="260"/>
      <c r="G156" s="481" t="str">
        <f>IF(Item1.3LPP.OnHold4[[#This Row],[Pipe]]&lt;&gt;"",COUNTIF(Item1.3LPP.OnHold4[Pipe],D156),"")</f>
        <v/>
      </c>
      <c r="H156" s="260" t="str">
        <f>IF(Item1.3LPP.OnHold4[[#This Row],[Pipe]]&lt;&gt;"",IF(COUNTIF(Item1.3LPP.OnHold46[Pipe],D156)&gt;0,"Sim","Não"),"")</f>
        <v/>
      </c>
      <c r="I156" s="260" t="str">
        <f>IF(Item1.3LPP.OnHold4[[#This Row],[Pipe]]&lt;&gt;"",COUNTIF(Item1.3LPP.OnHold46[Pipe],D156),"")</f>
        <v/>
      </c>
      <c r="J156" s="447"/>
    </row>
    <row r="157" spans="1:10">
      <c r="A157" s="272"/>
      <c r="B157" s="267"/>
      <c r="C157" s="224"/>
      <c r="D157" s="251"/>
      <c r="E157" s="259"/>
      <c r="F157" s="260"/>
      <c r="G157" s="481" t="str">
        <f>IF(Item1.3LPP.OnHold4[[#This Row],[Pipe]]&lt;&gt;"",COUNTIF(Item1.3LPP.OnHold4[Pipe],D157),"")</f>
        <v/>
      </c>
      <c r="H157" s="260" t="str">
        <f>IF(Item1.3LPP.OnHold4[[#This Row],[Pipe]]&lt;&gt;"",IF(COUNTIF(Item1.3LPP.OnHold46[Pipe],D157)&gt;0,"Sim","Não"),"")</f>
        <v/>
      </c>
      <c r="I157" s="260" t="str">
        <f>IF(Item1.3LPP.OnHold4[[#This Row],[Pipe]]&lt;&gt;"",COUNTIF(Item1.3LPP.OnHold46[Pipe],D157),"")</f>
        <v/>
      </c>
      <c r="J157" s="447"/>
    </row>
    <row r="158" spans="1:10">
      <c r="A158" s="272"/>
      <c r="B158" s="267"/>
      <c r="C158" s="224"/>
      <c r="D158" s="251"/>
      <c r="E158" s="259"/>
      <c r="F158" s="260"/>
      <c r="G158" s="481" t="str">
        <f>IF(Item1.3LPP.OnHold4[[#This Row],[Pipe]]&lt;&gt;"",COUNTIF(Item1.3LPP.OnHold4[Pipe],D158),"")</f>
        <v/>
      </c>
      <c r="H158" s="260" t="str">
        <f>IF(Item1.3LPP.OnHold4[[#This Row],[Pipe]]&lt;&gt;"",IF(COUNTIF(Item1.3LPP.OnHold46[Pipe],D158)&gt;0,"Sim","Não"),"")</f>
        <v/>
      </c>
      <c r="I158" s="260" t="str">
        <f>IF(Item1.3LPP.OnHold4[[#This Row],[Pipe]]&lt;&gt;"",COUNTIF(Item1.3LPP.OnHold46[Pipe],D158),"")</f>
        <v/>
      </c>
      <c r="J158" s="447"/>
    </row>
    <row r="159" spans="1:10">
      <c r="A159" s="272"/>
      <c r="B159" s="267"/>
      <c r="C159" s="224"/>
      <c r="D159" s="251"/>
      <c r="E159" s="259"/>
      <c r="F159" s="260"/>
      <c r="G159" s="481" t="str">
        <f>IF(Item1.3LPP.OnHold4[[#This Row],[Pipe]]&lt;&gt;"",COUNTIF(Item1.3LPP.OnHold4[Pipe],D159),"")</f>
        <v/>
      </c>
      <c r="H159" s="260" t="str">
        <f>IF(Item1.3LPP.OnHold4[[#This Row],[Pipe]]&lt;&gt;"",IF(COUNTIF(Item1.3LPP.OnHold46[Pipe],D159)&gt;0,"Sim","Não"),"")</f>
        <v/>
      </c>
      <c r="I159" s="260" t="str">
        <f>IF(Item1.3LPP.OnHold4[[#This Row],[Pipe]]&lt;&gt;"",COUNTIF(Item1.3LPP.OnHold46[Pipe],D159),"")</f>
        <v/>
      </c>
      <c r="J159" s="447"/>
    </row>
    <row r="160" spans="1:10">
      <c r="A160" s="272"/>
      <c r="B160" s="267"/>
      <c r="C160" s="224"/>
      <c r="D160" s="251"/>
      <c r="E160" s="259"/>
      <c r="F160" s="260"/>
      <c r="G160" s="481" t="str">
        <f>IF(Item1.3LPP.OnHold4[[#This Row],[Pipe]]&lt;&gt;"",COUNTIF(Item1.3LPP.OnHold4[Pipe],D160),"")</f>
        <v/>
      </c>
      <c r="H160" s="260" t="str">
        <f>IF(Item1.3LPP.OnHold4[[#This Row],[Pipe]]&lt;&gt;"",IF(COUNTIF(Item1.3LPP.OnHold46[Pipe],D160)&gt;0,"Sim","Não"),"")</f>
        <v/>
      </c>
      <c r="I160" s="260" t="str">
        <f>IF(Item1.3LPP.OnHold4[[#This Row],[Pipe]]&lt;&gt;"",COUNTIF(Item1.3LPP.OnHold46[Pipe],D160),"")</f>
        <v/>
      </c>
      <c r="J160" s="447"/>
    </row>
    <row r="161" spans="1:10">
      <c r="A161" s="258"/>
      <c r="B161" s="269"/>
      <c r="C161" s="224"/>
      <c r="D161" s="251"/>
      <c r="E161" s="259"/>
      <c r="F161" s="260"/>
      <c r="G161" s="481" t="str">
        <f>IF(Item1.3LPP.OnHold4[[#This Row],[Pipe]]&lt;&gt;"",COUNTIF(Item1.3LPP.OnHold4[Pipe],D161),"")</f>
        <v/>
      </c>
      <c r="H161" s="260" t="str">
        <f>IF(Item1.3LPP.OnHold4[[#This Row],[Pipe]]&lt;&gt;"",IF(COUNTIF(Item1.3LPP.OnHold46[Pipe],D161)&gt;0,"Sim","Não"),"")</f>
        <v/>
      </c>
      <c r="I161" s="260" t="str">
        <f>IF(Item1.3LPP.OnHold4[[#This Row],[Pipe]]&lt;&gt;"",COUNTIF(Item1.3LPP.OnHold46[Pipe],D161),"")</f>
        <v/>
      </c>
      <c r="J161" s="447"/>
    </row>
    <row r="162" spans="1:10">
      <c r="A162" s="258"/>
      <c r="B162" s="269"/>
      <c r="C162" s="224"/>
      <c r="D162" s="251"/>
      <c r="E162" s="259"/>
      <c r="F162" s="260"/>
      <c r="G162" s="481" t="str">
        <f>IF(Item1.3LPP.OnHold4[[#This Row],[Pipe]]&lt;&gt;"",COUNTIF(Item1.3LPP.OnHold4[Pipe],D162),"")</f>
        <v/>
      </c>
      <c r="H162" s="260" t="str">
        <f>IF(Item1.3LPP.OnHold4[[#This Row],[Pipe]]&lt;&gt;"",IF(COUNTIF(Item1.3LPP.OnHold46[Pipe],D162)&gt;0,"Sim","Não"),"")</f>
        <v/>
      </c>
      <c r="I162" s="260" t="str">
        <f>IF(Item1.3LPP.OnHold4[[#This Row],[Pipe]]&lt;&gt;"",COUNTIF(Item1.3LPP.OnHold46[Pipe],D162),"")</f>
        <v/>
      </c>
      <c r="J162" s="445"/>
    </row>
  </sheetData>
  <conditionalFormatting sqref="D1:D8 D18:D19 D23:D24 D28:D39 D41:D46 D49:D51 D54:D55 D58:D67 D72 D75:D80 D86:D90 D101:D105 D117:D1048576">
    <cfRule type="duplicateValues" dxfId="340" priority="294"/>
    <cfRule type="duplicateValues" dxfId="339" priority="316"/>
    <cfRule type="duplicateValues" dxfId="338" priority="303"/>
    <cfRule type="duplicateValues" dxfId="337" priority="302"/>
  </conditionalFormatting>
  <conditionalFormatting sqref="D1:D16 D18:D19 D23:D24 D28:D39 D41:D46 D49:D51 D54:D55 D58:D67 D72 D75:D80 D86:D90 D101:D105 D117:D1048576">
    <cfRule type="duplicateValues" dxfId="336" priority="273"/>
  </conditionalFormatting>
  <conditionalFormatting sqref="D1:D16 D18:D24 D28:D39 D41:D46 D49:D51 D54:D55 D58:D67 D72 D75:D80 D86:D90 D101:D105 D117:D1048576">
    <cfRule type="duplicateValues" dxfId="335" priority="237"/>
  </conditionalFormatting>
  <conditionalFormatting sqref="D1:D24 D28:D39 D41:D46 D49:D51 D54:D55 D58:D67 D72 D75:D80 D86:D90 D101:D105 D117:D1048576">
    <cfRule type="duplicateValues" dxfId="334" priority="218"/>
  </conditionalFormatting>
  <conditionalFormatting sqref="D1:D80 D86:D90 D101:D105 D117:D1048576">
    <cfRule type="duplicateValues" dxfId="333" priority="76"/>
  </conditionalFormatting>
  <conditionalFormatting sqref="D1:D1048576">
    <cfRule type="duplicateValues" dxfId="332" priority="5"/>
    <cfRule type="duplicateValues" dxfId="331" priority="6"/>
    <cfRule type="duplicateValues" dxfId="330" priority="9"/>
    <cfRule type="duplicateValues" dxfId="329" priority="10"/>
  </conditionalFormatting>
  <conditionalFormatting sqref="D5">
    <cfRule type="duplicateValues" dxfId="328" priority="1"/>
    <cfRule type="duplicateValues" dxfId="327" priority="2"/>
    <cfRule type="duplicateValues" dxfId="326" priority="3"/>
    <cfRule type="duplicateValues" dxfId="325" priority="4"/>
    <cfRule type="duplicateValues" dxfId="324" priority="207"/>
    <cfRule type="duplicateValues" dxfId="323" priority="208"/>
    <cfRule type="duplicateValues" dxfId="322" priority="205"/>
    <cfRule type="duplicateValues" dxfId="321" priority="206"/>
  </conditionalFormatting>
  <conditionalFormatting sqref="D5:D51 D54:D55 D58:D67 D72 D75:D80 D86:D90 D101:D105 D117:D162">
    <cfRule type="duplicateValues" dxfId="320" priority="161"/>
  </conditionalFormatting>
  <conditionalFormatting sqref="D5:D55 D58:D67 D72 D75:D80 D86:D90 D101:D105 D117:D162">
    <cfRule type="duplicateValues" dxfId="319" priority="155"/>
  </conditionalFormatting>
  <conditionalFormatting sqref="D5:D67 D72 D75:D80 D86:D90 D101:D105 D117:D162">
    <cfRule type="duplicateValues" dxfId="318" priority="128"/>
  </conditionalFormatting>
  <conditionalFormatting sqref="D5:D72 D75:D80 D86:D90 D101:D105 D117:D162">
    <cfRule type="duplicateValues" dxfId="317" priority="110"/>
  </conditionalFormatting>
  <conditionalFormatting sqref="D5:D96 D99:D105 D117:D162">
    <cfRule type="duplicateValues" dxfId="316" priority="397"/>
  </conditionalFormatting>
  <conditionalFormatting sqref="D5:D96 D101:D105 D117:D162">
    <cfRule type="duplicateValues" dxfId="315" priority="45"/>
  </conditionalFormatting>
  <conditionalFormatting sqref="D5:D105 D117:D162">
    <cfRule type="duplicateValues" dxfId="314" priority="22"/>
  </conditionalFormatting>
  <conditionalFormatting sqref="D9:D12">
    <cfRule type="duplicateValues" dxfId="313" priority="277"/>
    <cfRule type="duplicateValues" dxfId="312" priority="276"/>
    <cfRule type="duplicateValues" dxfId="311" priority="275"/>
    <cfRule type="duplicateValues" dxfId="310" priority="274"/>
  </conditionalFormatting>
  <conditionalFormatting sqref="D13:D16">
    <cfRule type="duplicateValues" dxfId="309" priority="291"/>
    <cfRule type="duplicateValues" dxfId="308" priority="290"/>
    <cfRule type="duplicateValues" dxfId="307" priority="292"/>
    <cfRule type="duplicateValues" dxfId="306" priority="293"/>
  </conditionalFormatting>
  <conditionalFormatting sqref="D17">
    <cfRule type="duplicateValues" dxfId="305" priority="231"/>
    <cfRule type="duplicateValues" dxfId="304" priority="232"/>
    <cfRule type="duplicateValues" dxfId="303" priority="230"/>
    <cfRule type="duplicateValues" dxfId="302" priority="228"/>
    <cfRule type="duplicateValues" dxfId="301" priority="229"/>
  </conditionalFormatting>
  <conditionalFormatting sqref="D20">
    <cfRule type="duplicateValues" dxfId="300" priority="349"/>
    <cfRule type="duplicateValues" dxfId="299" priority="348"/>
    <cfRule type="duplicateValues" dxfId="298" priority="350"/>
    <cfRule type="duplicateValues" dxfId="297" priority="351"/>
  </conditionalFormatting>
  <conditionalFormatting sqref="D21">
    <cfRule type="duplicateValues" dxfId="296" priority="200"/>
    <cfRule type="duplicateValues" dxfId="295" priority="199"/>
    <cfRule type="duplicateValues" dxfId="294" priority="198"/>
    <cfRule type="duplicateValues" dxfId="293" priority="197"/>
    <cfRule type="duplicateValues" dxfId="292" priority="196"/>
  </conditionalFormatting>
  <conditionalFormatting sqref="D22">
    <cfRule type="duplicateValues" dxfId="291" priority="241"/>
    <cfRule type="duplicateValues" dxfId="290" priority="242"/>
    <cfRule type="duplicateValues" dxfId="289" priority="240"/>
    <cfRule type="duplicateValues" dxfId="288" priority="239"/>
    <cfRule type="duplicateValues" dxfId="287" priority="238"/>
  </conditionalFormatting>
  <conditionalFormatting sqref="D25:D27">
    <cfRule type="duplicateValues" dxfId="286" priority="211"/>
    <cfRule type="duplicateValues" dxfId="285" priority="210"/>
    <cfRule type="duplicateValues" dxfId="284" priority="209"/>
    <cfRule type="duplicateValues" dxfId="283" priority="213"/>
    <cfRule type="duplicateValues" dxfId="282" priority="212"/>
  </conditionalFormatting>
  <conditionalFormatting sqref="D40">
    <cfRule type="duplicateValues" dxfId="281" priority="187"/>
    <cfRule type="duplicateValues" dxfId="280" priority="184"/>
    <cfRule type="duplicateValues" dxfId="279" priority="183"/>
    <cfRule type="duplicateValues" dxfId="278" priority="185"/>
    <cfRule type="duplicateValues" dxfId="277" priority="186"/>
  </conditionalFormatting>
  <conditionalFormatting sqref="D43">
    <cfRule type="duplicateValues" dxfId="276" priority="297"/>
    <cfRule type="duplicateValues" dxfId="275" priority="296"/>
    <cfRule type="duplicateValues" dxfId="274" priority="295"/>
  </conditionalFormatting>
  <conditionalFormatting sqref="D47:D48">
    <cfRule type="duplicateValues" dxfId="273" priority="172"/>
    <cfRule type="duplicateValues" dxfId="272" priority="171"/>
    <cfRule type="duplicateValues" dxfId="271" priority="174"/>
    <cfRule type="duplicateValues" dxfId="270" priority="173"/>
    <cfRule type="duplicateValues" dxfId="269" priority="170"/>
  </conditionalFormatting>
  <conditionalFormatting sqref="D52:D53">
    <cfRule type="duplicateValues" dxfId="268" priority="160"/>
    <cfRule type="duplicateValues" dxfId="267" priority="159"/>
    <cfRule type="duplicateValues" dxfId="266" priority="158"/>
    <cfRule type="duplicateValues" dxfId="265" priority="157"/>
    <cfRule type="duplicateValues" dxfId="264" priority="156"/>
  </conditionalFormatting>
  <conditionalFormatting sqref="D56">
    <cfRule type="duplicateValues" dxfId="263" priority="143"/>
    <cfRule type="duplicateValues" dxfId="262" priority="144"/>
    <cfRule type="duplicateValues" dxfId="261" priority="145"/>
    <cfRule type="duplicateValues" dxfId="260" priority="150"/>
    <cfRule type="duplicateValues" dxfId="259" priority="142"/>
  </conditionalFormatting>
  <conditionalFormatting sqref="D57">
    <cfRule type="duplicateValues" dxfId="258" priority="132"/>
    <cfRule type="duplicateValues" dxfId="257" priority="131"/>
    <cfRule type="duplicateValues" dxfId="256" priority="130"/>
    <cfRule type="duplicateValues" dxfId="255" priority="129"/>
    <cfRule type="duplicateValues" dxfId="254" priority="137"/>
  </conditionalFormatting>
  <conditionalFormatting sqref="D68:D71">
    <cfRule type="duplicateValues" dxfId="253" priority="123"/>
    <cfRule type="duplicateValues" dxfId="252" priority="122"/>
    <cfRule type="duplicateValues" dxfId="251" priority="121"/>
    <cfRule type="duplicateValues" dxfId="250" priority="120"/>
    <cfRule type="duplicateValues" dxfId="249" priority="119"/>
  </conditionalFormatting>
  <conditionalFormatting sqref="D73:D74">
    <cfRule type="duplicateValues" dxfId="248" priority="105"/>
    <cfRule type="duplicateValues" dxfId="247" priority="102"/>
    <cfRule type="duplicateValues" dxfId="246" priority="101"/>
    <cfRule type="duplicateValues" dxfId="245" priority="104"/>
    <cfRule type="duplicateValues" dxfId="244" priority="103"/>
  </conditionalFormatting>
  <conditionalFormatting sqref="D81:D82">
    <cfRule type="duplicateValues" dxfId="243" priority="56"/>
    <cfRule type="duplicateValues" dxfId="242" priority="65"/>
    <cfRule type="duplicateValues" dxfId="241" priority="64"/>
    <cfRule type="duplicateValues" dxfId="240" priority="63"/>
    <cfRule type="duplicateValues" dxfId="239" priority="62"/>
    <cfRule type="duplicateValues" dxfId="238" priority="61"/>
  </conditionalFormatting>
  <conditionalFormatting sqref="D83:D85">
    <cfRule type="duplicateValues" dxfId="237" priority="403"/>
    <cfRule type="duplicateValues" dxfId="236" priority="402"/>
    <cfRule type="duplicateValues" dxfId="235" priority="401"/>
    <cfRule type="duplicateValues" dxfId="234" priority="400"/>
    <cfRule type="duplicateValues" dxfId="233" priority="399"/>
    <cfRule type="duplicateValues" dxfId="232" priority="404"/>
  </conditionalFormatting>
  <conditionalFormatting sqref="D91:D96">
    <cfRule type="duplicateValues" dxfId="231" priority="50"/>
    <cfRule type="duplicateValues" dxfId="230" priority="48"/>
    <cfRule type="duplicateValues" dxfId="229" priority="49"/>
    <cfRule type="duplicateValues" dxfId="228" priority="51"/>
    <cfRule type="duplicateValues" dxfId="227" priority="46"/>
    <cfRule type="duplicateValues" dxfId="226" priority="47"/>
  </conditionalFormatting>
  <conditionalFormatting sqref="D97:D98">
    <cfRule type="duplicateValues" dxfId="225" priority="27"/>
    <cfRule type="duplicateValues" dxfId="224" priority="26"/>
    <cfRule type="duplicateValues" dxfId="223" priority="24"/>
    <cfRule type="duplicateValues" dxfId="222" priority="23"/>
    <cfRule type="duplicateValues" dxfId="221" priority="25"/>
    <cfRule type="duplicateValues" dxfId="220" priority="33"/>
    <cfRule type="duplicateValues" dxfId="219" priority="28"/>
  </conditionalFormatting>
  <conditionalFormatting sqref="D99:D100">
    <cfRule type="duplicateValues" dxfId="218" priority="39"/>
    <cfRule type="duplicateValues" dxfId="217" priority="38"/>
    <cfRule type="duplicateValues" dxfId="216" priority="37"/>
    <cfRule type="duplicateValues" dxfId="215" priority="36"/>
    <cfRule type="duplicateValues" dxfId="214" priority="40"/>
    <cfRule type="duplicateValues" dxfId="213" priority="35"/>
  </conditionalFormatting>
  <conditionalFormatting sqref="D106:D116">
    <cfRule type="duplicateValues" dxfId="212" priority="13"/>
    <cfRule type="duplicateValues" dxfId="211" priority="12"/>
    <cfRule type="duplicateValues" dxfId="210" priority="14"/>
    <cfRule type="duplicateValues" dxfId="209" priority="16"/>
    <cfRule type="duplicateValues" dxfId="208" priority="21"/>
    <cfRule type="duplicateValues" dxfId="207" priority="15"/>
    <cfRule type="duplicateValues" dxfId="206" priority="11"/>
  </conditionalFormatting>
  <conditionalFormatting sqref="E2">
    <cfRule type="duplicateValues" dxfId="205" priority="342"/>
    <cfRule type="duplicateValues" dxfId="204" priority="341"/>
  </conditionalFormatting>
  <conditionalFormatting sqref="F5:I162">
    <cfRule type="cellIs" dxfId="203" priority="280" operator="equal">
      <formula>#REF!</formula>
    </cfRule>
    <cfRule type="cellIs" dxfId="202" priority="281" operator="equal">
      <formula>$M$1</formula>
    </cfRule>
    <cfRule type="cellIs" dxfId="201" priority="252" operator="equal">
      <formula>#REF!</formula>
    </cfRule>
    <cfRule type="cellIs" dxfId="200" priority="279" operator="equal">
      <formula>$M$2</formula>
    </cfRule>
  </conditionalFormatting>
  <conditionalFormatting sqref="J73:J74">
    <cfRule type="cellIs" dxfId="199" priority="80" operator="equal">
      <formula>$O$1</formula>
    </cfRule>
    <cfRule type="cellIs" dxfId="198" priority="106" operator="equal">
      <formula>#REF!</formula>
    </cfRule>
    <cfRule type="cellIs" dxfId="197" priority="109" operator="equal">
      <formula>$O$1</formula>
    </cfRule>
    <cfRule type="cellIs" dxfId="196" priority="107" operator="equal">
      <formula>$O$2</formula>
    </cfRule>
    <cfRule type="cellIs" dxfId="195" priority="77" operator="equal">
      <formula>#REF!</formula>
    </cfRule>
    <cfRule type="cellIs" dxfId="194" priority="78" operator="equal">
      <formula>$O$2</formula>
    </cfRule>
    <cfRule type="cellIs" dxfId="193" priority="79" operator="equal">
      <formula>#REF!</formula>
    </cfRule>
    <cfRule type="cellIs" dxfId="192" priority="108" operator="equal">
      <formula>#REF!</formula>
    </cfRule>
  </conditionalFormatting>
  <conditionalFormatting sqref="J82">
    <cfRule type="cellIs" dxfId="191" priority="60" operator="equal">
      <formula>$O$1</formula>
    </cfRule>
    <cfRule type="cellIs" dxfId="190" priority="59" operator="equal">
      <formula>#REF!</formula>
    </cfRule>
    <cfRule type="cellIs" dxfId="189" priority="58" operator="equal">
      <formula>$O$2</formula>
    </cfRule>
    <cfRule type="cellIs" dxfId="188" priority="57" operator="equal">
      <formula>#REF!</formula>
    </cfRule>
    <cfRule type="cellIs" dxfId="187" priority="66" operator="equal">
      <formula>#REF!</formula>
    </cfRule>
    <cfRule type="cellIs" dxfId="186" priority="67" operator="equal">
      <formula>$O$2</formula>
    </cfRule>
    <cfRule type="cellIs" dxfId="185" priority="68" operator="equal">
      <formula>#REF!</formula>
    </cfRule>
    <cfRule type="cellIs" dxfId="184" priority="69" operator="equal">
      <formula>$O$1</formula>
    </cfRule>
  </conditionalFormatting>
  <dataValidations count="2">
    <dataValidation type="list" allowBlank="1" showInputMessage="1" showErrorMessage="1" sqref="J73:J74 J82" xr:uid="{00000000-0002-0000-0A00-000000000000}">
      <formula1>$P$1:$P$6</formula1>
    </dataValidation>
    <dataValidation type="list" allowBlank="1" showInputMessage="1" showErrorMessage="1" sqref="F5:F162" xr:uid="{00000000-0002-0000-0A00-000001000000}">
      <formula1>$M$1:$M$5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B300"/>
  <sheetViews>
    <sheetView showGridLines="0" zoomScaleNormal="100" zoomScaleSheetLayoutView="85" workbookViewId="0">
      <pane ySplit="3" topLeftCell="A13" activePane="bottomLeft" state="frozen"/>
      <selection pane="bottomLeft" activeCell="D16" sqref="D16"/>
    </sheetView>
  </sheetViews>
  <sheetFormatPr defaultRowHeight="14.5"/>
  <cols>
    <col min="1" max="1" width="12.36328125" customWidth="1"/>
    <col min="2" max="2" width="9.90625" customWidth="1"/>
    <col min="4" max="4" width="11" customWidth="1"/>
    <col min="5" max="5" width="31.54296875" customWidth="1"/>
    <col min="6" max="6" width="12.453125" customWidth="1"/>
    <col min="7" max="7" width="15.08984375" customWidth="1"/>
    <col min="8" max="8" width="12.453125" customWidth="1"/>
    <col min="9" max="9" width="41.36328125" style="318" customWidth="1"/>
    <col min="10" max="10" width="1.90625" style="318" customWidth="1"/>
    <col min="11" max="11" width="12.453125" style="440" hidden="1" customWidth="1"/>
    <col min="12" max="12" width="11.90625" style="245" hidden="1" customWidth="1"/>
    <col min="13" max="13" width="15.08984375" style="245" hidden="1" customWidth="1"/>
    <col min="14" max="15" width="9.08984375" style="448" hidden="1" customWidth="1"/>
    <col min="16" max="16" width="0" style="318" hidden="1"/>
    <col min="17" max="28" width="9.08984375" style="318" customWidth="1"/>
  </cols>
  <sheetData>
    <row r="1" spans="1:28" ht="38.25" customHeight="1">
      <c r="A1" s="242" t="s">
        <v>624</v>
      </c>
      <c r="B1" s="243"/>
      <c r="C1" s="244"/>
      <c r="D1" s="244"/>
      <c r="E1" s="244"/>
      <c r="F1" s="244"/>
      <c r="G1" s="244"/>
      <c r="H1" s="244"/>
      <c r="I1" s="439"/>
      <c r="L1" s="245" t="s">
        <v>343</v>
      </c>
      <c r="M1" s="245" t="s">
        <v>344</v>
      </c>
      <c r="N1" s="245"/>
    </row>
    <row r="2" spans="1:28" s="249" customFormat="1">
      <c r="A2" s="296"/>
      <c r="B2" s="246"/>
      <c r="C2" s="296"/>
      <c r="D2" s="246"/>
      <c r="E2" s="296"/>
      <c r="F2" s="246"/>
      <c r="G2" s="246"/>
      <c r="H2" s="246"/>
      <c r="I2" s="441"/>
      <c r="J2" s="319"/>
      <c r="K2" s="442"/>
      <c r="L2" s="245" t="s">
        <v>347</v>
      </c>
      <c r="M2" s="245" t="s">
        <v>348</v>
      </c>
      <c r="N2" s="248"/>
      <c r="O2" s="449"/>
      <c r="P2" s="319"/>
      <c r="Q2" s="319"/>
      <c r="R2" s="319"/>
      <c r="S2" s="318"/>
      <c r="T2" s="319"/>
      <c r="U2" s="319"/>
      <c r="V2" s="319"/>
      <c r="W2" s="319"/>
      <c r="X2" s="319"/>
      <c r="Y2" s="319"/>
      <c r="Z2" s="319"/>
      <c r="AA2" s="319"/>
      <c r="AB2" s="319"/>
    </row>
    <row r="3" spans="1:28" ht="15" customHeight="1">
      <c r="A3" s="274" t="s">
        <v>331</v>
      </c>
      <c r="B3" s="274" t="s">
        <v>56</v>
      </c>
      <c r="C3" s="274" t="s">
        <v>57</v>
      </c>
      <c r="D3" s="275" t="s">
        <v>351</v>
      </c>
      <c r="E3" s="275" t="s">
        <v>352</v>
      </c>
      <c r="F3" s="274" t="s">
        <v>353</v>
      </c>
      <c r="G3" s="274" t="s">
        <v>567</v>
      </c>
      <c r="H3" s="274" t="s">
        <v>625</v>
      </c>
      <c r="I3" s="444" t="s">
        <v>338</v>
      </c>
      <c r="L3" s="248" t="s">
        <v>171</v>
      </c>
      <c r="M3" s="245" t="s">
        <v>357</v>
      </c>
    </row>
    <row r="4" spans="1:28" ht="15" customHeight="1">
      <c r="A4" s="223">
        <f>IF(Item1.3LPP.OnHold46[[#This Row],[Date]]&lt;&gt;"",WEEKNUM(Item1.3LPP.OnHold46[[#This Row],[Date]]),"")</f>
        <v>27</v>
      </c>
      <c r="B4" s="453">
        <v>46204</v>
      </c>
      <c r="C4" s="410">
        <v>1</v>
      </c>
      <c r="D4" s="585" t="s">
        <v>626</v>
      </c>
      <c r="E4" s="259" t="s">
        <v>627</v>
      </c>
      <c r="F4" s="413" t="s">
        <v>628</v>
      </c>
      <c r="G4" s="413">
        <f>IF(Item1.3LPP.OnHold46[[#This Row],[Pipe]]&lt;&gt;"",COUNTIF(Item1.3LPP.OnHold46[Pipe],D4),"")</f>
        <v>7</v>
      </c>
      <c r="H4" s="413" t="str">
        <f>IF(Item1.3LPP.OnHold46[[#This Row],[Pipe]]&lt;&gt;"",IF(COUNTIF(Item1.3LPP.OnHold4[Pipe],D4)&gt;0,"Sim","Não"),"")</f>
        <v>Não</v>
      </c>
      <c r="I4" s="445"/>
      <c r="L4" s="248" t="s">
        <v>571</v>
      </c>
      <c r="M4" s="248" t="s">
        <v>360</v>
      </c>
    </row>
    <row r="5" spans="1:28" ht="15" customHeight="1">
      <c r="A5" s="223">
        <f>IF(Item1.3LPP.OnHold46[[#This Row],[Date]]&lt;&gt;"",WEEKNUM(Item1.3LPP.OnHold46[[#This Row],[Date]]),"")</f>
        <v>27</v>
      </c>
      <c r="B5" s="453">
        <v>46204</v>
      </c>
      <c r="C5" s="410">
        <v>1</v>
      </c>
      <c r="D5" s="585" t="s">
        <v>205</v>
      </c>
      <c r="E5" s="253" t="s">
        <v>570</v>
      </c>
      <c r="F5" s="413" t="s">
        <v>628</v>
      </c>
      <c r="G5" s="413">
        <f>IF(Item1.3LPP.OnHold46[[#This Row],[Pipe]]&lt;&gt;"",COUNTIF(Item1.3LPP.OnHold46[Pipe],D5),"")</f>
        <v>1</v>
      </c>
      <c r="H5" s="413" t="str">
        <f>IF(Item1.3LPP.OnHold46[[#This Row],[Pipe]]&lt;&gt;"",IF(COUNTIF(Item1.3LPP.OnHold4[Pipe],D5)&gt;0,"Sim","Não"),"")</f>
        <v>Não</v>
      </c>
      <c r="I5" s="482"/>
      <c r="L5" s="248"/>
      <c r="M5" s="248"/>
    </row>
    <row r="6" spans="1:28">
      <c r="A6" s="223">
        <f>IF(Item1.3LPP.OnHold46[[#This Row],[Date]]&lt;&gt;"",WEEKNUM(Item1.3LPP.OnHold46[[#This Row],[Date]]),"")</f>
        <v>27</v>
      </c>
      <c r="B6" s="453">
        <v>46204</v>
      </c>
      <c r="C6" s="410">
        <v>1</v>
      </c>
      <c r="D6" s="585" t="s">
        <v>629</v>
      </c>
      <c r="E6" s="259" t="s">
        <v>627</v>
      </c>
      <c r="F6" s="413" t="s">
        <v>628</v>
      </c>
      <c r="G6" s="413">
        <f>IF(Item1.3LPP.OnHold46[[#This Row],[Pipe]]&lt;&gt;"",COUNTIF(Item1.3LPP.OnHold46[Pipe],D6),"")</f>
        <v>7</v>
      </c>
      <c r="H6" s="413" t="str">
        <f>IF(Item1.3LPP.OnHold46[[#This Row],[Pipe]]&lt;&gt;"",IF(COUNTIF(Item1.3LPP.OnHold4[Pipe],D6)&gt;0,"Sim","Não"),"")</f>
        <v>Não</v>
      </c>
      <c r="I6" s="445"/>
      <c r="L6" s="245" t="s">
        <v>570</v>
      </c>
    </row>
    <row r="7" spans="1:28">
      <c r="A7" s="223">
        <f>IF(Item1.3LPP.OnHold46[[#This Row],[Date]]&lt;&gt;"",WEEKNUM(Item1.3LPP.OnHold46[[#This Row],[Date]]),"")</f>
        <v>27</v>
      </c>
      <c r="B7" s="453">
        <v>46204</v>
      </c>
      <c r="C7" s="410">
        <v>1</v>
      </c>
      <c r="D7" s="585" t="s">
        <v>630</v>
      </c>
      <c r="E7" s="259" t="s">
        <v>627</v>
      </c>
      <c r="F7" s="413" t="s">
        <v>628</v>
      </c>
      <c r="G7" s="413">
        <f>IF(Item1.3LPP.OnHold46[[#This Row],[Pipe]]&lt;&gt;"",COUNTIF(Item1.3LPP.OnHold46[Pipe],D7),"")</f>
        <v>1</v>
      </c>
      <c r="H7" s="413" t="str">
        <f>IF(Item1.3LPP.OnHold46[[#This Row],[Pipe]]&lt;&gt;"",IF(COUNTIF(Item1.3LPP.OnHold4[Pipe],D7)&gt;0,"Sim","Não"),"")</f>
        <v>Não</v>
      </c>
      <c r="I7" s="482"/>
    </row>
    <row r="8" spans="1:28">
      <c r="A8" s="223">
        <f>IF(Item1.3LPP.OnHold46[[#This Row],[Date]]&lt;&gt;"",WEEKNUM(Item1.3LPP.OnHold46[[#This Row],[Date]]),"")</f>
        <v>27</v>
      </c>
      <c r="B8" s="453">
        <v>46204</v>
      </c>
      <c r="C8" s="410">
        <v>1</v>
      </c>
      <c r="D8" s="585" t="s">
        <v>631</v>
      </c>
      <c r="E8" s="259" t="s">
        <v>627</v>
      </c>
      <c r="F8" s="413" t="s">
        <v>628</v>
      </c>
      <c r="G8" s="413">
        <f>IF(Item1.3LPP.OnHold46[[#This Row],[Pipe]]&lt;&gt;"",COUNTIF(Item1.3LPP.OnHold46[Pipe],D8),"")</f>
        <v>4</v>
      </c>
      <c r="H8" s="413" t="str">
        <f>IF(Item1.3LPP.OnHold46[[#This Row],[Pipe]]&lt;&gt;"",IF(COUNTIF(Item1.3LPP.OnHold4[Pipe],D8)&gt;0,"Sim","Não"),"")</f>
        <v>Não</v>
      </c>
      <c r="I8" s="445"/>
    </row>
    <row r="9" spans="1:28">
      <c r="A9" s="223">
        <f>IF(Item1.3LPP.OnHold46[[#This Row],[Date]]&lt;&gt;"",WEEKNUM(Item1.3LPP.OnHold46[[#This Row],[Date]]),"")</f>
        <v>27</v>
      </c>
      <c r="B9" s="453">
        <v>46204</v>
      </c>
      <c r="C9" s="410">
        <v>1</v>
      </c>
      <c r="D9" s="585" t="s">
        <v>632</v>
      </c>
      <c r="E9" s="252" t="s">
        <v>570</v>
      </c>
      <c r="F9" s="413" t="s">
        <v>628</v>
      </c>
      <c r="G9" s="413">
        <f>IF(Item1.3LPP.OnHold46[[#This Row],[Pipe]]&lt;&gt;"",COUNTIF(Item1.3LPP.OnHold46[Pipe],D9),"")</f>
        <v>1</v>
      </c>
      <c r="H9" s="413" t="str">
        <f>IF(Item1.3LPP.OnHold46[[#This Row],[Pipe]]&lt;&gt;"",IF(COUNTIF(Item1.3LPP.OnHold4[Pipe],D9)&gt;0,"Sim","Não"),"")</f>
        <v>Não</v>
      </c>
      <c r="I9" s="445"/>
    </row>
    <row r="10" spans="1:28">
      <c r="A10" s="223">
        <f>IF(Item1.3LPP.OnHold46[[#This Row],[Date]]&lt;&gt;"",WEEKNUM(Item1.3LPP.OnHold46[[#This Row],[Date]]),"")</f>
        <v>27</v>
      </c>
      <c r="B10" s="453">
        <v>46204</v>
      </c>
      <c r="C10" s="237">
        <v>2</v>
      </c>
      <c r="D10" s="585" t="s">
        <v>631</v>
      </c>
      <c r="E10" s="252" t="s">
        <v>570</v>
      </c>
      <c r="F10" s="413" t="s">
        <v>628</v>
      </c>
      <c r="G10" s="413">
        <f>IF(Item1.3LPP.OnHold46[[#This Row],[Pipe]]&lt;&gt;"",COUNTIF(Item1.3LPP.OnHold46[Pipe],D10),"")</f>
        <v>4</v>
      </c>
      <c r="H10" s="413" t="str">
        <f>IF(Item1.3LPP.OnHold46[[#This Row],[Pipe]]&lt;&gt;"",IF(COUNTIF(Item1.3LPP.OnHold4[Pipe],D10)&gt;0,"Sim","Não"),"")</f>
        <v>Não</v>
      </c>
      <c r="I10" s="445"/>
    </row>
    <row r="11" spans="1:28">
      <c r="A11" s="223">
        <f>IF(Item1.3LPP.OnHold46[[#This Row],[Date]]&lt;&gt;"",WEEKNUM(Item1.3LPP.OnHold46[[#This Row],[Date]]),"")</f>
        <v>27</v>
      </c>
      <c r="B11" s="453">
        <v>46204</v>
      </c>
      <c r="C11" s="237">
        <v>2</v>
      </c>
      <c r="D11" s="585" t="s">
        <v>633</v>
      </c>
      <c r="E11" s="252" t="s">
        <v>627</v>
      </c>
      <c r="F11" s="413" t="s">
        <v>628</v>
      </c>
      <c r="G11" s="413">
        <f>IF(Item1.3LPP.OnHold46[[#This Row],[Pipe]]&lt;&gt;"",COUNTIF(Item1.3LPP.OnHold46[Pipe],D11),"")</f>
        <v>1</v>
      </c>
      <c r="H11" s="413" t="str">
        <f>IF(Item1.3LPP.OnHold46[[#This Row],[Pipe]]&lt;&gt;"",IF(COUNTIF(Item1.3LPP.OnHold4[Pipe],D11)&gt;0,"Sim","Não"),"")</f>
        <v>Não</v>
      </c>
      <c r="I11" s="445"/>
    </row>
    <row r="12" spans="1:28">
      <c r="A12" s="223">
        <f>IF(Item1.3LPP.OnHold46[[#This Row],[Date]]&lt;&gt;"",WEEKNUM(Item1.3LPP.OnHold46[[#This Row],[Date]]),"")</f>
        <v>27</v>
      </c>
      <c r="B12" s="453">
        <v>46204</v>
      </c>
      <c r="C12" s="237">
        <v>2</v>
      </c>
      <c r="D12" s="585" t="s">
        <v>193</v>
      </c>
      <c r="E12" s="252" t="s">
        <v>627</v>
      </c>
      <c r="F12" s="413" t="s">
        <v>628</v>
      </c>
      <c r="G12" s="413">
        <f>IF(Item1.3LPP.OnHold46[[#This Row],[Pipe]]&lt;&gt;"",COUNTIF(Item1.3LPP.OnHold46[Pipe],D12),"")</f>
        <v>3</v>
      </c>
      <c r="H12" s="413" t="str">
        <f>IF(Item1.3LPP.OnHold46[[#This Row],[Pipe]]&lt;&gt;"",IF(COUNTIF(Item1.3LPP.OnHold4[Pipe],D12)&gt;0,"Sim","Não"),"")</f>
        <v>Sim</v>
      </c>
      <c r="I12" s="445"/>
    </row>
    <row r="13" spans="1:28">
      <c r="A13" s="223">
        <f>IF(Item1.3LPP.OnHold46[[#This Row],[Date]]&lt;&gt;"",WEEKNUM(Item1.3LPP.OnHold46[[#This Row],[Date]]),"")</f>
        <v>27</v>
      </c>
      <c r="B13" s="453">
        <v>46204</v>
      </c>
      <c r="C13" s="237">
        <v>2</v>
      </c>
      <c r="D13" s="585" t="s">
        <v>167</v>
      </c>
      <c r="E13" s="252" t="s">
        <v>627</v>
      </c>
      <c r="F13" s="413" t="s">
        <v>628</v>
      </c>
      <c r="G13" s="413">
        <f>IF(Item1.3LPP.OnHold46[[#This Row],[Pipe]]&lt;&gt;"",COUNTIF(Item1.3LPP.OnHold46[Pipe],D13),"")</f>
        <v>1</v>
      </c>
      <c r="H13" s="413" t="str">
        <f>IF(Item1.3LPP.OnHold46[[#This Row],[Pipe]]&lt;&gt;"",IF(COUNTIF(Item1.3LPP.OnHold4[Pipe],D13)&gt;0,"Sim","Não"),"")</f>
        <v>Não</v>
      </c>
      <c r="I13" s="482"/>
    </row>
    <row r="14" spans="1:28">
      <c r="A14" s="223">
        <f>IF(Item1.3LPP.OnHold46[[#This Row],[Date]]&lt;&gt;"",WEEKNUM(Item1.3LPP.OnHold46[[#This Row],[Date]]),"")</f>
        <v>27</v>
      </c>
      <c r="B14" s="453">
        <v>46204</v>
      </c>
      <c r="C14" s="237">
        <v>2</v>
      </c>
      <c r="D14" s="585" t="s">
        <v>176</v>
      </c>
      <c r="E14" s="412" t="s">
        <v>570</v>
      </c>
      <c r="F14" s="413" t="s">
        <v>628</v>
      </c>
      <c r="G14" s="413">
        <f>IF(Item1.3LPP.OnHold46[[#This Row],[Pipe]]&lt;&gt;"",COUNTIF(Item1.3LPP.OnHold46[Pipe],D14),"")</f>
        <v>3</v>
      </c>
      <c r="H14" s="413" t="str">
        <f>IF(Item1.3LPP.OnHold46[[#This Row],[Pipe]]&lt;&gt;"",IF(COUNTIF(Item1.3LPP.OnHold4[Pipe],D14)&gt;0,"Sim","Não"),"")</f>
        <v>Não</v>
      </c>
      <c r="I14" s="482"/>
    </row>
    <row r="15" spans="1:28">
      <c r="A15" s="223">
        <f>IF(Item1.3LPP.OnHold46[[#This Row],[Date]]&lt;&gt;"",WEEKNUM(Item1.3LPP.OnHold46[[#This Row],[Date]]),"")</f>
        <v>27</v>
      </c>
      <c r="B15" s="453">
        <v>46204</v>
      </c>
      <c r="C15" s="237">
        <v>2</v>
      </c>
      <c r="D15" s="585" t="s">
        <v>634</v>
      </c>
      <c r="E15" s="412" t="s">
        <v>570</v>
      </c>
      <c r="F15" s="413" t="s">
        <v>628</v>
      </c>
      <c r="G15" s="413">
        <f>IF(Item1.3LPP.OnHold46[[#This Row],[Pipe]]&lt;&gt;"",COUNTIF(Item1.3LPP.OnHold46[Pipe],D15),"")</f>
        <v>1</v>
      </c>
      <c r="H15" s="413" t="str">
        <f>IF(Item1.3LPP.OnHold46[[#This Row],[Pipe]]&lt;&gt;"",IF(COUNTIF(Item1.3LPP.OnHold4[Pipe],D15)&gt;0,"Sim","Não"),"")</f>
        <v>Não</v>
      </c>
      <c r="I15" s="482"/>
    </row>
    <row r="16" spans="1:28" s="318" customFormat="1">
      <c r="A16" s="223">
        <f>IF(Item1.3LPP.OnHold46[[#This Row],[Date]]&lt;&gt;"",WEEKNUM(Item1.3LPP.OnHold46[[#This Row],[Date]]),"")</f>
        <v>27</v>
      </c>
      <c r="B16" s="453">
        <v>46204</v>
      </c>
      <c r="C16" s="237">
        <v>2</v>
      </c>
      <c r="D16" s="585" t="s">
        <v>635</v>
      </c>
      <c r="E16" s="252" t="s">
        <v>627</v>
      </c>
      <c r="F16" s="413" t="s">
        <v>628</v>
      </c>
      <c r="G16" s="413">
        <f>IF(Item1.3LPP.OnHold46[[#This Row],[Pipe]]&lt;&gt;"",COUNTIF(Item1.3LPP.OnHold46[Pipe],D16),"")</f>
        <v>3</v>
      </c>
      <c r="H16" s="413" t="str">
        <f>IF(Item1.3LPP.OnHold46[[#This Row],[Pipe]]&lt;&gt;"",IF(COUNTIF(Item1.3LPP.OnHold4[Pipe],D16)&gt;0,"Sim","Não"),"")</f>
        <v>Não</v>
      </c>
      <c r="I16" s="445"/>
      <c r="K16" s="440"/>
      <c r="L16" s="245"/>
      <c r="M16" s="245"/>
      <c r="N16" s="448"/>
      <c r="O16" s="448"/>
    </row>
    <row r="17" spans="1:15" s="318" customFormat="1">
      <c r="A17" s="223">
        <f>IF(Item1.3LPP.OnHold46[[#This Row],[Date]]&lt;&gt;"",WEEKNUM(Item1.3LPP.OnHold46[[#This Row],[Date]]),"")</f>
        <v>27</v>
      </c>
      <c r="B17" s="453">
        <v>46204</v>
      </c>
      <c r="C17" s="410">
        <v>3</v>
      </c>
      <c r="D17" s="585" t="s">
        <v>636</v>
      </c>
      <c r="E17" s="253" t="s">
        <v>570</v>
      </c>
      <c r="F17" s="413" t="s">
        <v>628</v>
      </c>
      <c r="G17" s="413">
        <f>IF(Item1.3LPP.OnHold46[[#This Row],[Pipe]]&lt;&gt;"",COUNTIF(Item1.3LPP.OnHold46[Pipe],D17),"")</f>
        <v>6</v>
      </c>
      <c r="H17" s="413" t="str">
        <f>IF(Item1.3LPP.OnHold46[[#This Row],[Pipe]]&lt;&gt;"",IF(COUNTIF(Item1.3LPP.OnHold4[Pipe],D17)&gt;0,"Sim","Não"),"")</f>
        <v>Não</v>
      </c>
      <c r="I17" s="446"/>
      <c r="K17" s="440"/>
      <c r="L17" s="245"/>
      <c r="M17" s="245"/>
      <c r="N17" s="448"/>
      <c r="O17" s="448"/>
    </row>
    <row r="18" spans="1:15" s="318" customFormat="1">
      <c r="A18" s="223">
        <f>IF(Item1.3LPP.OnHold46[[#This Row],[Date]]&lt;&gt;"",WEEKNUM(Item1.3LPP.OnHold46[[#This Row],[Date]]),"")</f>
        <v>27</v>
      </c>
      <c r="B18" s="453">
        <v>46204</v>
      </c>
      <c r="C18" s="483">
        <v>3</v>
      </c>
      <c r="D18" s="585" t="s">
        <v>629</v>
      </c>
      <c r="E18" s="412" t="s">
        <v>627</v>
      </c>
      <c r="F18" s="413" t="s">
        <v>628</v>
      </c>
      <c r="G18" s="413">
        <f>IF(Item1.3LPP.OnHold46[[#This Row],[Pipe]]&lt;&gt;"",COUNTIF(Item1.3LPP.OnHold46[Pipe],D18),"")</f>
        <v>7</v>
      </c>
      <c r="H18" s="413" t="str">
        <f>IF(Item1.3LPP.OnHold46[[#This Row],[Pipe]]&lt;&gt;"",IF(COUNTIF(Item1.3LPP.OnHold4[Pipe],D18)&gt;0,"Sim","Não"),"")</f>
        <v>Não</v>
      </c>
      <c r="I18" s="482"/>
      <c r="K18" s="440"/>
      <c r="L18" s="245"/>
      <c r="M18" s="245"/>
      <c r="N18" s="448"/>
      <c r="O18" s="448"/>
    </row>
    <row r="19" spans="1:15" s="318" customFormat="1">
      <c r="A19" s="223">
        <f>IF(Item1.3LPP.OnHold46[[#This Row],[Date]]&lt;&gt;"",WEEKNUM(Item1.3LPP.OnHold46[[#This Row],[Date]]),"")</f>
        <v>27</v>
      </c>
      <c r="B19" s="453">
        <v>46205</v>
      </c>
      <c r="C19" s="237">
        <v>1</v>
      </c>
      <c r="D19" s="585" t="s">
        <v>637</v>
      </c>
      <c r="E19" s="253" t="s">
        <v>627</v>
      </c>
      <c r="F19" s="413" t="s">
        <v>628</v>
      </c>
      <c r="G19" s="413">
        <f>IF(Item1.3LPP.OnHold46[[#This Row],[Pipe]]&lt;&gt;"",COUNTIF(Item1.3LPP.OnHold46[Pipe],D19),"")</f>
        <v>5</v>
      </c>
      <c r="H19" s="413" t="str">
        <f>IF(Item1.3LPP.OnHold46[[#This Row],[Pipe]]&lt;&gt;"",IF(COUNTIF(Item1.3LPP.OnHold4[Pipe],D19)&gt;0,"Sim","Não"),"")</f>
        <v>Não</v>
      </c>
      <c r="I19" s="445"/>
      <c r="K19" s="440"/>
      <c r="L19" s="245"/>
      <c r="M19" s="245"/>
      <c r="N19" s="448"/>
      <c r="O19" s="448"/>
    </row>
    <row r="20" spans="1:15" s="318" customFormat="1">
      <c r="A20" s="223">
        <f>IF(Item1.3LPP.OnHold46[[#This Row],[Date]]&lt;&gt;"",WEEKNUM(Item1.3LPP.OnHold46[[#This Row],[Date]]),"")</f>
        <v>27</v>
      </c>
      <c r="B20" s="453">
        <v>46205</v>
      </c>
      <c r="C20" s="237">
        <v>1</v>
      </c>
      <c r="D20" s="585" t="s">
        <v>638</v>
      </c>
      <c r="E20" s="412" t="s">
        <v>570</v>
      </c>
      <c r="F20" s="413" t="s">
        <v>628</v>
      </c>
      <c r="G20" s="413">
        <f>IF(Item1.3LPP.OnHold46[[#This Row],[Pipe]]&lt;&gt;"",COUNTIF(Item1.3LPP.OnHold46[Pipe],D20),"")</f>
        <v>1</v>
      </c>
      <c r="H20" s="413" t="str">
        <f>IF(Item1.3LPP.OnHold46[[#This Row],[Pipe]]&lt;&gt;"",IF(COUNTIF(Item1.3LPP.OnHold4[Pipe],D20)&gt;0,"Sim","Não"),"")</f>
        <v>Não</v>
      </c>
      <c r="I20" s="482"/>
      <c r="K20" s="440"/>
      <c r="L20" s="245"/>
      <c r="M20" s="245"/>
      <c r="N20" s="448"/>
      <c r="O20" s="448"/>
    </row>
    <row r="21" spans="1:15" s="318" customFormat="1">
      <c r="A21" s="223">
        <f>IF(Item1.3LPP.OnHold46[[#This Row],[Date]]&lt;&gt;"",WEEKNUM(Item1.3LPP.OnHold46[[#This Row],[Date]]),"")</f>
        <v>27</v>
      </c>
      <c r="B21" s="453">
        <v>46205</v>
      </c>
      <c r="C21" s="257">
        <v>2</v>
      </c>
      <c r="D21" s="585" t="s">
        <v>639</v>
      </c>
      <c r="E21" s="253" t="s">
        <v>570</v>
      </c>
      <c r="F21" s="413" t="s">
        <v>628</v>
      </c>
      <c r="G21" s="413">
        <f>IF(Item1.3LPP.OnHold46[[#This Row],[Pipe]]&lt;&gt;"",COUNTIF(Item1.3LPP.OnHold46[Pipe],D21),"")</f>
        <v>5</v>
      </c>
      <c r="H21" s="413" t="str">
        <f>IF(Item1.3LPP.OnHold46[[#This Row],[Pipe]]&lt;&gt;"",IF(COUNTIF(Item1.3LPP.OnHold4[Pipe],D21)&gt;0,"Sim","Não"),"")</f>
        <v>Não</v>
      </c>
      <c r="I21" s="445"/>
      <c r="K21" s="440"/>
      <c r="L21" s="245"/>
      <c r="M21" s="245"/>
      <c r="N21" s="448"/>
      <c r="O21" s="448"/>
    </row>
    <row r="22" spans="1:15" s="318" customFormat="1">
      <c r="A22" s="223">
        <f>IF(Item1.3LPP.OnHold46[[#This Row],[Date]]&lt;&gt;"",WEEKNUM(Item1.3LPP.OnHold46[[#This Row],[Date]]),"")</f>
        <v>27</v>
      </c>
      <c r="B22" s="453">
        <v>46205</v>
      </c>
      <c r="C22" s="257">
        <v>2</v>
      </c>
      <c r="D22" s="585" t="s">
        <v>640</v>
      </c>
      <c r="E22" s="253" t="s">
        <v>570</v>
      </c>
      <c r="F22" s="413" t="s">
        <v>628</v>
      </c>
      <c r="G22" s="413">
        <f>IF(Item1.3LPP.OnHold46[[#This Row],[Pipe]]&lt;&gt;"",COUNTIF(Item1.3LPP.OnHold46[Pipe],D22),"")</f>
        <v>8</v>
      </c>
      <c r="H22" s="413" t="str">
        <f>IF(Item1.3LPP.OnHold46[[#This Row],[Pipe]]&lt;&gt;"",IF(COUNTIF(Item1.3LPP.OnHold4[Pipe],D22)&gt;0,"Sim","Não"),"")</f>
        <v>Não</v>
      </c>
      <c r="I22" s="445"/>
      <c r="K22" s="440"/>
      <c r="L22" s="245"/>
      <c r="M22" s="245"/>
      <c r="N22" s="448"/>
      <c r="O22" s="448"/>
    </row>
    <row r="23" spans="1:15" s="318" customFormat="1">
      <c r="A23" s="223">
        <f>IF(Item1.3LPP.OnHold46[[#This Row],[Date]]&lt;&gt;"",WEEKNUM(Item1.3LPP.OnHold46[[#This Row],[Date]]),"")</f>
        <v>27</v>
      </c>
      <c r="B23" s="453">
        <v>46205</v>
      </c>
      <c r="C23" s="484">
        <v>2</v>
      </c>
      <c r="D23" s="585" t="s">
        <v>641</v>
      </c>
      <c r="E23" s="412" t="s">
        <v>627</v>
      </c>
      <c r="F23" s="413" t="s">
        <v>628</v>
      </c>
      <c r="G23" s="413">
        <f>IF(Item1.3LPP.OnHold46[[#This Row],[Pipe]]&lt;&gt;"",COUNTIF(Item1.3LPP.OnHold46[Pipe],D23),"")</f>
        <v>3</v>
      </c>
      <c r="H23" s="413" t="str">
        <f>IF(Item1.3LPP.OnHold46[[#This Row],[Pipe]]&lt;&gt;"",IF(COUNTIF(Item1.3LPP.OnHold4[Pipe],D23)&gt;0,"Sim","Não"),"")</f>
        <v>Não</v>
      </c>
      <c r="I23" s="482"/>
      <c r="K23" s="440"/>
      <c r="L23" s="245"/>
      <c r="M23" s="245"/>
      <c r="N23" s="448"/>
      <c r="O23" s="448"/>
    </row>
    <row r="24" spans="1:15" s="318" customFormat="1">
      <c r="A24" s="223">
        <f>IF(Item1.3LPP.OnHold46[[#This Row],[Date]]&lt;&gt;"",WEEKNUM(Item1.3LPP.OnHold46[[#This Row],[Date]]),"")</f>
        <v>27</v>
      </c>
      <c r="B24" s="453">
        <v>46205</v>
      </c>
      <c r="C24" s="263">
        <v>3</v>
      </c>
      <c r="D24" s="585" t="s">
        <v>642</v>
      </c>
      <c r="E24" s="253" t="s">
        <v>627</v>
      </c>
      <c r="F24" s="413" t="s">
        <v>628</v>
      </c>
      <c r="G24" s="413">
        <f>IF(Item1.3LPP.OnHold46[[#This Row],[Pipe]]&lt;&gt;"",COUNTIF(Item1.3LPP.OnHold46[Pipe],D24),"")</f>
        <v>5</v>
      </c>
      <c r="H24" s="413" t="str">
        <f>IF(Item1.3LPP.OnHold46[[#This Row],[Pipe]]&lt;&gt;"",IF(COUNTIF(Item1.3LPP.OnHold4[Pipe],D24)&gt;0,"Sim","Não"),"")</f>
        <v>Não</v>
      </c>
      <c r="I24" s="445"/>
      <c r="K24" s="440"/>
      <c r="L24" s="245"/>
      <c r="M24" s="245"/>
      <c r="N24" s="448"/>
      <c r="O24" s="448"/>
    </row>
    <row r="25" spans="1:15" s="318" customFormat="1">
      <c r="A25" s="223">
        <f>IF(Item1.3LPP.OnHold46[[#This Row],[Date]]&lt;&gt;"",WEEKNUM(Item1.3LPP.OnHold46[[#This Row],[Date]]),"")</f>
        <v>27</v>
      </c>
      <c r="B25" s="453">
        <v>46205</v>
      </c>
      <c r="C25" s="263">
        <v>3</v>
      </c>
      <c r="D25" s="585" t="s">
        <v>643</v>
      </c>
      <c r="E25" s="253" t="s">
        <v>570</v>
      </c>
      <c r="F25" s="413" t="s">
        <v>628</v>
      </c>
      <c r="G25" s="413">
        <f>IF(Item1.3LPP.OnHold46[[#This Row],[Pipe]]&lt;&gt;"",COUNTIF(Item1.3LPP.OnHold46[Pipe],D25),"")</f>
        <v>1</v>
      </c>
      <c r="H25" s="413" t="str">
        <f>IF(Item1.3LPP.OnHold46[[#This Row],[Pipe]]&lt;&gt;"",IF(COUNTIF(Item1.3LPP.OnHold4[Pipe],D25)&gt;0,"Sim","Não"),"")</f>
        <v>Não</v>
      </c>
      <c r="I25" s="445" t="s">
        <v>644</v>
      </c>
      <c r="K25" s="440"/>
      <c r="L25" s="245"/>
      <c r="M25" s="245"/>
      <c r="N25" s="448"/>
      <c r="O25" s="448"/>
    </row>
    <row r="26" spans="1:15" s="318" customFormat="1">
      <c r="A26" s="223">
        <f>IF(Item1.3LPP.OnHold46[[#This Row],[Date]]&lt;&gt;"",WEEKNUM(Item1.3LPP.OnHold46[[#This Row],[Date]]),"")</f>
        <v>27</v>
      </c>
      <c r="B26" s="453">
        <v>46206</v>
      </c>
      <c r="C26" s="263">
        <v>2</v>
      </c>
      <c r="D26" s="585" t="s">
        <v>645</v>
      </c>
      <c r="E26" s="253" t="s">
        <v>570</v>
      </c>
      <c r="F26" s="413" t="s">
        <v>628</v>
      </c>
      <c r="G26" s="413">
        <f>IF(Item1.3LPP.OnHold46[[#This Row],[Pipe]]&lt;&gt;"",COUNTIF(Item1.3LPP.OnHold46[Pipe],D26),"")</f>
        <v>1</v>
      </c>
      <c r="H26" s="413" t="str">
        <f>IF(Item1.3LPP.OnHold46[[#This Row],[Pipe]]&lt;&gt;"",IF(COUNTIF(Item1.3LPP.OnHold4[Pipe],D26)&gt;0,"Sim","Não"),"")</f>
        <v>Não</v>
      </c>
      <c r="I26" s="445"/>
      <c r="K26" s="440"/>
      <c r="L26" s="245"/>
      <c r="M26" s="245"/>
      <c r="N26" s="448"/>
      <c r="O26" s="448"/>
    </row>
    <row r="27" spans="1:15" s="318" customFormat="1">
      <c r="A27" s="223">
        <f>IF(Item1.3LPP.OnHold46[[#This Row],[Date]]&lt;&gt;"",WEEKNUM(Item1.3LPP.OnHold46[[#This Row],[Date]]),"")</f>
        <v>27</v>
      </c>
      <c r="B27" s="453">
        <v>46206</v>
      </c>
      <c r="C27" s="263">
        <v>2</v>
      </c>
      <c r="D27" s="585" t="s">
        <v>639</v>
      </c>
      <c r="E27" s="253" t="s">
        <v>627</v>
      </c>
      <c r="F27" s="413" t="s">
        <v>628</v>
      </c>
      <c r="G27" s="413">
        <f>IF(Item1.3LPP.OnHold46[[#This Row],[Pipe]]&lt;&gt;"",COUNTIF(Item1.3LPP.OnHold46[Pipe],D27),"")</f>
        <v>5</v>
      </c>
      <c r="H27" s="413" t="str">
        <f>IF(Item1.3LPP.OnHold46[[#This Row],[Pipe]]&lt;&gt;"",IF(COUNTIF(Item1.3LPP.OnHold4[Pipe],D27)&gt;0,"Sim","Não"),"")</f>
        <v>Não</v>
      </c>
      <c r="I27" s="445"/>
      <c r="K27" s="440"/>
      <c r="L27" s="245"/>
      <c r="M27" s="245"/>
      <c r="N27" s="448"/>
      <c r="O27" s="448"/>
    </row>
    <row r="28" spans="1:15" s="318" customFormat="1">
      <c r="A28" s="223">
        <f>IF(Item1.3LPP.OnHold46[[#This Row],[Date]]&lt;&gt;"",WEEKNUM(Item1.3LPP.OnHold46[[#This Row],[Date]]),"")</f>
        <v>27</v>
      </c>
      <c r="B28" s="453">
        <v>46206</v>
      </c>
      <c r="C28" s="263">
        <v>3</v>
      </c>
      <c r="D28" s="585" t="s">
        <v>646</v>
      </c>
      <c r="E28" s="253" t="s">
        <v>627</v>
      </c>
      <c r="F28" s="413" t="s">
        <v>628</v>
      </c>
      <c r="G28" s="413">
        <f>IF(Item1.3LPP.OnHold46[[#This Row],[Pipe]]&lt;&gt;"",COUNTIF(Item1.3LPP.OnHold46[Pipe],D28),"")</f>
        <v>1</v>
      </c>
      <c r="H28" s="413" t="str">
        <f>IF(Item1.3LPP.OnHold46[[#This Row],[Pipe]]&lt;&gt;"",IF(COUNTIF(Item1.3LPP.OnHold4[Pipe],D28)&gt;0,"Sim","Não"),"")</f>
        <v>Não</v>
      </c>
      <c r="I28" s="445"/>
      <c r="K28" s="440"/>
      <c r="L28" s="245"/>
      <c r="M28" s="245"/>
      <c r="N28" s="448"/>
      <c r="O28" s="448"/>
    </row>
    <row r="29" spans="1:15" s="318" customFormat="1">
      <c r="A29" s="223">
        <f>IF(Item1.3LPP.OnHold46[[#This Row],[Date]]&lt;&gt;"",WEEKNUM(Item1.3LPP.OnHold46[[#This Row],[Date]]),"")</f>
        <v>27</v>
      </c>
      <c r="B29" s="453">
        <v>46206</v>
      </c>
      <c r="C29" s="263">
        <v>3</v>
      </c>
      <c r="D29" s="585" t="s">
        <v>629</v>
      </c>
      <c r="E29" s="253" t="s">
        <v>627</v>
      </c>
      <c r="F29" s="413" t="s">
        <v>628</v>
      </c>
      <c r="G29" s="413">
        <f>IF(Item1.3LPP.OnHold46[[#This Row],[Pipe]]&lt;&gt;"",COUNTIF(Item1.3LPP.OnHold46[Pipe],D29),"")</f>
        <v>7</v>
      </c>
      <c r="H29" s="413" t="str">
        <f>IF(Item1.3LPP.OnHold46[[#This Row],[Pipe]]&lt;&gt;"",IF(COUNTIF(Item1.3LPP.OnHold4[Pipe],D29)&gt;0,"Sim","Não"),"")</f>
        <v>Não</v>
      </c>
      <c r="I29" s="445"/>
      <c r="K29" s="440"/>
      <c r="L29" s="245"/>
      <c r="M29" s="245"/>
      <c r="N29" s="448"/>
      <c r="O29" s="448"/>
    </row>
    <row r="30" spans="1:15" s="318" customFormat="1">
      <c r="A30" s="223">
        <f>IF(Item1.3LPP.OnHold46[[#This Row],[Date]]&lt;&gt;"",WEEKNUM(Item1.3LPP.OnHold46[[#This Row],[Date]]),"")</f>
        <v>27</v>
      </c>
      <c r="B30" s="453">
        <v>46207</v>
      </c>
      <c r="C30" s="263">
        <v>1</v>
      </c>
      <c r="D30" s="585" t="s">
        <v>365</v>
      </c>
      <c r="E30" s="253" t="s">
        <v>627</v>
      </c>
      <c r="F30" s="413" t="s">
        <v>628</v>
      </c>
      <c r="G30" s="413">
        <f>IF(Item1.3LPP.OnHold46[[#This Row],[Pipe]]&lt;&gt;"",COUNTIF(Item1.3LPP.OnHold46[Pipe],D30),"")</f>
        <v>1</v>
      </c>
      <c r="H30" s="413" t="str">
        <f>IF(Item1.3LPP.OnHold46[[#This Row],[Pipe]]&lt;&gt;"",IF(COUNTIF(Item1.3LPP.OnHold4[Pipe],D30)&gt;0,"Sim","Não"),"")</f>
        <v>Sim</v>
      </c>
      <c r="I30" s="445"/>
      <c r="K30" s="440"/>
      <c r="L30" s="245"/>
      <c r="M30" s="245"/>
      <c r="N30" s="448"/>
      <c r="O30" s="448"/>
    </row>
    <row r="31" spans="1:15" s="318" customFormat="1">
      <c r="A31" s="223">
        <f>IF(Item1.3LPP.OnHold46[[#This Row],[Date]]&lt;&gt;"",WEEKNUM(Item1.3LPP.OnHold46[[#This Row],[Date]]),"")</f>
        <v>27</v>
      </c>
      <c r="B31" s="453">
        <v>46207</v>
      </c>
      <c r="C31" s="263">
        <v>1</v>
      </c>
      <c r="D31" s="585" t="s">
        <v>363</v>
      </c>
      <c r="E31" s="253" t="s">
        <v>627</v>
      </c>
      <c r="F31" s="413" t="s">
        <v>628</v>
      </c>
      <c r="G31" s="413">
        <f>IF(Item1.3LPP.OnHold46[[#This Row],[Pipe]]&lt;&gt;"",COUNTIF(Item1.3LPP.OnHold46[Pipe],D31),"")</f>
        <v>1</v>
      </c>
      <c r="H31" s="413" t="str">
        <f>IF(Item1.3LPP.OnHold46[[#This Row],[Pipe]]&lt;&gt;"",IF(COUNTIF(Item1.3LPP.OnHold4[Pipe],D31)&gt;0,"Sim","Não"),"")</f>
        <v>Sim</v>
      </c>
      <c r="I31" s="445"/>
      <c r="K31" s="440"/>
      <c r="L31" s="245"/>
      <c r="M31" s="245"/>
      <c r="N31" s="448"/>
      <c r="O31" s="448"/>
    </row>
    <row r="32" spans="1:15" s="318" customFormat="1">
      <c r="A32" s="223">
        <f>IF(Item1.3LPP.OnHold46[[#This Row],[Date]]&lt;&gt;"",WEEKNUM(Item1.3LPP.OnHold46[[#This Row],[Date]]),"")</f>
        <v>27</v>
      </c>
      <c r="B32" s="453">
        <v>46207</v>
      </c>
      <c r="C32" s="263">
        <v>1</v>
      </c>
      <c r="D32" s="585" t="s">
        <v>647</v>
      </c>
      <c r="E32" s="253" t="s">
        <v>570</v>
      </c>
      <c r="F32" s="413" t="s">
        <v>628</v>
      </c>
      <c r="G32" s="413">
        <f>IF(Item1.3LPP.OnHold46[[#This Row],[Pipe]]&lt;&gt;"",COUNTIF(Item1.3LPP.OnHold46[Pipe],D32),"")</f>
        <v>1</v>
      </c>
      <c r="H32" s="413" t="str">
        <f>IF(Item1.3LPP.OnHold46[[#This Row],[Pipe]]&lt;&gt;"",IF(COUNTIF(Item1.3LPP.OnHold4[Pipe],D32)&gt;0,"Sim","Não"),"")</f>
        <v>Não</v>
      </c>
      <c r="I32" s="445"/>
      <c r="K32" s="440"/>
      <c r="L32" s="245"/>
      <c r="M32" s="245"/>
      <c r="N32" s="448"/>
      <c r="O32" s="448"/>
    </row>
    <row r="33" spans="1:19" s="318" customFormat="1">
      <c r="A33" s="223">
        <f>IF(Item1.3LPP.OnHold46[[#This Row],[Date]]&lt;&gt;"",WEEKNUM(Item1.3LPP.OnHold46[[#This Row],[Date]]),"")</f>
        <v>27</v>
      </c>
      <c r="B33" s="453">
        <v>46207</v>
      </c>
      <c r="C33" s="263">
        <v>1</v>
      </c>
      <c r="D33" s="585" t="s">
        <v>387</v>
      </c>
      <c r="E33" s="253" t="s">
        <v>570</v>
      </c>
      <c r="F33" s="413" t="s">
        <v>628</v>
      </c>
      <c r="G33" s="413">
        <f>IF(Item1.3LPP.OnHold46[[#This Row],[Pipe]]&lt;&gt;"",COUNTIF(Item1.3LPP.OnHold46[Pipe],D33),"")</f>
        <v>2</v>
      </c>
      <c r="H33" s="413" t="str">
        <f>IF(Item1.3LPP.OnHold46[[#This Row],[Pipe]]&lt;&gt;"",IF(COUNTIF(Item1.3LPP.OnHold4[Pipe],D33)&gt;0,"Sim","Não"),"")</f>
        <v>Sim</v>
      </c>
      <c r="I33" s="445"/>
      <c r="K33" s="440"/>
      <c r="L33" s="245"/>
      <c r="M33" s="245"/>
      <c r="N33" s="448"/>
      <c r="O33" s="448"/>
    </row>
    <row r="34" spans="1:19" s="318" customFormat="1">
      <c r="A34" s="223">
        <f>IF(Item1.3LPP.OnHold46[[#This Row],[Date]]&lt;&gt;"",WEEKNUM(Item1.3LPP.OnHold46[[#This Row],[Date]]),"")</f>
        <v>27</v>
      </c>
      <c r="B34" s="453">
        <v>46207</v>
      </c>
      <c r="C34" s="263">
        <v>1</v>
      </c>
      <c r="D34" s="585" t="s">
        <v>648</v>
      </c>
      <c r="E34" s="253" t="s">
        <v>570</v>
      </c>
      <c r="F34" s="413" t="s">
        <v>628</v>
      </c>
      <c r="G34" s="413">
        <f>IF(Item1.3LPP.OnHold46[[#This Row],[Pipe]]&lt;&gt;"",COUNTIF(Item1.3LPP.OnHold46[Pipe],D34),"")</f>
        <v>4</v>
      </c>
      <c r="H34" s="413" t="str">
        <f>IF(Item1.3LPP.OnHold46[[#This Row],[Pipe]]&lt;&gt;"",IF(COUNTIF(Item1.3LPP.OnHold4[Pipe],D34)&gt;0,"Sim","Não"),"")</f>
        <v>Não</v>
      </c>
      <c r="I34" s="482"/>
      <c r="K34" s="440"/>
      <c r="L34" s="245"/>
      <c r="M34" s="245"/>
      <c r="N34" s="448"/>
      <c r="O34" s="448"/>
    </row>
    <row r="35" spans="1:19" s="318" customFormat="1">
      <c r="A35" s="223">
        <f>IF(Item1.3LPP.OnHold46[[#This Row],[Date]]&lt;&gt;"",WEEKNUM(Item1.3LPP.OnHold46[[#This Row],[Date]]),"")</f>
        <v>27</v>
      </c>
      <c r="B35" s="453">
        <v>46207</v>
      </c>
      <c r="C35" s="263">
        <v>1</v>
      </c>
      <c r="D35" s="585" t="s">
        <v>610</v>
      </c>
      <c r="E35" s="253" t="s">
        <v>570</v>
      </c>
      <c r="F35" s="413" t="s">
        <v>628</v>
      </c>
      <c r="G35" s="413">
        <f>IF(Item1.3LPP.OnHold46[[#This Row],[Pipe]]&lt;&gt;"",COUNTIF(Item1.3LPP.OnHold46[Pipe],D35),"")</f>
        <v>1</v>
      </c>
      <c r="H35" s="413" t="str">
        <f>IF(Item1.3LPP.OnHold46[[#This Row],[Pipe]]&lt;&gt;"",IF(COUNTIF(Item1.3LPP.OnHold4[Pipe],D35)&gt;0,"Sim","Não"),"")</f>
        <v>Sim</v>
      </c>
      <c r="I35" s="445"/>
      <c r="K35" s="440"/>
      <c r="L35" s="245"/>
      <c r="M35" s="245"/>
      <c r="N35" s="448"/>
      <c r="O35" s="448"/>
    </row>
    <row r="36" spans="1:19" s="318" customFormat="1">
      <c r="A36" s="223">
        <f>IF(Item1.3LPP.OnHold46[[#This Row],[Date]]&lt;&gt;"",WEEKNUM(Item1.3LPP.OnHold46[[#This Row],[Date]]),"")</f>
        <v>27</v>
      </c>
      <c r="B36" s="453">
        <v>46207</v>
      </c>
      <c r="C36" s="257">
        <v>2</v>
      </c>
      <c r="D36" s="585" t="s">
        <v>649</v>
      </c>
      <c r="E36" s="253" t="s">
        <v>570</v>
      </c>
      <c r="F36" s="413" t="s">
        <v>628</v>
      </c>
      <c r="G36" s="413">
        <f>IF(Item1.3LPP.OnHold46[[#This Row],[Pipe]]&lt;&gt;"",COUNTIF(Item1.3LPP.OnHold46[Pipe],D36),"")</f>
        <v>3</v>
      </c>
      <c r="H36" s="413" t="str">
        <f>IF(Item1.3LPP.OnHold46[[#This Row],[Pipe]]&lt;&gt;"",IF(COUNTIF(Item1.3LPP.OnHold4[Pipe],D36)&gt;0,"Sim","Não"),"")</f>
        <v>Não</v>
      </c>
      <c r="I36" s="445"/>
      <c r="K36" s="440"/>
      <c r="L36" s="245"/>
      <c r="M36" s="245"/>
      <c r="N36" s="448"/>
      <c r="O36" s="448"/>
    </row>
    <row r="37" spans="1:19" s="318" customFormat="1">
      <c r="A37" s="223">
        <f>IF(Item1.3LPP.OnHold46[[#This Row],[Date]]&lt;&gt;"",WEEKNUM(Item1.3LPP.OnHold46[[#This Row],[Date]]),"")</f>
        <v>27</v>
      </c>
      <c r="B37" s="453">
        <v>46207</v>
      </c>
      <c r="C37" s="257">
        <v>2</v>
      </c>
      <c r="D37" s="585" t="s">
        <v>650</v>
      </c>
      <c r="E37" s="253" t="s">
        <v>570</v>
      </c>
      <c r="F37" s="413" t="s">
        <v>628</v>
      </c>
      <c r="G37" s="413">
        <f>IF(Item1.3LPP.OnHold46[[#This Row],[Pipe]]&lt;&gt;"",COUNTIF(Item1.3LPP.OnHold46[Pipe],D37),"")</f>
        <v>1</v>
      </c>
      <c r="H37" s="413" t="str">
        <f>IF(Item1.3LPP.OnHold46[[#This Row],[Pipe]]&lt;&gt;"",IF(COUNTIF(Item1.3LPP.OnHold4[Pipe],D37)&gt;0,"Sim","Não"),"")</f>
        <v>Não</v>
      </c>
      <c r="I37" s="445"/>
      <c r="K37" s="440"/>
      <c r="L37" s="245"/>
      <c r="M37" s="245"/>
      <c r="N37" s="448"/>
      <c r="O37" s="448"/>
    </row>
    <row r="38" spans="1:19" s="318" customFormat="1">
      <c r="A38" s="223">
        <f>IF(Item1.3LPP.OnHold46[[#This Row],[Date]]&lt;&gt;"",WEEKNUM(Item1.3LPP.OnHold46[[#This Row],[Date]]),"")</f>
        <v>27</v>
      </c>
      <c r="B38" s="453">
        <v>46207</v>
      </c>
      <c r="C38" s="263">
        <v>2</v>
      </c>
      <c r="D38" s="585" t="s">
        <v>651</v>
      </c>
      <c r="E38" s="253" t="s">
        <v>627</v>
      </c>
      <c r="F38" s="413" t="s">
        <v>628</v>
      </c>
      <c r="G38" s="413">
        <f>IF(Item1.3LPP.OnHold46[[#This Row],[Pipe]]&lt;&gt;"",COUNTIF(Item1.3LPP.OnHold46[Pipe],D38),"")</f>
        <v>3</v>
      </c>
      <c r="H38" s="413" t="str">
        <f>IF(Item1.3LPP.OnHold46[[#This Row],[Pipe]]&lt;&gt;"",IF(COUNTIF(Item1.3LPP.OnHold4[Pipe],D38)&gt;0,"Sim","Não"),"")</f>
        <v>Não</v>
      </c>
      <c r="I38" s="445"/>
      <c r="K38" s="440"/>
      <c r="L38" s="245"/>
      <c r="M38" s="245"/>
      <c r="N38" s="448"/>
      <c r="O38" s="448"/>
    </row>
    <row r="39" spans="1:19" s="318" customFormat="1">
      <c r="A39" s="223">
        <f>IF(Item1.3LPP.OnHold46[[#This Row],[Date]]&lt;&gt;"",WEEKNUM(Item1.3LPP.OnHold46[[#This Row],[Date]]),"")</f>
        <v>27</v>
      </c>
      <c r="B39" s="453">
        <v>46207</v>
      </c>
      <c r="C39" s="263">
        <v>2</v>
      </c>
      <c r="D39" s="585" t="s">
        <v>105</v>
      </c>
      <c r="E39" s="253" t="s">
        <v>570</v>
      </c>
      <c r="F39" s="413" t="s">
        <v>628</v>
      </c>
      <c r="G39" s="413">
        <f>IF(Item1.3LPP.OnHold46[[#This Row],[Pipe]]&lt;&gt;"",COUNTIF(Item1.3LPP.OnHold46[Pipe],D39),"")</f>
        <v>1</v>
      </c>
      <c r="H39" s="413" t="str">
        <f>IF(Item1.3LPP.OnHold46[[#This Row],[Pipe]]&lt;&gt;"",IF(COUNTIF(Item1.3LPP.OnHold4[Pipe],D39)&gt;0,"Sim","Não"),"")</f>
        <v>Sim</v>
      </c>
      <c r="I39" s="445"/>
      <c r="K39" s="440"/>
      <c r="L39" s="245"/>
      <c r="M39" s="245"/>
      <c r="N39" s="448"/>
      <c r="O39" s="448"/>
    </row>
    <row r="40" spans="1:19" s="318" customFormat="1">
      <c r="A40" s="223">
        <f>IF(Item1.3LPP.OnHold46[[#This Row],[Date]]&lt;&gt;"",WEEKNUM(Item1.3LPP.OnHold46[[#This Row],[Date]]),"")</f>
        <v>28</v>
      </c>
      <c r="B40" s="453">
        <v>46208</v>
      </c>
      <c r="C40" s="263">
        <v>3</v>
      </c>
      <c r="D40" s="585" t="s">
        <v>652</v>
      </c>
      <c r="E40" s="253" t="s">
        <v>627</v>
      </c>
      <c r="F40" s="413" t="s">
        <v>628</v>
      </c>
      <c r="G40" s="413">
        <f>IF(Item1.3LPP.OnHold46[[#This Row],[Pipe]]&lt;&gt;"",COUNTIF(Item1.3LPP.OnHold46[Pipe],D40),"")</f>
        <v>1</v>
      </c>
      <c r="H40" s="413" t="str">
        <f>IF(Item1.3LPP.OnHold46[[#This Row],[Pipe]]&lt;&gt;"",IF(COUNTIF(Item1.3LPP.OnHold4[Pipe],D40)&gt;0,"Sim","Não"),"")</f>
        <v>Não</v>
      </c>
      <c r="I40" s="445" t="s">
        <v>644</v>
      </c>
      <c r="K40" s="440"/>
      <c r="L40" s="245"/>
      <c r="M40" s="245"/>
      <c r="N40" s="448"/>
      <c r="O40" s="448"/>
    </row>
    <row r="41" spans="1:19" s="318" customFormat="1">
      <c r="A41" s="223">
        <f>IF(Item1.3LPP.OnHold46[[#This Row],[Date]]&lt;&gt;"",WEEKNUM(Item1.3LPP.OnHold46[[#This Row],[Date]]),"")</f>
        <v>28</v>
      </c>
      <c r="B41" s="453">
        <v>46209</v>
      </c>
      <c r="C41" s="224">
        <v>1</v>
      </c>
      <c r="D41" s="585" t="s">
        <v>636</v>
      </c>
      <c r="E41" s="253" t="s">
        <v>627</v>
      </c>
      <c r="F41" s="413" t="s">
        <v>628</v>
      </c>
      <c r="G41" s="413">
        <f>IF(Item1.3LPP.OnHold46[[#This Row],[Pipe]]&lt;&gt;"",COUNTIF(Item1.3LPP.OnHold46[Pipe],D41),"")</f>
        <v>6</v>
      </c>
      <c r="H41" s="413" t="str">
        <f>IF(Item1.3LPP.OnHold46[[#This Row],[Pipe]]&lt;&gt;"",IF(COUNTIF(Item1.3LPP.OnHold4[Pipe],D41)&gt;0,"Sim","Não"),"")</f>
        <v>Não</v>
      </c>
      <c r="I41" s="447"/>
      <c r="K41" s="440"/>
      <c r="L41" s="245"/>
      <c r="M41" s="245"/>
      <c r="N41" s="448"/>
      <c r="O41" s="448"/>
    </row>
    <row r="42" spans="1:19" s="318" customFormat="1">
      <c r="A42" s="223">
        <f>IF(Item1.3LPP.OnHold46[[#This Row],[Date]]&lt;&gt;"",WEEKNUM(Item1.3LPP.OnHold46[[#This Row],[Date]]),"")</f>
        <v>28</v>
      </c>
      <c r="B42" s="453">
        <v>46209</v>
      </c>
      <c r="C42" s="224">
        <v>1</v>
      </c>
      <c r="D42" s="585" t="s">
        <v>629</v>
      </c>
      <c r="E42" s="253" t="s">
        <v>570</v>
      </c>
      <c r="F42" s="413" t="s">
        <v>628</v>
      </c>
      <c r="G42" s="413">
        <f>IF(Item1.3LPP.OnHold46[[#This Row],[Pipe]]&lt;&gt;"",COUNTIF(Item1.3LPP.OnHold46[Pipe],D42),"")</f>
        <v>7</v>
      </c>
      <c r="H42" s="413" t="str">
        <f>IF(Item1.3LPP.OnHold46[[#This Row],[Pipe]]&lt;&gt;"",IF(COUNTIF(Item1.3LPP.OnHold4[Pipe],D42)&gt;0,"Sim","Não"),"")</f>
        <v>Não</v>
      </c>
      <c r="I42" s="445"/>
      <c r="K42" s="440"/>
      <c r="L42" s="245"/>
      <c r="M42" s="245"/>
      <c r="N42" s="448"/>
      <c r="O42" s="448"/>
    </row>
    <row r="43" spans="1:19" s="319" customFormat="1">
      <c r="A43" s="223">
        <f>IF(Item1.3LPP.OnHold46[[#This Row],[Date]]&lt;&gt;"",WEEKNUM(Item1.3LPP.OnHold46[[#This Row],[Date]]),"")</f>
        <v>28</v>
      </c>
      <c r="B43" s="453">
        <v>46209</v>
      </c>
      <c r="C43" s="224">
        <v>1</v>
      </c>
      <c r="D43" s="585" t="s">
        <v>651</v>
      </c>
      <c r="E43" s="253" t="s">
        <v>627</v>
      </c>
      <c r="F43" s="413" t="s">
        <v>628</v>
      </c>
      <c r="G43" s="413">
        <f>IF(Item1.3LPP.OnHold46[[#This Row],[Pipe]]&lt;&gt;"",COUNTIF(Item1.3LPP.OnHold46[Pipe],D43),"")</f>
        <v>3</v>
      </c>
      <c r="H43" s="413" t="str">
        <f>IF(Item1.3LPP.OnHold46[[#This Row],[Pipe]]&lt;&gt;"",IF(COUNTIF(Item1.3LPP.OnHold4[Pipe],D43)&gt;0,"Sim","Não"),"")</f>
        <v>Não</v>
      </c>
      <c r="I43" s="581"/>
      <c r="K43" s="442"/>
      <c r="L43" s="248"/>
      <c r="M43" s="248"/>
      <c r="N43" s="449"/>
      <c r="O43" s="449"/>
      <c r="S43" s="318"/>
    </row>
    <row r="44" spans="1:19" s="318" customFormat="1">
      <c r="A44" s="223">
        <f>IF(Item1.3LPP.OnHold46[[#This Row],[Date]]&lt;&gt;"",WEEKNUM(Item1.3LPP.OnHold46[[#This Row],[Date]]),"")</f>
        <v>28</v>
      </c>
      <c r="B44" s="453">
        <v>46209</v>
      </c>
      <c r="C44" s="224">
        <v>1</v>
      </c>
      <c r="D44" s="585" t="s">
        <v>368</v>
      </c>
      <c r="E44" s="253" t="s">
        <v>627</v>
      </c>
      <c r="F44" s="413" t="s">
        <v>628</v>
      </c>
      <c r="G44" s="413">
        <f>IF(Item1.3LPP.OnHold46[[#This Row],[Pipe]]&lt;&gt;"",COUNTIF(Item1.3LPP.OnHold46[Pipe],D44),"")</f>
        <v>1</v>
      </c>
      <c r="H44" s="413" t="str">
        <f>IF(Item1.3LPP.OnHold46[[#This Row],[Pipe]]&lt;&gt;"",IF(COUNTIF(Item1.3LPP.OnHold4[Pipe],D44)&gt;0,"Sim","Não"),"")</f>
        <v>Sim</v>
      </c>
      <c r="I44" s="447"/>
      <c r="K44" s="440"/>
      <c r="L44" s="245"/>
      <c r="M44" s="245"/>
      <c r="N44" s="448"/>
      <c r="O44" s="448"/>
    </row>
    <row r="45" spans="1:19" s="318" customFormat="1">
      <c r="A45" s="223">
        <f>IF(Item1.3LPP.OnHold46[[#This Row],[Date]]&lt;&gt;"",WEEKNUM(Item1.3LPP.OnHold46[[#This Row],[Date]]),"")</f>
        <v>28</v>
      </c>
      <c r="B45" s="453">
        <v>46209</v>
      </c>
      <c r="C45" s="224">
        <v>1</v>
      </c>
      <c r="D45" s="585" t="s">
        <v>653</v>
      </c>
      <c r="E45" s="253" t="s">
        <v>627</v>
      </c>
      <c r="F45" s="413" t="s">
        <v>628</v>
      </c>
      <c r="G45" s="413">
        <f>IF(Item1.3LPP.OnHold46[[#This Row],[Pipe]]&lt;&gt;"",COUNTIF(Item1.3LPP.OnHold46[Pipe],D45),"")</f>
        <v>5</v>
      </c>
      <c r="H45" s="413" t="str">
        <f>IF(Item1.3LPP.OnHold46[[#This Row],[Pipe]]&lt;&gt;"",IF(COUNTIF(Item1.3LPP.OnHold4[Pipe],D45)&gt;0,"Sim","Não"),"")</f>
        <v>Não</v>
      </c>
      <c r="I45" s="447"/>
      <c r="K45" s="440"/>
      <c r="L45" s="245"/>
      <c r="M45" s="245"/>
      <c r="N45" s="448"/>
      <c r="O45" s="448"/>
    </row>
    <row r="46" spans="1:19" s="318" customFormat="1">
      <c r="A46" s="223">
        <f>IF(Item1.3LPP.OnHold46[[#This Row],[Date]]&lt;&gt;"",WEEKNUM(Item1.3LPP.OnHold46[[#This Row],[Date]]),"")</f>
        <v>28</v>
      </c>
      <c r="B46" s="453">
        <v>46209</v>
      </c>
      <c r="C46" s="224">
        <v>2</v>
      </c>
      <c r="D46" s="585" t="s">
        <v>367</v>
      </c>
      <c r="E46" s="253" t="s">
        <v>627</v>
      </c>
      <c r="F46" s="413" t="s">
        <v>628</v>
      </c>
      <c r="G46" s="413">
        <f>IF(Item1.3LPP.OnHold46[[#This Row],[Pipe]]&lt;&gt;"",COUNTIF(Item1.3LPP.OnHold46[Pipe],D46),"")</f>
        <v>1</v>
      </c>
      <c r="H46" s="413" t="str">
        <f>IF(Item1.3LPP.OnHold46[[#This Row],[Pipe]]&lt;&gt;"",IF(COUNTIF(Item1.3LPP.OnHold4[Pipe],D46)&gt;0,"Sim","Não"),"")</f>
        <v>Sim</v>
      </c>
      <c r="I46" s="445"/>
      <c r="K46" s="440"/>
      <c r="L46" s="245"/>
      <c r="M46" s="245"/>
      <c r="N46" s="448"/>
      <c r="O46" s="448"/>
    </row>
    <row r="47" spans="1:19" s="318" customFormat="1">
      <c r="A47" s="223">
        <f>IF(Item1.3LPP.OnHold46[[#This Row],[Date]]&lt;&gt;"",WEEKNUM(Item1.3LPP.OnHold46[[#This Row],[Date]]),"")</f>
        <v>28</v>
      </c>
      <c r="B47" s="453">
        <v>46209</v>
      </c>
      <c r="C47" s="224">
        <v>2</v>
      </c>
      <c r="D47" s="585" t="s">
        <v>366</v>
      </c>
      <c r="E47" s="253" t="s">
        <v>627</v>
      </c>
      <c r="F47" s="413" t="s">
        <v>628</v>
      </c>
      <c r="G47" s="413">
        <f>IF(Item1.3LPP.OnHold46[[#This Row],[Pipe]]&lt;&gt;"",COUNTIF(Item1.3LPP.OnHold46[Pipe],D47),"")</f>
        <v>1</v>
      </c>
      <c r="H47" s="413" t="str">
        <f>IF(Item1.3LPP.OnHold46[[#This Row],[Pipe]]&lt;&gt;"",IF(COUNTIF(Item1.3LPP.OnHold4[Pipe],D47)&gt;0,"Sim","Não"),"")</f>
        <v>Sim</v>
      </c>
      <c r="I47" s="447"/>
      <c r="K47" s="440"/>
      <c r="L47" s="245"/>
      <c r="M47" s="245"/>
      <c r="N47" s="448"/>
      <c r="O47" s="448"/>
    </row>
    <row r="48" spans="1:19" s="319" customFormat="1">
      <c r="A48" s="223">
        <f>IF(Item1.3LPP.OnHold46[[#This Row],[Date]]&lt;&gt;"",WEEKNUM(Item1.3LPP.OnHold46[[#This Row],[Date]]),"")</f>
        <v>28</v>
      </c>
      <c r="B48" s="453">
        <v>46209</v>
      </c>
      <c r="C48" s="224">
        <v>2</v>
      </c>
      <c r="D48" s="585" t="s">
        <v>648</v>
      </c>
      <c r="E48" s="253" t="s">
        <v>570</v>
      </c>
      <c r="F48" s="413" t="s">
        <v>628</v>
      </c>
      <c r="G48" s="413">
        <f>IF(Item1.3LPP.OnHold46[[#This Row],[Pipe]]&lt;&gt;"",COUNTIF(Item1.3LPP.OnHold46[Pipe],D48),"")</f>
        <v>4</v>
      </c>
      <c r="H48" s="413" t="str">
        <f>IF(Item1.3LPP.OnHold46[[#This Row],[Pipe]]&lt;&gt;"",IF(COUNTIF(Item1.3LPP.OnHold4[Pipe],D48)&gt;0,"Sim","Não"),"")</f>
        <v>Não</v>
      </c>
      <c r="I48" s="582"/>
      <c r="K48" s="442"/>
      <c r="L48" s="248"/>
      <c r="M48" s="248"/>
      <c r="N48" s="449"/>
      <c r="O48" s="449"/>
      <c r="S48" s="318"/>
    </row>
    <row r="49" spans="1:15" s="318" customFormat="1">
      <c r="A49" s="223">
        <f>IF(Item1.3LPP.OnHold46[[#This Row],[Date]]&lt;&gt;"",WEEKNUM(Item1.3LPP.OnHold46[[#This Row],[Date]]),"")</f>
        <v>28</v>
      </c>
      <c r="B49" s="453">
        <v>46209</v>
      </c>
      <c r="C49" s="224">
        <v>2</v>
      </c>
      <c r="D49" s="585" t="s">
        <v>631</v>
      </c>
      <c r="E49" s="253" t="s">
        <v>570</v>
      </c>
      <c r="F49" s="413" t="s">
        <v>628</v>
      </c>
      <c r="G49" s="413">
        <f>IF(Item1.3LPP.OnHold46[[#This Row],[Pipe]]&lt;&gt;"",COUNTIF(Item1.3LPP.OnHold46[Pipe],D49),"")</f>
        <v>4</v>
      </c>
      <c r="H49" s="413" t="str">
        <f>IF(Item1.3LPP.OnHold46[[#This Row],[Pipe]]&lt;&gt;"",IF(COUNTIF(Item1.3LPP.OnHold4[Pipe],D49)&gt;0,"Sim","Não"),"")</f>
        <v>Não</v>
      </c>
      <c r="I49" s="447"/>
      <c r="K49" s="440"/>
      <c r="L49" s="245"/>
      <c r="M49" s="245"/>
      <c r="N49" s="448"/>
      <c r="O49" s="448"/>
    </row>
    <row r="50" spans="1:15" s="318" customFormat="1">
      <c r="A50" s="223">
        <f>IF(Item1.3LPP.OnHold46[[#This Row],[Date]]&lt;&gt;"",WEEKNUM(Item1.3LPP.OnHold46[[#This Row],[Date]]),"")</f>
        <v>28</v>
      </c>
      <c r="B50" s="453">
        <v>46209</v>
      </c>
      <c r="C50" s="224">
        <v>2</v>
      </c>
      <c r="D50" s="585" t="s">
        <v>641</v>
      </c>
      <c r="E50" s="253" t="s">
        <v>570</v>
      </c>
      <c r="F50" s="413" t="s">
        <v>628</v>
      </c>
      <c r="G50" s="413">
        <f>IF(Item1.3LPP.OnHold46[[#This Row],[Pipe]]&lt;&gt;"",COUNTIF(Item1.3LPP.OnHold46[Pipe],D50),"")</f>
        <v>3</v>
      </c>
      <c r="H50" s="413" t="str">
        <f>IF(Item1.3LPP.OnHold46[[#This Row],[Pipe]]&lt;&gt;"",IF(COUNTIF(Item1.3LPP.OnHold4[Pipe],D50)&gt;0,"Sim","Não"),"")</f>
        <v>Não</v>
      </c>
      <c r="I50" s="447"/>
      <c r="K50" s="440"/>
      <c r="L50" s="245"/>
      <c r="M50" s="245"/>
      <c r="N50" s="448"/>
      <c r="O50" s="448"/>
    </row>
    <row r="51" spans="1:15" s="318" customFormat="1">
      <c r="A51" s="223">
        <f>IF(Item1.3LPP.OnHold46[[#This Row],[Date]]&lt;&gt;"",WEEKNUM(Item1.3LPP.OnHold46[[#This Row],[Date]]),"")</f>
        <v>28</v>
      </c>
      <c r="B51" s="453">
        <v>46209</v>
      </c>
      <c r="C51" s="235">
        <v>3</v>
      </c>
      <c r="D51" s="585" t="s">
        <v>128</v>
      </c>
      <c r="E51" s="253" t="s">
        <v>627</v>
      </c>
      <c r="F51" s="413" t="s">
        <v>628</v>
      </c>
      <c r="G51" s="413">
        <f>IF(Item1.3LPP.OnHold46[[#This Row],[Pipe]]&lt;&gt;"",COUNTIF(Item1.3LPP.OnHold46[Pipe],D51),"")</f>
        <v>1</v>
      </c>
      <c r="H51" s="413" t="str">
        <f>IF(Item1.3LPP.OnHold46[[#This Row],[Pipe]]&lt;&gt;"",IF(COUNTIF(Item1.3LPP.OnHold4[Pipe],D51)&gt;0,"Sim","Não"),"")</f>
        <v>Não</v>
      </c>
      <c r="I51" s="445"/>
      <c r="K51" s="440"/>
      <c r="L51" s="245"/>
      <c r="M51" s="245"/>
      <c r="N51" s="448"/>
      <c r="O51" s="448"/>
    </row>
    <row r="52" spans="1:15" s="318" customFormat="1">
      <c r="A52" s="223">
        <f>IF(Item1.3LPP.OnHold46[[#This Row],[Date]]&lt;&gt;"",WEEKNUM(Item1.3LPP.OnHold46[[#This Row],[Date]]),"")</f>
        <v>28</v>
      </c>
      <c r="B52" s="453">
        <v>46209</v>
      </c>
      <c r="C52" s="263">
        <v>3</v>
      </c>
      <c r="D52" s="585" t="s">
        <v>654</v>
      </c>
      <c r="E52" s="253" t="s">
        <v>570</v>
      </c>
      <c r="F52" s="413" t="s">
        <v>628</v>
      </c>
      <c r="G52" s="413">
        <f>IF(Item1.3LPP.OnHold46[[#This Row],[Pipe]]&lt;&gt;"",COUNTIF(Item1.3LPP.OnHold46[Pipe],D52),"")</f>
        <v>1</v>
      </c>
      <c r="H52" s="413" t="str">
        <f>IF(Item1.3LPP.OnHold46[[#This Row],[Pipe]]&lt;&gt;"",IF(COUNTIF(Item1.3LPP.OnHold4[Pipe],D52)&gt;0,"Sim","Não"),"")</f>
        <v>Não</v>
      </c>
      <c r="I52" s="447"/>
      <c r="K52" s="440"/>
      <c r="L52" s="245"/>
      <c r="M52" s="245"/>
      <c r="N52" s="448"/>
      <c r="O52" s="448"/>
    </row>
    <row r="53" spans="1:15" s="318" customFormat="1">
      <c r="A53" s="223">
        <f>IF(Item1.3LPP.OnHold46[[#This Row],[Date]]&lt;&gt;"",WEEKNUM(Item1.3LPP.OnHold46[[#This Row],[Date]]),"")</f>
        <v>28</v>
      </c>
      <c r="B53" s="453">
        <v>46209</v>
      </c>
      <c r="C53" s="263">
        <v>3</v>
      </c>
      <c r="D53" s="585" t="s">
        <v>649</v>
      </c>
      <c r="E53" s="253" t="s">
        <v>570</v>
      </c>
      <c r="F53" s="413" t="s">
        <v>628</v>
      </c>
      <c r="G53" s="413">
        <f>IF(Item1.3LPP.OnHold46[[#This Row],[Pipe]]&lt;&gt;"",COUNTIF(Item1.3LPP.OnHold46[Pipe],D53),"")</f>
        <v>3</v>
      </c>
      <c r="H53" s="413" t="str">
        <f>IF(Item1.3LPP.OnHold46[[#This Row],[Pipe]]&lt;&gt;"",IF(COUNTIF(Item1.3LPP.OnHold4[Pipe],D53)&gt;0,"Sim","Não"),"")</f>
        <v>Não</v>
      </c>
      <c r="I53" s="447"/>
      <c r="K53" s="440"/>
      <c r="L53" s="245"/>
      <c r="M53" s="245"/>
      <c r="N53" s="448"/>
      <c r="O53" s="448"/>
    </row>
    <row r="54" spans="1:15" s="318" customFormat="1">
      <c r="A54" s="223">
        <f>IF(Item1.3LPP.OnHold46[[#This Row],[Date]]&lt;&gt;"",WEEKNUM(Item1.3LPP.OnHold46[[#This Row],[Date]]),"")</f>
        <v>28</v>
      </c>
      <c r="B54" s="453">
        <v>46209</v>
      </c>
      <c r="C54" s="263">
        <v>3</v>
      </c>
      <c r="D54" s="585" t="s">
        <v>639</v>
      </c>
      <c r="E54" s="253" t="s">
        <v>627</v>
      </c>
      <c r="F54" s="413" t="s">
        <v>628</v>
      </c>
      <c r="G54" s="413">
        <f>IF(Item1.3LPP.OnHold46[[#This Row],[Pipe]]&lt;&gt;"",COUNTIF(Item1.3LPP.OnHold46[Pipe],D54),"")</f>
        <v>5</v>
      </c>
      <c r="H54" s="413" t="str">
        <f>IF(Item1.3LPP.OnHold46[[#This Row],[Pipe]]&lt;&gt;"",IF(COUNTIF(Item1.3LPP.OnHold4[Pipe],D54)&gt;0,"Sim","Não"),"")</f>
        <v>Não</v>
      </c>
      <c r="I54" s="445"/>
      <c r="K54" s="440"/>
      <c r="L54" s="245"/>
      <c r="M54" s="245"/>
      <c r="N54" s="448"/>
      <c r="O54" s="448"/>
    </row>
    <row r="55" spans="1:15" s="318" customFormat="1">
      <c r="A55" s="223">
        <f>IF(Item1.3LPP.OnHold46[[#This Row],[Date]]&lt;&gt;"",WEEKNUM(Item1.3LPP.OnHold46[[#This Row],[Date]]),"")</f>
        <v>28</v>
      </c>
      <c r="B55" s="453">
        <v>46210</v>
      </c>
      <c r="C55" s="235">
        <v>1</v>
      </c>
      <c r="D55" s="585" t="s">
        <v>640</v>
      </c>
      <c r="E55" s="253" t="s">
        <v>570</v>
      </c>
      <c r="F55" s="413" t="s">
        <v>628</v>
      </c>
      <c r="G55" s="413">
        <f>IF(Item1.3LPP.OnHold46[[#This Row],[Pipe]]&lt;&gt;"",COUNTIF(Item1.3LPP.OnHold46[Pipe],D55),"")</f>
        <v>8</v>
      </c>
      <c r="H55" s="413" t="str">
        <f>IF(Item1.3LPP.OnHold46[[#This Row],[Pipe]]&lt;&gt;"",IF(COUNTIF(Item1.3LPP.OnHold4[Pipe],D55)&gt;0,"Sim","Não"),"")</f>
        <v>Não</v>
      </c>
      <c r="I55" s="445"/>
      <c r="K55" s="440"/>
      <c r="L55" s="245"/>
      <c r="M55" s="245"/>
      <c r="N55" s="448"/>
      <c r="O55" s="448"/>
    </row>
    <row r="56" spans="1:15" s="318" customFormat="1">
      <c r="A56" s="223">
        <f>IF(Item1.3LPP.OnHold46[[#This Row],[Date]]&lt;&gt;"",WEEKNUM(Item1.3LPP.OnHold46[[#This Row],[Date]]),"")</f>
        <v>28</v>
      </c>
      <c r="B56" s="453">
        <v>46210</v>
      </c>
      <c r="C56" s="235">
        <v>2</v>
      </c>
      <c r="D56" s="585" t="s">
        <v>115</v>
      </c>
      <c r="E56" s="253" t="s">
        <v>627</v>
      </c>
      <c r="F56" s="413" t="s">
        <v>628</v>
      </c>
      <c r="G56" s="413">
        <f>IF(Item1.3LPP.OnHold46[[#This Row],[Pipe]]&lt;&gt;"",COUNTIF(Item1.3LPP.OnHold46[Pipe],D56),"")</f>
        <v>1</v>
      </c>
      <c r="H56" s="413" t="str">
        <f>IF(Item1.3LPP.OnHold46[[#This Row],[Pipe]]&lt;&gt;"",IF(COUNTIF(Item1.3LPP.OnHold4[Pipe],D56)&gt;0,"Sim","Não"),"")</f>
        <v>Sim</v>
      </c>
      <c r="I56" s="445"/>
      <c r="K56" s="440"/>
      <c r="L56" s="245"/>
      <c r="M56" s="245"/>
      <c r="N56" s="448"/>
      <c r="O56" s="448"/>
    </row>
    <row r="57" spans="1:15" s="318" customFormat="1">
      <c r="A57" s="223">
        <f>IF(Item1.3LPP.OnHold46[[#This Row],[Date]]&lt;&gt;"",WEEKNUM(Item1.3LPP.OnHold46[[#This Row],[Date]]),"")</f>
        <v>28</v>
      </c>
      <c r="B57" s="453">
        <v>46210</v>
      </c>
      <c r="C57" s="235">
        <v>2</v>
      </c>
      <c r="D57" s="585" t="s">
        <v>387</v>
      </c>
      <c r="E57" s="253" t="s">
        <v>627</v>
      </c>
      <c r="F57" s="413" t="s">
        <v>628</v>
      </c>
      <c r="G57" s="413">
        <f>IF(Item1.3LPP.OnHold46[[#This Row],[Pipe]]&lt;&gt;"",COUNTIF(Item1.3LPP.OnHold46[Pipe],D57),"")</f>
        <v>2</v>
      </c>
      <c r="H57" s="413" t="str">
        <f>IF(Item1.3LPP.OnHold46[[#This Row],[Pipe]]&lt;&gt;"",IF(COUNTIF(Item1.3LPP.OnHold4[Pipe],D57)&gt;0,"Sim","Não"),"")</f>
        <v>Sim</v>
      </c>
      <c r="I57" s="445"/>
      <c r="K57" s="440"/>
      <c r="L57" s="245"/>
      <c r="M57" s="245"/>
      <c r="N57" s="448"/>
      <c r="O57" s="448"/>
    </row>
    <row r="58" spans="1:15" s="318" customFormat="1">
      <c r="A58" s="223">
        <f>IF(Item1.3LPP.OnHold46[[#This Row],[Date]]&lt;&gt;"",WEEKNUM(Item1.3LPP.OnHold46[[#This Row],[Date]]),"")</f>
        <v>28</v>
      </c>
      <c r="B58" s="453">
        <v>46210</v>
      </c>
      <c r="C58" s="235">
        <v>2</v>
      </c>
      <c r="D58" s="585" t="s">
        <v>635</v>
      </c>
      <c r="E58" s="253" t="s">
        <v>570</v>
      </c>
      <c r="F58" s="413" t="s">
        <v>628</v>
      </c>
      <c r="G58" s="413">
        <f>IF(Item1.3LPP.OnHold46[[#This Row],[Pipe]]&lt;&gt;"",COUNTIF(Item1.3LPP.OnHold46[Pipe],D58),"")</f>
        <v>3</v>
      </c>
      <c r="H58" s="413" t="str">
        <f>IF(Item1.3LPP.OnHold46[[#This Row],[Pipe]]&lt;&gt;"",IF(COUNTIF(Item1.3LPP.OnHold4[Pipe],D58)&gt;0,"Sim","Não"),"")</f>
        <v>Não</v>
      </c>
      <c r="I58" s="447"/>
      <c r="K58" s="440"/>
      <c r="L58" s="245"/>
      <c r="M58" s="245"/>
      <c r="N58" s="448"/>
      <c r="O58" s="448"/>
    </row>
    <row r="59" spans="1:15" s="318" customFormat="1">
      <c r="A59" s="223">
        <f>IF(Item1.3LPP.OnHold46[[#This Row],[Date]]&lt;&gt;"",WEEKNUM(Item1.3LPP.OnHold46[[#This Row],[Date]]),"")</f>
        <v>28</v>
      </c>
      <c r="B59" s="453">
        <v>46210</v>
      </c>
      <c r="C59" s="235">
        <v>2</v>
      </c>
      <c r="D59" s="585" t="s">
        <v>653</v>
      </c>
      <c r="E59" s="253" t="s">
        <v>570</v>
      </c>
      <c r="F59" s="413" t="s">
        <v>628</v>
      </c>
      <c r="G59" s="413">
        <f>IF(Item1.3LPP.OnHold46[[#This Row],[Pipe]]&lt;&gt;"",COUNTIF(Item1.3LPP.OnHold46[Pipe],D59),"")</f>
        <v>5</v>
      </c>
      <c r="H59" s="413" t="str">
        <f>IF(Item1.3LPP.OnHold46[[#This Row],[Pipe]]&lt;&gt;"",IF(COUNTIF(Item1.3LPP.OnHold4[Pipe],D59)&gt;0,"Sim","Não"),"")</f>
        <v>Não</v>
      </c>
      <c r="I59" s="447"/>
      <c r="K59" s="440"/>
      <c r="L59" s="245"/>
      <c r="M59" s="245"/>
      <c r="N59" s="448"/>
      <c r="O59" s="448"/>
    </row>
    <row r="60" spans="1:15" s="318" customFormat="1">
      <c r="A60" s="223">
        <f>IF(Item1.3LPP.OnHold46[[#This Row],[Date]]&lt;&gt;"",WEEKNUM(Item1.3LPP.OnHold46[[#This Row],[Date]]),"")</f>
        <v>28</v>
      </c>
      <c r="B60" s="453">
        <v>46210</v>
      </c>
      <c r="C60" s="235">
        <v>2</v>
      </c>
      <c r="D60" s="585" t="s">
        <v>655</v>
      </c>
      <c r="E60" s="253" t="s">
        <v>570</v>
      </c>
      <c r="F60" s="413" t="s">
        <v>628</v>
      </c>
      <c r="G60" s="413">
        <f>IF(Item1.3LPP.OnHold46[[#This Row],[Pipe]]&lt;&gt;"",COUNTIF(Item1.3LPP.OnHold46[Pipe],D60),"")</f>
        <v>1</v>
      </c>
      <c r="H60" s="413" t="str">
        <f>IF(Item1.3LPP.OnHold46[[#This Row],[Pipe]]&lt;&gt;"",IF(COUNTIF(Item1.3LPP.OnHold4[Pipe],D60)&gt;0,"Sim","Não"),"")</f>
        <v>Não</v>
      </c>
      <c r="I60" s="445"/>
      <c r="K60" s="440"/>
      <c r="L60" s="245"/>
      <c r="M60" s="245"/>
      <c r="N60" s="448"/>
      <c r="O60" s="448"/>
    </row>
    <row r="61" spans="1:15" s="318" customFormat="1">
      <c r="A61" s="223">
        <f>IF(Item1.3LPP.OnHold46[[#This Row],[Date]]&lt;&gt;"",WEEKNUM(Item1.3LPP.OnHold46[[#This Row],[Date]]),"")</f>
        <v>28</v>
      </c>
      <c r="B61" s="453">
        <v>46210</v>
      </c>
      <c r="C61" s="235">
        <v>3</v>
      </c>
      <c r="D61" s="585" t="s">
        <v>631</v>
      </c>
      <c r="E61" s="253" t="s">
        <v>627</v>
      </c>
      <c r="F61" s="413" t="s">
        <v>628</v>
      </c>
      <c r="G61" s="413">
        <f>IF(Item1.3LPP.OnHold46[[#This Row],[Pipe]]&lt;&gt;"",COUNTIF(Item1.3LPP.OnHold46[Pipe],D61),"")</f>
        <v>4</v>
      </c>
      <c r="H61" s="413" t="str">
        <f>IF(Item1.3LPP.OnHold46[[#This Row],[Pipe]]&lt;&gt;"",IF(COUNTIF(Item1.3LPP.OnHold4[Pipe],D61)&gt;0,"Sim","Não"),"")</f>
        <v>Não</v>
      </c>
      <c r="I61" s="447"/>
      <c r="K61" s="440"/>
      <c r="L61" s="245"/>
      <c r="M61" s="245"/>
      <c r="N61" s="448"/>
      <c r="O61" s="448"/>
    </row>
    <row r="62" spans="1:15" s="318" customFormat="1">
      <c r="A62" s="223">
        <f>IF(Item1.3LPP.OnHold46[[#This Row],[Date]]&lt;&gt;"",WEEKNUM(Item1.3LPP.OnHold46[[#This Row],[Date]]),"")</f>
        <v>28</v>
      </c>
      <c r="B62" s="453">
        <v>46210</v>
      </c>
      <c r="C62" s="224">
        <v>3</v>
      </c>
      <c r="D62" s="585" t="s">
        <v>648</v>
      </c>
      <c r="E62" s="253" t="s">
        <v>570</v>
      </c>
      <c r="F62" s="413" t="s">
        <v>628</v>
      </c>
      <c r="G62" s="413">
        <f>IF(Item1.3LPP.OnHold46[[#This Row],[Pipe]]&lt;&gt;"",COUNTIF(Item1.3LPP.OnHold46[Pipe],D62),"")</f>
        <v>4</v>
      </c>
      <c r="H62" s="413" t="str">
        <f>IF(Item1.3LPP.OnHold46[[#This Row],[Pipe]]&lt;&gt;"",IF(COUNTIF(Item1.3LPP.OnHold4[Pipe],D62)&gt;0,"Sim","Não"),"")</f>
        <v>Não</v>
      </c>
      <c r="I62" s="447"/>
      <c r="K62" s="440"/>
      <c r="L62" s="245"/>
      <c r="M62" s="245"/>
      <c r="N62" s="448"/>
      <c r="O62" s="448"/>
    </row>
    <row r="63" spans="1:15" s="318" customFormat="1">
      <c r="A63" s="223">
        <f>IF(Item1.3LPP.OnHold46[[#This Row],[Date]]&lt;&gt;"",WEEKNUM(Item1.3LPP.OnHold46[[#This Row],[Date]]),"")</f>
        <v>28</v>
      </c>
      <c r="B63" s="453">
        <v>46211</v>
      </c>
      <c r="C63" s="224">
        <v>1</v>
      </c>
      <c r="D63" s="585" t="s">
        <v>641</v>
      </c>
      <c r="E63" s="253" t="s">
        <v>570</v>
      </c>
      <c r="F63" s="413" t="s">
        <v>628</v>
      </c>
      <c r="G63" s="413">
        <f>IF(Item1.3LPP.OnHold46[[#This Row],[Pipe]]&lt;&gt;"",COUNTIF(Item1.3LPP.OnHold46[Pipe],D63),"")</f>
        <v>3</v>
      </c>
      <c r="H63" s="413" t="str">
        <f>IF(Item1.3LPP.OnHold46[[#This Row],[Pipe]]&lt;&gt;"",IF(COUNTIF(Item1.3LPP.OnHold4[Pipe],D63)&gt;0,"Sim","Não"),"")</f>
        <v>Não</v>
      </c>
      <c r="I63" s="447"/>
      <c r="K63" s="440"/>
      <c r="L63" s="245"/>
      <c r="M63" s="245"/>
      <c r="N63" s="448"/>
      <c r="O63" s="448"/>
    </row>
    <row r="64" spans="1:15" s="318" customFormat="1">
      <c r="A64" s="223">
        <f>IF(Item1.3LPP.OnHold46[[#This Row],[Date]]&lt;&gt;"",WEEKNUM(Item1.3LPP.OnHold46[[#This Row],[Date]]),"")</f>
        <v>28</v>
      </c>
      <c r="B64" s="453">
        <v>46211</v>
      </c>
      <c r="C64" s="224">
        <v>1</v>
      </c>
      <c r="D64" s="585" t="s">
        <v>656</v>
      </c>
      <c r="E64" s="253" t="s">
        <v>570</v>
      </c>
      <c r="F64" s="413" t="s">
        <v>628</v>
      </c>
      <c r="G64" s="413">
        <f>IF(Item1.3LPP.OnHold46[[#This Row],[Pipe]]&lt;&gt;"",COUNTIF(Item1.3LPP.OnHold46[Pipe],D64),"")</f>
        <v>1</v>
      </c>
      <c r="H64" s="413" t="str">
        <f>IF(Item1.3LPP.OnHold46[[#This Row],[Pipe]]&lt;&gt;"",IF(COUNTIF(Item1.3LPP.OnHold4[Pipe],D64)&gt;0,"Sim","Não"),"")</f>
        <v>Não</v>
      </c>
      <c r="I64" s="447"/>
      <c r="K64" s="440"/>
      <c r="L64" s="245"/>
      <c r="M64" s="245"/>
      <c r="N64" s="448"/>
      <c r="O64" s="448"/>
    </row>
    <row r="65" spans="1:15" s="318" customFormat="1">
      <c r="A65" s="223">
        <f>IF(Item1.3LPP.OnHold46[[#This Row],[Date]]&lt;&gt;"",WEEKNUM(Item1.3LPP.OnHold46[[#This Row],[Date]]),"")</f>
        <v>28</v>
      </c>
      <c r="B65" s="453">
        <v>46211</v>
      </c>
      <c r="C65" s="224">
        <v>1</v>
      </c>
      <c r="D65" s="585" t="s">
        <v>124</v>
      </c>
      <c r="E65" s="253" t="s">
        <v>627</v>
      </c>
      <c r="F65" s="413" t="s">
        <v>628</v>
      </c>
      <c r="G65" s="413">
        <f>IF(Item1.3LPP.OnHold46[[#This Row],[Pipe]]&lt;&gt;"",COUNTIF(Item1.3LPP.OnHold46[Pipe],D65),"")</f>
        <v>1</v>
      </c>
      <c r="H65" s="413" t="str">
        <f>IF(Item1.3LPP.OnHold46[[#This Row],[Pipe]]&lt;&gt;"",IF(COUNTIF(Item1.3LPP.OnHold4[Pipe],D65)&gt;0,"Sim","Não"),"")</f>
        <v>Sim</v>
      </c>
      <c r="I65" s="447"/>
      <c r="K65" s="440"/>
      <c r="L65" s="245"/>
      <c r="M65" s="245"/>
      <c r="N65" s="448"/>
      <c r="O65" s="448"/>
    </row>
    <row r="66" spans="1:15" s="318" customFormat="1">
      <c r="A66" s="223">
        <f>IF(Item1.3LPP.OnHold46[[#This Row],[Date]]&lt;&gt;"",WEEKNUM(Item1.3LPP.OnHold46[[#This Row],[Date]]),"")</f>
        <v>28</v>
      </c>
      <c r="B66" s="453">
        <v>46211</v>
      </c>
      <c r="C66" s="224">
        <v>1</v>
      </c>
      <c r="D66" s="585" t="s">
        <v>657</v>
      </c>
      <c r="E66" s="253" t="s">
        <v>627</v>
      </c>
      <c r="F66" s="413" t="s">
        <v>628</v>
      </c>
      <c r="G66" s="413">
        <f>IF(Item1.3LPP.OnHold46[[#This Row],[Pipe]]&lt;&gt;"",COUNTIF(Item1.3LPP.OnHold46[Pipe],D66),"")</f>
        <v>1</v>
      </c>
      <c r="H66" s="413" t="str">
        <f>IF(Item1.3LPP.OnHold46[[#This Row],[Pipe]]&lt;&gt;"",IF(COUNTIF(Item1.3LPP.OnHold4[Pipe],D66)&gt;0,"Sim","Não"),"")</f>
        <v>Não</v>
      </c>
      <c r="I66" s="447"/>
      <c r="K66" s="440"/>
      <c r="L66" s="245"/>
      <c r="M66" s="245"/>
      <c r="N66" s="448"/>
      <c r="O66" s="448"/>
    </row>
    <row r="67" spans="1:15" s="318" customFormat="1">
      <c r="A67" s="223">
        <f>IF(Item1.3LPP.OnHold46[[#This Row],[Date]]&lt;&gt;"",WEEKNUM(Item1.3LPP.OnHold46[[#This Row],[Date]]),"")</f>
        <v>28</v>
      </c>
      <c r="B67" s="453">
        <v>46211</v>
      </c>
      <c r="C67" s="224">
        <v>2</v>
      </c>
      <c r="D67" s="585" t="s">
        <v>396</v>
      </c>
      <c r="E67" s="253" t="s">
        <v>627</v>
      </c>
      <c r="F67" s="413" t="s">
        <v>628</v>
      </c>
      <c r="G67" s="413">
        <f>IF(Item1.3LPP.OnHold46[[#This Row],[Pipe]]&lt;&gt;"",COUNTIF(Item1.3LPP.OnHold46[Pipe],D67),"")</f>
        <v>1</v>
      </c>
      <c r="H67" s="413" t="str">
        <f>IF(Item1.3LPP.OnHold46[[#This Row],[Pipe]]&lt;&gt;"",IF(COUNTIF(Item1.3LPP.OnHold4[Pipe],D67)&gt;0,"Sim","Não"),"")</f>
        <v>Sim</v>
      </c>
      <c r="I67" s="445"/>
      <c r="K67" s="440"/>
      <c r="L67" s="245"/>
      <c r="M67" s="245"/>
      <c r="N67" s="448"/>
      <c r="O67" s="448"/>
    </row>
    <row r="68" spans="1:15" s="318" customFormat="1">
      <c r="A68" s="223">
        <f>IF(Item1.3LPP.OnHold46[[#This Row],[Date]]&lt;&gt;"",WEEKNUM(Item1.3LPP.OnHold46[[#This Row],[Date]]),"")</f>
        <v>28</v>
      </c>
      <c r="B68" s="453">
        <v>46211</v>
      </c>
      <c r="C68" s="224">
        <v>2</v>
      </c>
      <c r="D68" s="585" t="s">
        <v>658</v>
      </c>
      <c r="E68" s="253" t="s">
        <v>570</v>
      </c>
      <c r="F68" s="413" t="s">
        <v>628</v>
      </c>
      <c r="G68" s="413">
        <f>IF(Item1.3LPP.OnHold46[[#This Row],[Pipe]]&lt;&gt;"",COUNTIF(Item1.3LPP.OnHold46[Pipe],D68),"")</f>
        <v>1</v>
      </c>
      <c r="H68" s="413" t="str">
        <f>IF(Item1.3LPP.OnHold46[[#This Row],[Pipe]]&lt;&gt;"",IF(COUNTIF(Item1.3LPP.OnHold4[Pipe],D68)&gt;0,"Sim","Não"),"")</f>
        <v>Não</v>
      </c>
      <c r="I68" s="447"/>
      <c r="K68" s="440"/>
      <c r="L68" s="245"/>
      <c r="M68" s="245"/>
      <c r="N68" s="448"/>
      <c r="O68" s="448"/>
    </row>
    <row r="69" spans="1:15" s="318" customFormat="1">
      <c r="A69" s="223">
        <f>IF(Item1.3LPP.OnHold46[[#This Row],[Date]]&lt;&gt;"",WEEKNUM(Item1.3LPP.OnHold46[[#This Row],[Date]]),"")</f>
        <v>28</v>
      </c>
      <c r="B69" s="453">
        <v>46211</v>
      </c>
      <c r="C69" s="224">
        <v>2</v>
      </c>
      <c r="D69" s="585" t="s">
        <v>659</v>
      </c>
      <c r="E69" s="253" t="s">
        <v>627</v>
      </c>
      <c r="F69" s="413" t="s">
        <v>628</v>
      </c>
      <c r="G69" s="413">
        <f>IF(Item1.3LPP.OnHold46[[#This Row],[Pipe]]&lt;&gt;"",COUNTIF(Item1.3LPP.OnHold46[Pipe],D69),"")</f>
        <v>1</v>
      </c>
      <c r="H69" s="413" t="str">
        <f>IF(Item1.3LPP.OnHold46[[#This Row],[Pipe]]&lt;&gt;"",IF(COUNTIF(Item1.3LPP.OnHold4[Pipe],D69)&gt;0,"Sim","Não"),"")</f>
        <v>Não</v>
      </c>
      <c r="I69" s="447"/>
      <c r="K69" s="440"/>
      <c r="L69" s="245"/>
      <c r="M69" s="245"/>
      <c r="N69" s="448"/>
      <c r="O69" s="448"/>
    </row>
    <row r="70" spans="1:15" s="318" customFormat="1">
      <c r="A70" s="223">
        <f>IF(Item1.3LPP.OnHold46[[#This Row],[Date]]&lt;&gt;"",WEEKNUM(Item1.3LPP.OnHold46[[#This Row],[Date]]),"")</f>
        <v>28</v>
      </c>
      <c r="B70" s="453">
        <v>46211</v>
      </c>
      <c r="C70" s="224">
        <v>2</v>
      </c>
      <c r="D70" s="585" t="s">
        <v>110</v>
      </c>
      <c r="E70" s="253" t="s">
        <v>627</v>
      </c>
      <c r="F70" s="413" t="s">
        <v>628</v>
      </c>
      <c r="G70" s="413">
        <f>IF(Item1.3LPP.OnHold46[[#This Row],[Pipe]]&lt;&gt;"",COUNTIF(Item1.3LPP.OnHold46[Pipe],D70),"")</f>
        <v>1</v>
      </c>
      <c r="H70" s="413" t="str">
        <f>IF(Item1.3LPP.OnHold46[[#This Row],[Pipe]]&lt;&gt;"",IF(COUNTIF(Item1.3LPP.OnHold4[Pipe],D70)&gt;0,"Sim","Não"),"")</f>
        <v>Não</v>
      </c>
      <c r="I70" s="447"/>
      <c r="K70" s="440"/>
      <c r="L70" s="245"/>
      <c r="M70" s="245"/>
      <c r="N70" s="448"/>
      <c r="O70" s="448"/>
    </row>
    <row r="71" spans="1:15" s="318" customFormat="1">
      <c r="A71" s="223">
        <f>IF(Item1.3LPP.OnHold46[[#This Row],[Date]]&lt;&gt;"",WEEKNUM(Item1.3LPP.OnHold46[[#This Row],[Date]]),"")</f>
        <v>28</v>
      </c>
      <c r="B71" s="453">
        <v>46211</v>
      </c>
      <c r="C71" s="224">
        <v>3</v>
      </c>
      <c r="D71" s="585" t="s">
        <v>111</v>
      </c>
      <c r="E71" s="253" t="s">
        <v>627</v>
      </c>
      <c r="F71" s="413" t="s">
        <v>628</v>
      </c>
      <c r="G71" s="413">
        <f>IF(Item1.3LPP.OnHold46[[#This Row],[Pipe]]&lt;&gt;"",COUNTIF(Item1.3LPP.OnHold46[Pipe],D71),"")</f>
        <v>1</v>
      </c>
      <c r="H71" s="413" t="str">
        <f>IF(Item1.3LPP.OnHold46[[#This Row],[Pipe]]&lt;&gt;"",IF(COUNTIF(Item1.3LPP.OnHold4[Pipe],D71)&gt;0,"Sim","Não"),"")</f>
        <v>Não</v>
      </c>
      <c r="I71" s="253"/>
      <c r="K71" s="440"/>
      <c r="L71" s="245"/>
      <c r="M71" s="245"/>
      <c r="N71" s="448"/>
      <c r="O71" s="448"/>
    </row>
    <row r="72" spans="1:15" s="318" customFormat="1">
      <c r="A72" s="223">
        <f>IF(Item1.3LPP.OnHold46[[#This Row],[Date]]&lt;&gt;"",WEEKNUM(Item1.3LPP.OnHold46[[#This Row],[Date]]),"")</f>
        <v>28</v>
      </c>
      <c r="B72" s="453">
        <v>46211</v>
      </c>
      <c r="C72" s="235">
        <v>3</v>
      </c>
      <c r="D72" s="585" t="s">
        <v>640</v>
      </c>
      <c r="E72" s="253" t="s">
        <v>570</v>
      </c>
      <c r="F72" s="413" t="s">
        <v>628</v>
      </c>
      <c r="G72" s="413">
        <f>IF(Item1.3LPP.OnHold46[[#This Row],[Pipe]]&lt;&gt;"",COUNTIF(Item1.3LPP.OnHold46[Pipe],D72),"")</f>
        <v>8</v>
      </c>
      <c r="H72" s="413" t="str">
        <f>IF(Item1.3LPP.OnHold46[[#This Row],[Pipe]]&lt;&gt;"",IF(COUNTIF(Item1.3LPP.OnHold4[Pipe],D72)&gt;0,"Sim","Não"),"")</f>
        <v>Não</v>
      </c>
      <c r="I72" s="253"/>
      <c r="K72" s="440"/>
      <c r="L72" s="245"/>
      <c r="M72" s="245"/>
      <c r="N72" s="448"/>
      <c r="O72" s="448"/>
    </row>
    <row r="73" spans="1:15" s="318" customFormat="1">
      <c r="A73" s="223">
        <f>IF(Item1.3LPP.OnHold46[[#This Row],[Date]]&lt;&gt;"",WEEKNUM(Item1.3LPP.OnHold46[[#This Row],[Date]]),"")</f>
        <v>28</v>
      </c>
      <c r="B73" s="453">
        <v>46211</v>
      </c>
      <c r="C73" s="235">
        <v>3</v>
      </c>
      <c r="D73" s="585" t="s">
        <v>300</v>
      </c>
      <c r="E73" s="253" t="s">
        <v>627</v>
      </c>
      <c r="F73" s="413" t="s">
        <v>628</v>
      </c>
      <c r="G73" s="413">
        <f>IF(Item1.3LPP.OnHold46[[#This Row],[Pipe]]&lt;&gt;"",COUNTIF(Item1.3LPP.OnHold46[Pipe],D73),"")</f>
        <v>1</v>
      </c>
      <c r="H73" s="413" t="str">
        <f>IF(Item1.3LPP.OnHold46[[#This Row],[Pipe]]&lt;&gt;"",IF(COUNTIF(Item1.3LPP.OnHold4[Pipe],D73)&gt;0,"Sim","Não"),"")</f>
        <v>Sim</v>
      </c>
      <c r="I73" s="445" t="s">
        <v>644</v>
      </c>
      <c r="K73" s="440"/>
      <c r="L73" s="245"/>
      <c r="M73" s="245"/>
      <c r="N73" s="448"/>
      <c r="O73" s="448"/>
    </row>
    <row r="74" spans="1:15" s="318" customFormat="1">
      <c r="A74" s="223">
        <f>IF(Item1.3LPP.OnHold46[[#This Row],[Date]]&lt;&gt;"",WEEKNUM(Item1.3LPP.OnHold46[[#This Row],[Date]]),"")</f>
        <v>28</v>
      </c>
      <c r="B74" s="453">
        <v>46211</v>
      </c>
      <c r="C74" s="235">
        <v>3</v>
      </c>
      <c r="D74" s="585" t="s">
        <v>635</v>
      </c>
      <c r="E74" s="253" t="s">
        <v>570</v>
      </c>
      <c r="F74" s="413" t="s">
        <v>628</v>
      </c>
      <c r="G74" s="413">
        <f>IF(Item1.3LPP.OnHold46[[#This Row],[Pipe]]&lt;&gt;"",COUNTIF(Item1.3LPP.OnHold46[Pipe],D74),"")</f>
        <v>3</v>
      </c>
      <c r="H74" s="413" t="str">
        <f>IF(Item1.3LPP.OnHold46[[#This Row],[Pipe]]&lt;&gt;"",IF(COUNTIF(Item1.3LPP.OnHold4[Pipe],D74)&gt;0,"Sim","Não"),"")</f>
        <v>Não</v>
      </c>
      <c r="I74" s="445"/>
      <c r="K74" s="440"/>
      <c r="L74" s="245"/>
      <c r="M74" s="245"/>
      <c r="N74" s="448"/>
      <c r="O74" s="448"/>
    </row>
    <row r="75" spans="1:15" s="318" customFormat="1">
      <c r="A75" s="223">
        <f>IF(Item1.3LPP.OnHold46[[#This Row],[Date]]&lt;&gt;"",WEEKNUM(Item1.3LPP.OnHold46[[#This Row],[Date]]),"")</f>
        <v>28</v>
      </c>
      <c r="B75" s="453">
        <v>46212</v>
      </c>
      <c r="C75" s="235">
        <v>1</v>
      </c>
      <c r="D75" s="585" t="s">
        <v>660</v>
      </c>
      <c r="E75" s="253" t="s">
        <v>627</v>
      </c>
      <c r="F75" s="413" t="s">
        <v>628</v>
      </c>
      <c r="G75" s="413">
        <f>IF(Item1.3LPP.OnHold46[[#This Row],[Pipe]]&lt;&gt;"",COUNTIF(Item1.3LPP.OnHold46[Pipe],D75),"")</f>
        <v>1</v>
      </c>
      <c r="H75" s="413" t="str">
        <f>IF(Item1.3LPP.OnHold46[[#This Row],[Pipe]]&lt;&gt;"",IF(COUNTIF(Item1.3LPP.OnHold4[Pipe],D75)&gt;0,"Sim","Não"),"")</f>
        <v>Não</v>
      </c>
      <c r="I75" s="445"/>
      <c r="K75" s="440"/>
      <c r="L75" s="245"/>
      <c r="M75" s="245"/>
      <c r="N75" s="448"/>
      <c r="O75" s="448"/>
    </row>
    <row r="76" spans="1:15" s="318" customFormat="1">
      <c r="A76" s="223">
        <f>IF(Item1.3LPP.OnHold46[[#This Row],[Date]]&lt;&gt;"",WEEKNUM(Item1.3LPP.OnHold46[[#This Row],[Date]]),"")</f>
        <v>28</v>
      </c>
      <c r="B76" s="453">
        <v>46212</v>
      </c>
      <c r="C76" s="235">
        <v>1</v>
      </c>
      <c r="D76" s="585" t="s">
        <v>579</v>
      </c>
      <c r="E76" s="253" t="s">
        <v>570</v>
      </c>
      <c r="F76" s="413" t="s">
        <v>628</v>
      </c>
      <c r="G76" s="413">
        <f>IF(Item1.3LPP.OnHold46[[#This Row],[Pipe]]&lt;&gt;"",COUNTIF(Item1.3LPP.OnHold46[Pipe],D76),"")</f>
        <v>1</v>
      </c>
      <c r="H76" s="413" t="str">
        <f>IF(Item1.3LPP.OnHold46[[#This Row],[Pipe]]&lt;&gt;"",IF(COUNTIF(Item1.3LPP.OnHold4[Pipe],D76)&gt;0,"Sim","Não"),"")</f>
        <v>Sim</v>
      </c>
      <c r="I76" s="447"/>
      <c r="K76" s="440"/>
      <c r="L76" s="245"/>
      <c r="M76" s="245"/>
      <c r="N76" s="448"/>
      <c r="O76" s="448"/>
    </row>
    <row r="77" spans="1:15" s="318" customFormat="1">
      <c r="A77" s="223">
        <f>IF(Item1.3LPP.OnHold46[[#This Row],[Date]]&lt;&gt;"",WEEKNUM(Item1.3LPP.OnHold46[[#This Row],[Date]]),"")</f>
        <v>28</v>
      </c>
      <c r="B77" s="453">
        <v>46212</v>
      </c>
      <c r="C77" s="235">
        <v>1</v>
      </c>
      <c r="D77" s="585" t="s">
        <v>421</v>
      </c>
      <c r="E77" s="253" t="s">
        <v>627</v>
      </c>
      <c r="F77" s="413" t="s">
        <v>628</v>
      </c>
      <c r="G77" s="413">
        <f>IF(Item1.3LPP.OnHold46[[#This Row],[Pipe]]&lt;&gt;"",COUNTIF(Item1.3LPP.OnHold46[Pipe],D77),"")</f>
        <v>1</v>
      </c>
      <c r="H77" s="413" t="str">
        <f>IF(Item1.3LPP.OnHold46[[#This Row],[Pipe]]&lt;&gt;"",IF(COUNTIF(Item1.3LPP.OnHold4[Pipe],D77)&gt;0,"Sim","Não"),"")</f>
        <v>Sim</v>
      </c>
      <c r="I77" s="447"/>
      <c r="K77" s="440"/>
      <c r="L77" s="245"/>
      <c r="M77" s="245"/>
      <c r="N77" s="448"/>
      <c r="O77" s="448"/>
    </row>
    <row r="78" spans="1:15" s="318" customFormat="1">
      <c r="A78" s="223">
        <f>IF(Item1.3LPP.OnHold46[[#This Row],[Date]]&lt;&gt;"",WEEKNUM(Item1.3LPP.OnHold46[[#This Row],[Date]]),"")</f>
        <v>28</v>
      </c>
      <c r="B78" s="453">
        <v>46212</v>
      </c>
      <c r="C78" s="235">
        <v>2</v>
      </c>
      <c r="D78" s="585" t="s">
        <v>420</v>
      </c>
      <c r="E78" s="253" t="s">
        <v>627</v>
      </c>
      <c r="F78" s="413" t="s">
        <v>628</v>
      </c>
      <c r="G78" s="413">
        <f>IF(Item1.3LPP.OnHold46[[#This Row],[Pipe]]&lt;&gt;"",COUNTIF(Item1.3LPP.OnHold46[Pipe],D78),"")</f>
        <v>1</v>
      </c>
      <c r="H78" s="413" t="str">
        <f>IF(Item1.3LPP.OnHold46[[#This Row],[Pipe]]&lt;&gt;"",IF(COUNTIF(Item1.3LPP.OnHold4[Pipe],D78)&gt;0,"Sim","Não"),"")</f>
        <v>Sim</v>
      </c>
      <c r="I78" s="447"/>
      <c r="K78" s="440"/>
      <c r="L78" s="245"/>
      <c r="M78" s="245"/>
      <c r="N78" s="448"/>
      <c r="O78" s="448"/>
    </row>
    <row r="79" spans="1:15" s="318" customFormat="1">
      <c r="A79" s="223">
        <f>IF(Item1.3LPP.OnHold46[[#This Row],[Date]]&lt;&gt;"",WEEKNUM(Item1.3LPP.OnHold46[[#This Row],[Date]]),"")</f>
        <v>28</v>
      </c>
      <c r="B79" s="453">
        <v>46212</v>
      </c>
      <c r="C79" s="235">
        <v>2</v>
      </c>
      <c r="D79" s="585" t="s">
        <v>418</v>
      </c>
      <c r="E79" s="253" t="s">
        <v>627</v>
      </c>
      <c r="F79" s="413" t="s">
        <v>628</v>
      </c>
      <c r="G79" s="413">
        <f>IF(Item1.3LPP.OnHold46[[#This Row],[Pipe]]&lt;&gt;"",COUNTIF(Item1.3LPP.OnHold46[Pipe],D79),"")</f>
        <v>1</v>
      </c>
      <c r="H79" s="413" t="str">
        <f>IF(Item1.3LPP.OnHold46[[#This Row],[Pipe]]&lt;&gt;"",IF(COUNTIF(Item1.3LPP.OnHold4[Pipe],D79)&gt;0,"Sim","Não"),"")</f>
        <v>Sim</v>
      </c>
      <c r="I79" s="447"/>
      <c r="K79" s="440"/>
      <c r="L79" s="245"/>
      <c r="M79" s="245"/>
      <c r="N79" s="448"/>
      <c r="O79" s="448"/>
    </row>
    <row r="80" spans="1:15" s="318" customFormat="1">
      <c r="A80" s="223">
        <f>IF(Item1.3LPP.OnHold46[[#This Row],[Date]]&lt;&gt;"",WEEKNUM(Item1.3LPP.OnHold46[[#This Row],[Date]]),"")</f>
        <v>28</v>
      </c>
      <c r="B80" s="453">
        <v>46212</v>
      </c>
      <c r="C80" s="235">
        <v>2</v>
      </c>
      <c r="D80" s="585" t="s">
        <v>578</v>
      </c>
      <c r="E80" s="253" t="s">
        <v>570</v>
      </c>
      <c r="F80" s="413" t="s">
        <v>628</v>
      </c>
      <c r="G80" s="413">
        <f>IF(Item1.3LPP.OnHold46[[#This Row],[Pipe]]&lt;&gt;"",COUNTIF(Item1.3LPP.OnHold46[Pipe],D80),"")</f>
        <v>1</v>
      </c>
      <c r="H80" s="413" t="str">
        <f>IF(Item1.3LPP.OnHold46[[#This Row],[Pipe]]&lt;&gt;"",IF(COUNTIF(Item1.3LPP.OnHold4[Pipe],D80)&gt;0,"Sim","Não"),"")</f>
        <v>Sim</v>
      </c>
      <c r="I80" s="253"/>
      <c r="K80" s="440"/>
      <c r="L80" s="245"/>
      <c r="M80" s="245"/>
      <c r="N80" s="448"/>
      <c r="O80" s="448"/>
    </row>
    <row r="81" spans="1:15" s="318" customFormat="1">
      <c r="A81" s="223">
        <f>IF(Item1.3LPP.OnHold46[[#This Row],[Date]]&lt;&gt;"",WEEKNUM(Item1.3LPP.OnHold46[[#This Row],[Date]]),"")</f>
        <v>28</v>
      </c>
      <c r="B81" s="453">
        <v>46212</v>
      </c>
      <c r="C81" s="235">
        <v>3</v>
      </c>
      <c r="D81" s="585" t="s">
        <v>305</v>
      </c>
      <c r="E81" s="253" t="s">
        <v>627</v>
      </c>
      <c r="F81" s="413" t="s">
        <v>628</v>
      </c>
      <c r="G81" s="413">
        <f>IF(Item1.3LPP.OnHold46[[#This Row],[Pipe]]&lt;&gt;"",COUNTIF(Item1.3LPP.OnHold46[Pipe],D81),"")</f>
        <v>2</v>
      </c>
      <c r="H81" s="413" t="str">
        <f>IF(Item1.3LPP.OnHold46[[#This Row],[Pipe]]&lt;&gt;"",IF(COUNTIF(Item1.3LPP.OnHold4[Pipe],D81)&gt;0,"Sim","Não"),"")</f>
        <v>Não</v>
      </c>
      <c r="I81" s="447"/>
      <c r="K81" s="440"/>
      <c r="L81" s="245"/>
      <c r="M81" s="245"/>
      <c r="N81" s="448"/>
      <c r="O81" s="448"/>
    </row>
    <row r="82" spans="1:15" s="318" customFormat="1">
      <c r="A82" s="223">
        <f>IF(Item1.3LPP.OnHold46[[#This Row],[Date]]&lt;&gt;"",WEEKNUM(Item1.3LPP.OnHold46[[#This Row],[Date]]),"")</f>
        <v>28</v>
      </c>
      <c r="B82" s="453">
        <v>46212</v>
      </c>
      <c r="C82" s="235">
        <v>3</v>
      </c>
      <c r="D82" s="585" t="s">
        <v>583</v>
      </c>
      <c r="E82" s="253" t="s">
        <v>570</v>
      </c>
      <c r="F82" s="413" t="s">
        <v>628</v>
      </c>
      <c r="G82" s="413">
        <f>IF(Item1.3LPP.OnHold46[[#This Row],[Pipe]]&lt;&gt;"",COUNTIF(Item1.3LPP.OnHold46[Pipe],D82),"")</f>
        <v>1</v>
      </c>
      <c r="H82" s="413" t="str">
        <f>IF(Item1.3LPP.OnHold46[[#This Row],[Pipe]]&lt;&gt;"",IF(COUNTIF(Item1.3LPP.OnHold4[Pipe],D82)&gt;0,"Sim","Não"),"")</f>
        <v>Sim</v>
      </c>
      <c r="I82" s="447"/>
      <c r="K82" s="440"/>
      <c r="L82" s="245"/>
      <c r="M82" s="245"/>
      <c r="N82" s="448"/>
      <c r="O82" s="448"/>
    </row>
    <row r="83" spans="1:15" s="318" customFormat="1">
      <c r="A83" s="223">
        <f>IF(Item1.3LPP.OnHold46[[#This Row],[Date]]&lt;&gt;"",WEEKNUM(Item1.3LPP.OnHold46[[#This Row],[Date]]),"")</f>
        <v>28</v>
      </c>
      <c r="B83" s="453">
        <v>46212</v>
      </c>
      <c r="C83" s="235">
        <v>3</v>
      </c>
      <c r="D83" s="585" t="s">
        <v>97</v>
      </c>
      <c r="E83" s="253" t="s">
        <v>627</v>
      </c>
      <c r="F83" s="413" t="s">
        <v>628</v>
      </c>
      <c r="G83" s="413">
        <f>IF(Item1.3LPP.OnHold46[[#This Row],[Pipe]]&lt;&gt;"",COUNTIF(Item1.3LPP.OnHold46[Pipe],D83),"")</f>
        <v>1</v>
      </c>
      <c r="H83" s="413" t="str">
        <f>IF(Item1.3LPP.OnHold46[[#This Row],[Pipe]]&lt;&gt;"",IF(COUNTIF(Item1.3LPP.OnHold4[Pipe],D83)&gt;0,"Sim","Não"),"")</f>
        <v>Sim</v>
      </c>
      <c r="I83" s="447"/>
      <c r="K83" s="440"/>
      <c r="L83" s="245"/>
      <c r="M83" s="245"/>
      <c r="N83" s="448"/>
      <c r="O83" s="448"/>
    </row>
    <row r="84" spans="1:15" s="318" customFormat="1">
      <c r="A84" s="223">
        <f>IF(Item1.3LPP.OnHold46[[#This Row],[Date]]&lt;&gt;"",WEEKNUM(Item1.3LPP.OnHold46[[#This Row],[Date]]),"")</f>
        <v>28</v>
      </c>
      <c r="B84" s="453">
        <v>46213</v>
      </c>
      <c r="C84" s="235">
        <v>1</v>
      </c>
      <c r="D84" s="585" t="s">
        <v>135</v>
      </c>
      <c r="E84" s="253" t="s">
        <v>570</v>
      </c>
      <c r="F84" s="413" t="s">
        <v>628</v>
      </c>
      <c r="G84" s="413">
        <f>IF(Item1.3LPP.OnHold46[[#This Row],[Pipe]]&lt;&gt;"",COUNTIF(Item1.3LPP.OnHold46[Pipe],D84),"")</f>
        <v>1</v>
      </c>
      <c r="H84" s="413" t="str">
        <f>IF(Item1.3LPP.OnHold46[[#This Row],[Pipe]]&lt;&gt;"",IF(COUNTIF(Item1.3LPP.OnHold4[Pipe],D84)&gt;0,"Sim","Não"),"")</f>
        <v>Não</v>
      </c>
      <c r="I84" s="445"/>
      <c r="K84" s="440"/>
      <c r="L84" s="245"/>
      <c r="M84" s="245"/>
      <c r="N84" s="448"/>
      <c r="O84" s="448"/>
    </row>
    <row r="85" spans="1:15" s="318" customFormat="1">
      <c r="A85" s="223">
        <f>IF(Item1.3LPP.OnHold46[[#This Row],[Date]]&lt;&gt;"",WEEKNUM(Item1.3LPP.OnHold46[[#This Row],[Date]]),"")</f>
        <v>28</v>
      </c>
      <c r="B85" s="453">
        <v>46213</v>
      </c>
      <c r="C85" s="235">
        <v>3</v>
      </c>
      <c r="D85" s="585" t="s">
        <v>424</v>
      </c>
      <c r="E85" s="253" t="s">
        <v>627</v>
      </c>
      <c r="F85" s="413" t="s">
        <v>628</v>
      </c>
      <c r="G85" s="413">
        <f>IF(Item1.3LPP.OnHold46[[#This Row],[Pipe]]&lt;&gt;"",COUNTIF(Item1.3LPP.OnHold46[Pipe],D85),"")</f>
        <v>1</v>
      </c>
      <c r="H85" s="413" t="str">
        <f>IF(Item1.3LPP.OnHold46[[#This Row],[Pipe]]&lt;&gt;"",IF(COUNTIF(Item1.3LPP.OnHold4[Pipe],D85)&gt;0,"Sim","Não"),"")</f>
        <v>Não</v>
      </c>
      <c r="I85" s="445"/>
      <c r="K85" s="440"/>
      <c r="L85" s="245"/>
      <c r="M85" s="245"/>
      <c r="N85" s="448"/>
      <c r="O85" s="448"/>
    </row>
    <row r="86" spans="1:15" s="318" customFormat="1">
      <c r="A86" s="223">
        <f>IF(Item1.3LPP.OnHold46[[#This Row],[Date]]&lt;&gt;"",WEEKNUM(Item1.3LPP.OnHold46[[#This Row],[Date]]),"")</f>
        <v>28</v>
      </c>
      <c r="B86" s="453">
        <v>46213</v>
      </c>
      <c r="C86" s="235">
        <v>3</v>
      </c>
      <c r="D86" s="585" t="s">
        <v>165</v>
      </c>
      <c r="E86" s="253" t="s">
        <v>570</v>
      </c>
      <c r="F86" s="413" t="s">
        <v>628</v>
      </c>
      <c r="G86" s="413">
        <f>IF(Item1.3LPP.OnHold46[[#This Row],[Pipe]]&lt;&gt;"",COUNTIF(Item1.3LPP.OnHold46[Pipe],D86),"")</f>
        <v>1</v>
      </c>
      <c r="H86" s="413" t="str">
        <f>IF(Item1.3LPP.OnHold46[[#This Row],[Pipe]]&lt;&gt;"",IF(COUNTIF(Item1.3LPP.OnHold4[Pipe],D86)&gt;0,"Sim","Não"),"")</f>
        <v>Sim</v>
      </c>
      <c r="I86" s="445"/>
      <c r="K86" s="440"/>
      <c r="L86" s="245"/>
      <c r="M86" s="245"/>
      <c r="N86" s="448"/>
      <c r="O86" s="448"/>
    </row>
    <row r="87" spans="1:15" s="318" customFormat="1">
      <c r="A87" s="223">
        <f>IF(Item1.3LPP.OnHold46[[#This Row],[Date]]&lt;&gt;"",WEEKNUM(Item1.3LPP.OnHold46[[#This Row],[Date]]),"")</f>
        <v>28</v>
      </c>
      <c r="B87" s="453">
        <v>46213</v>
      </c>
      <c r="C87" s="235">
        <v>3</v>
      </c>
      <c r="D87" s="585" t="s">
        <v>661</v>
      </c>
      <c r="E87" s="253" t="s">
        <v>570</v>
      </c>
      <c r="F87" s="413" t="s">
        <v>628</v>
      </c>
      <c r="G87" s="413">
        <f>IF(Item1.3LPP.OnHold46[[#This Row],[Pipe]]&lt;&gt;"",COUNTIF(Item1.3LPP.OnHold46[Pipe],D87),"")</f>
        <v>1</v>
      </c>
      <c r="H87" s="413" t="str">
        <f>IF(Item1.3LPP.OnHold46[[#This Row],[Pipe]]&lt;&gt;"",IF(COUNTIF(Item1.3LPP.OnHold4[Pipe],D87)&gt;0,"Sim","Não"),"")</f>
        <v>Não</v>
      </c>
      <c r="I87" s="445"/>
      <c r="K87" s="440"/>
      <c r="L87" s="245"/>
      <c r="M87" s="245"/>
      <c r="N87" s="448"/>
      <c r="O87" s="448"/>
    </row>
    <row r="88" spans="1:15" s="318" customFormat="1">
      <c r="A88" s="223">
        <f>IF(Item1.3LPP.OnHold46[[#This Row],[Date]]&lt;&gt;"",WEEKNUM(Item1.3LPP.OnHold46[[#This Row],[Date]]),"")</f>
        <v>28</v>
      </c>
      <c r="B88" s="453">
        <v>46213</v>
      </c>
      <c r="C88" s="235">
        <v>3</v>
      </c>
      <c r="D88" s="585" t="s">
        <v>640</v>
      </c>
      <c r="E88" s="253" t="s">
        <v>570</v>
      </c>
      <c r="F88" s="413" t="s">
        <v>628</v>
      </c>
      <c r="G88" s="413">
        <f>IF(Item1.3LPP.OnHold46[[#This Row],[Pipe]]&lt;&gt;"",COUNTIF(Item1.3LPP.OnHold46[Pipe],D88),"")</f>
        <v>8</v>
      </c>
      <c r="H88" s="413" t="str">
        <f>IF(Item1.3LPP.OnHold46[[#This Row],[Pipe]]&lt;&gt;"",IF(COUNTIF(Item1.3LPP.OnHold4[Pipe],D88)&gt;0,"Sim","Não"),"")</f>
        <v>Não</v>
      </c>
      <c r="I88" s="447"/>
      <c r="K88" s="440"/>
      <c r="L88" s="245"/>
      <c r="M88" s="245"/>
      <c r="N88" s="448"/>
      <c r="O88" s="448"/>
    </row>
    <row r="89" spans="1:15" s="318" customFormat="1">
      <c r="A89" s="223">
        <f>IF(Item1.3LPP.OnHold46[[#This Row],[Date]]&lt;&gt;"",WEEKNUM(Item1.3LPP.OnHold46[[#This Row],[Date]]),"")</f>
        <v>28</v>
      </c>
      <c r="B89" s="453">
        <v>46213</v>
      </c>
      <c r="C89" s="235">
        <v>3</v>
      </c>
      <c r="D89" s="585" t="s">
        <v>584</v>
      </c>
      <c r="E89" s="253" t="s">
        <v>570</v>
      </c>
      <c r="F89" s="413" t="s">
        <v>628</v>
      </c>
      <c r="G89" s="413">
        <f>IF(Item1.3LPP.OnHold46[[#This Row],[Pipe]]&lt;&gt;"",COUNTIF(Item1.3LPP.OnHold46[Pipe],D89),"")</f>
        <v>1</v>
      </c>
      <c r="H89" s="413" t="str">
        <f>IF(Item1.3LPP.OnHold46[[#This Row],[Pipe]]&lt;&gt;"",IF(COUNTIF(Item1.3LPP.OnHold4[Pipe],D89)&gt;0,"Sim","Não"),"")</f>
        <v>Sim</v>
      </c>
      <c r="I89" s="447"/>
      <c r="K89" s="440"/>
      <c r="L89" s="245"/>
      <c r="M89" s="245"/>
      <c r="N89" s="448"/>
      <c r="O89" s="448"/>
    </row>
    <row r="90" spans="1:15" s="318" customFormat="1">
      <c r="A90" s="223">
        <f>IF(Item1.3LPP.OnHold46[[#This Row],[Date]]&lt;&gt;"",WEEKNUM(Item1.3LPP.OnHold46[[#This Row],[Date]]),"")</f>
        <v>28</v>
      </c>
      <c r="B90" s="453">
        <v>46213</v>
      </c>
      <c r="C90" s="235">
        <v>3</v>
      </c>
      <c r="D90" s="585" t="s">
        <v>653</v>
      </c>
      <c r="E90" s="253" t="s">
        <v>570</v>
      </c>
      <c r="F90" s="413" t="s">
        <v>628</v>
      </c>
      <c r="G90" s="413">
        <f>IF(Item1.3LPP.OnHold46[[#This Row],[Pipe]]&lt;&gt;"",COUNTIF(Item1.3LPP.OnHold46[Pipe],D90),"")</f>
        <v>5</v>
      </c>
      <c r="H90" s="413" t="str">
        <f>IF(Item1.3LPP.OnHold46[[#This Row],[Pipe]]&lt;&gt;"",IF(COUNTIF(Item1.3LPP.OnHold4[Pipe],D90)&gt;0,"Sim","Não"),"")</f>
        <v>Não</v>
      </c>
      <c r="I90" s="447"/>
      <c r="K90" s="440"/>
      <c r="L90" s="245"/>
      <c r="M90" s="245"/>
      <c r="N90" s="448"/>
      <c r="O90" s="448"/>
    </row>
    <row r="91" spans="1:15" s="318" customFormat="1">
      <c r="A91" s="223">
        <f>IF(Item1.3LPP.OnHold46[[#This Row],[Date]]&lt;&gt;"",WEEKNUM(Item1.3LPP.OnHold46[[#This Row],[Date]]),"")</f>
        <v>29</v>
      </c>
      <c r="B91" s="453">
        <v>46216</v>
      </c>
      <c r="C91" s="224">
        <v>1</v>
      </c>
      <c r="D91" s="585" t="s">
        <v>662</v>
      </c>
      <c r="E91" s="253" t="s">
        <v>570</v>
      </c>
      <c r="F91" s="413" t="s">
        <v>628</v>
      </c>
      <c r="G91" s="413">
        <f>IF(Item1.3LPP.OnHold46[[#This Row],[Pipe]]&lt;&gt;"",COUNTIF(Item1.3LPP.OnHold46[Pipe],D91),"")</f>
        <v>1</v>
      </c>
      <c r="H91" s="413" t="str">
        <f>IF(Item1.3LPP.OnHold46[[#This Row],[Pipe]]&lt;&gt;"",IF(COUNTIF(Item1.3LPP.OnHold4[Pipe],D91)&gt;0,"Sim","Não"),"")</f>
        <v>Não</v>
      </c>
      <c r="I91" s="447"/>
      <c r="K91" s="440"/>
      <c r="L91" s="245"/>
      <c r="M91" s="245"/>
      <c r="N91" s="448"/>
      <c r="O91" s="448"/>
    </row>
    <row r="92" spans="1:15" s="318" customFormat="1">
      <c r="A92" s="223">
        <f>IF(Item1.3LPP.OnHold46[[#This Row],[Date]]&lt;&gt;"",WEEKNUM(Item1.3LPP.OnHold46[[#This Row],[Date]]),"")</f>
        <v>29</v>
      </c>
      <c r="B92" s="453">
        <v>46216</v>
      </c>
      <c r="C92" s="224">
        <v>1</v>
      </c>
      <c r="D92" s="585" t="s">
        <v>155</v>
      </c>
      <c r="E92" s="253" t="s">
        <v>570</v>
      </c>
      <c r="F92" s="413" t="s">
        <v>628</v>
      </c>
      <c r="G92" s="413">
        <f>IF(Item1.3LPP.OnHold46[[#This Row],[Pipe]]&lt;&gt;"",COUNTIF(Item1.3LPP.OnHold46[Pipe],D92),"")</f>
        <v>2</v>
      </c>
      <c r="H92" s="413" t="str">
        <f>IF(Item1.3LPP.OnHold46[[#This Row],[Pipe]]&lt;&gt;"",IF(COUNTIF(Item1.3LPP.OnHold4[Pipe],D92)&gt;0,"Sim","Não"),"")</f>
        <v>Sim</v>
      </c>
      <c r="I92" s="447"/>
      <c r="K92" s="440"/>
      <c r="L92" s="245"/>
      <c r="M92" s="245"/>
      <c r="N92" s="448"/>
      <c r="O92" s="448"/>
    </row>
    <row r="93" spans="1:15" s="318" customFormat="1">
      <c r="A93" s="223">
        <f>IF(Item1.3LPP.OnHold46[[#This Row],[Date]]&lt;&gt;"",WEEKNUM(Item1.3LPP.OnHold46[[#This Row],[Date]]),"")</f>
        <v>29</v>
      </c>
      <c r="B93" s="453">
        <v>46216</v>
      </c>
      <c r="C93" s="224">
        <v>1</v>
      </c>
      <c r="D93" s="585" t="s">
        <v>372</v>
      </c>
      <c r="E93" s="253" t="s">
        <v>627</v>
      </c>
      <c r="F93" s="413" t="s">
        <v>628</v>
      </c>
      <c r="G93" s="413">
        <f>IF(Item1.3LPP.OnHold46[[#This Row],[Pipe]]&lt;&gt;"",COUNTIF(Item1.3LPP.OnHold46[Pipe],D93),"")</f>
        <v>1</v>
      </c>
      <c r="H93" s="413" t="str">
        <f>IF(Item1.3LPP.OnHold46[[#This Row],[Pipe]]&lt;&gt;"",IF(COUNTIF(Item1.3LPP.OnHold4[Pipe],D93)&gt;0,"Sim","Não"),"")</f>
        <v>Não</v>
      </c>
      <c r="I93" s="445"/>
      <c r="K93" s="440"/>
      <c r="L93" s="245"/>
      <c r="M93" s="245"/>
      <c r="N93" s="448"/>
      <c r="O93" s="448"/>
    </row>
    <row r="94" spans="1:15" s="318" customFormat="1">
      <c r="A94" s="223">
        <f>IF(Item1.3LPP.OnHold46[[#This Row],[Date]]&lt;&gt;"",WEEKNUM(Item1.3LPP.OnHold46[[#This Row],[Date]]),"")</f>
        <v>29</v>
      </c>
      <c r="B94" s="453">
        <v>46216</v>
      </c>
      <c r="C94" s="224">
        <v>2</v>
      </c>
      <c r="D94" s="585" t="s">
        <v>585</v>
      </c>
      <c r="E94" s="253" t="s">
        <v>627</v>
      </c>
      <c r="F94" s="413" t="s">
        <v>628</v>
      </c>
      <c r="G94" s="413">
        <f>IF(Item1.3LPP.OnHold46[[#This Row],[Pipe]]&lt;&gt;"",COUNTIF(Item1.3LPP.OnHold46[Pipe],D94),"")</f>
        <v>1</v>
      </c>
      <c r="H94" s="413" t="str">
        <f>IF(Item1.3LPP.OnHold46[[#This Row],[Pipe]]&lt;&gt;"",IF(COUNTIF(Item1.3LPP.OnHold4[Pipe],D94)&gt;0,"Sim","Não"),"")</f>
        <v>Sim</v>
      </c>
      <c r="I94" s="447"/>
      <c r="K94" s="440"/>
      <c r="L94" s="245"/>
      <c r="M94" s="245"/>
      <c r="N94" s="448"/>
      <c r="O94" s="448"/>
    </row>
    <row r="95" spans="1:15" s="318" customFormat="1">
      <c r="A95" s="223">
        <f>IF(Item1.3LPP.OnHold46[[#This Row],[Date]]&lt;&gt;"",WEEKNUM(Item1.3LPP.OnHold46[[#This Row],[Date]]),"")</f>
        <v>29</v>
      </c>
      <c r="B95" s="453">
        <v>46216</v>
      </c>
      <c r="C95" s="224">
        <v>2</v>
      </c>
      <c r="D95" s="585" t="s">
        <v>663</v>
      </c>
      <c r="E95" s="253" t="s">
        <v>627</v>
      </c>
      <c r="F95" s="413" t="s">
        <v>628</v>
      </c>
      <c r="G95" s="413">
        <f>IF(Item1.3LPP.OnHold46[[#This Row],[Pipe]]&lt;&gt;"",COUNTIF(Item1.3LPP.OnHold46[Pipe],D95),"")</f>
        <v>1</v>
      </c>
      <c r="H95" s="413" t="str">
        <f>IF(Item1.3LPP.OnHold46[[#This Row],[Pipe]]&lt;&gt;"",IF(COUNTIF(Item1.3LPP.OnHold4[Pipe],D95)&gt;0,"Sim","Não"),"")</f>
        <v>Não</v>
      </c>
      <c r="I95" s="447"/>
      <c r="K95" s="440"/>
      <c r="L95" s="245"/>
      <c r="M95" s="245"/>
      <c r="N95" s="448"/>
      <c r="O95" s="448"/>
    </row>
    <row r="96" spans="1:15" s="318" customFormat="1">
      <c r="A96" s="223">
        <f>IF(Item1.3LPP.OnHold46[[#This Row],[Date]]&lt;&gt;"",WEEKNUM(Item1.3LPP.OnHold46[[#This Row],[Date]]),"")</f>
        <v>29</v>
      </c>
      <c r="B96" s="453">
        <v>46216</v>
      </c>
      <c r="C96" s="224">
        <v>2</v>
      </c>
      <c r="D96" s="585" t="s">
        <v>145</v>
      </c>
      <c r="E96" s="253" t="s">
        <v>627</v>
      </c>
      <c r="F96" s="413" t="s">
        <v>628</v>
      </c>
      <c r="G96" s="413">
        <f>IF(Item1.3LPP.OnHold46[[#This Row],[Pipe]]&lt;&gt;"",COUNTIF(Item1.3LPP.OnHold46[Pipe],D96),"")</f>
        <v>1</v>
      </c>
      <c r="H96" s="413" t="str">
        <f>IF(Item1.3LPP.OnHold46[[#This Row],[Pipe]]&lt;&gt;"",IF(COUNTIF(Item1.3LPP.OnHold4[Pipe],D96)&gt;0,"Sim","Não"),"")</f>
        <v>Sim</v>
      </c>
      <c r="I96" s="445"/>
      <c r="K96" s="440"/>
      <c r="L96" s="245"/>
      <c r="M96" s="245"/>
      <c r="N96" s="448"/>
      <c r="O96" s="448"/>
    </row>
    <row r="97" spans="1:15" s="318" customFormat="1">
      <c r="A97" s="223">
        <f>IF(Item1.3LPP.OnHold46[[#This Row],[Date]]&lt;&gt;"",WEEKNUM(Item1.3LPP.OnHold46[[#This Row],[Date]]),"")</f>
        <v>29</v>
      </c>
      <c r="B97" s="453">
        <v>46216</v>
      </c>
      <c r="C97" s="224">
        <v>2</v>
      </c>
      <c r="D97" s="585" t="s">
        <v>586</v>
      </c>
      <c r="E97" s="253" t="s">
        <v>627</v>
      </c>
      <c r="F97" s="413" t="s">
        <v>628</v>
      </c>
      <c r="G97" s="413">
        <f>IF(Item1.3LPP.OnHold46[[#This Row],[Pipe]]&lt;&gt;"",COUNTIF(Item1.3LPP.OnHold46[Pipe],D97),"")</f>
        <v>1</v>
      </c>
      <c r="H97" s="413" t="str">
        <f>IF(Item1.3LPP.OnHold46[[#This Row],[Pipe]]&lt;&gt;"",IF(COUNTIF(Item1.3LPP.OnHold4[Pipe],D97)&gt;0,"Sim","Não"),"")</f>
        <v>Sim</v>
      </c>
      <c r="I97" s="447"/>
      <c r="K97" s="440"/>
      <c r="L97" s="245"/>
      <c r="M97" s="245"/>
      <c r="N97" s="448"/>
      <c r="O97" s="448"/>
    </row>
    <row r="98" spans="1:15" s="318" customFormat="1">
      <c r="A98" s="223">
        <f>IF(Item1.3LPP.OnHold46[[#This Row],[Date]]&lt;&gt;"",WEEKNUM(Item1.3LPP.OnHold46[[#This Row],[Date]]),"")</f>
        <v>29</v>
      </c>
      <c r="B98" s="453">
        <v>46216</v>
      </c>
      <c r="C98" s="224">
        <v>2</v>
      </c>
      <c r="D98" s="585" t="s">
        <v>431</v>
      </c>
      <c r="E98" s="253" t="s">
        <v>627</v>
      </c>
      <c r="F98" s="413" t="s">
        <v>628</v>
      </c>
      <c r="G98" s="413">
        <f>IF(Item1.3LPP.OnHold46[[#This Row],[Pipe]]&lt;&gt;"",COUNTIF(Item1.3LPP.OnHold46[Pipe],D98),"")</f>
        <v>1</v>
      </c>
      <c r="H98" s="413" t="str">
        <f>IF(Item1.3LPP.OnHold46[[#This Row],[Pipe]]&lt;&gt;"",IF(COUNTIF(Item1.3LPP.OnHold4[Pipe],D98)&gt;0,"Sim","Não"),"")</f>
        <v>Sim</v>
      </c>
      <c r="I98" s="445"/>
      <c r="K98" s="440"/>
      <c r="L98" s="245"/>
      <c r="M98" s="245"/>
      <c r="N98" s="448"/>
      <c r="O98" s="448"/>
    </row>
    <row r="99" spans="1:15" s="318" customFormat="1">
      <c r="A99" s="223">
        <f>IF(Item1.3LPP.OnHold46[[#This Row],[Date]]&lt;&gt;"",WEEKNUM(Item1.3LPP.OnHold46[[#This Row],[Date]]),"")</f>
        <v>29</v>
      </c>
      <c r="B99" s="453">
        <v>46216</v>
      </c>
      <c r="C99" s="224">
        <v>3</v>
      </c>
      <c r="D99" s="585" t="s">
        <v>648</v>
      </c>
      <c r="E99" s="253" t="s">
        <v>570</v>
      </c>
      <c r="F99" s="413" t="s">
        <v>628</v>
      </c>
      <c r="G99" s="413">
        <f>IF(Item1.3LPP.OnHold46[[#This Row],[Pipe]]&lt;&gt;"",COUNTIF(Item1.3LPP.OnHold46[Pipe],D99),"")</f>
        <v>4</v>
      </c>
      <c r="H99" s="413" t="str">
        <f>IF(Item1.3LPP.OnHold46[[#This Row],[Pipe]]&lt;&gt;"",IF(COUNTIF(Item1.3LPP.OnHold4[Pipe],D99)&gt;0,"Sim","Não"),"")</f>
        <v>Não</v>
      </c>
      <c r="I99" s="447"/>
      <c r="K99" s="440"/>
      <c r="L99" s="245"/>
      <c r="M99" s="245"/>
      <c r="N99" s="448"/>
      <c r="O99" s="448"/>
    </row>
    <row r="100" spans="1:15" s="318" customFormat="1">
      <c r="A100" s="223">
        <f>IF(Item1.3LPP.OnHold46[[#This Row],[Date]]&lt;&gt;"",WEEKNUM(Item1.3LPP.OnHold46[[#This Row],[Date]]),"")</f>
        <v>29</v>
      </c>
      <c r="B100" s="453">
        <v>46216</v>
      </c>
      <c r="C100" s="224">
        <v>3</v>
      </c>
      <c r="D100" s="585" t="s">
        <v>664</v>
      </c>
      <c r="E100" s="253" t="s">
        <v>570</v>
      </c>
      <c r="F100" s="413" t="s">
        <v>628</v>
      </c>
      <c r="G100" s="413">
        <f>IF(Item1.3LPP.OnHold46[[#This Row],[Pipe]]&lt;&gt;"",COUNTIF(Item1.3LPP.OnHold46[Pipe],D100),"")</f>
        <v>1</v>
      </c>
      <c r="H100" s="413" t="str">
        <f>IF(Item1.3LPP.OnHold46[[#This Row],[Pipe]]&lt;&gt;"",IF(COUNTIF(Item1.3LPP.OnHold4[Pipe],D100)&gt;0,"Sim","Não"),"")</f>
        <v>Não</v>
      </c>
      <c r="I100" s="447"/>
      <c r="K100" s="440"/>
      <c r="L100" s="245"/>
      <c r="M100" s="245"/>
      <c r="N100" s="448"/>
      <c r="O100" s="448"/>
    </row>
    <row r="101" spans="1:15" s="318" customFormat="1">
      <c r="A101" s="223">
        <f>IF(Item1.3LPP.OnHold46[[#This Row],[Date]]&lt;&gt;"",WEEKNUM(Item1.3LPP.OnHold46[[#This Row],[Date]]),"")</f>
        <v>29</v>
      </c>
      <c r="B101" s="453">
        <v>46216</v>
      </c>
      <c r="C101" s="224">
        <v>3</v>
      </c>
      <c r="D101" s="585" t="s">
        <v>640</v>
      </c>
      <c r="E101" s="253" t="s">
        <v>570</v>
      </c>
      <c r="F101" s="413" t="s">
        <v>628</v>
      </c>
      <c r="G101" s="413">
        <f>IF(Item1.3LPP.OnHold46[[#This Row],[Pipe]]&lt;&gt;"",COUNTIF(Item1.3LPP.OnHold46[Pipe],D101),"")</f>
        <v>8</v>
      </c>
      <c r="H101" s="413" t="str">
        <f>IF(Item1.3LPP.OnHold46[[#This Row],[Pipe]]&lt;&gt;"",IF(COUNTIF(Item1.3LPP.OnHold4[Pipe],D101)&gt;0,"Sim","Não"),"")</f>
        <v>Não</v>
      </c>
      <c r="I101" s="447"/>
      <c r="K101" s="440"/>
      <c r="L101" s="245"/>
      <c r="M101" s="245"/>
      <c r="N101" s="448"/>
      <c r="O101" s="448"/>
    </row>
    <row r="102" spans="1:15" s="318" customFormat="1">
      <c r="A102" s="223">
        <f>IF(Item1.3LPP.OnHold46[[#This Row],[Date]]&lt;&gt;"",WEEKNUM(Item1.3LPP.OnHold46[[#This Row],[Date]]),"")</f>
        <v>29</v>
      </c>
      <c r="B102" s="453">
        <v>46216</v>
      </c>
      <c r="C102" s="224">
        <v>3</v>
      </c>
      <c r="D102" s="585" t="s">
        <v>653</v>
      </c>
      <c r="E102" s="253" t="s">
        <v>570</v>
      </c>
      <c r="F102" s="413" t="s">
        <v>628</v>
      </c>
      <c r="G102" s="413">
        <f>IF(Item1.3LPP.OnHold46[[#This Row],[Pipe]]&lt;&gt;"",COUNTIF(Item1.3LPP.OnHold46[Pipe],D102),"")</f>
        <v>5</v>
      </c>
      <c r="H102" s="413" t="str">
        <f>IF(Item1.3LPP.OnHold46[[#This Row],[Pipe]]&lt;&gt;"",IF(COUNTIF(Item1.3LPP.OnHold4[Pipe],D102)&gt;0,"Sim","Não"),"")</f>
        <v>Não</v>
      </c>
      <c r="I102" s="447"/>
      <c r="K102" s="440"/>
      <c r="L102" s="245"/>
      <c r="M102" s="245"/>
      <c r="N102" s="448"/>
      <c r="O102" s="448"/>
    </row>
    <row r="103" spans="1:15" s="318" customFormat="1">
      <c r="A103" s="223">
        <f>IF(Item1.3LPP.OnHold46[[#This Row],[Date]]&lt;&gt;"",WEEKNUM(Item1.3LPP.OnHold46[[#This Row],[Date]]),"")</f>
        <v>29</v>
      </c>
      <c r="B103" s="453">
        <v>46217</v>
      </c>
      <c r="C103" s="224">
        <v>1</v>
      </c>
      <c r="D103" s="585" t="s">
        <v>149</v>
      </c>
      <c r="E103" s="253" t="s">
        <v>627</v>
      </c>
      <c r="F103" s="413" t="s">
        <v>628</v>
      </c>
      <c r="G103" s="413">
        <f>IF(Item1.3LPP.OnHold46[[#This Row],[Pipe]]&lt;&gt;"",COUNTIF(Item1.3LPP.OnHold46[Pipe],D103),"")</f>
        <v>1</v>
      </c>
      <c r="H103" s="413" t="str">
        <f>IF(Item1.3LPP.OnHold46[[#This Row],[Pipe]]&lt;&gt;"",IF(COUNTIF(Item1.3LPP.OnHold4[Pipe],D103)&gt;0,"Sim","Não"),"")</f>
        <v>Sim</v>
      </c>
      <c r="I103" s="447"/>
      <c r="K103" s="440"/>
      <c r="L103" s="245"/>
      <c r="M103" s="245"/>
      <c r="N103" s="448"/>
      <c r="O103" s="448"/>
    </row>
    <row r="104" spans="1:15" s="318" customFormat="1">
      <c r="A104" s="223">
        <f>IF(Item1.3LPP.OnHold46[[#This Row],[Date]]&lt;&gt;"",WEEKNUM(Item1.3LPP.OnHold46[[#This Row],[Date]]),"")</f>
        <v>29</v>
      </c>
      <c r="B104" s="453">
        <v>46217</v>
      </c>
      <c r="C104" s="224">
        <v>1</v>
      </c>
      <c r="D104" s="585" t="s">
        <v>665</v>
      </c>
      <c r="E104" s="253" t="s">
        <v>627</v>
      </c>
      <c r="F104" s="413" t="s">
        <v>628</v>
      </c>
      <c r="G104" s="413">
        <f>IF(Item1.3LPP.OnHold46[[#This Row],[Pipe]]&lt;&gt;"",COUNTIF(Item1.3LPP.OnHold46[Pipe],D104),"")</f>
        <v>2</v>
      </c>
      <c r="H104" s="413" t="str">
        <f>IF(Item1.3LPP.OnHold46[[#This Row],[Pipe]]&lt;&gt;"",IF(COUNTIF(Item1.3LPP.OnHold4[Pipe],D104)&gt;0,"Sim","Não"),"")</f>
        <v>Não</v>
      </c>
      <c r="I104" s="447"/>
      <c r="K104" s="440"/>
      <c r="L104" s="245"/>
      <c r="M104" s="245"/>
      <c r="N104" s="448"/>
      <c r="O104" s="448"/>
    </row>
    <row r="105" spans="1:15" s="318" customFormat="1">
      <c r="A105" s="223">
        <f>IF(Item1.3LPP.OnHold46[[#This Row],[Date]]&lt;&gt;"",WEEKNUM(Item1.3LPP.OnHold46[[#This Row],[Date]]),"")</f>
        <v>29</v>
      </c>
      <c r="B105" s="453">
        <v>46217</v>
      </c>
      <c r="C105" s="224">
        <v>1</v>
      </c>
      <c r="D105" s="585" t="s">
        <v>587</v>
      </c>
      <c r="E105" s="253" t="s">
        <v>627</v>
      </c>
      <c r="F105" s="413" t="s">
        <v>628</v>
      </c>
      <c r="G105" s="413">
        <f>IF(Item1.3LPP.OnHold46[[#This Row],[Pipe]]&lt;&gt;"",COUNTIF(Item1.3LPP.OnHold46[Pipe],D105),"")</f>
        <v>1</v>
      </c>
      <c r="H105" s="413" t="str">
        <f>IF(Item1.3LPP.OnHold46[[#This Row],[Pipe]]&lt;&gt;"",IF(COUNTIF(Item1.3LPP.OnHold4[Pipe],D105)&gt;0,"Sim","Não"),"")</f>
        <v>Sim</v>
      </c>
      <c r="I105" s="447"/>
      <c r="K105" s="440"/>
      <c r="L105" s="245"/>
      <c r="M105" s="245"/>
      <c r="N105" s="448"/>
      <c r="O105" s="448"/>
    </row>
    <row r="106" spans="1:15" s="318" customFormat="1">
      <c r="A106" s="223">
        <f>IF(Item1.3LPP.OnHold46[[#This Row],[Date]]&lt;&gt;"",WEEKNUM(Item1.3LPP.OnHold46[[#This Row],[Date]]),"")</f>
        <v>29</v>
      </c>
      <c r="B106" s="453">
        <v>46217</v>
      </c>
      <c r="C106" s="224">
        <v>2</v>
      </c>
      <c r="D106" s="585" t="s">
        <v>127</v>
      </c>
      <c r="E106" s="253" t="s">
        <v>627</v>
      </c>
      <c r="F106" s="413" t="s">
        <v>628</v>
      </c>
      <c r="G106" s="413">
        <f>IF(Item1.3LPP.OnHold46[[#This Row],[Pipe]]&lt;&gt;"",COUNTIF(Item1.3LPP.OnHold46[Pipe],D106),"")</f>
        <v>1</v>
      </c>
      <c r="H106" s="413" t="str">
        <f>IF(Item1.3LPP.OnHold46[[#This Row],[Pipe]]&lt;&gt;"",IF(COUNTIF(Item1.3LPP.OnHold4[Pipe],D106)&gt;0,"Sim","Não"),"")</f>
        <v>Não</v>
      </c>
      <c r="I106" s="447"/>
      <c r="K106" s="440"/>
      <c r="L106" s="245"/>
      <c r="M106" s="245"/>
      <c r="N106" s="448"/>
      <c r="O106" s="448"/>
    </row>
    <row r="107" spans="1:15" s="318" customFormat="1">
      <c r="A107" s="223">
        <f>IF(Item1.3LPP.OnHold46[[#This Row],[Date]]&lt;&gt;"",WEEKNUM(Item1.3LPP.OnHold46[[#This Row],[Date]]),"")</f>
        <v>29</v>
      </c>
      <c r="B107" s="453">
        <v>46217</v>
      </c>
      <c r="C107" s="224">
        <v>2</v>
      </c>
      <c r="D107" s="585" t="s">
        <v>133</v>
      </c>
      <c r="E107" s="253" t="s">
        <v>627</v>
      </c>
      <c r="F107" s="413" t="s">
        <v>628</v>
      </c>
      <c r="G107" s="413">
        <f>IF(Item1.3LPP.OnHold46[[#This Row],[Pipe]]&lt;&gt;"",COUNTIF(Item1.3LPP.OnHold46[Pipe],D107),"")</f>
        <v>1</v>
      </c>
      <c r="H107" s="413" t="str">
        <f>IF(Item1.3LPP.OnHold46[[#This Row],[Pipe]]&lt;&gt;"",IF(COUNTIF(Item1.3LPP.OnHold4[Pipe],D107)&gt;0,"Sim","Não"),"")</f>
        <v>Sim</v>
      </c>
      <c r="I107" s="447"/>
      <c r="K107" s="440"/>
      <c r="L107" s="245"/>
      <c r="M107" s="245"/>
      <c r="N107" s="448"/>
      <c r="O107" s="448"/>
    </row>
    <row r="108" spans="1:15" s="318" customFormat="1">
      <c r="A108" s="223">
        <f>IF(Item1.3LPP.OnHold46[[#This Row],[Date]]&lt;&gt;"",WEEKNUM(Item1.3LPP.OnHold46[[#This Row],[Date]]),"")</f>
        <v>29</v>
      </c>
      <c r="B108" s="453">
        <v>46217</v>
      </c>
      <c r="C108" s="224">
        <v>2</v>
      </c>
      <c r="D108" s="585" t="s">
        <v>136</v>
      </c>
      <c r="E108" s="253" t="s">
        <v>627</v>
      </c>
      <c r="F108" s="413" t="s">
        <v>628</v>
      </c>
      <c r="G108" s="413">
        <f>IF(Item1.3LPP.OnHold46[[#This Row],[Pipe]]&lt;&gt;"",COUNTIF(Item1.3LPP.OnHold46[Pipe],D108),"")</f>
        <v>1</v>
      </c>
      <c r="H108" s="413" t="str">
        <f>IF(Item1.3LPP.OnHold46[[#This Row],[Pipe]]&lt;&gt;"",IF(COUNTIF(Item1.3LPP.OnHold4[Pipe],D108)&gt;0,"Sim","Não"),"")</f>
        <v>Não</v>
      </c>
      <c r="I108" s="447"/>
      <c r="K108" s="440"/>
      <c r="L108" s="245"/>
      <c r="M108" s="245"/>
      <c r="N108" s="448"/>
      <c r="O108" s="448"/>
    </row>
    <row r="109" spans="1:15" s="318" customFormat="1">
      <c r="A109" s="223">
        <f>IF(Item1.3LPP.OnHold46[[#This Row],[Date]]&lt;&gt;"",WEEKNUM(Item1.3LPP.OnHold46[[#This Row],[Date]]),"")</f>
        <v>29</v>
      </c>
      <c r="B109" s="453">
        <v>46217</v>
      </c>
      <c r="C109" s="224">
        <v>3</v>
      </c>
      <c r="D109" s="585" t="s">
        <v>666</v>
      </c>
      <c r="E109" s="253" t="s">
        <v>627</v>
      </c>
      <c r="F109" s="413" t="s">
        <v>628</v>
      </c>
      <c r="G109" s="413">
        <f>IF(Item1.3LPP.OnHold46[[#This Row],[Pipe]]&lt;&gt;"",COUNTIF(Item1.3LPP.OnHold46[Pipe],D109),"")</f>
        <v>1</v>
      </c>
      <c r="H109" s="413" t="str">
        <f>IF(Item1.3LPP.OnHold46[[#This Row],[Pipe]]&lt;&gt;"",IF(COUNTIF(Item1.3LPP.OnHold4[Pipe],D109)&gt;0,"Sim","Não"),"")</f>
        <v>Não</v>
      </c>
      <c r="I109" s="447"/>
      <c r="K109" s="440"/>
      <c r="L109" s="245"/>
      <c r="M109" s="245"/>
      <c r="N109" s="448"/>
      <c r="O109" s="448"/>
    </row>
    <row r="110" spans="1:15" s="318" customFormat="1">
      <c r="A110" s="223">
        <f>IF(Item1.3LPP.OnHold46[[#This Row],[Date]]&lt;&gt;"",WEEKNUM(Item1.3LPP.OnHold46[[#This Row],[Date]]),"")</f>
        <v>29</v>
      </c>
      <c r="B110" s="453">
        <v>46217</v>
      </c>
      <c r="C110" s="224">
        <v>3</v>
      </c>
      <c r="D110" s="585" t="s">
        <v>155</v>
      </c>
      <c r="E110" s="253" t="s">
        <v>627</v>
      </c>
      <c r="F110" s="413" t="s">
        <v>628</v>
      </c>
      <c r="G110" s="413">
        <f>IF(Item1.3LPP.OnHold46[[#This Row],[Pipe]]&lt;&gt;"",COUNTIF(Item1.3LPP.OnHold46[Pipe],D110),"")</f>
        <v>2</v>
      </c>
      <c r="H110" s="413" t="str">
        <f>IF(Item1.3LPP.OnHold46[[#This Row],[Pipe]]&lt;&gt;"",IF(COUNTIF(Item1.3LPP.OnHold4[Pipe],D110)&gt;0,"Sim","Não"),"")</f>
        <v>Sim</v>
      </c>
      <c r="I110" s="447"/>
      <c r="K110" s="440"/>
      <c r="L110" s="245"/>
      <c r="M110" s="245"/>
      <c r="N110" s="448"/>
      <c r="O110" s="448"/>
    </row>
    <row r="111" spans="1:15" s="318" customFormat="1">
      <c r="A111" s="223">
        <f>IF(Item1.3LPP.OnHold46[[#This Row],[Date]]&lt;&gt;"",WEEKNUM(Item1.3LPP.OnHold46[[#This Row],[Date]]),"")</f>
        <v>29</v>
      </c>
      <c r="B111" s="453">
        <v>46217</v>
      </c>
      <c r="C111" s="224">
        <v>3</v>
      </c>
      <c r="D111" s="585" t="s">
        <v>640</v>
      </c>
      <c r="E111" s="253" t="s">
        <v>627</v>
      </c>
      <c r="F111" s="413" t="s">
        <v>628</v>
      </c>
      <c r="G111" s="413">
        <f>IF(Item1.3LPP.OnHold46[[#This Row],[Pipe]]&lt;&gt;"",COUNTIF(Item1.3LPP.OnHold46[Pipe],D111),"")</f>
        <v>8</v>
      </c>
      <c r="H111" s="413" t="str">
        <f>IF(Item1.3LPP.OnHold46[[#This Row],[Pipe]]&lt;&gt;"",IF(COUNTIF(Item1.3LPP.OnHold4[Pipe],D111)&gt;0,"Sim","Não"),"")</f>
        <v>Não</v>
      </c>
      <c r="I111" s="447"/>
      <c r="K111" s="440"/>
      <c r="L111" s="245"/>
      <c r="M111" s="245"/>
      <c r="N111" s="448"/>
      <c r="O111" s="448"/>
    </row>
    <row r="112" spans="1:15" s="318" customFormat="1">
      <c r="A112" s="223">
        <f>IF(Item1.3LPP.OnHold46[[#This Row],[Date]]&lt;&gt;"",WEEKNUM(Item1.3LPP.OnHold46[[#This Row],[Date]]),"")</f>
        <v>29</v>
      </c>
      <c r="B112" s="453">
        <v>46218</v>
      </c>
      <c r="C112" s="224">
        <v>1</v>
      </c>
      <c r="D112" s="585" t="s">
        <v>626</v>
      </c>
      <c r="E112" s="253" t="s">
        <v>570</v>
      </c>
      <c r="F112" s="413" t="s">
        <v>628</v>
      </c>
      <c r="G112" s="413">
        <f>IF(Item1.3LPP.OnHold46[[#This Row],[Pipe]]&lt;&gt;"",COUNTIF(Item1.3LPP.OnHold46[Pipe],D112),"")</f>
        <v>7</v>
      </c>
      <c r="H112" s="413" t="str">
        <f>IF(Item1.3LPP.OnHold46[[#This Row],[Pipe]]&lt;&gt;"",IF(COUNTIF(Item1.3LPP.OnHold4[Pipe],D112)&gt;0,"Sim","Não"),"")</f>
        <v>Não</v>
      </c>
      <c r="I112" s="445"/>
      <c r="K112" s="440"/>
      <c r="L112" s="245"/>
      <c r="M112" s="245"/>
      <c r="N112" s="448"/>
      <c r="O112" s="448"/>
    </row>
    <row r="113" spans="1:15" s="318" customFormat="1">
      <c r="A113" s="223">
        <f>IF(Item1.3LPP.OnHold46[[#This Row],[Date]]&lt;&gt;"",WEEKNUM(Item1.3LPP.OnHold46[[#This Row],[Date]]),"")</f>
        <v>29</v>
      </c>
      <c r="B113" s="453">
        <v>46218</v>
      </c>
      <c r="C113" s="224">
        <v>1</v>
      </c>
      <c r="D113" s="585" t="s">
        <v>446</v>
      </c>
      <c r="E113" s="253" t="s">
        <v>627</v>
      </c>
      <c r="F113" s="413" t="s">
        <v>628</v>
      </c>
      <c r="G113" s="413">
        <f>IF(Item1.3LPP.OnHold46[[#This Row],[Pipe]]&lt;&gt;"",COUNTIF(Item1.3LPP.OnHold46[Pipe],D113),"")</f>
        <v>1</v>
      </c>
      <c r="H113" s="413" t="str">
        <f>IF(Item1.3LPP.OnHold46[[#This Row],[Pipe]]&lt;&gt;"",IF(COUNTIF(Item1.3LPP.OnHold4[Pipe],D113)&gt;0,"Sim","Não"),"")</f>
        <v>Não</v>
      </c>
      <c r="I113" s="447"/>
      <c r="K113" s="440"/>
      <c r="L113" s="245"/>
      <c r="M113" s="245"/>
      <c r="N113" s="448"/>
      <c r="O113" s="448"/>
    </row>
    <row r="114" spans="1:15" s="318" customFormat="1">
      <c r="A114" s="223">
        <f>IF(Item1.3LPP.OnHold46[[#This Row],[Date]]&lt;&gt;"",WEEKNUM(Item1.3LPP.OnHold46[[#This Row],[Date]]),"")</f>
        <v>29</v>
      </c>
      <c r="B114" s="453">
        <v>46218</v>
      </c>
      <c r="C114" s="224">
        <v>1</v>
      </c>
      <c r="D114" s="585" t="s">
        <v>593</v>
      </c>
      <c r="E114" s="253" t="s">
        <v>570</v>
      </c>
      <c r="F114" s="413" t="s">
        <v>628</v>
      </c>
      <c r="G114" s="413">
        <f>IF(Item1.3LPP.OnHold46[[#This Row],[Pipe]]&lt;&gt;"",COUNTIF(Item1.3LPP.OnHold46[Pipe],D114),"")</f>
        <v>1</v>
      </c>
      <c r="H114" s="413" t="str">
        <f>IF(Item1.3LPP.OnHold46[[#This Row],[Pipe]]&lt;&gt;"",IF(COUNTIF(Item1.3LPP.OnHold4[Pipe],D114)&gt;0,"Sim","Não"),"")</f>
        <v>Sim</v>
      </c>
      <c r="I114" s="447"/>
      <c r="K114" s="440"/>
      <c r="L114" s="245"/>
      <c r="M114" s="245"/>
      <c r="N114" s="448"/>
      <c r="O114" s="448"/>
    </row>
    <row r="115" spans="1:15" s="318" customFormat="1">
      <c r="A115" s="223">
        <f>IF(Item1.3LPP.OnHold46[[#This Row],[Date]]&lt;&gt;"",WEEKNUM(Item1.3LPP.OnHold46[[#This Row],[Date]]),"")</f>
        <v>29</v>
      </c>
      <c r="B115" s="453">
        <v>46218</v>
      </c>
      <c r="C115" s="224">
        <v>1</v>
      </c>
      <c r="D115" s="585" t="s">
        <v>667</v>
      </c>
      <c r="E115" s="253" t="s">
        <v>570</v>
      </c>
      <c r="F115" s="413" t="s">
        <v>628</v>
      </c>
      <c r="G115" s="413">
        <f>IF(Item1.3LPP.OnHold46[[#This Row],[Pipe]]&lt;&gt;"",COUNTIF(Item1.3LPP.OnHold46[Pipe],D115),"")</f>
        <v>1</v>
      </c>
      <c r="H115" s="413" t="str">
        <f>IF(Item1.3LPP.OnHold46[[#This Row],[Pipe]]&lt;&gt;"",IF(COUNTIF(Item1.3LPP.OnHold4[Pipe],D115)&gt;0,"Sim","Não"),"")</f>
        <v>Não</v>
      </c>
      <c r="I115" s="447"/>
      <c r="K115" s="440"/>
      <c r="L115" s="245"/>
      <c r="M115" s="245"/>
      <c r="N115" s="448"/>
      <c r="O115" s="448"/>
    </row>
    <row r="116" spans="1:15" s="318" customFormat="1">
      <c r="A116" s="223">
        <f>IF(Item1.3LPP.OnHold46[[#This Row],[Date]]&lt;&gt;"",WEEKNUM(Item1.3LPP.OnHold46[[#This Row],[Date]]),"")</f>
        <v>29</v>
      </c>
      <c r="B116" s="453">
        <v>46218</v>
      </c>
      <c r="C116" s="224">
        <v>1</v>
      </c>
      <c r="D116" s="585" t="s">
        <v>668</v>
      </c>
      <c r="E116" s="253" t="s">
        <v>570</v>
      </c>
      <c r="F116" s="413" t="s">
        <v>628</v>
      </c>
      <c r="G116" s="413">
        <f>IF(Item1.3LPP.OnHold46[[#This Row],[Pipe]]&lt;&gt;"",COUNTIF(Item1.3LPP.OnHold46[Pipe],D116),"")</f>
        <v>6</v>
      </c>
      <c r="H116" s="413" t="str">
        <f>IF(Item1.3LPP.OnHold46[[#This Row],[Pipe]]&lt;&gt;"",IF(COUNTIF(Item1.3LPP.OnHold4[Pipe],D116)&gt;0,"Sim","Não"),"")</f>
        <v>Não</v>
      </c>
      <c r="I116" s="447"/>
      <c r="K116" s="440"/>
      <c r="L116" s="245"/>
      <c r="M116" s="245"/>
      <c r="N116" s="448"/>
      <c r="O116" s="448"/>
    </row>
    <row r="117" spans="1:15" s="318" customFormat="1">
      <c r="A117" s="223">
        <f>IF(Item1.3LPP.OnHold46[[#This Row],[Date]]&lt;&gt;"",WEEKNUM(Item1.3LPP.OnHold46[[#This Row],[Date]]),"")</f>
        <v>29</v>
      </c>
      <c r="B117" s="453">
        <v>46218</v>
      </c>
      <c r="C117" s="224">
        <v>1</v>
      </c>
      <c r="D117" s="585" t="s">
        <v>594</v>
      </c>
      <c r="E117" s="253" t="s">
        <v>570</v>
      </c>
      <c r="F117" s="413" t="s">
        <v>628</v>
      </c>
      <c r="G117" s="413">
        <f>IF(Item1.3LPP.OnHold46[[#This Row],[Pipe]]&lt;&gt;"",COUNTIF(Item1.3LPP.OnHold46[Pipe],D117),"")</f>
        <v>1</v>
      </c>
      <c r="H117" s="413" t="str">
        <f>IF(Item1.3LPP.OnHold46[[#This Row],[Pipe]]&lt;&gt;"",IF(COUNTIF(Item1.3LPP.OnHold4[Pipe],D117)&gt;0,"Sim","Não"),"")</f>
        <v>Sim</v>
      </c>
      <c r="I117" s="447"/>
      <c r="K117" s="440"/>
      <c r="L117" s="245"/>
      <c r="M117" s="245"/>
      <c r="N117" s="448"/>
      <c r="O117" s="448"/>
    </row>
    <row r="118" spans="1:15" s="318" customFormat="1">
      <c r="A118" s="223">
        <f>IF(Item1.3LPP.OnHold46[[#This Row],[Date]]&lt;&gt;"",WEEKNUM(Item1.3LPP.OnHold46[[#This Row],[Date]]),"")</f>
        <v>29</v>
      </c>
      <c r="B118" s="453">
        <v>46218</v>
      </c>
      <c r="C118" s="224">
        <v>1</v>
      </c>
      <c r="D118" s="585" t="s">
        <v>669</v>
      </c>
      <c r="E118" s="253" t="s">
        <v>570</v>
      </c>
      <c r="F118" s="413" t="s">
        <v>628</v>
      </c>
      <c r="G118" s="413">
        <f>IF(Item1.3LPP.OnHold46[[#This Row],[Pipe]]&lt;&gt;"",COUNTIF(Item1.3LPP.OnHold46[Pipe],D118),"")</f>
        <v>1</v>
      </c>
      <c r="H118" s="413" t="str">
        <f>IF(Item1.3LPP.OnHold46[[#This Row],[Pipe]]&lt;&gt;"",IF(COUNTIF(Item1.3LPP.OnHold4[Pipe],D118)&gt;0,"Sim","Não"),"")</f>
        <v>Não</v>
      </c>
      <c r="I118" s="447"/>
      <c r="K118" s="440"/>
      <c r="L118" s="245"/>
      <c r="M118" s="245"/>
      <c r="N118" s="448"/>
      <c r="O118" s="448"/>
    </row>
    <row r="119" spans="1:15" s="318" customFormat="1">
      <c r="A119" s="223">
        <f>IF(Item1.3LPP.OnHold46[[#This Row],[Date]]&lt;&gt;"",WEEKNUM(Item1.3LPP.OnHold46[[#This Row],[Date]]),"")</f>
        <v>29</v>
      </c>
      <c r="B119" s="453">
        <v>46218</v>
      </c>
      <c r="C119" s="224">
        <v>1</v>
      </c>
      <c r="D119" s="585" t="s">
        <v>670</v>
      </c>
      <c r="E119" s="253" t="s">
        <v>570</v>
      </c>
      <c r="F119" s="413" t="s">
        <v>628</v>
      </c>
      <c r="G119" s="413">
        <f>IF(Item1.3LPP.OnHold46[[#This Row],[Pipe]]&lt;&gt;"",COUNTIF(Item1.3LPP.OnHold46[Pipe],D119),"")</f>
        <v>1</v>
      </c>
      <c r="H119" s="413" t="str">
        <f>IF(Item1.3LPP.OnHold46[[#This Row],[Pipe]]&lt;&gt;"",IF(COUNTIF(Item1.3LPP.OnHold4[Pipe],D119)&gt;0,"Sim","Não"),"")</f>
        <v>Não</v>
      </c>
      <c r="I119" s="447"/>
      <c r="K119" s="440"/>
      <c r="L119" s="245"/>
      <c r="M119" s="245"/>
      <c r="N119" s="448"/>
      <c r="O119" s="448"/>
    </row>
    <row r="120" spans="1:15" s="318" customFormat="1">
      <c r="A120" s="223">
        <f>IF(Item1.3LPP.OnHold46[[#This Row],[Date]]&lt;&gt;"",WEEKNUM(Item1.3LPP.OnHold46[[#This Row],[Date]]),"")</f>
        <v>29</v>
      </c>
      <c r="B120" s="453">
        <v>46218</v>
      </c>
      <c r="C120" s="224">
        <v>1</v>
      </c>
      <c r="D120" s="585" t="s">
        <v>671</v>
      </c>
      <c r="E120" s="253" t="s">
        <v>570</v>
      </c>
      <c r="F120" s="413" t="s">
        <v>628</v>
      </c>
      <c r="G120" s="413">
        <f>IF(Item1.3LPP.OnHold46[[#This Row],[Pipe]]&lt;&gt;"",COUNTIF(Item1.3LPP.OnHold46[Pipe],D120),"")</f>
        <v>1</v>
      </c>
      <c r="H120" s="413" t="str">
        <f>IF(Item1.3LPP.OnHold46[[#This Row],[Pipe]]&lt;&gt;"",IF(COUNTIF(Item1.3LPP.OnHold4[Pipe],D120)&gt;0,"Sim","Não"),"")</f>
        <v>Não</v>
      </c>
      <c r="I120" s="447"/>
      <c r="K120" s="440"/>
      <c r="L120" s="245"/>
      <c r="M120" s="245"/>
      <c r="N120" s="448"/>
      <c r="O120" s="448"/>
    </row>
    <row r="121" spans="1:15" s="318" customFormat="1">
      <c r="A121" s="223">
        <f>IF(Item1.3LPP.OnHold46[[#This Row],[Date]]&lt;&gt;"",WEEKNUM(Item1.3LPP.OnHold46[[#This Row],[Date]]),"")</f>
        <v>29</v>
      </c>
      <c r="B121" s="453">
        <v>46218</v>
      </c>
      <c r="C121" s="224">
        <v>2</v>
      </c>
      <c r="D121" s="585" t="s">
        <v>672</v>
      </c>
      <c r="E121" s="253" t="s">
        <v>570</v>
      </c>
      <c r="F121" s="413" t="s">
        <v>628</v>
      </c>
      <c r="G121" s="413">
        <f>IF(Item1.3LPP.OnHold46[[#This Row],[Pipe]]&lt;&gt;"",COUNTIF(Item1.3LPP.OnHold46[Pipe],D121),"")</f>
        <v>1</v>
      </c>
      <c r="H121" s="413" t="str">
        <f>IF(Item1.3LPP.OnHold46[[#This Row],[Pipe]]&lt;&gt;"",IF(COUNTIF(Item1.3LPP.OnHold4[Pipe],D121)&gt;0,"Sim","Não"),"")</f>
        <v>Não</v>
      </c>
      <c r="I121" s="447"/>
      <c r="K121" s="440"/>
      <c r="L121" s="245"/>
      <c r="M121" s="245"/>
      <c r="N121" s="448"/>
      <c r="O121" s="448"/>
    </row>
    <row r="122" spans="1:15" s="318" customFormat="1">
      <c r="A122" s="223">
        <f>IF(Item1.3LPP.OnHold46[[#This Row],[Date]]&lt;&gt;"",WEEKNUM(Item1.3LPP.OnHold46[[#This Row],[Date]]),"")</f>
        <v>29</v>
      </c>
      <c r="B122" s="453">
        <v>46218</v>
      </c>
      <c r="C122" s="224">
        <v>2</v>
      </c>
      <c r="D122" s="585" t="s">
        <v>673</v>
      </c>
      <c r="E122" s="253" t="s">
        <v>570</v>
      </c>
      <c r="F122" s="413" t="s">
        <v>628</v>
      </c>
      <c r="G122" s="413">
        <f>IF(Item1.3LPP.OnHold46[[#This Row],[Pipe]]&lt;&gt;"",COUNTIF(Item1.3LPP.OnHold46[Pipe],D122),"")</f>
        <v>1</v>
      </c>
      <c r="H122" s="413" t="str">
        <f>IF(Item1.3LPP.OnHold46[[#This Row],[Pipe]]&lt;&gt;"",IF(COUNTIF(Item1.3LPP.OnHold4[Pipe],D122)&gt;0,"Sim","Não"),"")</f>
        <v>Não</v>
      </c>
      <c r="I122" s="447"/>
      <c r="K122" s="440"/>
      <c r="L122" s="245"/>
      <c r="M122" s="245"/>
      <c r="N122" s="448"/>
      <c r="O122" s="448"/>
    </row>
    <row r="123" spans="1:15" s="318" customFormat="1">
      <c r="A123" s="223">
        <f>IF(Item1.3LPP.OnHold46[[#This Row],[Date]]&lt;&gt;"",WEEKNUM(Item1.3LPP.OnHold46[[#This Row],[Date]]),"")</f>
        <v>29</v>
      </c>
      <c r="B123" s="453">
        <v>46218</v>
      </c>
      <c r="C123" s="224">
        <v>2</v>
      </c>
      <c r="D123" s="585" t="s">
        <v>642</v>
      </c>
      <c r="E123" s="253" t="s">
        <v>570</v>
      </c>
      <c r="F123" s="413" t="s">
        <v>628</v>
      </c>
      <c r="G123" s="413">
        <f>IF(Item1.3LPP.OnHold46[[#This Row],[Pipe]]&lt;&gt;"",COUNTIF(Item1.3LPP.OnHold46[Pipe],D123),"")</f>
        <v>5</v>
      </c>
      <c r="H123" s="413" t="str">
        <f>IF(Item1.3LPP.OnHold46[[#This Row],[Pipe]]&lt;&gt;"",IF(COUNTIF(Item1.3LPP.OnHold4[Pipe],D123)&gt;0,"Sim","Não"),"")</f>
        <v>Não</v>
      </c>
      <c r="I123" s="447"/>
      <c r="K123" s="440"/>
      <c r="L123" s="245"/>
      <c r="M123" s="245"/>
      <c r="N123" s="448"/>
      <c r="O123" s="448"/>
    </row>
    <row r="124" spans="1:15" s="318" customFormat="1">
      <c r="A124" s="223">
        <f>IF(Item1.3LPP.OnHold46[[#This Row],[Date]]&lt;&gt;"",WEEKNUM(Item1.3LPP.OnHold46[[#This Row],[Date]]),"")</f>
        <v>29</v>
      </c>
      <c r="B124" s="453">
        <v>46218</v>
      </c>
      <c r="C124" s="224">
        <v>2</v>
      </c>
      <c r="D124" s="585" t="s">
        <v>577</v>
      </c>
      <c r="E124" s="253" t="s">
        <v>570</v>
      </c>
      <c r="F124" s="413" t="s">
        <v>628</v>
      </c>
      <c r="G124" s="413">
        <f>IF(Item1.3LPP.OnHold46[[#This Row],[Pipe]]&lt;&gt;"",COUNTIF(Item1.3LPP.OnHold46[Pipe],D124),"")</f>
        <v>1</v>
      </c>
      <c r="H124" s="413" t="str">
        <f>IF(Item1.3LPP.OnHold46[[#This Row],[Pipe]]&lt;&gt;"",IF(COUNTIF(Item1.3LPP.OnHold4[Pipe],D124)&gt;0,"Sim","Não"),"")</f>
        <v>Sim</v>
      </c>
      <c r="I124" s="447"/>
      <c r="K124" s="440"/>
      <c r="L124" s="245"/>
      <c r="M124" s="245"/>
      <c r="N124" s="448"/>
      <c r="O124" s="448"/>
    </row>
    <row r="125" spans="1:15" s="318" customFormat="1">
      <c r="A125" s="223">
        <f>IF(Item1.3LPP.OnHold46[[#This Row],[Date]]&lt;&gt;"",WEEKNUM(Item1.3LPP.OnHold46[[#This Row],[Date]]),"")</f>
        <v>29</v>
      </c>
      <c r="B125" s="453">
        <v>46218</v>
      </c>
      <c r="C125" s="224">
        <v>2</v>
      </c>
      <c r="D125" s="585" t="s">
        <v>580</v>
      </c>
      <c r="E125" s="253" t="s">
        <v>570</v>
      </c>
      <c r="F125" s="413" t="s">
        <v>628</v>
      </c>
      <c r="G125" s="413">
        <f>IF(Item1.3LPP.OnHold46[[#This Row],[Pipe]]&lt;&gt;"",COUNTIF(Item1.3LPP.OnHold46[Pipe],D125),"")</f>
        <v>1</v>
      </c>
      <c r="H125" s="413" t="str">
        <f>IF(Item1.3LPP.OnHold46[[#This Row],[Pipe]]&lt;&gt;"",IF(COUNTIF(Item1.3LPP.OnHold4[Pipe],D125)&gt;0,"Sim","Não"),"")</f>
        <v>Sim</v>
      </c>
      <c r="I125" s="447"/>
      <c r="K125" s="440"/>
      <c r="L125" s="245"/>
      <c r="M125" s="245"/>
      <c r="N125" s="448"/>
      <c r="O125" s="448"/>
    </row>
    <row r="126" spans="1:15" s="318" customFormat="1">
      <c r="A126" s="223">
        <f>IF(Item1.3LPP.OnHold46[[#This Row],[Date]]&lt;&gt;"",WEEKNUM(Item1.3LPP.OnHold46[[#This Row],[Date]]),"")</f>
        <v>29</v>
      </c>
      <c r="B126" s="453">
        <v>46218</v>
      </c>
      <c r="C126" s="224">
        <v>2</v>
      </c>
      <c r="D126" s="585" t="s">
        <v>674</v>
      </c>
      <c r="E126" s="253" t="s">
        <v>570</v>
      </c>
      <c r="F126" s="413" t="s">
        <v>628</v>
      </c>
      <c r="G126" s="413">
        <f>IF(Item1.3LPP.OnHold46[[#This Row],[Pipe]]&lt;&gt;"",COUNTIF(Item1.3LPP.OnHold46[Pipe],D126),"")</f>
        <v>1</v>
      </c>
      <c r="H126" s="413" t="str">
        <f>IF(Item1.3LPP.OnHold46[[#This Row],[Pipe]]&lt;&gt;"",IF(COUNTIF(Item1.3LPP.OnHold4[Pipe],D126)&gt;0,"Sim","Não"),"")</f>
        <v>Não</v>
      </c>
      <c r="I126" s="447"/>
      <c r="K126" s="440"/>
      <c r="L126" s="245"/>
      <c r="M126" s="245"/>
      <c r="N126" s="448"/>
      <c r="O126" s="448"/>
    </row>
    <row r="127" spans="1:15" s="318" customFormat="1">
      <c r="A127" s="223">
        <f>IF(Item1.3LPP.OnHold46[[#This Row],[Date]]&lt;&gt;"",WEEKNUM(Item1.3LPP.OnHold46[[#This Row],[Date]]),"")</f>
        <v>29</v>
      </c>
      <c r="B127" s="453">
        <v>46218</v>
      </c>
      <c r="C127" s="224">
        <v>2</v>
      </c>
      <c r="D127" s="585" t="s">
        <v>675</v>
      </c>
      <c r="E127" s="253" t="s">
        <v>570</v>
      </c>
      <c r="F127" s="413" t="s">
        <v>628</v>
      </c>
      <c r="G127" s="413">
        <f>IF(Item1.3LPP.OnHold46[[#This Row],[Pipe]]&lt;&gt;"",COUNTIF(Item1.3LPP.OnHold46[Pipe],D127),"")</f>
        <v>1</v>
      </c>
      <c r="H127" s="413" t="str">
        <f>IF(Item1.3LPP.OnHold46[[#This Row],[Pipe]]&lt;&gt;"",IF(COUNTIF(Item1.3LPP.OnHold4[Pipe],D127)&gt;0,"Sim","Não"),"")</f>
        <v>Não</v>
      </c>
      <c r="I127" s="445"/>
      <c r="K127" s="440"/>
      <c r="L127" s="245"/>
      <c r="M127" s="245"/>
      <c r="N127" s="448"/>
      <c r="O127" s="448"/>
    </row>
    <row r="128" spans="1:15" s="318" customFormat="1">
      <c r="A128" s="223">
        <f>IF(Item1.3LPP.OnHold46[[#This Row],[Date]]&lt;&gt;"",WEEKNUM(Item1.3LPP.OnHold46[[#This Row],[Date]]),"")</f>
        <v>29</v>
      </c>
      <c r="B128" s="453">
        <v>46218</v>
      </c>
      <c r="C128" s="224">
        <v>3</v>
      </c>
      <c r="D128" s="585" t="s">
        <v>649</v>
      </c>
      <c r="E128" s="253" t="s">
        <v>570</v>
      </c>
      <c r="F128" s="413" t="s">
        <v>628</v>
      </c>
      <c r="G128" s="413">
        <f>IF(Item1.3LPP.OnHold46[[#This Row],[Pipe]]&lt;&gt;"",COUNTIF(Item1.3LPP.OnHold46[Pipe],D128),"")</f>
        <v>3</v>
      </c>
      <c r="H128" s="413" t="str">
        <f>IF(Item1.3LPP.OnHold46[[#This Row],[Pipe]]&lt;&gt;"",IF(COUNTIF(Item1.3LPP.OnHold4[Pipe],D128)&gt;0,"Sim","Não"),"")</f>
        <v>Não</v>
      </c>
      <c r="I128" s="447"/>
      <c r="K128" s="440"/>
      <c r="L128" s="245"/>
      <c r="M128" s="245"/>
      <c r="N128" s="448"/>
      <c r="O128" s="448"/>
    </row>
    <row r="129" spans="1:15" s="318" customFormat="1">
      <c r="A129" s="223">
        <f>IF(Item1.3LPP.OnHold46[[#This Row],[Date]]&lt;&gt;"",WEEKNUM(Item1.3LPP.OnHold46[[#This Row],[Date]]),"")</f>
        <v>29</v>
      </c>
      <c r="B129" s="453">
        <v>46218</v>
      </c>
      <c r="C129" s="224">
        <v>3</v>
      </c>
      <c r="D129" s="585" t="s">
        <v>305</v>
      </c>
      <c r="E129" s="253" t="s">
        <v>570</v>
      </c>
      <c r="F129" s="413" t="s">
        <v>628</v>
      </c>
      <c r="G129" s="413">
        <f>IF(Item1.3LPP.OnHold46[[#This Row],[Pipe]]&lt;&gt;"",COUNTIF(Item1.3LPP.OnHold46[Pipe],D129),"")</f>
        <v>2</v>
      </c>
      <c r="H129" s="413" t="str">
        <f>IF(Item1.3LPP.OnHold46[[#This Row],[Pipe]]&lt;&gt;"",IF(COUNTIF(Item1.3LPP.OnHold4[Pipe],D129)&gt;0,"Sim","Não"),"")</f>
        <v>Não</v>
      </c>
      <c r="I129" s="447"/>
      <c r="K129" s="440"/>
      <c r="L129" s="245"/>
      <c r="M129" s="245"/>
      <c r="N129" s="448"/>
      <c r="O129" s="448"/>
    </row>
    <row r="130" spans="1:15" s="318" customFormat="1">
      <c r="A130" s="223">
        <f>IF(Item1.3LPP.OnHold46[[#This Row],[Date]]&lt;&gt;"",WEEKNUM(Item1.3LPP.OnHold46[[#This Row],[Date]]),"")</f>
        <v>29</v>
      </c>
      <c r="B130" s="453">
        <v>46218</v>
      </c>
      <c r="C130" s="224">
        <v>3</v>
      </c>
      <c r="D130" s="585" t="s">
        <v>626</v>
      </c>
      <c r="E130" s="253" t="s">
        <v>570</v>
      </c>
      <c r="F130" s="413" t="s">
        <v>628</v>
      </c>
      <c r="G130" s="413">
        <f>IF(Item1.3LPP.OnHold46[[#This Row],[Pipe]]&lt;&gt;"",COUNTIF(Item1.3LPP.OnHold46[Pipe],D130),"")</f>
        <v>7</v>
      </c>
      <c r="H130" s="413" t="str">
        <f>IF(Item1.3LPP.OnHold46[[#This Row],[Pipe]]&lt;&gt;"",IF(COUNTIF(Item1.3LPP.OnHold4[Pipe],D130)&gt;0,"Sim","Não"),"")</f>
        <v>Não</v>
      </c>
      <c r="I130" s="445"/>
      <c r="K130" s="440"/>
      <c r="L130" s="245"/>
      <c r="M130" s="245"/>
      <c r="N130" s="448"/>
      <c r="O130" s="448"/>
    </row>
    <row r="131" spans="1:15" s="318" customFormat="1">
      <c r="A131" s="223">
        <f>IF(Item1.3LPP.OnHold46[[#This Row],[Date]]&lt;&gt;"",WEEKNUM(Item1.3LPP.OnHold46[[#This Row],[Date]]),"")</f>
        <v>29</v>
      </c>
      <c r="B131" s="453">
        <v>46218</v>
      </c>
      <c r="C131" s="224">
        <v>3</v>
      </c>
      <c r="D131" s="585" t="s">
        <v>676</v>
      </c>
      <c r="E131" s="253" t="s">
        <v>570</v>
      </c>
      <c r="F131" s="413" t="s">
        <v>628</v>
      </c>
      <c r="G131" s="413">
        <f>IF(Item1.3LPP.OnHold46[[#This Row],[Pipe]]&lt;&gt;"",COUNTIF(Item1.3LPP.OnHold46[Pipe],D131),"")</f>
        <v>1</v>
      </c>
      <c r="H131" s="413" t="str">
        <f>IF(Item1.3LPP.OnHold46[[#This Row],[Pipe]]&lt;&gt;"",IF(COUNTIF(Item1.3LPP.OnHold4[Pipe],D131)&gt;0,"Sim","Não"),"")</f>
        <v>Não</v>
      </c>
      <c r="I131" s="447"/>
      <c r="K131" s="440"/>
      <c r="L131" s="245"/>
      <c r="M131" s="245"/>
      <c r="N131" s="448"/>
      <c r="O131" s="448"/>
    </row>
    <row r="132" spans="1:15" s="318" customFormat="1">
      <c r="A132" s="223">
        <f>IF(Item1.3LPP.OnHold46[[#This Row],[Date]]&lt;&gt;"",WEEKNUM(Item1.3LPP.OnHold46[[#This Row],[Date]]),"")</f>
        <v>29</v>
      </c>
      <c r="B132" s="453">
        <v>46218</v>
      </c>
      <c r="C132" s="224">
        <v>3</v>
      </c>
      <c r="D132" s="585" t="s">
        <v>599</v>
      </c>
      <c r="E132" s="253" t="s">
        <v>570</v>
      </c>
      <c r="F132" s="413" t="s">
        <v>628</v>
      </c>
      <c r="G132" s="413">
        <f>IF(Item1.3LPP.OnHold46[[#This Row],[Pipe]]&lt;&gt;"",COUNTIF(Item1.3LPP.OnHold46[Pipe],D132),"")</f>
        <v>2</v>
      </c>
      <c r="H132" s="413" t="str">
        <f>IF(Item1.3LPP.OnHold46[[#This Row],[Pipe]]&lt;&gt;"",IF(COUNTIF(Item1.3LPP.OnHold4[Pipe],D132)&gt;0,"Sim","Não"),"")</f>
        <v>Sim</v>
      </c>
      <c r="I132" s="447"/>
      <c r="K132" s="440"/>
      <c r="L132" s="245"/>
      <c r="M132" s="245"/>
      <c r="N132" s="448"/>
      <c r="O132" s="448"/>
    </row>
    <row r="133" spans="1:15" s="318" customFormat="1">
      <c r="A133" s="223">
        <f>IF(Item1.3LPP.OnHold46[[#This Row],[Date]]&lt;&gt;"",WEEKNUM(Item1.3LPP.OnHold46[[#This Row],[Date]]),"")</f>
        <v>29</v>
      </c>
      <c r="B133" s="453">
        <v>46218</v>
      </c>
      <c r="C133" s="224">
        <v>3</v>
      </c>
      <c r="D133" s="585" t="s">
        <v>677</v>
      </c>
      <c r="E133" s="253" t="s">
        <v>570</v>
      </c>
      <c r="F133" s="413" t="s">
        <v>628</v>
      </c>
      <c r="G133" s="413">
        <f>IF(Item1.3LPP.OnHold46[[#This Row],[Pipe]]&lt;&gt;"",COUNTIF(Item1.3LPP.OnHold46[Pipe],D133),"")</f>
        <v>1</v>
      </c>
      <c r="H133" s="413" t="str">
        <f>IF(Item1.3LPP.OnHold46[[#This Row],[Pipe]]&lt;&gt;"",IF(COUNTIF(Item1.3LPP.OnHold4[Pipe],D133)&gt;0,"Sim","Não"),"")</f>
        <v>Não</v>
      </c>
      <c r="I133" s="447"/>
      <c r="K133" s="440"/>
      <c r="L133" s="245"/>
      <c r="M133" s="245"/>
      <c r="N133" s="448"/>
      <c r="O133" s="448"/>
    </row>
    <row r="134" spans="1:15" s="318" customFormat="1">
      <c r="A134" s="223">
        <f>IF(Item1.3LPP.OnHold46[[#This Row],[Date]]&lt;&gt;"",WEEKNUM(Item1.3LPP.OnHold46[[#This Row],[Date]]),"")</f>
        <v>29</v>
      </c>
      <c r="B134" s="453">
        <v>46218</v>
      </c>
      <c r="C134" s="224">
        <v>3</v>
      </c>
      <c r="D134" s="585" t="s">
        <v>398</v>
      </c>
      <c r="E134" s="253" t="s">
        <v>570</v>
      </c>
      <c r="F134" s="413" t="s">
        <v>628</v>
      </c>
      <c r="G134" s="413">
        <f>IF(Item1.3LPP.OnHold46[[#This Row],[Pipe]]&lt;&gt;"",COUNTIF(Item1.3LPP.OnHold46[Pipe],D134),"")</f>
        <v>1</v>
      </c>
      <c r="H134" s="413" t="str">
        <f>IF(Item1.3LPP.OnHold46[[#This Row],[Pipe]]&lt;&gt;"",IF(COUNTIF(Item1.3LPP.OnHold4[Pipe],D134)&gt;0,"Sim","Não"),"")</f>
        <v>Sim</v>
      </c>
      <c r="I134" s="447"/>
      <c r="K134" s="440"/>
      <c r="L134" s="245"/>
      <c r="M134" s="245"/>
      <c r="N134" s="448"/>
      <c r="O134" s="448"/>
    </row>
    <row r="135" spans="1:15" s="318" customFormat="1">
      <c r="A135" s="223">
        <f>IF(Item1.3LPP.OnHold46[[#This Row],[Date]]&lt;&gt;"",WEEKNUM(Item1.3LPP.OnHold46[[#This Row],[Date]]),"")</f>
        <v>29</v>
      </c>
      <c r="B135" s="453">
        <v>46219</v>
      </c>
      <c r="C135" s="271">
        <v>2</v>
      </c>
      <c r="D135" s="585" t="s">
        <v>118</v>
      </c>
      <c r="E135" s="253" t="s">
        <v>627</v>
      </c>
      <c r="F135" s="413" t="s">
        <v>628</v>
      </c>
      <c r="G135" s="413">
        <f>IF(Item1.3LPP.OnHold46[[#This Row],[Pipe]]&lt;&gt;"",COUNTIF(Item1.3LPP.OnHold46[Pipe],D135),"")</f>
        <v>1</v>
      </c>
      <c r="H135" s="413" t="str">
        <f>IF(Item1.3LPP.OnHold46[[#This Row],[Pipe]]&lt;&gt;"",IF(COUNTIF(Item1.3LPP.OnHold4[Pipe],D135)&gt;0,"Sim","Não"),"")</f>
        <v>Não</v>
      </c>
      <c r="I135" s="447"/>
      <c r="K135" s="440"/>
      <c r="L135" s="245"/>
      <c r="M135" s="245"/>
      <c r="N135" s="448"/>
      <c r="O135" s="448"/>
    </row>
    <row r="136" spans="1:15" s="318" customFormat="1">
      <c r="A136" s="223">
        <f>IF(Item1.3LPP.OnHold46[[#This Row],[Date]]&lt;&gt;"",WEEKNUM(Item1.3LPP.OnHold46[[#This Row],[Date]]),"")</f>
        <v>29</v>
      </c>
      <c r="B136" s="453">
        <v>46219</v>
      </c>
      <c r="C136" s="271">
        <v>2</v>
      </c>
      <c r="D136" s="585" t="s">
        <v>678</v>
      </c>
      <c r="E136" s="253" t="s">
        <v>570</v>
      </c>
      <c r="F136" s="413" t="s">
        <v>628</v>
      </c>
      <c r="G136" s="413">
        <f>IF(Item1.3LPP.OnHold46[[#This Row],[Pipe]]&lt;&gt;"",COUNTIF(Item1.3LPP.OnHold46[Pipe],D136),"")</f>
        <v>1</v>
      </c>
      <c r="H136" s="413" t="str">
        <f>IF(Item1.3LPP.OnHold46[[#This Row],[Pipe]]&lt;&gt;"",IF(COUNTIF(Item1.3LPP.OnHold4[Pipe],D136)&gt;0,"Sim","Não"),"")</f>
        <v>Não</v>
      </c>
      <c r="I136" s="447"/>
      <c r="K136" s="440"/>
      <c r="L136" s="245"/>
      <c r="M136" s="245"/>
      <c r="N136" s="448"/>
      <c r="O136" s="448"/>
    </row>
    <row r="137" spans="1:15" s="318" customFormat="1">
      <c r="A137" s="223">
        <f>IF(Item1.3LPP.OnHold46[[#This Row],[Date]]&lt;&gt;"",WEEKNUM(Item1.3LPP.OnHold46[[#This Row],[Date]]),"")</f>
        <v>29</v>
      </c>
      <c r="B137" s="453">
        <v>46219</v>
      </c>
      <c r="C137" s="271">
        <v>2</v>
      </c>
      <c r="D137" s="585" t="s">
        <v>679</v>
      </c>
      <c r="E137" s="253" t="s">
        <v>570</v>
      </c>
      <c r="F137" s="413" t="s">
        <v>628</v>
      </c>
      <c r="G137" s="413">
        <f>IF(Item1.3LPP.OnHold46[[#This Row],[Pipe]]&lt;&gt;"",COUNTIF(Item1.3LPP.OnHold46[Pipe],D137),"")</f>
        <v>3</v>
      </c>
      <c r="H137" s="413" t="str">
        <f>IF(Item1.3LPP.OnHold46[[#This Row],[Pipe]]&lt;&gt;"",IF(COUNTIF(Item1.3LPP.OnHold4[Pipe],D137)&gt;0,"Sim","Não"),"")</f>
        <v>Não</v>
      </c>
      <c r="I137" s="445"/>
      <c r="K137" s="440"/>
      <c r="L137" s="245"/>
      <c r="M137" s="245"/>
      <c r="N137" s="448"/>
      <c r="O137" s="448"/>
    </row>
    <row r="138" spans="1:15" s="318" customFormat="1">
      <c r="A138" s="223">
        <f>IF(Item1.3LPP.OnHold46[[#This Row],[Date]]&lt;&gt;"",WEEKNUM(Item1.3LPP.OnHold46[[#This Row],[Date]]),"")</f>
        <v>29</v>
      </c>
      <c r="B138" s="453">
        <v>46220</v>
      </c>
      <c r="C138" s="224">
        <v>1</v>
      </c>
      <c r="D138" s="585" t="s">
        <v>640</v>
      </c>
      <c r="E138" s="253" t="s">
        <v>570</v>
      </c>
      <c r="F138" s="413" t="s">
        <v>628</v>
      </c>
      <c r="G138" s="413">
        <f>IF(Item1.3LPP.OnHold46[[#This Row],[Pipe]]&lt;&gt;"",COUNTIF(Item1.3LPP.OnHold46[Pipe],D138),"")</f>
        <v>8</v>
      </c>
      <c r="H138" s="413" t="str">
        <f>IF(Item1.3LPP.OnHold46[[#This Row],[Pipe]]&lt;&gt;"",IF(COUNTIF(Item1.3LPP.OnHold4[Pipe],D138)&gt;0,"Sim","Não"),"")</f>
        <v>Não</v>
      </c>
      <c r="I138" s="445"/>
      <c r="K138" s="440"/>
      <c r="L138" s="245"/>
      <c r="M138" s="245"/>
      <c r="N138" s="448"/>
      <c r="O138" s="448"/>
    </row>
    <row r="139" spans="1:15" s="318" customFormat="1">
      <c r="A139" s="223">
        <f>IF(Item1.3LPP.OnHold46[[#This Row],[Date]]&lt;&gt;"",WEEKNUM(Item1.3LPP.OnHold46[[#This Row],[Date]]),"")</f>
        <v>29</v>
      </c>
      <c r="B139" s="453">
        <v>46220</v>
      </c>
      <c r="C139" s="224">
        <v>1</v>
      </c>
      <c r="D139" s="585" t="s">
        <v>636</v>
      </c>
      <c r="E139" s="253" t="s">
        <v>570</v>
      </c>
      <c r="F139" s="413" t="s">
        <v>628</v>
      </c>
      <c r="G139" s="413">
        <f>IF(Item1.3LPP.OnHold46[[#This Row],[Pipe]]&lt;&gt;"",COUNTIF(Item1.3LPP.OnHold46[Pipe],D139),"")</f>
        <v>6</v>
      </c>
      <c r="H139" s="413" t="str">
        <f>IF(Item1.3LPP.OnHold46[[#This Row],[Pipe]]&lt;&gt;"",IF(COUNTIF(Item1.3LPP.OnHold4[Pipe],D139)&gt;0,"Sim","Não"),"")</f>
        <v>Não</v>
      </c>
      <c r="I139" s="445"/>
      <c r="K139" s="440"/>
      <c r="L139" s="245"/>
      <c r="M139" s="245"/>
      <c r="N139" s="448"/>
      <c r="O139" s="448"/>
    </row>
    <row r="140" spans="1:15" s="318" customFormat="1">
      <c r="A140" s="223">
        <f>IF(Item1.3LPP.OnHold46[[#This Row],[Date]]&lt;&gt;"",WEEKNUM(Item1.3LPP.OnHold46[[#This Row],[Date]]),"")</f>
        <v>29</v>
      </c>
      <c r="B140" s="453">
        <v>46220</v>
      </c>
      <c r="C140" s="224">
        <v>1</v>
      </c>
      <c r="D140" s="585" t="s">
        <v>601</v>
      </c>
      <c r="E140" s="253" t="s">
        <v>570</v>
      </c>
      <c r="F140" s="413" t="s">
        <v>628</v>
      </c>
      <c r="G140" s="413">
        <f>IF(Item1.3LPP.OnHold46[[#This Row],[Pipe]]&lt;&gt;"",COUNTIF(Item1.3LPP.OnHold46[Pipe],D140),"")</f>
        <v>1</v>
      </c>
      <c r="H140" s="413" t="str">
        <f>IF(Item1.3LPP.OnHold46[[#This Row],[Pipe]]&lt;&gt;"",IF(COUNTIF(Item1.3LPP.OnHold4[Pipe],D140)&gt;0,"Sim","Não"),"")</f>
        <v>Sim</v>
      </c>
      <c r="I140" s="447"/>
      <c r="K140" s="440"/>
      <c r="L140" s="245"/>
      <c r="M140" s="245"/>
      <c r="N140" s="448"/>
      <c r="O140" s="448"/>
    </row>
    <row r="141" spans="1:15" s="318" customFormat="1">
      <c r="A141" s="223">
        <f>IF(Item1.3LPP.OnHold46[[#This Row],[Date]]&lt;&gt;"",WEEKNUM(Item1.3LPP.OnHold46[[#This Row],[Date]]),"")</f>
        <v>29</v>
      </c>
      <c r="B141" s="453">
        <v>46220</v>
      </c>
      <c r="C141" s="224">
        <v>2</v>
      </c>
      <c r="D141" s="585" t="s">
        <v>665</v>
      </c>
      <c r="E141" s="253" t="s">
        <v>570</v>
      </c>
      <c r="F141" s="413" t="s">
        <v>628</v>
      </c>
      <c r="G141" s="413">
        <f>IF(Item1.3LPP.OnHold46[[#This Row],[Pipe]]&lt;&gt;"",COUNTIF(Item1.3LPP.OnHold46[Pipe],D141),"")</f>
        <v>2</v>
      </c>
      <c r="H141" s="413" t="str">
        <f>IF(Item1.3LPP.OnHold46[[#This Row],[Pipe]]&lt;&gt;"",IF(COUNTIF(Item1.3LPP.OnHold4[Pipe],D141)&gt;0,"Sim","Não"),"")</f>
        <v>Não</v>
      </c>
      <c r="I141" s="445"/>
      <c r="K141" s="440"/>
      <c r="L141" s="245"/>
      <c r="M141" s="245"/>
      <c r="N141" s="448"/>
      <c r="O141" s="448"/>
    </row>
    <row r="142" spans="1:15" s="318" customFormat="1">
      <c r="A142" s="223">
        <f>IF(Item1.3LPP.OnHold46[[#This Row],[Date]]&lt;&gt;"",WEEKNUM(Item1.3LPP.OnHold46[[#This Row],[Date]]),"")</f>
        <v>29</v>
      </c>
      <c r="B142" s="453">
        <v>46220</v>
      </c>
      <c r="C142" s="224">
        <v>2</v>
      </c>
      <c r="D142" s="585" t="s">
        <v>642</v>
      </c>
      <c r="E142" s="253" t="s">
        <v>627</v>
      </c>
      <c r="F142" s="413" t="s">
        <v>628</v>
      </c>
      <c r="G142" s="413">
        <f>IF(Item1.3LPP.OnHold46[[#This Row],[Pipe]]&lt;&gt;"",COUNTIF(Item1.3LPP.OnHold46[Pipe],D142),"")</f>
        <v>5</v>
      </c>
      <c r="H142" s="413" t="str">
        <f>IF(Item1.3LPP.OnHold46[[#This Row],[Pipe]]&lt;&gt;"",IF(COUNTIF(Item1.3LPP.OnHold4[Pipe],D142)&gt;0,"Sim","Não"),"")</f>
        <v>Não</v>
      </c>
      <c r="I142" s="447"/>
      <c r="K142" s="440"/>
      <c r="L142" s="245"/>
      <c r="M142" s="245"/>
      <c r="N142" s="448"/>
      <c r="O142" s="448"/>
    </row>
    <row r="143" spans="1:15" s="318" customFormat="1">
      <c r="A143" s="223">
        <f>IF(Item1.3LPP.OnHold46[[#This Row],[Date]]&lt;&gt;"",WEEKNUM(Item1.3LPP.OnHold46[[#This Row],[Date]]),"")</f>
        <v>29</v>
      </c>
      <c r="B143" s="453">
        <v>46220</v>
      </c>
      <c r="C143" s="224">
        <v>2</v>
      </c>
      <c r="D143" s="585" t="s">
        <v>182</v>
      </c>
      <c r="E143" s="253" t="s">
        <v>570</v>
      </c>
      <c r="F143" s="413" t="s">
        <v>628</v>
      </c>
      <c r="G143" s="413">
        <f>IF(Item1.3LPP.OnHold46[[#This Row],[Pipe]]&lt;&gt;"",COUNTIF(Item1.3LPP.OnHold46[Pipe],D143),"")</f>
        <v>1</v>
      </c>
      <c r="H143" s="413" t="str">
        <f>IF(Item1.3LPP.OnHold46[[#This Row],[Pipe]]&lt;&gt;"",IF(COUNTIF(Item1.3LPP.OnHold4[Pipe],D143)&gt;0,"Sim","Não"),"")</f>
        <v>Sim</v>
      </c>
      <c r="I143" s="447"/>
      <c r="K143" s="440"/>
      <c r="L143" s="245"/>
      <c r="M143" s="245"/>
      <c r="N143" s="448"/>
      <c r="O143" s="448"/>
    </row>
    <row r="144" spans="1:15" s="318" customFormat="1">
      <c r="A144" s="223">
        <f>IF(Item1.3LPP.OnHold46[[#This Row],[Date]]&lt;&gt;"",WEEKNUM(Item1.3LPP.OnHold46[[#This Row],[Date]]),"")</f>
        <v>29</v>
      </c>
      <c r="B144" s="453">
        <v>46220</v>
      </c>
      <c r="C144" s="224">
        <v>2</v>
      </c>
      <c r="D144" s="585" t="s">
        <v>680</v>
      </c>
      <c r="E144" s="253" t="s">
        <v>570</v>
      </c>
      <c r="F144" s="413" t="s">
        <v>628</v>
      </c>
      <c r="G144" s="413">
        <f>IF(Item1.3LPP.OnHold46[[#This Row],[Pipe]]&lt;&gt;"",COUNTIF(Item1.3LPP.OnHold46[Pipe],D144),"")</f>
        <v>1</v>
      </c>
      <c r="H144" s="413" t="str">
        <f>IF(Item1.3LPP.OnHold46[[#This Row],[Pipe]]&lt;&gt;"",IF(COUNTIF(Item1.3LPP.OnHold4[Pipe],D144)&gt;0,"Sim","Não"),"")</f>
        <v>Não</v>
      </c>
      <c r="I144" s="447"/>
      <c r="K144" s="440"/>
      <c r="L144" s="245"/>
      <c r="M144" s="245"/>
      <c r="N144" s="448"/>
      <c r="O144" s="448"/>
    </row>
    <row r="145" spans="1:15" s="318" customFormat="1">
      <c r="A145" s="223">
        <f>IF(Item1.3LPP.OnHold46[[#This Row],[Date]]&lt;&gt;"",WEEKNUM(Item1.3LPP.OnHold46[[#This Row],[Date]]),"")</f>
        <v>29</v>
      </c>
      <c r="B145" s="453">
        <v>46220</v>
      </c>
      <c r="C145" s="224">
        <v>2</v>
      </c>
      <c r="D145" s="585" t="s">
        <v>599</v>
      </c>
      <c r="E145" s="253" t="s">
        <v>570</v>
      </c>
      <c r="F145" s="413" t="s">
        <v>628</v>
      </c>
      <c r="G145" s="413">
        <f>IF(Item1.3LPP.OnHold46[[#This Row],[Pipe]]&lt;&gt;"",COUNTIF(Item1.3LPP.OnHold46[Pipe],D145),"")</f>
        <v>2</v>
      </c>
      <c r="H145" s="413" t="str">
        <f>IF(Item1.3LPP.OnHold46[[#This Row],[Pipe]]&lt;&gt;"",IF(COUNTIF(Item1.3LPP.OnHold4[Pipe],D145)&gt;0,"Sim","Não"),"")</f>
        <v>Sim</v>
      </c>
      <c r="I145" s="447"/>
      <c r="K145" s="440"/>
      <c r="L145" s="245"/>
      <c r="M145" s="245"/>
      <c r="N145" s="448"/>
      <c r="O145" s="448"/>
    </row>
    <row r="146" spans="1:15" s="318" customFormat="1">
      <c r="A146" s="223">
        <f>IF(Item1.3LPP.OnHold46[[#This Row],[Date]]&lt;&gt;"",WEEKNUM(Item1.3LPP.OnHold46[[#This Row],[Date]]),"")</f>
        <v>29</v>
      </c>
      <c r="B146" s="453">
        <v>46221</v>
      </c>
      <c r="C146" s="224">
        <v>1</v>
      </c>
      <c r="D146" s="585" t="s">
        <v>592</v>
      </c>
      <c r="E146" s="253" t="s">
        <v>627</v>
      </c>
      <c r="F146" s="413" t="s">
        <v>628</v>
      </c>
      <c r="G146" s="413">
        <f>IF(Item1.3LPP.OnHold46[[#This Row],[Pipe]]&lt;&gt;"",COUNTIF(Item1.3LPP.OnHold46[Pipe],D146),"")</f>
        <v>1</v>
      </c>
      <c r="H146" s="413" t="str">
        <f>IF(Item1.3LPP.OnHold46[[#This Row],[Pipe]]&lt;&gt;"",IF(COUNTIF(Item1.3LPP.OnHold4[Pipe],D146)&gt;0,"Sim","Não"),"")</f>
        <v>Sim</v>
      </c>
      <c r="I146" s="445"/>
      <c r="K146" s="440"/>
      <c r="L146" s="245"/>
      <c r="M146" s="245"/>
      <c r="N146" s="448"/>
      <c r="O146" s="448"/>
    </row>
    <row r="147" spans="1:15" s="318" customFormat="1">
      <c r="A147" s="223">
        <f>IF(Item1.3LPP.OnHold46[[#This Row],[Date]]&lt;&gt;"",WEEKNUM(Item1.3LPP.OnHold46[[#This Row],[Date]]),"")</f>
        <v>29</v>
      </c>
      <c r="B147" s="453">
        <v>46221</v>
      </c>
      <c r="C147" s="224">
        <v>2</v>
      </c>
      <c r="D147" s="585" t="s">
        <v>639</v>
      </c>
      <c r="E147" s="253" t="s">
        <v>627</v>
      </c>
      <c r="F147" s="413" t="s">
        <v>628</v>
      </c>
      <c r="G147" s="413">
        <f>IF(Item1.3LPP.OnHold46[[#This Row],[Pipe]]&lt;&gt;"",COUNTIF(Item1.3LPP.OnHold46[Pipe],D147),"")</f>
        <v>5</v>
      </c>
      <c r="H147" s="413" t="str">
        <f>IF(Item1.3LPP.OnHold46[[#This Row],[Pipe]]&lt;&gt;"",IF(COUNTIF(Item1.3LPP.OnHold4[Pipe],D147)&gt;0,"Sim","Não"),"")</f>
        <v>Não</v>
      </c>
      <c r="I147" s="447"/>
      <c r="K147" s="440"/>
      <c r="L147" s="245"/>
      <c r="M147" s="245"/>
      <c r="N147" s="448"/>
      <c r="O147" s="448"/>
    </row>
    <row r="148" spans="1:15" s="318" customFormat="1">
      <c r="A148" s="223">
        <f>IF(Item1.3LPP.OnHold46[[#This Row],[Date]]&lt;&gt;"",WEEKNUM(Item1.3LPP.OnHold46[[#This Row],[Date]]),"")</f>
        <v>29</v>
      </c>
      <c r="B148" s="453">
        <v>46221</v>
      </c>
      <c r="C148" s="224">
        <v>2</v>
      </c>
      <c r="D148" s="585" t="s">
        <v>651</v>
      </c>
      <c r="E148" s="253" t="s">
        <v>627</v>
      </c>
      <c r="F148" s="413" t="s">
        <v>628</v>
      </c>
      <c r="G148" s="413">
        <f>IF(Item1.3LPP.OnHold46[[#This Row],[Pipe]]&lt;&gt;"",COUNTIF(Item1.3LPP.OnHold46[Pipe],D148),"")</f>
        <v>3</v>
      </c>
      <c r="H148" s="413" t="str">
        <f>IF(Item1.3LPP.OnHold46[[#This Row],[Pipe]]&lt;&gt;"",IF(COUNTIF(Item1.3LPP.OnHold4[Pipe],D148)&gt;0,"Sim","Não"),"")</f>
        <v>Não</v>
      </c>
      <c r="I148" s="447"/>
      <c r="K148" s="440"/>
      <c r="L148" s="245"/>
      <c r="M148" s="245"/>
      <c r="N148" s="448"/>
      <c r="O148" s="448"/>
    </row>
    <row r="149" spans="1:15" s="318" customFormat="1">
      <c r="A149" s="223">
        <f>IF(Item1.3LPP.OnHold46[[#This Row],[Date]]&lt;&gt;"",WEEKNUM(Item1.3LPP.OnHold46[[#This Row],[Date]]),"")</f>
        <v>29</v>
      </c>
      <c r="B149" s="453">
        <v>46221</v>
      </c>
      <c r="C149" s="224">
        <v>2</v>
      </c>
      <c r="D149" s="585" t="s">
        <v>629</v>
      </c>
      <c r="E149" s="253" t="s">
        <v>570</v>
      </c>
      <c r="F149" s="413" t="s">
        <v>628</v>
      </c>
      <c r="G149" s="413">
        <f>IF(Item1.3LPP.OnHold46[[#This Row],[Pipe]]&lt;&gt;"",COUNTIF(Item1.3LPP.OnHold46[Pipe],D149),"")</f>
        <v>7</v>
      </c>
      <c r="H149" s="413" t="str">
        <f>IF(Item1.3LPP.OnHold46[[#This Row],[Pipe]]&lt;&gt;"",IF(COUNTIF(Item1.3LPP.OnHold4[Pipe],D149)&gt;0,"Sim","Não"),"")</f>
        <v>Não</v>
      </c>
      <c r="I149" s="447"/>
      <c r="K149" s="440"/>
      <c r="L149" s="245"/>
      <c r="M149" s="245"/>
      <c r="N149" s="448"/>
      <c r="O149" s="448"/>
    </row>
    <row r="150" spans="1:15" s="318" customFormat="1">
      <c r="A150" s="223">
        <f>IF(Item1.3LPP.OnHold46[[#This Row],[Date]]&lt;&gt;"",WEEKNUM(Item1.3LPP.OnHold46[[#This Row],[Date]]),"")</f>
        <v>29</v>
      </c>
      <c r="B150" s="453">
        <v>46221</v>
      </c>
      <c r="C150" s="224">
        <v>2</v>
      </c>
      <c r="D150" s="585" t="s">
        <v>679</v>
      </c>
      <c r="E150" s="253" t="s">
        <v>570</v>
      </c>
      <c r="F150" s="413" t="s">
        <v>628</v>
      </c>
      <c r="G150" s="413">
        <f>IF(Item1.3LPP.OnHold46[[#This Row],[Pipe]]&lt;&gt;"",COUNTIF(Item1.3LPP.OnHold46[Pipe],D150),"")</f>
        <v>3</v>
      </c>
      <c r="H150" s="413" t="str">
        <f>IF(Item1.3LPP.OnHold46[[#This Row],[Pipe]]&lt;&gt;"",IF(COUNTIF(Item1.3LPP.OnHold4[Pipe],D150)&gt;0,"Sim","Não"),"")</f>
        <v>Não</v>
      </c>
      <c r="I150" s="447"/>
      <c r="K150" s="440"/>
      <c r="L150" s="245"/>
      <c r="M150" s="245"/>
      <c r="N150" s="448"/>
      <c r="O150" s="448"/>
    </row>
    <row r="151" spans="1:15" s="318" customFormat="1">
      <c r="A151" s="223">
        <f>IF(Item1.3LPP.OnHold46[[#This Row],[Date]]&lt;&gt;"",WEEKNUM(Item1.3LPP.OnHold46[[#This Row],[Date]]),"")</f>
        <v>29</v>
      </c>
      <c r="B151" s="453">
        <v>46221</v>
      </c>
      <c r="C151" s="224">
        <v>2</v>
      </c>
      <c r="D151" s="585" t="s">
        <v>668</v>
      </c>
      <c r="E151" s="253" t="s">
        <v>570</v>
      </c>
      <c r="F151" s="413" t="s">
        <v>628</v>
      </c>
      <c r="G151" s="413">
        <f>IF(Item1.3LPP.OnHold46[[#This Row],[Pipe]]&lt;&gt;"",COUNTIF(Item1.3LPP.OnHold46[Pipe],D151),"")</f>
        <v>6</v>
      </c>
      <c r="H151" s="413" t="str">
        <f>IF(Item1.3LPP.OnHold46[[#This Row],[Pipe]]&lt;&gt;"",IF(COUNTIF(Item1.3LPP.OnHold4[Pipe],D151)&gt;0,"Sim","Não"),"")</f>
        <v>Não</v>
      </c>
      <c r="I151" s="447"/>
      <c r="K151" s="440"/>
      <c r="L151" s="245"/>
      <c r="M151" s="245"/>
      <c r="N151" s="448"/>
      <c r="O151" s="448"/>
    </row>
    <row r="152" spans="1:15" s="318" customFormat="1">
      <c r="A152" s="223">
        <f>IF(Item1.3LPP.OnHold46[[#This Row],[Date]]&lt;&gt;"",WEEKNUM(Item1.3LPP.OnHold46[[#This Row],[Date]]),"")</f>
        <v>29</v>
      </c>
      <c r="B152" s="453">
        <v>46221</v>
      </c>
      <c r="C152" s="224">
        <v>2</v>
      </c>
      <c r="D152" s="585" t="s">
        <v>642</v>
      </c>
      <c r="E152" s="253" t="s">
        <v>627</v>
      </c>
      <c r="F152" s="413" t="s">
        <v>628</v>
      </c>
      <c r="G152" s="413">
        <f>IF(Item1.3LPP.OnHold46[[#This Row],[Pipe]]&lt;&gt;"",COUNTIF(Item1.3LPP.OnHold46[Pipe],D152),"")</f>
        <v>5</v>
      </c>
      <c r="H152" s="413" t="str">
        <f>IF(Item1.3LPP.OnHold46[[#This Row],[Pipe]]&lt;&gt;"",IF(COUNTIF(Item1.3LPP.OnHold4[Pipe],D152)&gt;0,"Sim","Não"),"")</f>
        <v>Não</v>
      </c>
      <c r="I152" s="445"/>
      <c r="K152" s="440"/>
      <c r="L152" s="245"/>
      <c r="M152" s="245"/>
      <c r="N152" s="448"/>
      <c r="O152" s="448"/>
    </row>
    <row r="153" spans="1:15" s="318" customFormat="1">
      <c r="A153" s="223">
        <f>IF(Item1.3LPP.OnHold46[[#This Row],[Date]]&lt;&gt;"",WEEKNUM(Item1.3LPP.OnHold46[[#This Row],[Date]]),"")</f>
        <v>30</v>
      </c>
      <c r="B153" s="453">
        <v>46223</v>
      </c>
      <c r="C153" s="224">
        <v>1</v>
      </c>
      <c r="D153" s="585" t="s">
        <v>467</v>
      </c>
      <c r="E153" s="253" t="s">
        <v>627</v>
      </c>
      <c r="F153" s="413" t="s">
        <v>628</v>
      </c>
      <c r="G153" s="413">
        <f>IF(Item1.3LPP.OnHold46[[#This Row],[Pipe]]&lt;&gt;"",COUNTIF(Item1.3LPP.OnHold46[Pipe],D153),"")</f>
        <v>1</v>
      </c>
      <c r="H153" s="413" t="str">
        <f>IF(Item1.3LPP.OnHold46[[#This Row],[Pipe]]&lt;&gt;"",IF(COUNTIF(Item1.3LPP.OnHold4[Pipe],D153)&gt;0,"Sim","Não"),"")</f>
        <v>Sim</v>
      </c>
      <c r="I153" s="447"/>
      <c r="K153" s="440"/>
      <c r="L153" s="245"/>
      <c r="M153" s="245"/>
      <c r="N153" s="448"/>
      <c r="O153" s="448"/>
    </row>
    <row r="154" spans="1:15" s="318" customFormat="1">
      <c r="A154" s="223">
        <f>IF(Item1.3LPP.OnHold46[[#This Row],[Date]]&lt;&gt;"",WEEKNUM(Item1.3LPP.OnHold46[[#This Row],[Date]]),"")</f>
        <v>30</v>
      </c>
      <c r="B154" s="453">
        <v>46223</v>
      </c>
      <c r="C154" s="224">
        <v>1</v>
      </c>
      <c r="D154" s="585" t="s">
        <v>637</v>
      </c>
      <c r="E154" s="253" t="s">
        <v>570</v>
      </c>
      <c r="F154" s="413" t="s">
        <v>628</v>
      </c>
      <c r="G154" s="413">
        <f>IF(Item1.3LPP.OnHold46[[#This Row],[Pipe]]&lt;&gt;"",COUNTIF(Item1.3LPP.OnHold46[Pipe],D154),"")</f>
        <v>5</v>
      </c>
      <c r="H154" s="413" t="str">
        <f>IF(Item1.3LPP.OnHold46[[#This Row],[Pipe]]&lt;&gt;"",IF(COUNTIF(Item1.3LPP.OnHold4[Pipe],D154)&gt;0,"Sim","Não"),"")</f>
        <v>Não</v>
      </c>
      <c r="I154" s="447"/>
      <c r="K154" s="440"/>
      <c r="L154" s="245"/>
      <c r="M154" s="245"/>
      <c r="N154" s="448"/>
      <c r="O154" s="448"/>
    </row>
    <row r="155" spans="1:15" s="318" customFormat="1">
      <c r="A155" s="223">
        <f>IF(Item1.3LPP.OnHold46[[#This Row],[Date]]&lt;&gt;"",WEEKNUM(Item1.3LPP.OnHold46[[#This Row],[Date]]),"")</f>
        <v>30</v>
      </c>
      <c r="B155" s="453">
        <v>46223</v>
      </c>
      <c r="C155" s="224">
        <v>1</v>
      </c>
      <c r="D155" s="585" t="s">
        <v>613</v>
      </c>
      <c r="E155" s="253" t="s">
        <v>570</v>
      </c>
      <c r="F155" s="413" t="s">
        <v>628</v>
      </c>
      <c r="G155" s="413">
        <f>IF(Item1.3LPP.OnHold46[[#This Row],[Pipe]]&lt;&gt;"",COUNTIF(Item1.3LPP.OnHold46[Pipe],D155),"")</f>
        <v>3</v>
      </c>
      <c r="H155" s="413" t="str">
        <f>IF(Item1.3LPP.OnHold46[[#This Row],[Pipe]]&lt;&gt;"",IF(COUNTIF(Item1.3LPP.OnHold4[Pipe],D155)&gt;0,"Sim","Não"),"")</f>
        <v>Sim</v>
      </c>
      <c r="I155" s="447"/>
      <c r="K155" s="440"/>
      <c r="L155" s="245"/>
      <c r="M155" s="245"/>
      <c r="N155" s="448"/>
      <c r="O155" s="448"/>
    </row>
    <row r="156" spans="1:15" s="318" customFormat="1">
      <c r="A156" s="223">
        <f>IF(Item1.3LPP.OnHold46[[#This Row],[Date]]&lt;&gt;"",WEEKNUM(Item1.3LPP.OnHold46[[#This Row],[Date]]),"")</f>
        <v>30</v>
      </c>
      <c r="B156" s="453">
        <v>46223</v>
      </c>
      <c r="C156" s="224">
        <v>1</v>
      </c>
      <c r="D156" s="585" t="s">
        <v>611</v>
      </c>
      <c r="E156" s="253" t="s">
        <v>570</v>
      </c>
      <c r="F156" s="413" t="s">
        <v>628</v>
      </c>
      <c r="G156" s="413">
        <f>IF(Item1.3LPP.OnHold46[[#This Row],[Pipe]]&lt;&gt;"",COUNTIF(Item1.3LPP.OnHold46[Pipe],D156),"")</f>
        <v>1</v>
      </c>
      <c r="H156" s="413" t="str">
        <f>IF(Item1.3LPP.OnHold46[[#This Row],[Pipe]]&lt;&gt;"",IF(COUNTIF(Item1.3LPP.OnHold4[Pipe],D156)&gt;0,"Sim","Não"),"")</f>
        <v>Sim</v>
      </c>
      <c r="I156" s="447"/>
      <c r="K156" s="440"/>
      <c r="L156" s="245"/>
      <c r="M156" s="245"/>
      <c r="N156" s="448"/>
      <c r="O156" s="448"/>
    </row>
    <row r="157" spans="1:15" s="318" customFormat="1">
      <c r="A157" s="223">
        <f>IF(Item1.3LPP.OnHold46[[#This Row],[Date]]&lt;&gt;"",WEEKNUM(Item1.3LPP.OnHold46[[#This Row],[Date]]),"")</f>
        <v>30</v>
      </c>
      <c r="B157" s="453">
        <v>46223</v>
      </c>
      <c r="C157" s="224">
        <v>1</v>
      </c>
      <c r="D157" s="585" t="s">
        <v>640</v>
      </c>
      <c r="E157" s="253" t="s">
        <v>570</v>
      </c>
      <c r="F157" s="413" t="s">
        <v>628</v>
      </c>
      <c r="G157" s="413">
        <f>IF(Item1.3LPP.OnHold46[[#This Row],[Pipe]]&lt;&gt;"",COUNTIF(Item1.3LPP.OnHold46[Pipe],D157),"")</f>
        <v>8</v>
      </c>
      <c r="H157" s="413" t="str">
        <f>IF(Item1.3LPP.OnHold46[[#This Row],[Pipe]]&lt;&gt;"",IF(COUNTIF(Item1.3LPP.OnHold4[Pipe],D157)&gt;0,"Sim","Não"),"")</f>
        <v>Não</v>
      </c>
      <c r="I157" s="447"/>
      <c r="K157" s="440"/>
      <c r="L157" s="245"/>
      <c r="M157" s="245"/>
      <c r="N157" s="448"/>
      <c r="O157" s="448"/>
    </row>
    <row r="158" spans="1:15" s="318" customFormat="1">
      <c r="A158" s="223">
        <f>IF(Item1.3LPP.OnHold46[[#This Row],[Date]]&lt;&gt;"",WEEKNUM(Item1.3LPP.OnHold46[[#This Row],[Date]]),"")</f>
        <v>30</v>
      </c>
      <c r="B158" s="453">
        <v>46223</v>
      </c>
      <c r="C158" s="224">
        <v>1</v>
      </c>
      <c r="D158" s="585" t="s">
        <v>681</v>
      </c>
      <c r="E158" s="253" t="s">
        <v>570</v>
      </c>
      <c r="F158" s="413" t="s">
        <v>628</v>
      </c>
      <c r="G158" s="413">
        <f>IF(Item1.3LPP.OnHold46[[#This Row],[Pipe]]&lt;&gt;"",COUNTIF(Item1.3LPP.OnHold46[Pipe],D158),"")</f>
        <v>1</v>
      </c>
      <c r="H158" s="413" t="str">
        <f>IF(Item1.3LPP.OnHold46[[#This Row],[Pipe]]&lt;&gt;"",IF(COUNTIF(Item1.3LPP.OnHold4[Pipe],D158)&gt;0,"Sim","Não"),"")</f>
        <v>Não</v>
      </c>
      <c r="I158" s="447"/>
      <c r="K158" s="440"/>
      <c r="L158" s="245"/>
      <c r="M158" s="245"/>
      <c r="N158" s="448"/>
      <c r="O158" s="448"/>
    </row>
    <row r="159" spans="1:15" s="318" customFormat="1">
      <c r="A159" s="223">
        <f>IF(Item1.3LPP.OnHold46[[#This Row],[Date]]&lt;&gt;"",WEEKNUM(Item1.3LPP.OnHold46[[#This Row],[Date]]),"")</f>
        <v>30</v>
      </c>
      <c r="B159" s="453">
        <v>46223</v>
      </c>
      <c r="C159" s="224">
        <v>1</v>
      </c>
      <c r="D159" s="585" t="s">
        <v>653</v>
      </c>
      <c r="E159" s="253" t="s">
        <v>570</v>
      </c>
      <c r="F159" s="413" t="s">
        <v>628</v>
      </c>
      <c r="G159" s="413">
        <f>IF(Item1.3LPP.OnHold46[[#This Row],[Pipe]]&lt;&gt;"",COUNTIF(Item1.3LPP.OnHold46[Pipe],D159),"")</f>
        <v>5</v>
      </c>
      <c r="H159" s="413" t="str">
        <f>IF(Item1.3LPP.OnHold46[[#This Row],[Pipe]]&lt;&gt;"",IF(COUNTIF(Item1.3LPP.OnHold4[Pipe],D159)&gt;0,"Sim","Não"),"")</f>
        <v>Não</v>
      </c>
      <c r="I159" s="447"/>
      <c r="K159" s="440"/>
      <c r="L159" s="245"/>
      <c r="M159" s="245"/>
      <c r="N159" s="448"/>
      <c r="O159" s="448"/>
    </row>
    <row r="160" spans="1:15" s="318" customFormat="1">
      <c r="A160" s="223">
        <f>IF(Item1.3LPP.OnHold46[[#This Row],[Date]]&lt;&gt;"",WEEKNUM(Item1.3LPP.OnHold46[[#This Row],[Date]]),"")</f>
        <v>30</v>
      </c>
      <c r="B160" s="453">
        <v>46223</v>
      </c>
      <c r="C160" s="224">
        <v>1</v>
      </c>
      <c r="D160" s="585" t="s">
        <v>682</v>
      </c>
      <c r="E160" s="253" t="s">
        <v>570</v>
      </c>
      <c r="F160" s="413" t="s">
        <v>628</v>
      </c>
      <c r="G160" s="413">
        <f>IF(Item1.3LPP.OnHold46[[#This Row],[Pipe]]&lt;&gt;"",COUNTIF(Item1.3LPP.OnHold46[Pipe],D160),"")</f>
        <v>1</v>
      </c>
      <c r="H160" s="413" t="str">
        <f>IF(Item1.3LPP.OnHold46[[#This Row],[Pipe]]&lt;&gt;"",IF(COUNTIF(Item1.3LPP.OnHold4[Pipe],D160)&gt;0,"Sim","Não"),"")</f>
        <v>Não</v>
      </c>
      <c r="I160" s="445"/>
      <c r="K160" s="440"/>
      <c r="L160" s="245"/>
      <c r="M160" s="245"/>
      <c r="N160" s="448"/>
      <c r="O160" s="448"/>
    </row>
    <row r="161" spans="1:9">
      <c r="A161" s="253">
        <f>IF(Item1.3LPP.OnHold46[[#This Row],[Date]]&lt;&gt;"",WEEKNUM(Item1.3LPP.OnHold46[[#This Row],[Date]]),"")</f>
        <v>30</v>
      </c>
      <c r="B161" s="453">
        <v>46223</v>
      </c>
      <c r="C161" s="224">
        <v>1</v>
      </c>
      <c r="D161" s="585" t="s">
        <v>595</v>
      </c>
      <c r="E161" s="253" t="s">
        <v>627</v>
      </c>
      <c r="F161" s="413" t="s">
        <v>628</v>
      </c>
      <c r="G161" s="413">
        <f>IF(Item1.3LPP.OnHold46[[#This Row],[Pipe]]&lt;&gt;"",COUNTIF(Item1.3LPP.OnHold46[Pipe],D161),"")</f>
        <v>1</v>
      </c>
      <c r="H161" s="413" t="str">
        <f>IF(Item1.3LPP.OnHold46[[#This Row],[Pipe]]&lt;&gt;"",IF(COUNTIF(Item1.3LPP.OnHold4[Pipe],D161)&gt;0,"Sim","Não"),"")</f>
        <v>Sim</v>
      </c>
      <c r="I161" s="445"/>
    </row>
    <row r="162" spans="1:9">
      <c r="A162" s="253">
        <f>IF(Item1.3LPP.OnHold46[[#This Row],[Date]]&lt;&gt;"",WEEKNUM(Item1.3LPP.OnHold46[[#This Row],[Date]]),"")</f>
        <v>30</v>
      </c>
      <c r="B162" s="453">
        <v>46223</v>
      </c>
      <c r="C162" s="224">
        <v>2</v>
      </c>
      <c r="D162" s="585" t="s">
        <v>626</v>
      </c>
      <c r="E162" s="253" t="s">
        <v>627</v>
      </c>
      <c r="F162" s="413" t="s">
        <v>628</v>
      </c>
      <c r="G162" s="413">
        <f>IF(Item1.3LPP.OnHold46[[#This Row],[Pipe]]&lt;&gt;"",COUNTIF(Item1.3LPP.OnHold46[Pipe],D162),"")</f>
        <v>7</v>
      </c>
      <c r="H162" s="413" t="str">
        <f>IF(Item1.3LPP.OnHold46[[#This Row],[Pipe]]&lt;&gt;"",IF(COUNTIF(Item1.3LPP.OnHold4[Pipe],D162)&gt;0,"Sim","Não"),"")</f>
        <v>Não</v>
      </c>
      <c r="I162" s="445"/>
    </row>
    <row r="163" spans="1:9">
      <c r="A163" s="253">
        <f>IF(Item1.3LPP.OnHold46[[#This Row],[Date]]&lt;&gt;"",WEEKNUM(Item1.3LPP.OnHold46[[#This Row],[Date]]),"")</f>
        <v>30</v>
      </c>
      <c r="B163" s="453">
        <v>46223</v>
      </c>
      <c r="C163" s="224">
        <v>2</v>
      </c>
      <c r="D163" s="585" t="s">
        <v>636</v>
      </c>
      <c r="E163" s="253" t="s">
        <v>627</v>
      </c>
      <c r="F163" s="413" t="s">
        <v>628</v>
      </c>
      <c r="G163" s="413">
        <f>IF(Item1.3LPP.OnHold46[[#This Row],[Pipe]]&lt;&gt;"",COUNTIF(Item1.3LPP.OnHold46[Pipe],D163),"")</f>
        <v>6</v>
      </c>
      <c r="H163" s="413" t="str">
        <f>IF(Item1.3LPP.OnHold46[[#This Row],[Pipe]]&lt;&gt;"",IF(COUNTIF(Item1.3LPP.OnHold4[Pipe],D163)&gt;0,"Sim","Não"),"")</f>
        <v>Não</v>
      </c>
      <c r="I163" s="445"/>
    </row>
    <row r="164" spans="1:9">
      <c r="A164" s="253">
        <f>IF(Item1.3LPP.OnHold46[[#This Row],[Date]]&lt;&gt;"",WEEKNUM(Item1.3LPP.OnHold46[[#This Row],[Date]]),"")</f>
        <v>30</v>
      </c>
      <c r="B164" s="453">
        <v>46223</v>
      </c>
      <c r="C164" s="224">
        <v>2</v>
      </c>
      <c r="D164" s="585" t="s">
        <v>484</v>
      </c>
      <c r="E164" s="253" t="s">
        <v>627</v>
      </c>
      <c r="F164" s="413" t="s">
        <v>628</v>
      </c>
      <c r="G164" s="413">
        <f>IF(Item1.3LPP.OnHold46[[#This Row],[Pipe]]&lt;&gt;"",COUNTIF(Item1.3LPP.OnHold46[Pipe],D164),"")</f>
        <v>1</v>
      </c>
      <c r="H164" s="413" t="str">
        <f>IF(Item1.3LPP.OnHold46[[#This Row],[Pipe]]&lt;&gt;"",IF(COUNTIF(Item1.3LPP.OnHold4[Pipe],D164)&gt;0,"Sim","Não"),"")</f>
        <v>Sim</v>
      </c>
      <c r="I164" s="445"/>
    </row>
    <row r="165" spans="1:9">
      <c r="A165" s="253">
        <f>IF(Item1.3LPP.OnHold46[[#This Row],[Date]]&lt;&gt;"",WEEKNUM(Item1.3LPP.OnHold46[[#This Row],[Date]]),"")</f>
        <v>30</v>
      </c>
      <c r="B165" s="453">
        <v>46223</v>
      </c>
      <c r="C165" s="224">
        <v>2</v>
      </c>
      <c r="D165" s="585" t="s">
        <v>668</v>
      </c>
      <c r="E165" s="253" t="s">
        <v>570</v>
      </c>
      <c r="F165" s="413" t="s">
        <v>628</v>
      </c>
      <c r="G165" s="413">
        <f>IF(Item1.3LPP.OnHold46[[#This Row],[Pipe]]&lt;&gt;"",COUNTIF(Item1.3LPP.OnHold46[Pipe],D165),"")</f>
        <v>6</v>
      </c>
      <c r="H165" s="413" t="str">
        <f>IF(Item1.3LPP.OnHold46[[#This Row],[Pipe]]&lt;&gt;"",IF(COUNTIF(Item1.3LPP.OnHold4[Pipe],D165)&gt;0,"Sim","Não"),"")</f>
        <v>Não</v>
      </c>
      <c r="I165" s="445"/>
    </row>
    <row r="166" spans="1:9">
      <c r="A166" s="253">
        <f>IF(Item1.3LPP.OnHold46[[#This Row],[Date]]&lt;&gt;"",WEEKNUM(Item1.3LPP.OnHold46[[#This Row],[Date]]),"")</f>
        <v>30</v>
      </c>
      <c r="B166" s="453">
        <v>46223</v>
      </c>
      <c r="C166" s="224">
        <v>2</v>
      </c>
      <c r="D166" s="585" t="s">
        <v>683</v>
      </c>
      <c r="E166" s="253" t="s">
        <v>570</v>
      </c>
      <c r="F166" s="413" t="s">
        <v>628</v>
      </c>
      <c r="G166" s="413">
        <f>IF(Item1.3LPP.OnHold46[[#This Row],[Pipe]]&lt;&gt;"",COUNTIF(Item1.3LPP.OnHold46[Pipe],D166),"")</f>
        <v>1</v>
      </c>
      <c r="H166" s="413" t="str">
        <f>IF(Item1.3LPP.OnHold46[[#This Row],[Pipe]]&lt;&gt;"",IF(COUNTIF(Item1.3LPP.OnHold4[Pipe],D166)&gt;0,"Sim","Não"),"")</f>
        <v>Não</v>
      </c>
      <c r="I166" s="445"/>
    </row>
    <row r="167" spans="1:9">
      <c r="A167" s="253">
        <f>IF(Item1.3LPP.OnHold46[[#This Row],[Date]]&lt;&gt;"",WEEKNUM(Item1.3LPP.OnHold46[[#This Row],[Date]]),"")</f>
        <v>30</v>
      </c>
      <c r="B167" s="453">
        <v>46223</v>
      </c>
      <c r="C167" s="224">
        <v>3</v>
      </c>
      <c r="D167" s="585" t="s">
        <v>181</v>
      </c>
      <c r="E167" s="253" t="s">
        <v>627</v>
      </c>
      <c r="F167" s="413" t="s">
        <v>628</v>
      </c>
      <c r="G167" s="413">
        <f>IF(Item1.3LPP.OnHold46[[#This Row],[Pipe]]&lt;&gt;"",COUNTIF(Item1.3LPP.OnHold46[Pipe],D167),"")</f>
        <v>1</v>
      </c>
      <c r="H167" s="413" t="str">
        <f>IF(Item1.3LPP.OnHold46[[#This Row],[Pipe]]&lt;&gt;"",IF(COUNTIF(Item1.3LPP.OnHold4[Pipe],D167)&gt;0,"Sim","Não"),"")</f>
        <v>Sim</v>
      </c>
      <c r="I167" s="445"/>
    </row>
    <row r="168" spans="1:9">
      <c r="A168" s="253">
        <f>IF(Item1.3LPP.OnHold46[[#This Row],[Date]]&lt;&gt;"",WEEKNUM(Item1.3LPP.OnHold46[[#This Row],[Date]]),"")</f>
        <v>30</v>
      </c>
      <c r="B168" s="453">
        <v>46223</v>
      </c>
      <c r="C168" s="224">
        <v>3</v>
      </c>
      <c r="D168" s="585" t="s">
        <v>192</v>
      </c>
      <c r="E168" s="253" t="s">
        <v>627</v>
      </c>
      <c r="F168" s="413" t="s">
        <v>628</v>
      </c>
      <c r="G168" s="413">
        <f>IF(Item1.3LPP.OnHold46[[#This Row],[Pipe]]&lt;&gt;"",COUNTIF(Item1.3LPP.OnHold46[Pipe],D168),"")</f>
        <v>1</v>
      </c>
      <c r="H168" s="413" t="str">
        <f>IF(Item1.3LPP.OnHold46[[#This Row],[Pipe]]&lt;&gt;"",IF(COUNTIF(Item1.3LPP.OnHold4[Pipe],D168)&gt;0,"Sim","Não"),"")</f>
        <v>Não</v>
      </c>
      <c r="I168" s="445"/>
    </row>
    <row r="169" spans="1:9">
      <c r="A169" s="253">
        <f>IF(Item1.3LPP.OnHold46[[#This Row],[Date]]&lt;&gt;"",WEEKNUM(Item1.3LPP.OnHold46[[#This Row],[Date]]),"")</f>
        <v>30</v>
      </c>
      <c r="B169" s="453">
        <v>46224</v>
      </c>
      <c r="C169" s="224">
        <v>1</v>
      </c>
      <c r="D169" s="585" t="s">
        <v>684</v>
      </c>
      <c r="E169" s="253" t="s">
        <v>627</v>
      </c>
      <c r="F169" s="413" t="s">
        <v>628</v>
      </c>
      <c r="G169" s="413">
        <f>IF(Item1.3LPP.OnHold46[[#This Row],[Pipe]]&lt;&gt;"",COUNTIF(Item1.3LPP.OnHold46[Pipe],D169),"")</f>
        <v>1</v>
      </c>
      <c r="H169" s="413" t="str">
        <f>IF(Item1.3LPP.OnHold46[[#This Row],[Pipe]]&lt;&gt;"",IF(COUNTIF(Item1.3LPP.OnHold4[Pipe],D169)&gt;0,"Sim","Não"),"")</f>
        <v>Não</v>
      </c>
      <c r="I169" s="445"/>
    </row>
    <row r="170" spans="1:9">
      <c r="A170" s="253">
        <f>IF(Item1.3LPP.OnHold46[[#This Row],[Date]]&lt;&gt;"",WEEKNUM(Item1.3LPP.OnHold46[[#This Row],[Date]]),"")</f>
        <v>30</v>
      </c>
      <c r="B170" s="453">
        <v>46224</v>
      </c>
      <c r="C170" s="224">
        <v>1</v>
      </c>
      <c r="D170" s="585" t="s">
        <v>639</v>
      </c>
      <c r="E170" s="253" t="s">
        <v>570</v>
      </c>
      <c r="F170" s="413" t="s">
        <v>628</v>
      </c>
      <c r="G170" s="413">
        <f>IF(Item1.3LPP.OnHold46[[#This Row],[Pipe]]&lt;&gt;"",COUNTIF(Item1.3LPP.OnHold46[Pipe],D170),"")</f>
        <v>5</v>
      </c>
      <c r="H170" s="413" t="str">
        <f>IF(Item1.3LPP.OnHold46[[#This Row],[Pipe]]&lt;&gt;"",IF(COUNTIF(Item1.3LPP.OnHold4[Pipe],D170)&gt;0,"Sim","Não"),"")</f>
        <v>Não</v>
      </c>
      <c r="I170" s="445"/>
    </row>
    <row r="171" spans="1:9">
      <c r="A171" s="253">
        <f>IF(Item1.3LPP.OnHold46[[#This Row],[Date]]&lt;&gt;"",WEEKNUM(Item1.3LPP.OnHold46[[#This Row],[Date]]),"")</f>
        <v>30</v>
      </c>
      <c r="B171" s="453">
        <v>46224</v>
      </c>
      <c r="C171" s="224">
        <v>1</v>
      </c>
      <c r="D171" s="585" t="s">
        <v>637</v>
      </c>
      <c r="E171" s="253" t="s">
        <v>627</v>
      </c>
      <c r="F171" s="413" t="s">
        <v>628</v>
      </c>
      <c r="G171" s="413">
        <f>IF(Item1.3LPP.OnHold46[[#This Row],[Pipe]]&lt;&gt;"",COUNTIF(Item1.3LPP.OnHold46[Pipe],D171),"")</f>
        <v>5</v>
      </c>
      <c r="H171" s="413" t="str">
        <f>IF(Item1.3LPP.OnHold46[[#This Row],[Pipe]]&lt;&gt;"",IF(COUNTIF(Item1.3LPP.OnHold4[Pipe],D171)&gt;0,"Sim","Não"),"")</f>
        <v>Não</v>
      </c>
      <c r="I171" s="445"/>
    </row>
    <row r="172" spans="1:9">
      <c r="A172" s="253">
        <f>IF(Item1.3LPP.OnHold46[[#This Row],[Date]]&lt;&gt;"",WEEKNUM(Item1.3LPP.OnHold46[[#This Row],[Date]]),"")</f>
        <v>30</v>
      </c>
      <c r="B172" s="453">
        <v>46224</v>
      </c>
      <c r="C172" s="224">
        <v>1</v>
      </c>
      <c r="D172" s="585" t="s">
        <v>685</v>
      </c>
      <c r="E172" s="253" t="s">
        <v>627</v>
      </c>
      <c r="F172" s="413" t="s">
        <v>628</v>
      </c>
      <c r="G172" s="413">
        <f>IF(Item1.3LPP.OnHold46[[#This Row],[Pipe]]&lt;&gt;"",COUNTIF(Item1.3LPP.OnHold46[Pipe],D172),"")</f>
        <v>3</v>
      </c>
      <c r="H172" s="413" t="str">
        <f>IF(Item1.3LPP.OnHold46[[#This Row],[Pipe]]&lt;&gt;"",IF(COUNTIF(Item1.3LPP.OnHold4[Pipe],D172)&gt;0,"Sim","Não"),"")</f>
        <v>Não</v>
      </c>
      <c r="I172" s="445"/>
    </row>
    <row r="173" spans="1:9">
      <c r="A173" s="253">
        <f>IF(Item1.3LPP.OnHold46[[#This Row],[Date]]&lt;&gt;"",WEEKNUM(Item1.3LPP.OnHold46[[#This Row],[Date]]),"")</f>
        <v>30</v>
      </c>
      <c r="B173" s="453">
        <v>46224</v>
      </c>
      <c r="C173" s="224">
        <v>2</v>
      </c>
      <c r="D173" s="585" t="s">
        <v>176</v>
      </c>
      <c r="E173" s="253" t="s">
        <v>627</v>
      </c>
      <c r="F173" s="413" t="s">
        <v>628</v>
      </c>
      <c r="G173" s="413">
        <f>IF(Item1.3LPP.OnHold46[[#This Row],[Pipe]]&lt;&gt;"",COUNTIF(Item1.3LPP.OnHold46[Pipe],D173),"")</f>
        <v>3</v>
      </c>
      <c r="H173" s="413" t="str">
        <f>IF(Item1.3LPP.OnHold46[[#This Row],[Pipe]]&lt;&gt;"",IF(COUNTIF(Item1.3LPP.OnHold4[Pipe],D173)&gt;0,"Sim","Não"),"")</f>
        <v>Não</v>
      </c>
      <c r="I173" s="445"/>
    </row>
    <row r="174" spans="1:9">
      <c r="A174" s="253">
        <f>IF(Item1.3LPP.OnHold46[[#This Row],[Date]]&lt;&gt;"",WEEKNUM(Item1.3LPP.OnHold46[[#This Row],[Date]]),"")</f>
        <v>30</v>
      </c>
      <c r="B174" s="453">
        <v>46224</v>
      </c>
      <c r="C174" s="224">
        <v>2</v>
      </c>
      <c r="D174" s="585" t="s">
        <v>642</v>
      </c>
      <c r="E174" s="253" t="s">
        <v>627</v>
      </c>
      <c r="F174" s="413" t="s">
        <v>628</v>
      </c>
      <c r="G174" s="413">
        <f>IF(Item1.3LPP.OnHold46[[#This Row],[Pipe]]&lt;&gt;"",COUNTIF(Item1.3LPP.OnHold46[Pipe],D174),"")</f>
        <v>5</v>
      </c>
      <c r="H174" s="413" t="str">
        <f>IF(Item1.3LPP.OnHold46[[#This Row],[Pipe]]&lt;&gt;"",IF(COUNTIF(Item1.3LPP.OnHold4[Pipe],D174)&gt;0,"Sim","Não"),"")</f>
        <v>Não</v>
      </c>
      <c r="I174" s="445"/>
    </row>
    <row r="175" spans="1:9">
      <c r="A175" s="253">
        <f>IF(Item1.3LPP.OnHold46[[#This Row],[Date]]&lt;&gt;"",WEEKNUM(Item1.3LPP.OnHold46[[#This Row],[Date]]),"")</f>
        <v>30</v>
      </c>
      <c r="B175" s="453">
        <v>46224</v>
      </c>
      <c r="C175" s="224">
        <v>2</v>
      </c>
      <c r="D175" s="585" t="s">
        <v>629</v>
      </c>
      <c r="E175" s="253" t="s">
        <v>570</v>
      </c>
      <c r="F175" s="413" t="s">
        <v>628</v>
      </c>
      <c r="G175" s="413">
        <f>IF(Item1.3LPP.OnHold46[[#This Row],[Pipe]]&lt;&gt;"",COUNTIF(Item1.3LPP.OnHold46[Pipe],D175),"")</f>
        <v>7</v>
      </c>
      <c r="H175" s="413" t="str">
        <f>IF(Item1.3LPP.OnHold46[[#This Row],[Pipe]]&lt;&gt;"",IF(COUNTIF(Item1.3LPP.OnHold4[Pipe],D175)&gt;0,"Sim","Não"),"")</f>
        <v>Não</v>
      </c>
      <c r="I175" s="445"/>
    </row>
    <row r="176" spans="1:9">
      <c r="A176" s="253">
        <f>IF(Item1.3LPP.OnHold46[[#This Row],[Date]]&lt;&gt;"",WEEKNUM(Item1.3LPP.OnHold46[[#This Row],[Date]]),"")</f>
        <v>30</v>
      </c>
      <c r="B176" s="453">
        <v>46224</v>
      </c>
      <c r="C176" s="224">
        <v>2</v>
      </c>
      <c r="D176" s="585" t="s">
        <v>686</v>
      </c>
      <c r="E176" s="253" t="s">
        <v>570</v>
      </c>
      <c r="F176" s="413" t="s">
        <v>628</v>
      </c>
      <c r="G176" s="413">
        <f>IF(Item1.3LPP.OnHold46[[#This Row],[Pipe]]&lt;&gt;"",COUNTIF(Item1.3LPP.OnHold46[Pipe],D176),"")</f>
        <v>1</v>
      </c>
      <c r="H176" s="413" t="str">
        <f>IF(Item1.3LPP.OnHold46[[#This Row],[Pipe]]&lt;&gt;"",IF(COUNTIF(Item1.3LPP.OnHold4[Pipe],D176)&gt;0,"Sim","Não"),"")</f>
        <v>Não</v>
      </c>
      <c r="I176" s="445"/>
    </row>
    <row r="177" spans="1:9">
      <c r="A177" s="253">
        <f>IF(Item1.3LPP.OnHold46[[#This Row],[Date]]&lt;&gt;"",WEEKNUM(Item1.3LPP.OnHold46[[#This Row],[Date]]),"")</f>
        <v>30</v>
      </c>
      <c r="B177" s="453">
        <v>46224</v>
      </c>
      <c r="C177" s="271">
        <v>3</v>
      </c>
      <c r="D177" s="585" t="s">
        <v>193</v>
      </c>
      <c r="E177" s="253" t="s">
        <v>627</v>
      </c>
      <c r="F177" s="413" t="s">
        <v>628</v>
      </c>
      <c r="G177" s="413">
        <f>IF(Item1.3LPP.OnHold46[[#This Row],[Pipe]]&lt;&gt;"",COUNTIF(Item1.3LPP.OnHold46[Pipe],D177),"")</f>
        <v>3</v>
      </c>
      <c r="H177" s="413" t="str">
        <f>IF(Item1.3LPP.OnHold46[[#This Row],[Pipe]]&lt;&gt;"",IF(COUNTIF(Item1.3LPP.OnHold4[Pipe],D177)&gt;0,"Sim","Não"),"")</f>
        <v>Sim</v>
      </c>
      <c r="I177" s="445"/>
    </row>
    <row r="178" spans="1:9">
      <c r="A178" s="253">
        <f>IF(Item1.3LPP.OnHold46[[#This Row],[Date]]&lt;&gt;"",WEEKNUM(Item1.3LPP.OnHold46[[#This Row],[Date]]),"")</f>
        <v>30</v>
      </c>
      <c r="B178" s="453">
        <v>46224</v>
      </c>
      <c r="C178" s="271">
        <v>3</v>
      </c>
      <c r="D178" s="585" t="s">
        <v>206</v>
      </c>
      <c r="E178" s="253" t="s">
        <v>627</v>
      </c>
      <c r="F178" s="413" t="s">
        <v>628</v>
      </c>
      <c r="G178" s="413">
        <f>IF(Item1.3LPP.OnHold46[[#This Row],[Pipe]]&lt;&gt;"",COUNTIF(Item1.3LPP.OnHold46[Pipe],D178),"")</f>
        <v>1</v>
      </c>
      <c r="H178" s="413" t="str">
        <f>IF(Item1.3LPP.OnHold46[[#This Row],[Pipe]]&lt;&gt;"",IF(COUNTIF(Item1.3LPP.OnHold4[Pipe],D178)&gt;0,"Sim","Não"),"")</f>
        <v>Sim</v>
      </c>
      <c r="I178" s="445"/>
    </row>
    <row r="179" spans="1:9">
      <c r="A179" s="253">
        <f>IF(Item1.3LPP.OnHold46[[#This Row],[Date]]&lt;&gt;"",WEEKNUM(Item1.3LPP.OnHold46[[#This Row],[Date]]),"")</f>
        <v>30</v>
      </c>
      <c r="B179" s="453">
        <v>46224</v>
      </c>
      <c r="C179" s="271">
        <v>3</v>
      </c>
      <c r="D179" s="585" t="s">
        <v>208</v>
      </c>
      <c r="E179" s="253" t="s">
        <v>627</v>
      </c>
      <c r="F179" s="413" t="s">
        <v>628</v>
      </c>
      <c r="G179" s="413">
        <f>IF(Item1.3LPP.OnHold46[[#This Row],[Pipe]]&lt;&gt;"",COUNTIF(Item1.3LPP.OnHold46[Pipe],D179),"")</f>
        <v>1</v>
      </c>
      <c r="H179" s="413" t="str">
        <f>IF(Item1.3LPP.OnHold46[[#This Row],[Pipe]]&lt;&gt;"",IF(COUNTIF(Item1.3LPP.OnHold4[Pipe],D179)&gt;0,"Sim","Não"),"")</f>
        <v>Não</v>
      </c>
      <c r="I179" s="445"/>
    </row>
    <row r="180" spans="1:9">
      <c r="A180" s="253">
        <f>IF(Item1.3LPP.OnHold46[[#This Row],[Date]]&lt;&gt;"",WEEKNUM(Item1.3LPP.OnHold46[[#This Row],[Date]]),"")</f>
        <v>30</v>
      </c>
      <c r="B180" s="453">
        <v>46224</v>
      </c>
      <c r="C180" s="271">
        <v>3</v>
      </c>
      <c r="D180" s="585" t="s">
        <v>687</v>
      </c>
      <c r="E180" s="253" t="s">
        <v>570</v>
      </c>
      <c r="F180" s="413" t="s">
        <v>628</v>
      </c>
      <c r="G180" s="413">
        <f>IF(Item1.3LPP.OnHold46[[#This Row],[Pipe]]&lt;&gt;"",COUNTIF(Item1.3LPP.OnHold46[Pipe],D180),"")</f>
        <v>1</v>
      </c>
      <c r="H180" s="413" t="str">
        <f>IF(Item1.3LPP.OnHold46[[#This Row],[Pipe]]&lt;&gt;"",IF(COUNTIF(Item1.3LPP.OnHold4[Pipe],D180)&gt;0,"Sim","Não"),"")</f>
        <v>Não</v>
      </c>
      <c r="I180" s="445"/>
    </row>
    <row r="181" spans="1:9">
      <c r="A181" s="253">
        <f>IF(Item1.3LPP.OnHold46[[#This Row],[Date]]&lt;&gt;"",WEEKNUM(Item1.3LPP.OnHold46[[#This Row],[Date]]),"")</f>
        <v>30</v>
      </c>
      <c r="B181" s="453">
        <v>46225</v>
      </c>
      <c r="C181" s="271">
        <v>1</v>
      </c>
      <c r="D181" s="585" t="s">
        <v>614</v>
      </c>
      <c r="E181" s="253" t="s">
        <v>627</v>
      </c>
      <c r="F181" s="413" t="s">
        <v>628</v>
      </c>
      <c r="G181" s="413">
        <f>IF(Item1.3LPP.OnHold46[[#This Row],[Pipe]]&lt;&gt;"",COUNTIF(Item1.3LPP.OnHold46[Pipe],D181),"")</f>
        <v>1</v>
      </c>
      <c r="H181" s="413" t="str">
        <f>IF(Item1.3LPP.OnHold46[[#This Row],[Pipe]]&lt;&gt;"",IF(COUNTIF(Item1.3LPP.OnHold4[Pipe],D181)&gt;0,"Sim","Não"),"")</f>
        <v>Sim</v>
      </c>
      <c r="I181" s="445"/>
    </row>
    <row r="182" spans="1:9">
      <c r="A182" s="253">
        <f>IF(Item1.3LPP.OnHold46[[#This Row],[Date]]&lt;&gt;"",WEEKNUM(Item1.3LPP.OnHold46[[#This Row],[Date]]),"")</f>
        <v>30</v>
      </c>
      <c r="B182" s="453">
        <v>46225</v>
      </c>
      <c r="C182" s="271">
        <v>1</v>
      </c>
      <c r="D182" s="585" t="s">
        <v>626</v>
      </c>
      <c r="E182" s="253" t="s">
        <v>570</v>
      </c>
      <c r="F182" s="413" t="s">
        <v>628</v>
      </c>
      <c r="G182" s="413">
        <f>IF(Item1.3LPP.OnHold46[[#This Row],[Pipe]]&lt;&gt;"",COUNTIF(Item1.3LPP.OnHold46[Pipe],D182),"")</f>
        <v>7</v>
      </c>
      <c r="H182" s="413" t="str">
        <f>IF(Item1.3LPP.OnHold46[[#This Row],[Pipe]]&lt;&gt;"",IF(COUNTIF(Item1.3LPP.OnHold4[Pipe],D182)&gt;0,"Sim","Não"),"")</f>
        <v>Não</v>
      </c>
      <c r="I182" s="445"/>
    </row>
    <row r="183" spans="1:9">
      <c r="A183" s="253">
        <f>IF(Item1.3LPP.OnHold46[[#This Row],[Date]]&lt;&gt;"",WEEKNUM(Item1.3LPP.OnHold46[[#This Row],[Date]]),"")</f>
        <v>30</v>
      </c>
      <c r="B183" s="453">
        <v>46225</v>
      </c>
      <c r="C183" s="271">
        <v>1</v>
      </c>
      <c r="D183" s="585" t="s">
        <v>214</v>
      </c>
      <c r="E183" s="253" t="s">
        <v>627</v>
      </c>
      <c r="F183" s="413" t="s">
        <v>628</v>
      </c>
      <c r="G183" s="413">
        <f>IF(Item1.3LPP.OnHold46[[#This Row],[Pipe]]&lt;&gt;"",COUNTIF(Item1.3LPP.OnHold46[Pipe],D183),"")</f>
        <v>1</v>
      </c>
      <c r="H183" s="413" t="str">
        <f>IF(Item1.3LPP.OnHold46[[#This Row],[Pipe]]&lt;&gt;"",IF(COUNTIF(Item1.3LPP.OnHold4[Pipe],D183)&gt;0,"Sim","Não"),"")</f>
        <v>Não</v>
      </c>
      <c r="I183" s="445"/>
    </row>
    <row r="184" spans="1:9">
      <c r="A184" s="253">
        <f>IF(Item1.3LPP.OnHold46[[#This Row],[Date]]&lt;&gt;"",WEEKNUM(Item1.3LPP.OnHold46[[#This Row],[Date]]),"")</f>
        <v>30</v>
      </c>
      <c r="B184" s="453">
        <v>46225</v>
      </c>
      <c r="C184" s="271">
        <v>1</v>
      </c>
      <c r="D184" s="585" t="s">
        <v>616</v>
      </c>
      <c r="E184" s="253" t="s">
        <v>570</v>
      </c>
      <c r="F184" s="413" t="s">
        <v>628</v>
      </c>
      <c r="G184" s="413">
        <f>IF(Item1.3LPP.OnHold46[[#This Row],[Pipe]]&lt;&gt;"",COUNTIF(Item1.3LPP.OnHold46[Pipe],D184),"")</f>
        <v>1</v>
      </c>
      <c r="H184" s="413" t="str">
        <f>IF(Item1.3LPP.OnHold46[[#This Row],[Pipe]]&lt;&gt;"",IF(COUNTIF(Item1.3LPP.OnHold4[Pipe],D184)&gt;0,"Sim","Não"),"")</f>
        <v>Sim</v>
      </c>
      <c r="I184" s="445"/>
    </row>
    <row r="185" spans="1:9">
      <c r="A185" s="253">
        <f>IF(Item1.3LPP.OnHold46[[#This Row],[Date]]&lt;&gt;"",WEEKNUM(Item1.3LPP.OnHold46[[#This Row],[Date]]),"")</f>
        <v>30</v>
      </c>
      <c r="B185" s="453">
        <v>46225</v>
      </c>
      <c r="C185" s="271">
        <v>1</v>
      </c>
      <c r="D185" s="585" t="s">
        <v>617</v>
      </c>
      <c r="E185" s="253" t="s">
        <v>570</v>
      </c>
      <c r="F185" s="413" t="s">
        <v>628</v>
      </c>
      <c r="G185" s="413">
        <f>IF(Item1.3LPP.OnHold46[[#This Row],[Pipe]]&lt;&gt;"",COUNTIF(Item1.3LPP.OnHold46[Pipe],D185),"")</f>
        <v>1</v>
      </c>
      <c r="H185" s="413" t="str">
        <f>IF(Item1.3LPP.OnHold46[[#This Row],[Pipe]]&lt;&gt;"",IF(COUNTIF(Item1.3LPP.OnHold4[Pipe],D185)&gt;0,"Sim","Não"),"")</f>
        <v>Sim</v>
      </c>
      <c r="I185" s="445"/>
    </row>
    <row r="186" spans="1:9">
      <c r="A186" s="253">
        <f>IF(Item1.3LPP.OnHold46[[#This Row],[Date]]&lt;&gt;"",WEEKNUM(Item1.3LPP.OnHold46[[#This Row],[Date]]),"")</f>
        <v>30</v>
      </c>
      <c r="B186" s="453">
        <v>46225</v>
      </c>
      <c r="C186" s="271">
        <v>2</v>
      </c>
      <c r="D186" s="585" t="s">
        <v>615</v>
      </c>
      <c r="E186" s="253" t="s">
        <v>627</v>
      </c>
      <c r="F186" s="413" t="s">
        <v>628</v>
      </c>
      <c r="G186" s="413">
        <f>IF(Item1.3LPP.OnHold46[[#This Row],[Pipe]]&lt;&gt;"",COUNTIF(Item1.3LPP.OnHold46[Pipe],D186),"")</f>
        <v>1</v>
      </c>
      <c r="H186" s="413" t="str">
        <f>IF(Item1.3LPP.OnHold46[[#This Row],[Pipe]]&lt;&gt;"",IF(COUNTIF(Item1.3LPP.OnHold4[Pipe],D186)&gt;0,"Sim","Não"),"")</f>
        <v>Sim</v>
      </c>
      <c r="I186" s="445"/>
    </row>
    <row r="187" spans="1:9">
      <c r="A187" s="253">
        <f>IF(Item1.3LPP.OnHold46[[#This Row],[Date]]&lt;&gt;"",WEEKNUM(Item1.3LPP.OnHold46[[#This Row],[Date]]),"")</f>
        <v>30</v>
      </c>
      <c r="B187" s="453">
        <v>46225</v>
      </c>
      <c r="C187" s="271">
        <v>2</v>
      </c>
      <c r="D187" s="585" t="s">
        <v>613</v>
      </c>
      <c r="E187" s="253" t="s">
        <v>627</v>
      </c>
      <c r="F187" s="413" t="s">
        <v>628</v>
      </c>
      <c r="G187" s="413">
        <f>IF(Item1.3LPP.OnHold46[[#This Row],[Pipe]]&lt;&gt;"",COUNTIF(Item1.3LPP.OnHold46[Pipe],D187),"")</f>
        <v>3</v>
      </c>
      <c r="H187" s="413" t="str">
        <f>IF(Item1.3LPP.OnHold46[[#This Row],[Pipe]]&lt;&gt;"",IF(COUNTIF(Item1.3LPP.OnHold4[Pipe],D187)&gt;0,"Sim","Não"),"")</f>
        <v>Sim</v>
      </c>
      <c r="I187" s="445"/>
    </row>
    <row r="188" spans="1:9">
      <c r="A188" s="253">
        <f>IF(Item1.3LPP.OnHold46[[#This Row],[Date]]&lt;&gt;"",WEEKNUM(Item1.3LPP.OnHold46[[#This Row],[Date]]),"")</f>
        <v>30</v>
      </c>
      <c r="B188" s="453">
        <v>46225</v>
      </c>
      <c r="C188" s="271">
        <v>2</v>
      </c>
      <c r="D188" s="585" t="s">
        <v>618</v>
      </c>
      <c r="E188" s="253" t="s">
        <v>627</v>
      </c>
      <c r="F188" s="413" t="s">
        <v>628</v>
      </c>
      <c r="G188" s="413">
        <f>IF(Item1.3LPP.OnHold46[[#This Row],[Pipe]]&lt;&gt;"",COUNTIF(Item1.3LPP.OnHold46[Pipe],D188),"")</f>
        <v>1</v>
      </c>
      <c r="H188" s="413" t="str">
        <f>IF(Item1.3LPP.OnHold46[[#This Row],[Pipe]]&lt;&gt;"",IF(COUNTIF(Item1.3LPP.OnHold4[Pipe],D188)&gt;0,"Sim","Não"),"")</f>
        <v>Sim</v>
      </c>
      <c r="I188" s="445"/>
    </row>
    <row r="189" spans="1:9">
      <c r="A189" s="253">
        <f>IF(Item1.3LPP.OnHold46[[#This Row],[Date]]&lt;&gt;"",WEEKNUM(Item1.3LPP.OnHold46[[#This Row],[Date]]),"")</f>
        <v>30</v>
      </c>
      <c r="B189" s="453">
        <v>46225</v>
      </c>
      <c r="C189" s="271">
        <v>2</v>
      </c>
      <c r="D189" s="585" t="s">
        <v>668</v>
      </c>
      <c r="E189" s="253" t="s">
        <v>570</v>
      </c>
      <c r="F189" s="413" t="s">
        <v>628</v>
      </c>
      <c r="G189" s="413">
        <f>IF(Item1.3LPP.OnHold46[[#This Row],[Pipe]]&lt;&gt;"",COUNTIF(Item1.3LPP.OnHold46[Pipe],D189),"")</f>
        <v>6</v>
      </c>
      <c r="H189" s="413" t="str">
        <f>IF(Item1.3LPP.OnHold46[[#This Row],[Pipe]]&lt;&gt;"",IF(COUNTIF(Item1.3LPP.OnHold4[Pipe],D189)&gt;0,"Sim","Não"),"")</f>
        <v>Não</v>
      </c>
      <c r="I189" s="445"/>
    </row>
    <row r="190" spans="1:9">
      <c r="A190" s="253">
        <f>IF(Item1.3LPP.OnHold46[[#This Row],[Date]]&lt;&gt;"",WEEKNUM(Item1.3LPP.OnHold46[[#This Row],[Date]]),"")</f>
        <v>30</v>
      </c>
      <c r="B190" s="453">
        <v>46225</v>
      </c>
      <c r="C190" s="271">
        <v>2</v>
      </c>
      <c r="D190" s="585" t="s">
        <v>685</v>
      </c>
      <c r="E190" s="253" t="s">
        <v>570</v>
      </c>
      <c r="F190" s="413" t="s">
        <v>628</v>
      </c>
      <c r="G190" s="413">
        <f>IF(Item1.3LPP.OnHold46[[#This Row],[Pipe]]&lt;&gt;"",COUNTIF(Item1.3LPP.OnHold46[Pipe],D190),"")</f>
        <v>3</v>
      </c>
      <c r="H190" s="413" t="str">
        <f>IF(Item1.3LPP.OnHold46[[#This Row],[Pipe]]&lt;&gt;"",IF(COUNTIF(Item1.3LPP.OnHold4[Pipe],D190)&gt;0,"Sim","Não"),"")</f>
        <v>Não</v>
      </c>
      <c r="I190" s="445"/>
    </row>
    <row r="191" spans="1:9">
      <c r="A191" s="253">
        <f>IF(Item1.3LPP.OnHold46[[#This Row],[Date]]&lt;&gt;"",WEEKNUM(Item1.3LPP.OnHold46[[#This Row],[Date]]),"")</f>
        <v>30</v>
      </c>
      <c r="B191" s="453">
        <v>46225</v>
      </c>
      <c r="C191" s="271">
        <v>3</v>
      </c>
      <c r="D191" s="585" t="s">
        <v>626</v>
      </c>
      <c r="E191" s="253" t="s">
        <v>627</v>
      </c>
      <c r="F191" s="413" t="s">
        <v>628</v>
      </c>
      <c r="G191" s="413">
        <f>IF(Item1.3LPP.OnHold46[[#This Row],[Pipe]]&lt;&gt;"",COUNTIF(Item1.3LPP.OnHold46[Pipe],D191),"")</f>
        <v>7</v>
      </c>
      <c r="H191" s="413" t="str">
        <f>IF(Item1.3LPP.OnHold46[[#This Row],[Pipe]]&lt;&gt;"",IF(COUNTIF(Item1.3LPP.OnHold4[Pipe],D191)&gt;0,"Sim","Não"),"")</f>
        <v>Não</v>
      </c>
      <c r="I191" s="445"/>
    </row>
    <row r="192" spans="1:9">
      <c r="A192" s="253">
        <f>IF(Item1.3LPP.OnHold46[[#This Row],[Date]]&lt;&gt;"",WEEKNUM(Item1.3LPP.OnHold46[[#This Row],[Date]]),"")</f>
        <v>30</v>
      </c>
      <c r="B192" s="453">
        <v>46225</v>
      </c>
      <c r="C192" s="271">
        <v>3</v>
      </c>
      <c r="D192" s="585" t="s">
        <v>619</v>
      </c>
      <c r="E192" s="253" t="s">
        <v>627</v>
      </c>
      <c r="F192" s="413" t="s">
        <v>628</v>
      </c>
      <c r="G192" s="413">
        <f>IF(Item1.3LPP.OnHold46[[#This Row],[Pipe]]&lt;&gt;"",COUNTIF(Item1.3LPP.OnHold46[Pipe],D192),"")</f>
        <v>1</v>
      </c>
      <c r="H192" s="413" t="str">
        <f>IF(Item1.3LPP.OnHold46[[#This Row],[Pipe]]&lt;&gt;"",IF(COUNTIF(Item1.3LPP.OnHold4[Pipe],D192)&gt;0,"Sim","Não"),"")</f>
        <v>Sim</v>
      </c>
      <c r="I192" s="445"/>
    </row>
    <row r="193" spans="1:9">
      <c r="A193" s="253">
        <f>IF(Item1.3LPP.OnHold46[[#This Row],[Date]]&lt;&gt;"",WEEKNUM(Item1.3LPP.OnHold46[[#This Row],[Date]]),"")</f>
        <v>30</v>
      </c>
      <c r="B193" s="453">
        <v>46225</v>
      </c>
      <c r="C193" s="271">
        <v>3</v>
      </c>
      <c r="D193" s="585" t="s">
        <v>538</v>
      </c>
      <c r="E193" s="253" t="s">
        <v>627</v>
      </c>
      <c r="F193" s="413" t="s">
        <v>628</v>
      </c>
      <c r="G193" s="413">
        <f>IF(Item1.3LPP.OnHold46[[#This Row],[Pipe]]&lt;&gt;"",COUNTIF(Item1.3LPP.OnHold46[Pipe],D193),"")</f>
        <v>1</v>
      </c>
      <c r="H193" s="413" t="str">
        <f>IF(Item1.3LPP.OnHold46[[#This Row],[Pipe]]&lt;&gt;"",IF(COUNTIF(Item1.3LPP.OnHold4[Pipe],D193)&gt;0,"Sim","Não"),"")</f>
        <v>Não</v>
      </c>
      <c r="I193" s="445"/>
    </row>
    <row r="194" spans="1:9">
      <c r="A194" s="253">
        <f>IF(Item1.3LPP.OnHold46[[#This Row],[Date]]&lt;&gt;"",WEEKNUM(Item1.3LPP.OnHold46[[#This Row],[Date]]),"")</f>
        <v>30</v>
      </c>
      <c r="B194" s="453">
        <v>46226</v>
      </c>
      <c r="C194" s="271">
        <v>1</v>
      </c>
      <c r="D194" s="585" t="s">
        <v>637</v>
      </c>
      <c r="E194" s="253" t="s">
        <v>627</v>
      </c>
      <c r="F194" s="413" t="s">
        <v>628</v>
      </c>
      <c r="G194" s="413">
        <f>IF(Item1.3LPP.OnHold46[[#This Row],[Pipe]]&lt;&gt;"",COUNTIF(Item1.3LPP.OnHold46[Pipe],D194),"")</f>
        <v>5</v>
      </c>
      <c r="H194" s="413" t="str">
        <f>IF(Item1.3LPP.OnHold46[[#This Row],[Pipe]]&lt;&gt;"",IF(COUNTIF(Item1.3LPP.OnHold4[Pipe],D194)&gt;0,"Sim","Não"),"")</f>
        <v>Não</v>
      </c>
      <c r="I194" s="445"/>
    </row>
    <row r="195" spans="1:9">
      <c r="A195" s="253">
        <f>IF(Item1.3LPP.OnHold46[[#This Row],[Date]]&lt;&gt;"",WEEKNUM(Item1.3LPP.OnHold46[[#This Row],[Date]]),"")</f>
        <v>30</v>
      </c>
      <c r="B195" s="453">
        <v>46226</v>
      </c>
      <c r="C195" s="271">
        <v>1</v>
      </c>
      <c r="D195" s="585" t="s">
        <v>629</v>
      </c>
      <c r="E195" s="253" t="s">
        <v>627</v>
      </c>
      <c r="F195" s="413" t="s">
        <v>628</v>
      </c>
      <c r="G195" s="413">
        <f>IF(Item1.3LPP.OnHold46[[#This Row],[Pipe]]&lt;&gt;"",COUNTIF(Item1.3LPP.OnHold46[Pipe],D195),"")</f>
        <v>7</v>
      </c>
      <c r="H195" s="413" t="str">
        <f>IF(Item1.3LPP.OnHold46[[#This Row],[Pipe]]&lt;&gt;"",IF(COUNTIF(Item1.3LPP.OnHold4[Pipe],D195)&gt;0,"Sim","Não"),"")</f>
        <v>Não</v>
      </c>
      <c r="I195" s="445"/>
    </row>
    <row r="196" spans="1:9">
      <c r="A196" s="253">
        <f>IF(Item1.3LPP.OnHold46[[#This Row],[Date]]&lt;&gt;"",WEEKNUM(Item1.3LPP.OnHold46[[#This Row],[Date]]),"")</f>
        <v>30</v>
      </c>
      <c r="B196" s="453">
        <v>46226</v>
      </c>
      <c r="C196" s="271">
        <v>1</v>
      </c>
      <c r="D196" s="585" t="s">
        <v>608</v>
      </c>
      <c r="E196" s="253" t="s">
        <v>627</v>
      </c>
      <c r="F196" s="413" t="s">
        <v>628</v>
      </c>
      <c r="G196" s="413">
        <f>IF(Item1.3LPP.OnHold46[[#This Row],[Pipe]]&lt;&gt;"",COUNTIF(Item1.3LPP.OnHold46[Pipe],D196),"")</f>
        <v>1</v>
      </c>
      <c r="H196" s="413" t="str">
        <f>IF(Item1.3LPP.OnHold46[[#This Row],[Pipe]]&lt;&gt;"",IF(COUNTIF(Item1.3LPP.OnHold4[Pipe],D196)&gt;0,"Sim","Não"),"")</f>
        <v>Sim</v>
      </c>
      <c r="I196" s="445"/>
    </row>
    <row r="197" spans="1:9">
      <c r="A197" s="253">
        <f>IF(Item1.3LPP.OnHold46[[#This Row],[Date]]&lt;&gt;"",WEEKNUM(Item1.3LPP.OnHold46[[#This Row],[Date]]),"")</f>
        <v>30</v>
      </c>
      <c r="B197" s="453">
        <v>46226</v>
      </c>
      <c r="C197" s="271">
        <v>1</v>
      </c>
      <c r="D197" s="585" t="s">
        <v>168</v>
      </c>
      <c r="E197" s="253" t="s">
        <v>627</v>
      </c>
      <c r="F197" s="413" t="s">
        <v>628</v>
      </c>
      <c r="G197" s="413">
        <f>IF(Item1.3LPP.OnHold46[[#This Row],[Pipe]]&lt;&gt;"",COUNTIF(Item1.3LPP.OnHold46[Pipe],D197),"")</f>
        <v>1</v>
      </c>
      <c r="H197" s="413" t="str">
        <f>IF(Item1.3LPP.OnHold46[[#This Row],[Pipe]]&lt;&gt;"",IF(COUNTIF(Item1.3LPP.OnHold4[Pipe],D197)&gt;0,"Sim","Não"),"")</f>
        <v>Sim</v>
      </c>
      <c r="I197" s="445"/>
    </row>
    <row r="198" spans="1:9">
      <c r="A198" s="253">
        <f>IF(Item1.3LPP.OnHold46[[#This Row],[Date]]&lt;&gt;"",WEEKNUM(Item1.3LPP.OnHold46[[#This Row],[Date]]),"")</f>
        <v>30</v>
      </c>
      <c r="B198" s="453">
        <v>46226</v>
      </c>
      <c r="C198" s="271">
        <v>1</v>
      </c>
      <c r="D198" s="585" t="s">
        <v>688</v>
      </c>
      <c r="E198" s="253" t="s">
        <v>627</v>
      </c>
      <c r="F198" s="413" t="s">
        <v>628</v>
      </c>
      <c r="G198" s="413">
        <f>IF(Item1.3LPP.OnHold46[[#This Row],[Pipe]]&lt;&gt;"",COUNTIF(Item1.3LPP.OnHold46[Pipe],D198),"")</f>
        <v>1</v>
      </c>
      <c r="H198" s="413" t="str">
        <f>IF(Item1.3LPP.OnHold46[[#This Row],[Pipe]]&lt;&gt;"",IF(COUNTIF(Item1.3LPP.OnHold4[Pipe],D198)&gt;0,"Sim","Não"),"")</f>
        <v>Não</v>
      </c>
      <c r="I198" s="445"/>
    </row>
    <row r="199" spans="1:9">
      <c r="A199" s="253">
        <f>IF(Item1.3LPP.OnHold46[[#This Row],[Date]]&lt;&gt;"",WEEKNUM(Item1.3LPP.OnHold46[[#This Row],[Date]]),"")</f>
        <v>30</v>
      </c>
      <c r="B199" s="453">
        <v>46226</v>
      </c>
      <c r="C199" s="271">
        <v>1</v>
      </c>
      <c r="D199" s="585" t="s">
        <v>227</v>
      </c>
      <c r="E199" s="253" t="s">
        <v>570</v>
      </c>
      <c r="F199" s="413" t="s">
        <v>628</v>
      </c>
      <c r="G199" s="413">
        <f>IF(Item1.3LPP.OnHold46[[#This Row],[Pipe]]&lt;&gt;"",COUNTIF(Item1.3LPP.OnHold46[Pipe],D199),"")</f>
        <v>1</v>
      </c>
      <c r="H199" s="413" t="str">
        <f>IF(Item1.3LPP.OnHold46[[#This Row],[Pipe]]&lt;&gt;"",IF(COUNTIF(Item1.3LPP.OnHold4[Pipe],D199)&gt;0,"Sim","Não"),"")</f>
        <v>Sim</v>
      </c>
      <c r="I199" s="445"/>
    </row>
    <row r="200" spans="1:9">
      <c r="A200" s="253">
        <f>IF(Item1.3LPP.OnHold46[[#This Row],[Date]]&lt;&gt;"",WEEKNUM(Item1.3LPP.OnHold46[[#This Row],[Date]]),"")</f>
        <v>30</v>
      </c>
      <c r="B200" s="453">
        <v>46226</v>
      </c>
      <c r="C200" s="271">
        <v>2</v>
      </c>
      <c r="D200" s="585" t="s">
        <v>689</v>
      </c>
      <c r="E200" s="253" t="s">
        <v>570</v>
      </c>
      <c r="F200" s="413" t="s">
        <v>628</v>
      </c>
      <c r="G200" s="413">
        <f>IF(Item1.3LPP.OnHold46[[#This Row],[Pipe]]&lt;&gt;"",COUNTIF(Item1.3LPP.OnHold46[Pipe],D200),"")</f>
        <v>1</v>
      </c>
      <c r="H200" s="413" t="str">
        <f>IF(Item1.3LPP.OnHold46[[#This Row],[Pipe]]&lt;&gt;"",IF(COUNTIF(Item1.3LPP.OnHold4[Pipe],D200)&gt;0,"Sim","Não"),"")</f>
        <v>Não</v>
      </c>
      <c r="I200" s="445"/>
    </row>
    <row r="201" spans="1:9">
      <c r="A201" s="253">
        <f>IF(Item1.3LPP.OnHold46[[#This Row],[Date]]&lt;&gt;"",WEEKNUM(Item1.3LPP.OnHold46[[#This Row],[Date]]),"")</f>
        <v>30</v>
      </c>
      <c r="B201" s="453">
        <v>46226</v>
      </c>
      <c r="C201" s="271">
        <v>2</v>
      </c>
      <c r="D201" s="585" t="s">
        <v>193</v>
      </c>
      <c r="E201" s="253" t="s">
        <v>570</v>
      </c>
      <c r="F201" s="413" t="s">
        <v>628</v>
      </c>
      <c r="G201" s="413">
        <f>IF(Item1.3LPP.OnHold46[[#This Row],[Pipe]]&lt;&gt;"",COUNTIF(Item1.3LPP.OnHold46[Pipe],D201),"")</f>
        <v>3</v>
      </c>
      <c r="H201" s="413" t="str">
        <f>IF(Item1.3LPP.OnHold46[[#This Row],[Pipe]]&lt;&gt;"",IF(COUNTIF(Item1.3LPP.OnHold4[Pipe],D201)&gt;0,"Sim","Não"),"")</f>
        <v>Sim</v>
      </c>
      <c r="I201" s="445"/>
    </row>
    <row r="202" spans="1:9">
      <c r="A202" s="253">
        <f>IF(Item1.3LPP.OnHold46[[#This Row],[Date]]&lt;&gt;"",WEEKNUM(Item1.3LPP.OnHold46[[#This Row],[Date]]),"")</f>
        <v>30</v>
      </c>
      <c r="B202" s="453">
        <v>46226</v>
      </c>
      <c r="C202" s="271">
        <v>2</v>
      </c>
      <c r="D202" s="585" t="s">
        <v>223</v>
      </c>
      <c r="E202" s="253" t="s">
        <v>627</v>
      </c>
      <c r="F202" s="413" t="s">
        <v>628</v>
      </c>
      <c r="G202" s="413">
        <f>IF(Item1.3LPP.OnHold46[[#This Row],[Pipe]]&lt;&gt;"",COUNTIF(Item1.3LPP.OnHold46[Pipe],D202),"")</f>
        <v>1</v>
      </c>
      <c r="H202" s="413" t="str">
        <f>IF(Item1.3LPP.OnHold46[[#This Row],[Pipe]]&lt;&gt;"",IF(COUNTIF(Item1.3LPP.OnHold4[Pipe],D202)&gt;0,"Sim","Não"),"")</f>
        <v>Sim</v>
      </c>
      <c r="I202" s="445"/>
    </row>
    <row r="203" spans="1:9">
      <c r="A203" s="253">
        <f>IF(Item1.3LPP.OnHold46[[#This Row],[Date]]&lt;&gt;"",WEEKNUM(Item1.3LPP.OnHold46[[#This Row],[Date]]),"")</f>
        <v>30</v>
      </c>
      <c r="B203" s="453">
        <v>46226</v>
      </c>
      <c r="C203" s="271">
        <v>2</v>
      </c>
      <c r="D203" s="585" t="s">
        <v>626</v>
      </c>
      <c r="E203" s="253" t="s">
        <v>627</v>
      </c>
      <c r="F203" s="413" t="s">
        <v>628</v>
      </c>
      <c r="G203" s="413">
        <f>IF(Item1.3LPP.OnHold46[[#This Row],[Pipe]]&lt;&gt;"",COUNTIF(Item1.3LPP.OnHold46[Pipe],D203),"")</f>
        <v>7</v>
      </c>
      <c r="H203" s="413" t="str">
        <f>IF(Item1.3LPP.OnHold46[[#This Row],[Pipe]]&lt;&gt;"",IF(COUNTIF(Item1.3LPP.OnHold4[Pipe],D203)&gt;0,"Sim","Não"),"")</f>
        <v>Não</v>
      </c>
      <c r="I203" s="445"/>
    </row>
    <row r="204" spans="1:9">
      <c r="A204" s="253">
        <f>IF(Item1.3LPP.OnHold46[[#This Row],[Date]]&lt;&gt;"",WEEKNUM(Item1.3LPP.OnHold46[[#This Row],[Date]]),"")</f>
        <v>30</v>
      </c>
      <c r="B204" s="453">
        <v>46226</v>
      </c>
      <c r="C204" s="271">
        <v>2</v>
      </c>
      <c r="D204" s="585" t="s">
        <v>690</v>
      </c>
      <c r="E204" s="253" t="s">
        <v>627</v>
      </c>
      <c r="F204" s="413" t="s">
        <v>628</v>
      </c>
      <c r="G204" s="413">
        <f>IF(Item1.3LPP.OnHold46[[#This Row],[Pipe]]&lt;&gt;"",COUNTIF(Item1.3LPP.OnHold46[Pipe],D204),"")</f>
        <v>1</v>
      </c>
      <c r="H204" s="413" t="str">
        <f>IF(Item1.3LPP.OnHold46[[#This Row],[Pipe]]&lt;&gt;"",IF(COUNTIF(Item1.3LPP.OnHold4[Pipe],D204)&gt;0,"Sim","Não"),"")</f>
        <v>Não</v>
      </c>
      <c r="I204" s="445"/>
    </row>
    <row r="205" spans="1:9">
      <c r="A205" s="253">
        <f>IF(Item1.3LPP.OnHold46[[#This Row],[Date]]&lt;&gt;"",WEEKNUM(Item1.3LPP.OnHold46[[#This Row],[Date]]),"")</f>
        <v>30</v>
      </c>
      <c r="B205" s="453">
        <v>46226</v>
      </c>
      <c r="C205" s="271">
        <v>3</v>
      </c>
      <c r="D205" s="585" t="s">
        <v>176</v>
      </c>
      <c r="E205" s="253" t="s">
        <v>627</v>
      </c>
      <c r="F205" s="413" t="s">
        <v>628</v>
      </c>
      <c r="G205" s="413">
        <f>IF(Item1.3LPP.OnHold46[[#This Row],[Pipe]]&lt;&gt;"",COUNTIF(Item1.3LPP.OnHold46[Pipe],D205),"")</f>
        <v>3</v>
      </c>
      <c r="H205" s="413" t="str">
        <f>IF(Item1.3LPP.OnHold46[[#This Row],[Pipe]]&lt;&gt;"",IF(COUNTIF(Item1.3LPP.OnHold4[Pipe],D205)&gt;0,"Sim","Não"),"")</f>
        <v>Não</v>
      </c>
      <c r="I205" s="445" t="s">
        <v>644</v>
      </c>
    </row>
    <row r="206" spans="1:9">
      <c r="A206" s="253">
        <f>IF(Item1.3LPP.OnHold46[[#This Row],[Date]]&lt;&gt;"",WEEKNUM(Item1.3LPP.OnHold46[[#This Row],[Date]]),"")</f>
        <v>30</v>
      </c>
      <c r="B206" s="453">
        <v>46226</v>
      </c>
      <c r="C206" s="271">
        <v>3</v>
      </c>
      <c r="D206" s="585" t="s">
        <v>668</v>
      </c>
      <c r="E206" s="253" t="s">
        <v>627</v>
      </c>
      <c r="F206" s="413" t="s">
        <v>628</v>
      </c>
      <c r="G206" s="413">
        <f>IF(Item1.3LPP.OnHold46[[#This Row],[Pipe]]&lt;&gt;"",COUNTIF(Item1.3LPP.OnHold46[Pipe],D206),"")</f>
        <v>6</v>
      </c>
      <c r="H206" s="413" t="str">
        <f>IF(Item1.3LPP.OnHold46[[#This Row],[Pipe]]&lt;&gt;"",IF(COUNTIF(Item1.3LPP.OnHold4[Pipe],D206)&gt;0,"Sim","Não"),"")</f>
        <v>Não</v>
      </c>
      <c r="I206" s="445"/>
    </row>
    <row r="207" spans="1:9">
      <c r="A207" s="253">
        <f>IF(Item1.3LPP.OnHold46[[#This Row],[Date]]&lt;&gt;"",WEEKNUM(Item1.3LPP.OnHold46[[#This Row],[Date]]),"")</f>
        <v>30</v>
      </c>
      <c r="B207" s="453">
        <v>46226</v>
      </c>
      <c r="C207" s="271">
        <v>3</v>
      </c>
      <c r="D207" s="585" t="s">
        <v>685</v>
      </c>
      <c r="E207" s="253" t="s">
        <v>627</v>
      </c>
      <c r="F207" s="413" t="s">
        <v>628</v>
      </c>
      <c r="G207" s="413">
        <f>IF(Item1.3LPP.OnHold46[[#This Row],[Pipe]]&lt;&gt;"",COUNTIF(Item1.3LPP.OnHold46[Pipe],D207),"")</f>
        <v>3</v>
      </c>
      <c r="H207" s="413" t="str">
        <f>IF(Item1.3LPP.OnHold46[[#This Row],[Pipe]]&lt;&gt;"",IF(COUNTIF(Item1.3LPP.OnHold4[Pipe],D207)&gt;0,"Sim","Não"),"")</f>
        <v>Não</v>
      </c>
      <c r="I207" s="445"/>
    </row>
    <row r="208" spans="1:9">
      <c r="A208" s="253">
        <f>IF(Item1.3LPP.OnHold46[[#This Row],[Date]]&lt;&gt;"",WEEKNUM(Item1.3LPP.OnHold46[[#This Row],[Date]]),"")</f>
        <v>30</v>
      </c>
      <c r="B208" s="453">
        <v>46227</v>
      </c>
      <c r="C208" s="271">
        <v>1</v>
      </c>
      <c r="D208" s="585" t="s">
        <v>613</v>
      </c>
      <c r="E208" s="259" t="s">
        <v>570</v>
      </c>
      <c r="F208" s="413" t="s">
        <v>628</v>
      </c>
      <c r="G208" s="413">
        <f>IF(Item1.3LPP.OnHold46[[#This Row],[Pipe]]&lt;&gt;"",COUNTIF(Item1.3LPP.OnHold46[Pipe],D208),"")</f>
        <v>3</v>
      </c>
      <c r="H208" s="413" t="str">
        <f>IF(Item1.3LPP.OnHold46[[#This Row],[Pipe]]&lt;&gt;"",IF(COUNTIF(Item1.3LPP.OnHold4[Pipe],D208)&gt;0,"Sim","Não"),"")</f>
        <v>Sim</v>
      </c>
      <c r="I208" s="445"/>
    </row>
    <row r="209" spans="1:9">
      <c r="A209" s="253">
        <f>IF(Item1.3LPP.OnHold46[[#This Row],[Date]]&lt;&gt;"",WEEKNUM(Item1.3LPP.OnHold46[[#This Row],[Date]]),"")</f>
        <v>30</v>
      </c>
      <c r="B209" s="453">
        <v>46227</v>
      </c>
      <c r="C209" s="271">
        <v>1</v>
      </c>
      <c r="D209" s="585" t="s">
        <v>636</v>
      </c>
      <c r="E209" s="259" t="s">
        <v>570</v>
      </c>
      <c r="F209" s="413" t="s">
        <v>628</v>
      </c>
      <c r="G209" s="413">
        <f>IF(Item1.3LPP.OnHold46[[#This Row],[Pipe]]&lt;&gt;"",COUNTIF(Item1.3LPP.OnHold46[Pipe],D209),"")</f>
        <v>6</v>
      </c>
      <c r="H209" s="413" t="str">
        <f>IF(Item1.3LPP.OnHold46[[#This Row],[Pipe]]&lt;&gt;"",IF(COUNTIF(Item1.3LPP.OnHold4[Pipe],D209)&gt;0,"Sim","Não"),"")</f>
        <v>Não</v>
      </c>
      <c r="I209" s="445"/>
    </row>
    <row r="210" spans="1:9">
      <c r="A210" s="253">
        <f>IF(Item1.3LPP.OnHold46[[#This Row],[Date]]&lt;&gt;"",WEEKNUM(Item1.3LPP.OnHold46[[#This Row],[Date]]),"")</f>
        <v>30</v>
      </c>
      <c r="B210" s="453">
        <v>46227</v>
      </c>
      <c r="C210" s="271">
        <v>1</v>
      </c>
      <c r="D210" s="585" t="s">
        <v>679</v>
      </c>
      <c r="E210" s="259" t="s">
        <v>570</v>
      </c>
      <c r="F210" s="413" t="s">
        <v>628</v>
      </c>
      <c r="G210" s="413">
        <f>IF(Item1.3LPP.OnHold46[[#This Row],[Pipe]]&lt;&gt;"",COUNTIF(Item1.3LPP.OnHold46[Pipe],D210),"")</f>
        <v>3</v>
      </c>
      <c r="H210" s="413" t="str">
        <f>IF(Item1.3LPP.OnHold46[[#This Row],[Pipe]]&lt;&gt;"",IF(COUNTIF(Item1.3LPP.OnHold4[Pipe],D210)&gt;0,"Sim","Não"),"")</f>
        <v>Não</v>
      </c>
      <c r="I210" s="445"/>
    </row>
    <row r="211" spans="1:9">
      <c r="A211" s="253">
        <f>IF(Item1.3LPP.OnHold46[[#This Row],[Date]]&lt;&gt;"",WEEKNUM(Item1.3LPP.OnHold46[[#This Row],[Date]]),"")</f>
        <v>30</v>
      </c>
      <c r="B211" s="453">
        <v>46227</v>
      </c>
      <c r="C211" s="271">
        <v>1</v>
      </c>
      <c r="D211" s="585" t="s">
        <v>621</v>
      </c>
      <c r="E211" s="259" t="s">
        <v>570</v>
      </c>
      <c r="F211" s="413" t="s">
        <v>628</v>
      </c>
      <c r="G211" s="413">
        <f>IF(Item1.3LPP.OnHold46[[#This Row],[Pipe]]&lt;&gt;"",COUNTIF(Item1.3LPP.OnHold46[Pipe],D211),"")</f>
        <v>1</v>
      </c>
      <c r="H211" s="413" t="str">
        <f>IF(Item1.3LPP.OnHold46[[#This Row],[Pipe]]&lt;&gt;"",IF(COUNTIF(Item1.3LPP.OnHold4[Pipe],D211)&gt;0,"Sim","Não"),"")</f>
        <v>Sim</v>
      </c>
      <c r="I211" s="445"/>
    </row>
    <row r="212" spans="1:9">
      <c r="A212" s="253">
        <f>IF(Item1.3LPP.OnHold46[[#This Row],[Date]]&lt;&gt;"",WEEKNUM(Item1.3LPP.OnHold46[[#This Row],[Date]]),"")</f>
        <v>30</v>
      </c>
      <c r="B212" s="453">
        <v>46227</v>
      </c>
      <c r="C212" s="271">
        <v>1</v>
      </c>
      <c r="D212" s="585" t="s">
        <v>622</v>
      </c>
      <c r="E212" s="253" t="s">
        <v>627</v>
      </c>
      <c r="F212" s="413" t="s">
        <v>628</v>
      </c>
      <c r="G212" s="413">
        <f>IF(Item1.3LPP.OnHold46[[#This Row],[Pipe]]&lt;&gt;"",COUNTIF(Item1.3LPP.OnHold46[Pipe],D212),"")</f>
        <v>1</v>
      </c>
      <c r="H212" s="413" t="str">
        <f>IF(Item1.3LPP.OnHold46[[#This Row],[Pipe]]&lt;&gt;"",IF(COUNTIF(Item1.3LPP.OnHold4[Pipe],D212)&gt;0,"Sim","Não"),"")</f>
        <v>Sim</v>
      </c>
      <c r="I212" s="445"/>
    </row>
    <row r="213" spans="1:9">
      <c r="A213" s="253">
        <f>IF(Item1.3LPP.OnHold46[[#This Row],[Date]]&lt;&gt;"",WEEKNUM(Item1.3LPP.OnHold46[[#This Row],[Date]]),"")</f>
        <v>30</v>
      </c>
      <c r="B213" s="453">
        <v>46227</v>
      </c>
      <c r="C213" s="271">
        <v>2</v>
      </c>
      <c r="D213" s="585" t="s">
        <v>691</v>
      </c>
      <c r="E213" s="253" t="s">
        <v>627</v>
      </c>
      <c r="F213" s="413" t="s">
        <v>628</v>
      </c>
      <c r="G213" s="413">
        <f>IF(Item1.3LPP.OnHold46[[#This Row],[Pipe]]&lt;&gt;"",COUNTIF(Item1.3LPP.OnHold46[Pipe],D213),"")</f>
        <v>1</v>
      </c>
      <c r="H213" s="413" t="str">
        <f>IF(Item1.3LPP.OnHold46[[#This Row],[Pipe]]&lt;&gt;"",IF(COUNTIF(Item1.3LPP.OnHold4[Pipe],D213)&gt;0,"Sim","Não"),"")</f>
        <v>Não</v>
      </c>
      <c r="I213" s="445"/>
    </row>
    <row r="214" spans="1:9">
      <c r="A214" s="253">
        <f>IF(Item1.3LPP.OnHold46[[#This Row],[Date]]&lt;&gt;"",WEEKNUM(Item1.3LPP.OnHold46[[#This Row],[Date]]),"")</f>
        <v>30</v>
      </c>
      <c r="B214" s="453">
        <v>46227</v>
      </c>
      <c r="C214" s="271">
        <v>2</v>
      </c>
      <c r="D214" s="585" t="s">
        <v>692</v>
      </c>
      <c r="E214" s="259" t="s">
        <v>570</v>
      </c>
      <c r="F214" s="413" t="s">
        <v>628</v>
      </c>
      <c r="G214" s="413">
        <f>IF(Item1.3LPP.OnHold46[[#This Row],[Pipe]]&lt;&gt;"",COUNTIF(Item1.3LPP.OnHold46[Pipe],D214),"")</f>
        <v>1</v>
      </c>
      <c r="H214" s="413" t="str">
        <f>IF(Item1.3LPP.OnHold46[[#This Row],[Pipe]]&lt;&gt;"",IF(COUNTIF(Item1.3LPP.OnHold4[Pipe],D214)&gt;0,"Sim","Não"),"")</f>
        <v>Não</v>
      </c>
      <c r="I214" s="445"/>
    </row>
    <row r="215" spans="1:9">
      <c r="A215" s="253">
        <f>IF(Item1.3LPP.OnHold46[[#This Row],[Date]]&lt;&gt;"",WEEKNUM(Item1.3LPP.OnHold46[[#This Row],[Date]]),"")</f>
        <v>30</v>
      </c>
      <c r="B215" s="453">
        <v>46227</v>
      </c>
      <c r="C215" s="271">
        <v>2</v>
      </c>
      <c r="D215" s="585" t="s">
        <v>232</v>
      </c>
      <c r="E215" s="253" t="s">
        <v>627</v>
      </c>
      <c r="F215" s="413" t="s">
        <v>628</v>
      </c>
      <c r="G215" s="413">
        <f>IF(Item1.3LPP.OnHold46[[#This Row],[Pipe]]&lt;&gt;"",COUNTIF(Item1.3LPP.OnHold46[Pipe],D215),"")</f>
        <v>1</v>
      </c>
      <c r="H215" s="413" t="str">
        <f>IF(Item1.3LPP.OnHold46[[#This Row],[Pipe]]&lt;&gt;"",IF(COUNTIF(Item1.3LPP.OnHold4[Pipe],D215)&gt;0,"Sim","Não"),"")</f>
        <v>Sim</v>
      </c>
      <c r="I215" s="445"/>
    </row>
    <row r="216" spans="1:9">
      <c r="A216" s="253">
        <f>IF(Item1.3LPP.OnHold46[[#This Row],[Date]]&lt;&gt;"",WEEKNUM(Item1.3LPP.OnHold46[[#This Row],[Date]]),"")</f>
        <v>30</v>
      </c>
      <c r="B216" s="453">
        <v>46227</v>
      </c>
      <c r="C216" s="271">
        <v>2</v>
      </c>
      <c r="D216" s="585" t="s">
        <v>233</v>
      </c>
      <c r="E216" s="253" t="s">
        <v>627</v>
      </c>
      <c r="F216" s="413" t="s">
        <v>628</v>
      </c>
      <c r="G216" s="413">
        <f>IF(Item1.3LPP.OnHold46[[#This Row],[Pipe]]&lt;&gt;"",COUNTIF(Item1.3LPP.OnHold46[Pipe],D216),"")</f>
        <v>1</v>
      </c>
      <c r="H216" s="413" t="str">
        <f>IF(Item1.3LPP.OnHold46[[#This Row],[Pipe]]&lt;&gt;"",IF(COUNTIF(Item1.3LPP.OnHold4[Pipe],D216)&gt;0,"Sim","Não"),"")</f>
        <v>Sim</v>
      </c>
      <c r="I216" s="445"/>
    </row>
    <row r="217" spans="1:9">
      <c r="A217" s="253">
        <f>IF(Item1.3LPP.OnHold46[[#This Row],[Date]]&lt;&gt;"",WEEKNUM(Item1.3LPP.OnHold46[[#This Row],[Date]]),"")</f>
        <v>30</v>
      </c>
      <c r="B217" s="453">
        <v>46227</v>
      </c>
      <c r="C217" s="271">
        <v>2</v>
      </c>
      <c r="D217" s="585" t="s">
        <v>693</v>
      </c>
      <c r="E217" s="253" t="s">
        <v>627</v>
      </c>
      <c r="F217" s="413" t="s">
        <v>628</v>
      </c>
      <c r="G217" s="413">
        <f>IF(Item1.3LPP.OnHold46[[#This Row],[Pipe]]&lt;&gt;"",COUNTIF(Item1.3LPP.OnHold46[Pipe],D217),"")</f>
        <v>1</v>
      </c>
      <c r="H217" s="413" t="str">
        <f>IF(Item1.3LPP.OnHold46[[#This Row],[Pipe]]&lt;&gt;"",IF(COUNTIF(Item1.3LPP.OnHold4[Pipe],D217)&gt;0,"Sim","Não"),"")</f>
        <v>Não</v>
      </c>
      <c r="I217" s="445"/>
    </row>
    <row r="218" spans="1:9">
      <c r="A218" s="253">
        <f>IF(Item1.3LPP.OnHold46[[#This Row],[Date]]&lt;&gt;"",WEEKNUM(Item1.3LPP.OnHold46[[#This Row],[Date]]),"")</f>
        <v>30</v>
      </c>
      <c r="B218" s="453">
        <v>46227</v>
      </c>
      <c r="C218" s="271">
        <v>2</v>
      </c>
      <c r="D218" s="585" t="s">
        <v>636</v>
      </c>
      <c r="E218" s="259" t="s">
        <v>570</v>
      </c>
      <c r="F218" s="413" t="s">
        <v>628</v>
      </c>
      <c r="G218" s="413">
        <f>IF(Item1.3LPP.OnHold46[[#This Row],[Pipe]]&lt;&gt;"",COUNTIF(Item1.3LPP.OnHold46[Pipe],D218),"")</f>
        <v>6</v>
      </c>
      <c r="H218" s="413" t="str">
        <f>IF(Item1.3LPP.OnHold46[[#This Row],[Pipe]]&lt;&gt;"",IF(COUNTIF(Item1.3LPP.OnHold4[Pipe],D218)&gt;0,"Sim","Não"),"")</f>
        <v>Não</v>
      </c>
      <c r="I218" s="445"/>
    </row>
    <row r="219" spans="1:9">
      <c r="A219" s="253">
        <f>IF(Item1.3LPP.OnHold46[[#This Row],[Date]]&lt;&gt;"",WEEKNUM(Item1.3LPP.OnHold46[[#This Row],[Date]]),"")</f>
        <v>30</v>
      </c>
      <c r="B219" s="453">
        <v>46228</v>
      </c>
      <c r="C219" s="271">
        <v>1</v>
      </c>
      <c r="D219" s="585" t="s">
        <v>694</v>
      </c>
      <c r="E219" s="253" t="s">
        <v>627</v>
      </c>
      <c r="F219" s="413" t="s">
        <v>628</v>
      </c>
      <c r="G219" s="413">
        <f>IF(Item1.3LPP.OnHold46[[#This Row],[Pipe]]&lt;&gt;"",COUNTIF(Item1.3LPP.OnHold46[Pipe],D219),"")</f>
        <v>1</v>
      </c>
      <c r="H219" s="413" t="str">
        <f>IF(Item1.3LPP.OnHold46[[#This Row],[Pipe]]&lt;&gt;"",IF(COUNTIF(Item1.3LPP.OnHold4[Pipe],D219)&gt;0,"Sim","Não"),"")</f>
        <v>Não</v>
      </c>
      <c r="I219" s="445"/>
    </row>
    <row r="220" spans="1:9">
      <c r="A220" s="253">
        <f>IF(Item1.3LPP.OnHold46[[#This Row],[Date]]&lt;&gt;"",WEEKNUM(Item1.3LPP.OnHold46[[#This Row],[Date]]),"")</f>
        <v>30</v>
      </c>
      <c r="B220" s="453">
        <v>46228</v>
      </c>
      <c r="C220" s="271">
        <v>1</v>
      </c>
      <c r="D220" s="585" t="s">
        <v>637</v>
      </c>
      <c r="E220" s="259" t="s">
        <v>570</v>
      </c>
      <c r="F220" s="413" t="s">
        <v>628</v>
      </c>
      <c r="G220" s="413">
        <f>IF(Item1.3LPP.OnHold46[[#This Row],[Pipe]]&lt;&gt;"",COUNTIF(Item1.3LPP.OnHold46[Pipe],D220),"")</f>
        <v>5</v>
      </c>
      <c r="H220" s="413" t="str">
        <f>IF(Item1.3LPP.OnHold46[[#This Row],[Pipe]]&lt;&gt;"",IF(COUNTIF(Item1.3LPP.OnHold4[Pipe],D220)&gt;0,"Sim","Não"),"")</f>
        <v>Não</v>
      </c>
      <c r="I220" s="445"/>
    </row>
    <row r="221" spans="1:9">
      <c r="A221" s="253">
        <f>IF(Item1.3LPP.OnHold46[[#This Row],[Date]]&lt;&gt;"",WEEKNUM(Item1.3LPP.OnHold46[[#This Row],[Date]]),"")</f>
        <v>30</v>
      </c>
      <c r="B221" s="453">
        <v>46228</v>
      </c>
      <c r="C221" s="271">
        <v>1</v>
      </c>
      <c r="D221" s="585" t="s">
        <v>695</v>
      </c>
      <c r="E221" s="259" t="s">
        <v>570</v>
      </c>
      <c r="F221" s="413" t="s">
        <v>628</v>
      </c>
      <c r="G221" s="413">
        <f>IF(Item1.3LPP.OnHold46[[#This Row],[Pipe]]&lt;&gt;"",COUNTIF(Item1.3LPP.OnHold46[Pipe],D221),"")</f>
        <v>1</v>
      </c>
      <c r="H221" s="413" t="str">
        <f>IF(Item1.3LPP.OnHold46[[#This Row],[Pipe]]&lt;&gt;"",IF(COUNTIF(Item1.3LPP.OnHold4[Pipe],D221)&gt;0,"Sim","Não"),"")</f>
        <v>Não</v>
      </c>
      <c r="I221" s="445"/>
    </row>
    <row r="222" spans="1:9">
      <c r="A222" s="253">
        <f>IF(Item1.3LPP.OnHold46[[#This Row],[Date]]&lt;&gt;"",WEEKNUM(Item1.3LPP.OnHold46[[#This Row],[Date]]),"")</f>
        <v>30</v>
      </c>
      <c r="B222" s="453">
        <v>46228</v>
      </c>
      <c r="C222" s="271">
        <v>1</v>
      </c>
      <c r="D222" s="585" t="s">
        <v>668</v>
      </c>
      <c r="E222" s="253" t="s">
        <v>627</v>
      </c>
      <c r="F222" s="413" t="s">
        <v>628</v>
      </c>
      <c r="G222" s="413">
        <f>IF(Item1.3LPP.OnHold46[[#This Row],[Pipe]]&lt;&gt;"",COUNTIF(Item1.3LPP.OnHold46[Pipe],D222),"")</f>
        <v>6</v>
      </c>
      <c r="H222" s="413" t="str">
        <f>IF(Item1.3LPP.OnHold46[[#This Row],[Pipe]]&lt;&gt;"",IF(COUNTIF(Item1.3LPP.OnHold4[Pipe],D222)&gt;0,"Sim","Não"),"")</f>
        <v>Não</v>
      </c>
      <c r="I222" s="445"/>
    </row>
    <row r="223" spans="1:9">
      <c r="A223" s="253">
        <f>IF(Item1.3LPP.OnHold46[[#This Row],[Date]]&lt;&gt;"",WEEKNUM(Item1.3LPP.OnHold46[[#This Row],[Date]]),"")</f>
        <v>30</v>
      </c>
      <c r="B223" s="453">
        <v>46228</v>
      </c>
      <c r="C223" s="271">
        <v>1</v>
      </c>
      <c r="D223" s="585" t="s">
        <v>612</v>
      </c>
      <c r="E223" s="259" t="s">
        <v>570</v>
      </c>
      <c r="F223" s="413" t="s">
        <v>628</v>
      </c>
      <c r="G223" s="413">
        <f>IF(Item1.3LPP.OnHold46[[#This Row],[Pipe]]&lt;&gt;"",COUNTIF(Item1.3LPP.OnHold46[Pipe],D223),"")</f>
        <v>1</v>
      </c>
      <c r="H223" s="413" t="str">
        <f>IF(Item1.3LPP.OnHold46[[#This Row],[Pipe]]&lt;&gt;"",IF(COUNTIF(Item1.3LPP.OnHold4[Pipe],D223)&gt;0,"Sim","Não"),"")</f>
        <v>Sim</v>
      </c>
      <c r="I223" s="445"/>
    </row>
    <row r="224" spans="1:9">
      <c r="A224" s="253">
        <f>IF(Item1.3LPP.OnHold46[[#This Row],[Date]]&lt;&gt;"",WEEKNUM(Item1.3LPP.OnHold46[[#This Row],[Date]]),"")</f>
        <v>30</v>
      </c>
      <c r="B224" s="453">
        <v>46228</v>
      </c>
      <c r="C224" s="271">
        <v>2</v>
      </c>
      <c r="D224" s="585" t="s">
        <v>236</v>
      </c>
      <c r="E224" s="253" t="s">
        <v>627</v>
      </c>
      <c r="F224" s="413" t="s">
        <v>628</v>
      </c>
      <c r="G224" s="413">
        <f>IF(Item1.3LPP.OnHold46[[#This Row],[Pipe]]&lt;&gt;"",COUNTIF(Item1.3LPP.OnHold46[Pipe],D224),"")</f>
        <v>1</v>
      </c>
      <c r="H224" s="413" t="str">
        <f>IF(Item1.3LPP.OnHold46[[#This Row],[Pipe]]&lt;&gt;"",IF(COUNTIF(Item1.3LPP.OnHold4[Pipe],D224)&gt;0,"Sim","Não"),"")</f>
        <v>Sim</v>
      </c>
      <c r="I224" s="445"/>
    </row>
    <row r="225" spans="1:9">
      <c r="A225" s="253">
        <f>IF(Item1.3LPP.OnHold46[[#This Row],[Date]]&lt;&gt;"",WEEKNUM(Item1.3LPP.OnHold46[[#This Row],[Date]]),"")</f>
        <v>30</v>
      </c>
      <c r="B225" s="453">
        <v>46228</v>
      </c>
      <c r="C225" s="271">
        <v>2</v>
      </c>
      <c r="D225" s="585" t="s">
        <v>696</v>
      </c>
      <c r="E225" s="253" t="s">
        <v>627</v>
      </c>
      <c r="F225" s="413" t="s">
        <v>628</v>
      </c>
      <c r="G225" s="413">
        <f>IF(Item1.3LPP.OnHold46[[#This Row],[Pipe]]&lt;&gt;"",COUNTIF(Item1.3LPP.OnHold46[Pipe],D225),"")</f>
        <v>1</v>
      </c>
      <c r="H225" s="413" t="str">
        <f>IF(Item1.3LPP.OnHold46[[#This Row],[Pipe]]&lt;&gt;"",IF(COUNTIF(Item1.3LPP.OnHold4[Pipe],D225)&gt;0,"Sim","Não"),"")</f>
        <v>Não</v>
      </c>
      <c r="I225" s="445"/>
    </row>
    <row r="226" spans="1:9">
      <c r="A226" s="253">
        <f>IF(Item1.3LPP.OnHold46[[#This Row],[Date]]&lt;&gt;"",WEEKNUM(Item1.3LPP.OnHold46[[#This Row],[Date]]),"")</f>
        <v>30</v>
      </c>
      <c r="B226" s="453">
        <v>46228</v>
      </c>
      <c r="C226" s="271">
        <v>2</v>
      </c>
      <c r="D226" s="585" t="s">
        <v>697</v>
      </c>
      <c r="E226" s="253" t="s">
        <v>627</v>
      </c>
      <c r="F226" s="413" t="s">
        <v>628</v>
      </c>
      <c r="G226" s="413">
        <f>IF(Item1.3LPP.OnHold46[[#This Row],[Pipe]]&lt;&gt;"",COUNTIF(Item1.3LPP.OnHold46[Pipe],D226),"")</f>
        <v>1</v>
      </c>
      <c r="H226" s="413" t="str">
        <f>IF(Item1.3LPP.OnHold46[[#This Row],[Pipe]]&lt;&gt;"",IF(COUNTIF(Item1.3LPP.OnHold4[Pipe],D226)&gt;0,"Sim","Não"),"")</f>
        <v>Não</v>
      </c>
      <c r="I226" s="445"/>
    </row>
    <row r="227" spans="1:9">
      <c r="A227" s="253" t="str">
        <f>IF(Item1.3LPP.OnHold46[[#This Row],[Date]]&lt;&gt;"",WEEKNUM(Item1.3LPP.OnHold46[[#This Row],[Date]]),"")</f>
        <v/>
      </c>
      <c r="B227" s="453"/>
      <c r="C227" s="271"/>
      <c r="D227" s="585"/>
      <c r="E227" s="259"/>
      <c r="F227" s="413"/>
      <c r="G227" s="413" t="str">
        <f>IF(Item1.3LPP.OnHold46[[#This Row],[Pipe]]&lt;&gt;"",COUNTIF(Item1.3LPP.OnHold46[Pipe],D227),"")</f>
        <v/>
      </c>
      <c r="H227" s="413" t="str">
        <f>IF(Item1.3LPP.OnHold46[[#This Row],[Pipe]]&lt;&gt;"",IF(COUNTIF(Item1.3LPP.OnHold4[Pipe],D227)&gt;0,"Sim","Não"),"")</f>
        <v/>
      </c>
      <c r="I227" s="445"/>
    </row>
    <row r="228" spans="1:9">
      <c r="A228" s="253" t="str">
        <f>IF(Item1.3LPP.OnHold46[[#This Row],[Date]]&lt;&gt;"",WEEKNUM(Item1.3LPP.OnHold46[[#This Row],[Date]]),"")</f>
        <v/>
      </c>
      <c r="B228" s="453"/>
      <c r="C228" s="271"/>
      <c r="D228" s="585"/>
      <c r="E228" s="259"/>
      <c r="F228" s="413"/>
      <c r="G228" s="413" t="str">
        <f>IF(Item1.3LPP.OnHold46[[#This Row],[Pipe]]&lt;&gt;"",COUNTIF(Item1.3LPP.OnHold46[Pipe],D228),"")</f>
        <v/>
      </c>
      <c r="H228" s="413" t="str">
        <f>IF(Item1.3LPP.OnHold46[[#This Row],[Pipe]]&lt;&gt;"",IF(COUNTIF(Item1.3LPP.OnHold4[Pipe],D228)&gt;0,"Sim","Não"),"")</f>
        <v/>
      </c>
      <c r="I228" s="445"/>
    </row>
    <row r="229" spans="1:9">
      <c r="A229" s="253" t="str">
        <f>IF(Item1.3LPP.OnHold46[[#This Row],[Date]]&lt;&gt;"",WEEKNUM(Item1.3LPP.OnHold46[[#This Row],[Date]]),"")</f>
        <v/>
      </c>
      <c r="B229" s="453"/>
      <c r="C229" s="271"/>
      <c r="D229" s="585"/>
      <c r="E229" s="259"/>
      <c r="F229" s="413"/>
      <c r="G229" s="413" t="str">
        <f>IF(Item1.3LPP.OnHold46[[#This Row],[Pipe]]&lt;&gt;"",COUNTIF(Item1.3LPP.OnHold46[Pipe],D229),"")</f>
        <v/>
      </c>
      <c r="H229" s="413" t="str">
        <f>IF(Item1.3LPP.OnHold46[[#This Row],[Pipe]]&lt;&gt;"",IF(COUNTIF(Item1.3LPP.OnHold4[Pipe],D229)&gt;0,"Sim","Não"),"")</f>
        <v/>
      </c>
      <c r="I229" s="445"/>
    </row>
    <row r="230" spans="1:9">
      <c r="A230" s="253" t="str">
        <f>IF(Item1.3LPP.OnHold46[[#This Row],[Date]]&lt;&gt;"",WEEKNUM(Item1.3LPP.OnHold46[[#This Row],[Date]]),"")</f>
        <v/>
      </c>
      <c r="B230" s="453"/>
      <c r="C230" s="271"/>
      <c r="D230" s="585"/>
      <c r="E230" s="259"/>
      <c r="F230" s="413"/>
      <c r="G230" s="413" t="str">
        <f>IF(Item1.3LPP.OnHold46[[#This Row],[Pipe]]&lt;&gt;"",COUNTIF(Item1.3LPP.OnHold46[Pipe],D230),"")</f>
        <v/>
      </c>
      <c r="H230" s="413" t="str">
        <f>IF(Item1.3LPP.OnHold46[[#This Row],[Pipe]]&lt;&gt;"",IF(COUNTIF(Item1.3LPP.OnHold4[Pipe],D230)&gt;0,"Sim","Não"),"")</f>
        <v/>
      </c>
      <c r="I230" s="445"/>
    </row>
    <row r="231" spans="1:9">
      <c r="A231" s="253" t="str">
        <f>IF(Item1.3LPP.OnHold46[[#This Row],[Date]]&lt;&gt;"",WEEKNUM(Item1.3LPP.OnHold46[[#This Row],[Date]]),"")</f>
        <v/>
      </c>
      <c r="B231" s="453"/>
      <c r="C231" s="271"/>
      <c r="D231" s="585"/>
      <c r="E231" s="259"/>
      <c r="F231" s="413"/>
      <c r="G231" s="413" t="str">
        <f>IF(Item1.3LPP.OnHold46[[#This Row],[Pipe]]&lt;&gt;"",COUNTIF(Item1.3LPP.OnHold46[Pipe],D231),"")</f>
        <v/>
      </c>
      <c r="H231" s="413" t="str">
        <f>IF(Item1.3LPP.OnHold46[[#This Row],[Pipe]]&lt;&gt;"",IF(COUNTIF(Item1.3LPP.OnHold4[Pipe],D231)&gt;0,"Sim","Não"),"")</f>
        <v/>
      </c>
      <c r="I231" s="445"/>
    </row>
    <row r="232" spans="1:9">
      <c r="A232" s="253" t="str">
        <f>IF(Item1.3LPP.OnHold46[[#This Row],[Date]]&lt;&gt;"",WEEKNUM(Item1.3LPP.OnHold46[[#This Row],[Date]]),"")</f>
        <v/>
      </c>
      <c r="B232" s="453"/>
      <c r="C232" s="271"/>
      <c r="D232" s="585"/>
      <c r="E232" s="259"/>
      <c r="F232" s="413"/>
      <c r="G232" s="413" t="str">
        <f>IF(Item1.3LPP.OnHold46[[#This Row],[Pipe]]&lt;&gt;"",COUNTIF(Item1.3LPP.OnHold46[Pipe],D232),"")</f>
        <v/>
      </c>
      <c r="H232" s="413" t="str">
        <f>IF(Item1.3LPP.OnHold46[[#This Row],[Pipe]]&lt;&gt;"",IF(COUNTIF(Item1.3LPP.OnHold4[Pipe],D232)&gt;0,"Sim","Não"),"")</f>
        <v/>
      </c>
      <c r="I232" s="445"/>
    </row>
    <row r="233" spans="1:9">
      <c r="A233" s="253" t="str">
        <f>IF(Item1.3LPP.OnHold46[[#This Row],[Date]]&lt;&gt;"",WEEKNUM(Item1.3LPP.OnHold46[[#This Row],[Date]]),"")</f>
        <v/>
      </c>
      <c r="B233" s="453"/>
      <c r="C233" s="271"/>
      <c r="D233" s="585"/>
      <c r="E233" s="259"/>
      <c r="F233" s="413"/>
      <c r="G233" s="413" t="str">
        <f>IF(Item1.3LPP.OnHold46[[#This Row],[Pipe]]&lt;&gt;"",COUNTIF(Item1.3LPP.OnHold46[Pipe],D233),"")</f>
        <v/>
      </c>
      <c r="H233" s="413" t="str">
        <f>IF(Item1.3LPP.OnHold46[[#This Row],[Pipe]]&lt;&gt;"",IF(COUNTIF(Item1.3LPP.OnHold4[Pipe],D233)&gt;0,"Sim","Não"),"")</f>
        <v/>
      </c>
      <c r="I233" s="445"/>
    </row>
    <row r="234" spans="1:9">
      <c r="A234" s="253" t="str">
        <f>IF(Item1.3LPP.OnHold46[[#This Row],[Date]]&lt;&gt;"",WEEKNUM(Item1.3LPP.OnHold46[[#This Row],[Date]]),"")</f>
        <v/>
      </c>
      <c r="B234" s="453"/>
      <c r="C234" s="271"/>
      <c r="D234" s="585"/>
      <c r="E234" s="259"/>
      <c r="F234" s="413"/>
      <c r="G234" s="413" t="str">
        <f>IF(Item1.3LPP.OnHold46[[#This Row],[Pipe]]&lt;&gt;"",COUNTIF(Item1.3LPP.OnHold46[Pipe],D234),"")</f>
        <v/>
      </c>
      <c r="H234" s="413" t="str">
        <f>IF(Item1.3LPP.OnHold46[[#This Row],[Pipe]]&lt;&gt;"",IF(COUNTIF(Item1.3LPP.OnHold4[Pipe],D234)&gt;0,"Sim","Não"),"")</f>
        <v/>
      </c>
      <c r="I234" s="445"/>
    </row>
    <row r="235" spans="1:9">
      <c r="A235" s="253" t="str">
        <f>IF(Item1.3LPP.OnHold46[[#This Row],[Date]]&lt;&gt;"",WEEKNUM(Item1.3LPP.OnHold46[[#This Row],[Date]]),"")</f>
        <v/>
      </c>
      <c r="B235" s="453"/>
      <c r="C235" s="271"/>
      <c r="D235" s="585"/>
      <c r="E235" s="259"/>
      <c r="F235" s="413"/>
      <c r="G235" s="413" t="str">
        <f>IF(Item1.3LPP.OnHold46[[#This Row],[Pipe]]&lt;&gt;"",COUNTIF(Item1.3LPP.OnHold46[Pipe],D235),"")</f>
        <v/>
      </c>
      <c r="H235" s="413" t="str">
        <f>IF(Item1.3LPP.OnHold46[[#This Row],[Pipe]]&lt;&gt;"",IF(COUNTIF(Item1.3LPP.OnHold4[Pipe],D235)&gt;0,"Sim","Não"),"")</f>
        <v/>
      </c>
      <c r="I235" s="445"/>
    </row>
    <row r="236" spans="1:9">
      <c r="A236" s="253" t="str">
        <f>IF(Item1.3LPP.OnHold46[[#This Row],[Date]]&lt;&gt;"",WEEKNUM(Item1.3LPP.OnHold46[[#This Row],[Date]]),"")</f>
        <v/>
      </c>
      <c r="B236" s="453"/>
      <c r="C236" s="271"/>
      <c r="D236" s="585"/>
      <c r="E236" s="259"/>
      <c r="F236" s="413"/>
      <c r="G236" s="413" t="str">
        <f>IF(Item1.3LPP.OnHold46[[#This Row],[Pipe]]&lt;&gt;"",COUNTIF(Item1.3LPP.OnHold46[Pipe],D236),"")</f>
        <v/>
      </c>
      <c r="H236" s="413" t="str">
        <f>IF(Item1.3LPP.OnHold46[[#This Row],[Pipe]]&lt;&gt;"",IF(COUNTIF(Item1.3LPP.OnHold4[Pipe],D236)&gt;0,"Sim","Não"),"")</f>
        <v/>
      </c>
      <c r="I236" s="445"/>
    </row>
    <row r="237" spans="1:9">
      <c r="A237" s="253" t="str">
        <f>IF(Item1.3LPP.OnHold46[[#This Row],[Date]]&lt;&gt;"",WEEKNUM(Item1.3LPP.OnHold46[[#This Row],[Date]]),"")</f>
        <v/>
      </c>
      <c r="B237" s="453"/>
      <c r="C237" s="271"/>
      <c r="D237" s="585"/>
      <c r="E237" s="259"/>
      <c r="F237" s="413"/>
      <c r="G237" s="413" t="str">
        <f>IF(Item1.3LPP.OnHold46[[#This Row],[Pipe]]&lt;&gt;"",COUNTIF(Item1.3LPP.OnHold46[Pipe],D237),"")</f>
        <v/>
      </c>
      <c r="H237" s="413" t="str">
        <f>IF(Item1.3LPP.OnHold46[[#This Row],[Pipe]]&lt;&gt;"",IF(COUNTIF(Item1.3LPP.OnHold4[Pipe],D237)&gt;0,"Sim","Não"),"")</f>
        <v/>
      </c>
      <c r="I237" s="445"/>
    </row>
    <row r="238" spans="1:9">
      <c r="A238" s="253" t="str">
        <f>IF(Item1.3LPP.OnHold46[[#This Row],[Date]]&lt;&gt;"",WEEKNUM(Item1.3LPP.OnHold46[[#This Row],[Date]]),"")</f>
        <v/>
      </c>
      <c r="B238" s="453"/>
      <c r="C238" s="271"/>
      <c r="D238" s="585"/>
      <c r="E238" s="259"/>
      <c r="F238" s="413"/>
      <c r="G238" s="413" t="str">
        <f>IF(Item1.3LPP.OnHold46[[#This Row],[Pipe]]&lt;&gt;"",COUNTIF(Item1.3LPP.OnHold46[Pipe],D238),"")</f>
        <v/>
      </c>
      <c r="H238" s="413" t="str">
        <f>IF(Item1.3LPP.OnHold46[[#This Row],[Pipe]]&lt;&gt;"",IF(COUNTIF(Item1.3LPP.OnHold4[Pipe],D238)&gt;0,"Sim","Não"),"")</f>
        <v/>
      </c>
      <c r="I238" s="445"/>
    </row>
    <row r="239" spans="1:9">
      <c r="A239" s="253" t="str">
        <f>IF(Item1.3LPP.OnHold46[[#This Row],[Date]]&lt;&gt;"",WEEKNUM(Item1.3LPP.OnHold46[[#This Row],[Date]]),"")</f>
        <v/>
      </c>
      <c r="B239" s="453"/>
      <c r="C239" s="271"/>
      <c r="D239" s="585"/>
      <c r="E239" s="259"/>
      <c r="F239" s="413"/>
      <c r="G239" s="413" t="str">
        <f>IF(Item1.3LPP.OnHold46[[#This Row],[Pipe]]&lt;&gt;"",COUNTIF(Item1.3LPP.OnHold46[Pipe],D239),"")</f>
        <v/>
      </c>
      <c r="H239" s="413" t="str">
        <f>IF(Item1.3LPP.OnHold46[[#This Row],[Pipe]]&lt;&gt;"",IF(COUNTIF(Item1.3LPP.OnHold4[Pipe],D239)&gt;0,"Sim","Não"),"")</f>
        <v/>
      </c>
      <c r="I239" s="445"/>
    </row>
    <row r="240" spans="1:9">
      <c r="A240" s="253" t="str">
        <f>IF(Item1.3LPP.OnHold46[[#This Row],[Date]]&lt;&gt;"",WEEKNUM(Item1.3LPP.OnHold46[[#This Row],[Date]]),"")</f>
        <v/>
      </c>
      <c r="B240" s="453"/>
      <c r="C240" s="271"/>
      <c r="D240" s="585"/>
      <c r="E240" s="259"/>
      <c r="F240" s="413"/>
      <c r="G240" s="413" t="str">
        <f>IF(Item1.3LPP.OnHold46[[#This Row],[Pipe]]&lt;&gt;"",COUNTIF(Item1.3LPP.OnHold46[Pipe],D240),"")</f>
        <v/>
      </c>
      <c r="H240" s="413" t="str">
        <f>IF(Item1.3LPP.OnHold46[[#This Row],[Pipe]]&lt;&gt;"",IF(COUNTIF(Item1.3LPP.OnHold4[Pipe],D240)&gt;0,"Sim","Não"),"")</f>
        <v/>
      </c>
      <c r="I240" s="445"/>
    </row>
    <row r="241" spans="1:9">
      <c r="A241" s="253" t="str">
        <f>IF(Item1.3LPP.OnHold46[[#This Row],[Date]]&lt;&gt;"",WEEKNUM(Item1.3LPP.OnHold46[[#This Row],[Date]]),"")</f>
        <v/>
      </c>
      <c r="B241" s="453"/>
      <c r="C241" s="271"/>
      <c r="D241" s="585"/>
      <c r="E241" s="259"/>
      <c r="F241" s="413"/>
      <c r="G241" s="413" t="str">
        <f>IF(Item1.3LPP.OnHold46[[#This Row],[Pipe]]&lt;&gt;"",COUNTIF(Item1.3LPP.OnHold46[Pipe],D241),"")</f>
        <v/>
      </c>
      <c r="H241" s="413" t="str">
        <f>IF(Item1.3LPP.OnHold46[[#This Row],[Pipe]]&lt;&gt;"",IF(COUNTIF(Item1.3LPP.OnHold4[Pipe],D241)&gt;0,"Sim","Não"),"")</f>
        <v/>
      </c>
      <c r="I241" s="445"/>
    </row>
    <row r="242" spans="1:9">
      <c r="A242" s="253" t="str">
        <f>IF(Item1.3LPP.OnHold46[[#This Row],[Date]]&lt;&gt;"",WEEKNUM(Item1.3LPP.OnHold46[[#This Row],[Date]]),"")</f>
        <v/>
      </c>
      <c r="B242" s="453"/>
      <c r="C242" s="271"/>
      <c r="D242" s="585"/>
      <c r="E242" s="259"/>
      <c r="F242" s="413"/>
      <c r="G242" s="413" t="str">
        <f>IF(Item1.3LPP.OnHold46[[#This Row],[Pipe]]&lt;&gt;"",COUNTIF(Item1.3LPP.OnHold46[Pipe],D242),"")</f>
        <v/>
      </c>
      <c r="H242" s="413" t="str">
        <f>IF(Item1.3LPP.OnHold46[[#This Row],[Pipe]]&lt;&gt;"",IF(COUNTIF(Item1.3LPP.OnHold4[Pipe],D242)&gt;0,"Sim","Não"),"")</f>
        <v/>
      </c>
      <c r="I242" s="445"/>
    </row>
    <row r="243" spans="1:9">
      <c r="A243" s="253" t="str">
        <f>IF(Item1.3LPP.OnHold46[[#This Row],[Date]]&lt;&gt;"",WEEKNUM(Item1.3LPP.OnHold46[[#This Row],[Date]]),"")</f>
        <v/>
      </c>
      <c r="B243" s="453"/>
      <c r="C243" s="271"/>
      <c r="D243" s="585"/>
      <c r="E243" s="259"/>
      <c r="F243" s="413"/>
      <c r="G243" s="413" t="str">
        <f>IF(Item1.3LPP.OnHold46[[#This Row],[Pipe]]&lt;&gt;"",COUNTIF(Item1.3LPP.OnHold46[Pipe],D243),"")</f>
        <v/>
      </c>
      <c r="H243" s="413" t="str">
        <f>IF(Item1.3LPP.OnHold46[[#This Row],[Pipe]]&lt;&gt;"",IF(COUNTIF(Item1.3LPP.OnHold4[Pipe],D243)&gt;0,"Sim","Não"),"")</f>
        <v/>
      </c>
      <c r="I243" s="445"/>
    </row>
    <row r="244" spans="1:9">
      <c r="A244" s="253" t="str">
        <f>IF(Item1.3LPP.OnHold46[[#This Row],[Date]]&lt;&gt;"",WEEKNUM(Item1.3LPP.OnHold46[[#This Row],[Date]]),"")</f>
        <v/>
      </c>
      <c r="B244" s="453"/>
      <c r="C244" s="271"/>
      <c r="D244" s="585"/>
      <c r="E244" s="259"/>
      <c r="F244" s="413"/>
      <c r="G244" s="413" t="str">
        <f>IF(Item1.3LPP.OnHold46[[#This Row],[Pipe]]&lt;&gt;"",COUNTIF(Item1.3LPP.OnHold46[Pipe],D244),"")</f>
        <v/>
      </c>
      <c r="H244" s="413" t="str">
        <f>IF(Item1.3LPP.OnHold46[[#This Row],[Pipe]]&lt;&gt;"",IF(COUNTIF(Item1.3LPP.OnHold4[Pipe],D244)&gt;0,"Sim","Não"),"")</f>
        <v/>
      </c>
      <c r="I244" s="445"/>
    </row>
    <row r="245" spans="1:9">
      <c r="A245" s="253" t="str">
        <f>IF(Item1.3LPP.OnHold46[[#This Row],[Date]]&lt;&gt;"",WEEKNUM(Item1.3LPP.OnHold46[[#This Row],[Date]]),"")</f>
        <v/>
      </c>
      <c r="B245" s="453"/>
      <c r="C245" s="271"/>
      <c r="D245" s="585"/>
      <c r="E245" s="259"/>
      <c r="F245" s="413"/>
      <c r="G245" s="413" t="str">
        <f>IF(Item1.3LPP.OnHold46[[#This Row],[Pipe]]&lt;&gt;"",COUNTIF(Item1.3LPP.OnHold46[Pipe],D245),"")</f>
        <v/>
      </c>
      <c r="H245" s="413" t="str">
        <f>IF(Item1.3LPP.OnHold46[[#This Row],[Pipe]]&lt;&gt;"",IF(COUNTIF(Item1.3LPP.OnHold4[Pipe],D245)&gt;0,"Sim","Não"),"")</f>
        <v/>
      </c>
      <c r="I245" s="445"/>
    </row>
    <row r="246" spans="1:9">
      <c r="A246" s="253" t="str">
        <f>IF(Item1.3LPP.OnHold46[[#This Row],[Date]]&lt;&gt;"",WEEKNUM(Item1.3LPP.OnHold46[[#This Row],[Date]]),"")</f>
        <v/>
      </c>
      <c r="B246" s="453"/>
      <c r="C246" s="271"/>
      <c r="D246" s="585"/>
      <c r="E246" s="259"/>
      <c r="F246" s="413"/>
      <c r="G246" s="413" t="str">
        <f>IF(Item1.3LPP.OnHold46[[#This Row],[Pipe]]&lt;&gt;"",COUNTIF(Item1.3LPP.OnHold46[Pipe],D246),"")</f>
        <v/>
      </c>
      <c r="H246" s="413" t="str">
        <f>IF(Item1.3LPP.OnHold46[[#This Row],[Pipe]]&lt;&gt;"",IF(COUNTIF(Item1.3LPP.OnHold4[Pipe],D246)&gt;0,"Sim","Não"),"")</f>
        <v/>
      </c>
      <c r="I246" s="445"/>
    </row>
    <row r="247" spans="1:9">
      <c r="A247" s="253" t="str">
        <f>IF(Item1.3LPP.OnHold46[[#This Row],[Date]]&lt;&gt;"",WEEKNUM(Item1.3LPP.OnHold46[[#This Row],[Date]]),"")</f>
        <v/>
      </c>
      <c r="B247" s="453"/>
      <c r="C247" s="271"/>
      <c r="D247" s="585"/>
      <c r="E247" s="259"/>
      <c r="F247" s="413"/>
      <c r="G247" s="413" t="str">
        <f>IF(Item1.3LPP.OnHold46[[#This Row],[Pipe]]&lt;&gt;"",COUNTIF(Item1.3LPP.OnHold46[Pipe],D247),"")</f>
        <v/>
      </c>
      <c r="H247" s="413" t="str">
        <f>IF(Item1.3LPP.OnHold46[[#This Row],[Pipe]]&lt;&gt;"",IF(COUNTIF(Item1.3LPP.OnHold4[Pipe],D247)&gt;0,"Sim","Não"),"")</f>
        <v/>
      </c>
      <c r="I247" s="445"/>
    </row>
    <row r="248" spans="1:9">
      <c r="A248" s="253" t="str">
        <f>IF(Item1.3LPP.OnHold46[[#This Row],[Date]]&lt;&gt;"",WEEKNUM(Item1.3LPP.OnHold46[[#This Row],[Date]]),"")</f>
        <v/>
      </c>
      <c r="B248" s="453"/>
      <c r="C248" s="271"/>
      <c r="D248" s="585"/>
      <c r="E248" s="259"/>
      <c r="F248" s="413"/>
      <c r="G248" s="413" t="str">
        <f>IF(Item1.3LPP.OnHold46[[#This Row],[Pipe]]&lt;&gt;"",COUNTIF(Item1.3LPP.OnHold46[Pipe],D248),"")</f>
        <v/>
      </c>
      <c r="H248" s="413" t="str">
        <f>IF(Item1.3LPP.OnHold46[[#This Row],[Pipe]]&lt;&gt;"",IF(COUNTIF(Item1.3LPP.OnHold4[Pipe],D248)&gt;0,"Sim","Não"),"")</f>
        <v/>
      </c>
      <c r="I248" s="445"/>
    </row>
    <row r="249" spans="1:9">
      <c r="A249" s="253" t="str">
        <f>IF(Item1.3LPP.OnHold46[[#This Row],[Date]]&lt;&gt;"",WEEKNUM(Item1.3LPP.OnHold46[[#This Row],[Date]]),"")</f>
        <v/>
      </c>
      <c r="B249" s="453"/>
      <c r="C249" s="271"/>
      <c r="D249" s="585"/>
      <c r="E249" s="259"/>
      <c r="F249" s="413"/>
      <c r="G249" s="413" t="str">
        <f>IF(Item1.3LPP.OnHold46[[#This Row],[Pipe]]&lt;&gt;"",COUNTIF(Item1.3LPP.OnHold46[Pipe],D249),"")</f>
        <v/>
      </c>
      <c r="H249" s="413" t="str">
        <f>IF(Item1.3LPP.OnHold46[[#This Row],[Pipe]]&lt;&gt;"",IF(COUNTIF(Item1.3LPP.OnHold4[Pipe],D249)&gt;0,"Sim","Não"),"")</f>
        <v/>
      </c>
      <c r="I249" s="445"/>
    </row>
    <row r="250" spans="1:9">
      <c r="A250" s="253" t="str">
        <f>IF(Item1.3LPP.OnHold46[[#This Row],[Date]]&lt;&gt;"",WEEKNUM(Item1.3LPP.OnHold46[[#This Row],[Date]]),"")</f>
        <v/>
      </c>
      <c r="B250" s="453"/>
      <c r="C250" s="271"/>
      <c r="D250" s="585"/>
      <c r="E250" s="259"/>
      <c r="F250" s="413"/>
      <c r="G250" s="413" t="str">
        <f>IF(Item1.3LPP.OnHold46[[#This Row],[Pipe]]&lt;&gt;"",COUNTIF(Item1.3LPP.OnHold46[Pipe],D250),"")</f>
        <v/>
      </c>
      <c r="H250" s="413" t="str">
        <f>IF(Item1.3LPP.OnHold46[[#This Row],[Pipe]]&lt;&gt;"",IF(COUNTIF(Item1.3LPP.OnHold4[Pipe],D250)&gt;0,"Sim","Não"),"")</f>
        <v/>
      </c>
      <c r="I250" s="445"/>
    </row>
    <row r="251" spans="1:9">
      <c r="A251" s="253" t="str">
        <f>IF(Item1.3LPP.OnHold46[[#This Row],[Date]]&lt;&gt;"",WEEKNUM(Item1.3LPP.OnHold46[[#This Row],[Date]]),"")</f>
        <v/>
      </c>
      <c r="B251" s="453"/>
      <c r="C251" s="271"/>
      <c r="D251" s="585"/>
      <c r="E251" s="259"/>
      <c r="F251" s="413"/>
      <c r="G251" s="413" t="str">
        <f>IF(Item1.3LPP.OnHold46[[#This Row],[Pipe]]&lt;&gt;"",COUNTIF(Item1.3LPP.OnHold46[Pipe],D251),"")</f>
        <v/>
      </c>
      <c r="H251" s="413" t="str">
        <f>IF(Item1.3LPP.OnHold46[[#This Row],[Pipe]]&lt;&gt;"",IF(COUNTIF(Item1.3LPP.OnHold4[Pipe],D251)&gt;0,"Sim","Não"),"")</f>
        <v/>
      </c>
      <c r="I251" s="445"/>
    </row>
    <row r="252" spans="1:9">
      <c r="A252" s="253" t="str">
        <f>IF(Item1.3LPP.OnHold46[[#This Row],[Date]]&lt;&gt;"",WEEKNUM(Item1.3LPP.OnHold46[[#This Row],[Date]]),"")</f>
        <v/>
      </c>
      <c r="B252" s="453"/>
      <c r="C252" s="271"/>
      <c r="D252" s="585"/>
      <c r="E252" s="259"/>
      <c r="F252" s="413"/>
      <c r="G252" s="413" t="str">
        <f>IF(Item1.3LPP.OnHold46[[#This Row],[Pipe]]&lt;&gt;"",COUNTIF(Item1.3LPP.OnHold46[Pipe],D252),"")</f>
        <v/>
      </c>
      <c r="H252" s="413" t="str">
        <f>IF(Item1.3LPP.OnHold46[[#This Row],[Pipe]]&lt;&gt;"",IF(COUNTIF(Item1.3LPP.OnHold4[Pipe],D252)&gt;0,"Sim","Não"),"")</f>
        <v/>
      </c>
      <c r="I252" s="445"/>
    </row>
    <row r="253" spans="1:9">
      <c r="A253" s="253" t="str">
        <f>IF(Item1.3LPP.OnHold46[[#This Row],[Date]]&lt;&gt;"",WEEKNUM(Item1.3LPP.OnHold46[[#This Row],[Date]]),"")</f>
        <v/>
      </c>
      <c r="B253" s="453"/>
      <c r="C253" s="271"/>
      <c r="D253" s="585"/>
      <c r="E253" s="259"/>
      <c r="F253" s="413"/>
      <c r="G253" s="413" t="str">
        <f>IF(Item1.3LPP.OnHold46[[#This Row],[Pipe]]&lt;&gt;"",COUNTIF(Item1.3LPP.OnHold46[Pipe],D253),"")</f>
        <v/>
      </c>
      <c r="H253" s="413" t="str">
        <f>IF(Item1.3LPP.OnHold46[[#This Row],[Pipe]]&lt;&gt;"",IF(COUNTIF(Item1.3LPP.OnHold4[Pipe],D253)&gt;0,"Sim","Não"),"")</f>
        <v/>
      </c>
      <c r="I253" s="445"/>
    </row>
    <row r="254" spans="1:9">
      <c r="A254" s="253" t="str">
        <f>IF(Item1.3LPP.OnHold46[[#This Row],[Date]]&lt;&gt;"",WEEKNUM(Item1.3LPP.OnHold46[[#This Row],[Date]]),"")</f>
        <v/>
      </c>
      <c r="B254" s="453"/>
      <c r="C254" s="271"/>
      <c r="D254" s="585"/>
      <c r="E254" s="259"/>
      <c r="F254" s="413"/>
      <c r="G254" s="413" t="str">
        <f>IF(Item1.3LPP.OnHold46[[#This Row],[Pipe]]&lt;&gt;"",COUNTIF(Item1.3LPP.OnHold46[Pipe],D254),"")</f>
        <v/>
      </c>
      <c r="H254" s="413" t="str">
        <f>IF(Item1.3LPP.OnHold46[[#This Row],[Pipe]]&lt;&gt;"",IF(COUNTIF(Item1.3LPP.OnHold4[Pipe],D254)&gt;0,"Sim","Não"),"")</f>
        <v/>
      </c>
      <c r="I254" s="445"/>
    </row>
    <row r="255" spans="1:9">
      <c r="A255" s="253" t="str">
        <f>IF(Item1.3LPP.OnHold46[[#This Row],[Date]]&lt;&gt;"",WEEKNUM(Item1.3LPP.OnHold46[[#This Row],[Date]]),"")</f>
        <v/>
      </c>
      <c r="B255" s="453"/>
      <c r="C255" s="271"/>
      <c r="D255" s="585"/>
      <c r="E255" s="259"/>
      <c r="F255" s="413"/>
      <c r="G255" s="413" t="str">
        <f>IF(Item1.3LPP.OnHold46[[#This Row],[Pipe]]&lt;&gt;"",COUNTIF(Item1.3LPP.OnHold46[Pipe],D255),"")</f>
        <v/>
      </c>
      <c r="H255" s="413" t="str">
        <f>IF(Item1.3LPP.OnHold46[[#This Row],[Pipe]]&lt;&gt;"",IF(COUNTIF(Item1.3LPP.OnHold4[Pipe],D255)&gt;0,"Sim","Não"),"")</f>
        <v/>
      </c>
      <c r="I255" s="445"/>
    </row>
    <row r="256" spans="1:9">
      <c r="A256" s="253" t="str">
        <f>IF(Item1.3LPP.OnHold46[[#This Row],[Date]]&lt;&gt;"",WEEKNUM(Item1.3LPP.OnHold46[[#This Row],[Date]]),"")</f>
        <v/>
      </c>
      <c r="B256" s="453"/>
      <c r="C256" s="271"/>
      <c r="D256" s="585"/>
      <c r="E256" s="259"/>
      <c r="F256" s="413"/>
      <c r="G256" s="413" t="str">
        <f>IF(Item1.3LPP.OnHold46[[#This Row],[Pipe]]&lt;&gt;"",COUNTIF(Item1.3LPP.OnHold46[Pipe],D256),"")</f>
        <v/>
      </c>
      <c r="H256" s="413" t="str">
        <f>IF(Item1.3LPP.OnHold46[[#This Row],[Pipe]]&lt;&gt;"",IF(COUNTIF(Item1.3LPP.OnHold4[Pipe],D256)&gt;0,"Sim","Não"),"")</f>
        <v/>
      </c>
      <c r="I256" s="445"/>
    </row>
    <row r="257" spans="1:9">
      <c r="A257" s="253" t="str">
        <f>IF(Item1.3LPP.OnHold46[[#This Row],[Date]]&lt;&gt;"",WEEKNUM(Item1.3LPP.OnHold46[[#This Row],[Date]]),"")</f>
        <v/>
      </c>
      <c r="B257" s="453"/>
      <c r="C257" s="271"/>
      <c r="D257" s="585"/>
      <c r="E257" s="259"/>
      <c r="F257" s="413"/>
      <c r="G257" s="413" t="str">
        <f>IF(Item1.3LPP.OnHold46[[#This Row],[Pipe]]&lt;&gt;"",COUNTIF(Item1.3LPP.OnHold46[Pipe],D257),"")</f>
        <v/>
      </c>
      <c r="H257" s="413" t="str">
        <f>IF(Item1.3LPP.OnHold46[[#This Row],[Pipe]]&lt;&gt;"",IF(COUNTIF(Item1.3LPP.OnHold4[Pipe],D257)&gt;0,"Sim","Não"),"")</f>
        <v/>
      </c>
      <c r="I257" s="445"/>
    </row>
    <row r="258" spans="1:9">
      <c r="A258" s="253" t="str">
        <f>IF(Item1.3LPP.OnHold46[[#This Row],[Date]]&lt;&gt;"",WEEKNUM(Item1.3LPP.OnHold46[[#This Row],[Date]]),"")</f>
        <v/>
      </c>
      <c r="B258" s="453"/>
      <c r="C258" s="271"/>
      <c r="D258" s="585"/>
      <c r="E258" s="259"/>
      <c r="F258" s="413"/>
      <c r="G258" s="413" t="str">
        <f>IF(Item1.3LPP.OnHold46[[#This Row],[Pipe]]&lt;&gt;"",COUNTIF(Item1.3LPP.OnHold46[Pipe],D258),"")</f>
        <v/>
      </c>
      <c r="H258" s="413" t="str">
        <f>IF(Item1.3LPP.OnHold46[[#This Row],[Pipe]]&lt;&gt;"",IF(COUNTIF(Item1.3LPP.OnHold4[Pipe],D258)&gt;0,"Sim","Não"),"")</f>
        <v/>
      </c>
      <c r="I258" s="445"/>
    </row>
    <row r="259" spans="1:9">
      <c r="A259" s="253" t="str">
        <f>IF(Item1.3LPP.OnHold46[[#This Row],[Date]]&lt;&gt;"",WEEKNUM(Item1.3LPP.OnHold46[[#This Row],[Date]]),"")</f>
        <v/>
      </c>
      <c r="B259" s="453"/>
      <c r="C259" s="271"/>
      <c r="D259" s="585"/>
      <c r="E259" s="259"/>
      <c r="F259" s="413"/>
      <c r="G259" s="413" t="str">
        <f>IF(Item1.3LPP.OnHold46[[#This Row],[Pipe]]&lt;&gt;"",COUNTIF(Item1.3LPP.OnHold46[Pipe],D259),"")</f>
        <v/>
      </c>
      <c r="H259" s="413" t="str">
        <f>IF(Item1.3LPP.OnHold46[[#This Row],[Pipe]]&lt;&gt;"",IF(COUNTIF(Item1.3LPP.OnHold4[Pipe],D259)&gt;0,"Sim","Não"),"")</f>
        <v/>
      </c>
      <c r="I259" s="445"/>
    </row>
    <row r="260" spans="1:9">
      <c r="A260" s="253" t="str">
        <f>IF(Item1.3LPP.OnHold46[[#This Row],[Date]]&lt;&gt;"",WEEKNUM(Item1.3LPP.OnHold46[[#This Row],[Date]]),"")</f>
        <v/>
      </c>
      <c r="B260" s="453"/>
      <c r="C260" s="271"/>
      <c r="D260" s="585"/>
      <c r="E260" s="259"/>
      <c r="F260" s="413"/>
      <c r="G260" s="413" t="str">
        <f>IF(Item1.3LPP.OnHold46[[#This Row],[Pipe]]&lt;&gt;"",COUNTIF(Item1.3LPP.OnHold46[Pipe],D260),"")</f>
        <v/>
      </c>
      <c r="H260" s="413" t="str">
        <f>IF(Item1.3LPP.OnHold46[[#This Row],[Pipe]]&lt;&gt;"",IF(COUNTIF(Item1.3LPP.OnHold4[Pipe],D260)&gt;0,"Sim","Não"),"")</f>
        <v/>
      </c>
      <c r="I260" s="445"/>
    </row>
    <row r="261" spans="1:9">
      <c r="A261" s="253" t="str">
        <f>IF(Item1.3LPP.OnHold46[[#This Row],[Date]]&lt;&gt;"",WEEKNUM(Item1.3LPP.OnHold46[[#This Row],[Date]]),"")</f>
        <v/>
      </c>
      <c r="B261" s="453"/>
      <c r="C261" s="271"/>
      <c r="D261" s="585"/>
      <c r="E261" s="259"/>
      <c r="F261" s="413"/>
      <c r="G261" s="413" t="str">
        <f>IF(Item1.3LPP.OnHold46[[#This Row],[Pipe]]&lt;&gt;"",COUNTIF(Item1.3LPP.OnHold46[Pipe],D261),"")</f>
        <v/>
      </c>
      <c r="H261" s="413" t="str">
        <f>IF(Item1.3LPP.OnHold46[[#This Row],[Pipe]]&lt;&gt;"",IF(COUNTIF(Item1.3LPP.OnHold4[Pipe],D261)&gt;0,"Sim","Não"),"")</f>
        <v/>
      </c>
      <c r="I261" s="445"/>
    </row>
    <row r="262" spans="1:9">
      <c r="A262" s="253" t="str">
        <f>IF(Item1.3LPP.OnHold46[[#This Row],[Date]]&lt;&gt;"",WEEKNUM(Item1.3LPP.OnHold46[[#This Row],[Date]]),"")</f>
        <v/>
      </c>
      <c r="B262" s="453"/>
      <c r="C262" s="271"/>
      <c r="D262" s="585"/>
      <c r="E262" s="259"/>
      <c r="F262" s="413"/>
      <c r="G262" s="413" t="str">
        <f>IF(Item1.3LPP.OnHold46[[#This Row],[Pipe]]&lt;&gt;"",COUNTIF(Item1.3LPP.OnHold46[Pipe],D262),"")</f>
        <v/>
      </c>
      <c r="H262" s="413" t="str">
        <f>IF(Item1.3LPP.OnHold46[[#This Row],[Pipe]]&lt;&gt;"",IF(COUNTIF(Item1.3LPP.OnHold4[Pipe],D262)&gt;0,"Sim","Não"),"")</f>
        <v/>
      </c>
      <c r="I262" s="445"/>
    </row>
    <row r="263" spans="1:9">
      <c r="A263" s="253" t="str">
        <f>IF(Item1.3LPP.OnHold46[[#This Row],[Date]]&lt;&gt;"",WEEKNUM(Item1.3LPP.OnHold46[[#This Row],[Date]]),"")</f>
        <v/>
      </c>
      <c r="B263" s="453"/>
      <c r="C263" s="271"/>
      <c r="D263" s="585"/>
      <c r="E263" s="259"/>
      <c r="F263" s="413"/>
      <c r="G263" s="413" t="str">
        <f>IF(Item1.3LPP.OnHold46[[#This Row],[Pipe]]&lt;&gt;"",COUNTIF(Item1.3LPP.OnHold46[Pipe],D263),"")</f>
        <v/>
      </c>
      <c r="H263" s="413" t="str">
        <f>IF(Item1.3LPP.OnHold46[[#This Row],[Pipe]]&lt;&gt;"",IF(COUNTIF(Item1.3LPP.OnHold4[Pipe],D263)&gt;0,"Sim","Não"),"")</f>
        <v/>
      </c>
      <c r="I263" s="445"/>
    </row>
    <row r="264" spans="1:9">
      <c r="A264" s="253" t="str">
        <f>IF(Item1.3LPP.OnHold46[[#This Row],[Date]]&lt;&gt;"",WEEKNUM(Item1.3LPP.OnHold46[[#This Row],[Date]]),"")</f>
        <v/>
      </c>
      <c r="B264" s="453"/>
      <c r="C264" s="271"/>
      <c r="D264" s="585"/>
      <c r="E264" s="259"/>
      <c r="F264" s="413"/>
      <c r="G264" s="413" t="str">
        <f>IF(Item1.3LPP.OnHold46[[#This Row],[Pipe]]&lt;&gt;"",COUNTIF(Item1.3LPP.OnHold46[Pipe],D264),"")</f>
        <v/>
      </c>
      <c r="H264" s="413" t="str">
        <f>IF(Item1.3LPP.OnHold46[[#This Row],[Pipe]]&lt;&gt;"",IF(COUNTIF(Item1.3LPP.OnHold4[Pipe],D264)&gt;0,"Sim","Não"),"")</f>
        <v/>
      </c>
      <c r="I264" s="445"/>
    </row>
    <row r="265" spans="1:9">
      <c r="A265" s="253" t="str">
        <f>IF(Item1.3LPP.OnHold46[[#This Row],[Date]]&lt;&gt;"",WEEKNUM(Item1.3LPP.OnHold46[[#This Row],[Date]]),"")</f>
        <v/>
      </c>
      <c r="B265" s="453"/>
      <c r="C265" s="271"/>
      <c r="D265" s="585"/>
      <c r="E265" s="259"/>
      <c r="F265" s="413"/>
      <c r="G265" s="413" t="str">
        <f>IF(Item1.3LPP.OnHold46[[#This Row],[Pipe]]&lt;&gt;"",COUNTIF(Item1.3LPP.OnHold46[Pipe],D265),"")</f>
        <v/>
      </c>
      <c r="H265" s="413" t="str">
        <f>IF(Item1.3LPP.OnHold46[[#This Row],[Pipe]]&lt;&gt;"",IF(COUNTIF(Item1.3LPP.OnHold4[Pipe],D265)&gt;0,"Sim","Não"),"")</f>
        <v/>
      </c>
      <c r="I265" s="445"/>
    </row>
    <row r="266" spans="1:9">
      <c r="A266" s="253" t="str">
        <f>IF(Item1.3LPP.OnHold46[[#This Row],[Date]]&lt;&gt;"",WEEKNUM(Item1.3LPP.OnHold46[[#This Row],[Date]]),"")</f>
        <v/>
      </c>
      <c r="B266" s="453"/>
      <c r="C266" s="271"/>
      <c r="D266" s="585"/>
      <c r="E266" s="259"/>
      <c r="F266" s="413"/>
      <c r="G266" s="413" t="str">
        <f>IF(Item1.3LPP.OnHold46[[#This Row],[Pipe]]&lt;&gt;"",COUNTIF(Item1.3LPP.OnHold46[Pipe],D266),"")</f>
        <v/>
      </c>
      <c r="H266" s="413" t="str">
        <f>IF(Item1.3LPP.OnHold46[[#This Row],[Pipe]]&lt;&gt;"",IF(COUNTIF(Item1.3LPP.OnHold4[Pipe],D266)&gt;0,"Sim","Não"),"")</f>
        <v/>
      </c>
      <c r="I266" s="445"/>
    </row>
    <row r="267" spans="1:9">
      <c r="A267" s="253" t="str">
        <f>IF(Item1.3LPP.OnHold46[[#This Row],[Date]]&lt;&gt;"",WEEKNUM(Item1.3LPP.OnHold46[[#This Row],[Date]]),"")</f>
        <v/>
      </c>
      <c r="B267" s="453"/>
      <c r="C267" s="271"/>
      <c r="D267" s="585"/>
      <c r="E267" s="259"/>
      <c r="F267" s="413"/>
      <c r="G267" s="413" t="str">
        <f>IF(Item1.3LPP.OnHold46[[#This Row],[Pipe]]&lt;&gt;"",COUNTIF(Item1.3LPP.OnHold46[Pipe],D267),"")</f>
        <v/>
      </c>
      <c r="H267" s="413" t="str">
        <f>IF(Item1.3LPP.OnHold46[[#This Row],[Pipe]]&lt;&gt;"",IF(COUNTIF(Item1.3LPP.OnHold4[Pipe],D267)&gt;0,"Sim","Não"),"")</f>
        <v/>
      </c>
      <c r="I267" s="445"/>
    </row>
    <row r="268" spans="1:9">
      <c r="A268" s="253" t="str">
        <f>IF(Item1.3LPP.OnHold46[[#This Row],[Date]]&lt;&gt;"",WEEKNUM(Item1.3LPP.OnHold46[[#This Row],[Date]]),"")</f>
        <v/>
      </c>
      <c r="B268" s="453"/>
      <c r="C268" s="271"/>
      <c r="D268" s="585"/>
      <c r="E268" s="259"/>
      <c r="F268" s="413"/>
      <c r="G268" s="413" t="str">
        <f>IF(Item1.3LPP.OnHold46[[#This Row],[Pipe]]&lt;&gt;"",COUNTIF(Item1.3LPP.OnHold46[Pipe],D268),"")</f>
        <v/>
      </c>
      <c r="H268" s="413" t="str">
        <f>IF(Item1.3LPP.OnHold46[[#This Row],[Pipe]]&lt;&gt;"",IF(COUNTIF(Item1.3LPP.OnHold4[Pipe],D268)&gt;0,"Sim","Não"),"")</f>
        <v/>
      </c>
      <c r="I268" s="445"/>
    </row>
    <row r="269" spans="1:9">
      <c r="A269" s="253" t="str">
        <f>IF(Item1.3LPP.OnHold46[[#This Row],[Date]]&lt;&gt;"",WEEKNUM(Item1.3LPP.OnHold46[[#This Row],[Date]]),"")</f>
        <v/>
      </c>
      <c r="B269" s="453"/>
      <c r="C269" s="271"/>
      <c r="D269" s="585"/>
      <c r="E269" s="259"/>
      <c r="F269" s="413"/>
      <c r="G269" s="413" t="str">
        <f>IF(Item1.3LPP.OnHold46[[#This Row],[Pipe]]&lt;&gt;"",COUNTIF(Item1.3LPP.OnHold46[Pipe],D269),"")</f>
        <v/>
      </c>
      <c r="H269" s="413" t="str">
        <f>IF(Item1.3LPP.OnHold46[[#This Row],[Pipe]]&lt;&gt;"",IF(COUNTIF(Item1.3LPP.OnHold4[Pipe],D269)&gt;0,"Sim","Não"),"")</f>
        <v/>
      </c>
      <c r="I269" s="445"/>
    </row>
    <row r="270" spans="1:9">
      <c r="A270" s="253" t="str">
        <f>IF(Item1.3LPP.OnHold46[[#This Row],[Date]]&lt;&gt;"",WEEKNUM(Item1.3LPP.OnHold46[[#This Row],[Date]]),"")</f>
        <v/>
      </c>
      <c r="B270" s="453"/>
      <c r="C270" s="271"/>
      <c r="D270" s="585"/>
      <c r="E270" s="259"/>
      <c r="F270" s="413"/>
      <c r="G270" s="413" t="str">
        <f>IF(Item1.3LPP.OnHold46[[#This Row],[Pipe]]&lt;&gt;"",COUNTIF(Item1.3LPP.OnHold46[Pipe],D270),"")</f>
        <v/>
      </c>
      <c r="H270" s="413" t="str">
        <f>IF(Item1.3LPP.OnHold46[[#This Row],[Pipe]]&lt;&gt;"",IF(COUNTIF(Item1.3LPP.OnHold4[Pipe],D270)&gt;0,"Sim","Não"),"")</f>
        <v/>
      </c>
      <c r="I270" s="445"/>
    </row>
    <row r="271" spans="1:9">
      <c r="A271" s="253" t="str">
        <f>IF(Item1.3LPP.OnHold46[[#This Row],[Date]]&lt;&gt;"",WEEKNUM(Item1.3LPP.OnHold46[[#This Row],[Date]]),"")</f>
        <v/>
      </c>
      <c r="B271" s="453"/>
      <c r="C271" s="271"/>
      <c r="D271" s="585"/>
      <c r="E271" s="259"/>
      <c r="F271" s="413"/>
      <c r="G271" s="413" t="str">
        <f>IF(Item1.3LPP.OnHold46[[#This Row],[Pipe]]&lt;&gt;"",COUNTIF(Item1.3LPP.OnHold46[Pipe],D271),"")</f>
        <v/>
      </c>
      <c r="H271" s="413" t="str">
        <f>IF(Item1.3LPP.OnHold46[[#This Row],[Pipe]]&lt;&gt;"",IF(COUNTIF(Item1.3LPP.OnHold4[Pipe],D271)&gt;0,"Sim","Não"),"")</f>
        <v/>
      </c>
      <c r="I271" s="445"/>
    </row>
    <row r="272" spans="1:9">
      <c r="A272" s="253" t="str">
        <f>IF(Item1.3LPP.OnHold46[[#This Row],[Date]]&lt;&gt;"",WEEKNUM(Item1.3LPP.OnHold46[[#This Row],[Date]]),"")</f>
        <v/>
      </c>
      <c r="B272" s="453"/>
      <c r="C272" s="271"/>
      <c r="D272" s="585"/>
      <c r="E272" s="259"/>
      <c r="F272" s="413"/>
      <c r="G272" s="413" t="str">
        <f>IF(Item1.3LPP.OnHold46[[#This Row],[Pipe]]&lt;&gt;"",COUNTIF(Item1.3LPP.OnHold46[Pipe],D272),"")</f>
        <v/>
      </c>
      <c r="H272" s="413" t="str">
        <f>IF(Item1.3LPP.OnHold46[[#This Row],[Pipe]]&lt;&gt;"",IF(COUNTIF(Item1.3LPP.OnHold4[Pipe],D272)&gt;0,"Sim","Não"),"")</f>
        <v/>
      </c>
      <c r="I272" s="445"/>
    </row>
    <row r="273" spans="1:9">
      <c r="A273" s="253" t="str">
        <f>IF(Item1.3LPP.OnHold46[[#This Row],[Date]]&lt;&gt;"",WEEKNUM(Item1.3LPP.OnHold46[[#This Row],[Date]]),"")</f>
        <v/>
      </c>
      <c r="B273" s="453"/>
      <c r="C273" s="271"/>
      <c r="D273" s="585"/>
      <c r="E273" s="259"/>
      <c r="F273" s="413"/>
      <c r="G273" s="413" t="str">
        <f>IF(Item1.3LPP.OnHold46[[#This Row],[Pipe]]&lt;&gt;"",COUNTIF(Item1.3LPP.OnHold46[Pipe],D273),"")</f>
        <v/>
      </c>
      <c r="H273" s="413" t="str">
        <f>IF(Item1.3LPP.OnHold46[[#This Row],[Pipe]]&lt;&gt;"",IF(COUNTIF(Item1.3LPP.OnHold4[Pipe],D273)&gt;0,"Sim","Não"),"")</f>
        <v/>
      </c>
      <c r="I273" s="445"/>
    </row>
    <row r="274" spans="1:9">
      <c r="A274" s="253" t="str">
        <f>IF(Item1.3LPP.OnHold46[[#This Row],[Date]]&lt;&gt;"",WEEKNUM(Item1.3LPP.OnHold46[[#This Row],[Date]]),"")</f>
        <v/>
      </c>
      <c r="B274" s="453"/>
      <c r="C274" s="271"/>
      <c r="D274" s="585"/>
      <c r="E274" s="259"/>
      <c r="F274" s="413"/>
      <c r="G274" s="413" t="str">
        <f>IF(Item1.3LPP.OnHold46[[#This Row],[Pipe]]&lt;&gt;"",COUNTIF(Item1.3LPP.OnHold46[Pipe],D274),"")</f>
        <v/>
      </c>
      <c r="H274" s="413" t="str">
        <f>IF(Item1.3LPP.OnHold46[[#This Row],[Pipe]]&lt;&gt;"",IF(COUNTIF(Item1.3LPP.OnHold4[Pipe],D274)&gt;0,"Sim","Não"),"")</f>
        <v/>
      </c>
      <c r="I274" s="445"/>
    </row>
    <row r="275" spans="1:9">
      <c r="A275" s="253" t="str">
        <f>IF(Item1.3LPP.OnHold46[[#This Row],[Date]]&lt;&gt;"",WEEKNUM(Item1.3LPP.OnHold46[[#This Row],[Date]]),"")</f>
        <v/>
      </c>
      <c r="B275" s="453"/>
      <c r="C275" s="271"/>
      <c r="D275" s="585"/>
      <c r="E275" s="259"/>
      <c r="F275" s="413"/>
      <c r="G275" s="413" t="str">
        <f>IF(Item1.3LPP.OnHold46[[#This Row],[Pipe]]&lt;&gt;"",COUNTIF(Item1.3LPP.OnHold46[Pipe],D275),"")</f>
        <v/>
      </c>
      <c r="H275" s="413" t="str">
        <f>IF(Item1.3LPP.OnHold46[[#This Row],[Pipe]]&lt;&gt;"",IF(COUNTIF(Item1.3LPP.OnHold4[Pipe],D275)&gt;0,"Sim","Não"),"")</f>
        <v/>
      </c>
      <c r="I275" s="445"/>
    </row>
    <row r="276" spans="1:9">
      <c r="A276" s="253" t="str">
        <f>IF(Item1.3LPP.OnHold46[[#This Row],[Date]]&lt;&gt;"",WEEKNUM(Item1.3LPP.OnHold46[[#This Row],[Date]]),"")</f>
        <v/>
      </c>
      <c r="B276" s="453"/>
      <c r="C276" s="271"/>
      <c r="D276" s="585"/>
      <c r="E276" s="259"/>
      <c r="F276" s="413"/>
      <c r="G276" s="413" t="str">
        <f>IF(Item1.3LPP.OnHold46[[#This Row],[Pipe]]&lt;&gt;"",COUNTIF(Item1.3LPP.OnHold46[Pipe],D276),"")</f>
        <v/>
      </c>
      <c r="H276" s="413" t="str">
        <f>IF(Item1.3LPP.OnHold46[[#This Row],[Pipe]]&lt;&gt;"",IF(COUNTIF(Item1.3LPP.OnHold4[Pipe],D276)&gt;0,"Sim","Não"),"")</f>
        <v/>
      </c>
      <c r="I276" s="445"/>
    </row>
    <row r="277" spans="1:9">
      <c r="A277" s="253" t="str">
        <f>IF(Item1.3LPP.OnHold46[[#This Row],[Date]]&lt;&gt;"",WEEKNUM(Item1.3LPP.OnHold46[[#This Row],[Date]]),"")</f>
        <v/>
      </c>
      <c r="B277" s="453"/>
      <c r="C277" s="271"/>
      <c r="D277" s="585"/>
      <c r="E277" s="259"/>
      <c r="F277" s="413"/>
      <c r="G277" s="413" t="str">
        <f>IF(Item1.3LPP.OnHold46[[#This Row],[Pipe]]&lt;&gt;"",COUNTIF(Item1.3LPP.OnHold46[Pipe],D277),"")</f>
        <v/>
      </c>
      <c r="H277" s="413" t="str">
        <f>IF(Item1.3LPP.OnHold46[[#This Row],[Pipe]]&lt;&gt;"",IF(COUNTIF(Item1.3LPP.OnHold4[Pipe],D277)&gt;0,"Sim","Não"),"")</f>
        <v/>
      </c>
      <c r="I277" s="445"/>
    </row>
    <row r="278" spans="1:9">
      <c r="A278" s="253" t="str">
        <f>IF(Item1.3LPP.OnHold46[[#This Row],[Date]]&lt;&gt;"",WEEKNUM(Item1.3LPP.OnHold46[[#This Row],[Date]]),"")</f>
        <v/>
      </c>
      <c r="B278" s="453"/>
      <c r="C278" s="271"/>
      <c r="D278" s="585"/>
      <c r="E278" s="259"/>
      <c r="F278" s="413"/>
      <c r="G278" s="413" t="str">
        <f>IF(Item1.3LPP.OnHold46[[#This Row],[Pipe]]&lt;&gt;"",COUNTIF(Item1.3LPP.OnHold46[Pipe],D278),"")</f>
        <v/>
      </c>
      <c r="H278" s="413" t="str">
        <f>IF(Item1.3LPP.OnHold46[[#This Row],[Pipe]]&lt;&gt;"",IF(COUNTIF(Item1.3LPP.OnHold4[Pipe],D278)&gt;0,"Sim","Não"),"")</f>
        <v/>
      </c>
      <c r="I278" s="445"/>
    </row>
    <row r="279" spans="1:9">
      <c r="A279" s="253" t="str">
        <f>IF(Item1.3LPP.OnHold46[[#This Row],[Date]]&lt;&gt;"",WEEKNUM(Item1.3LPP.OnHold46[[#This Row],[Date]]),"")</f>
        <v/>
      </c>
      <c r="B279" s="453"/>
      <c r="C279" s="271"/>
      <c r="D279" s="585"/>
      <c r="E279" s="259"/>
      <c r="F279" s="413"/>
      <c r="G279" s="413" t="str">
        <f>IF(Item1.3LPP.OnHold46[[#This Row],[Pipe]]&lt;&gt;"",COUNTIF(Item1.3LPP.OnHold46[Pipe],D279),"")</f>
        <v/>
      </c>
      <c r="H279" s="413" t="str">
        <f>IF(Item1.3LPP.OnHold46[[#This Row],[Pipe]]&lt;&gt;"",IF(COUNTIF(Item1.3LPP.OnHold4[Pipe],D279)&gt;0,"Sim","Não"),"")</f>
        <v/>
      </c>
      <c r="I279" s="445"/>
    </row>
    <row r="280" spans="1:9">
      <c r="A280" s="253" t="str">
        <f>IF(Item1.3LPP.OnHold46[[#This Row],[Date]]&lt;&gt;"",WEEKNUM(Item1.3LPP.OnHold46[[#This Row],[Date]]),"")</f>
        <v/>
      </c>
      <c r="B280" s="453"/>
      <c r="C280" s="271"/>
      <c r="D280" s="585"/>
      <c r="E280" s="259"/>
      <c r="F280" s="413"/>
      <c r="G280" s="413" t="str">
        <f>IF(Item1.3LPP.OnHold46[[#This Row],[Pipe]]&lt;&gt;"",COUNTIF(Item1.3LPP.OnHold46[Pipe],D280),"")</f>
        <v/>
      </c>
      <c r="H280" s="413" t="str">
        <f>IF(Item1.3LPP.OnHold46[[#This Row],[Pipe]]&lt;&gt;"",IF(COUNTIF(Item1.3LPP.OnHold4[Pipe],D280)&gt;0,"Sim","Não"),"")</f>
        <v/>
      </c>
      <c r="I280" s="445"/>
    </row>
    <row r="281" spans="1:9">
      <c r="A281" s="253" t="str">
        <f>IF(Item1.3LPP.OnHold46[[#This Row],[Date]]&lt;&gt;"",WEEKNUM(Item1.3LPP.OnHold46[[#This Row],[Date]]),"")</f>
        <v/>
      </c>
      <c r="B281" s="453"/>
      <c r="C281" s="271"/>
      <c r="D281" s="585"/>
      <c r="E281" s="259"/>
      <c r="F281" s="413"/>
      <c r="G281" s="413" t="str">
        <f>IF(Item1.3LPP.OnHold46[[#This Row],[Pipe]]&lt;&gt;"",COUNTIF(Item1.3LPP.OnHold46[Pipe],D281),"")</f>
        <v/>
      </c>
      <c r="H281" s="413" t="str">
        <f>IF(Item1.3LPP.OnHold46[[#This Row],[Pipe]]&lt;&gt;"",IF(COUNTIF(Item1.3LPP.OnHold4[Pipe],D281)&gt;0,"Sim","Não"),"")</f>
        <v/>
      </c>
      <c r="I281" s="445"/>
    </row>
    <row r="282" spans="1:9">
      <c r="A282" s="253" t="str">
        <f>IF(Item1.3LPP.OnHold46[[#This Row],[Date]]&lt;&gt;"",WEEKNUM(Item1.3LPP.OnHold46[[#This Row],[Date]]),"")</f>
        <v/>
      </c>
      <c r="B282" s="453"/>
      <c r="C282" s="271"/>
      <c r="D282" s="585"/>
      <c r="E282" s="259"/>
      <c r="F282" s="413"/>
      <c r="G282" s="413" t="str">
        <f>IF(Item1.3LPP.OnHold46[[#This Row],[Pipe]]&lt;&gt;"",COUNTIF(Item1.3LPP.OnHold46[Pipe],D282),"")</f>
        <v/>
      </c>
      <c r="H282" s="413" t="str">
        <f>IF(Item1.3LPP.OnHold46[[#This Row],[Pipe]]&lt;&gt;"",IF(COUNTIF(Item1.3LPP.OnHold4[Pipe],D282)&gt;0,"Sim","Não"),"")</f>
        <v/>
      </c>
      <c r="I282" s="445"/>
    </row>
    <row r="283" spans="1:9">
      <c r="A283" s="253" t="str">
        <f>IF(Item1.3LPP.OnHold46[[#This Row],[Date]]&lt;&gt;"",WEEKNUM(Item1.3LPP.OnHold46[[#This Row],[Date]]),"")</f>
        <v/>
      </c>
      <c r="B283" s="453"/>
      <c r="C283" s="271"/>
      <c r="D283" s="585"/>
      <c r="E283" s="259"/>
      <c r="F283" s="413"/>
      <c r="G283" s="413" t="str">
        <f>IF(Item1.3LPP.OnHold46[[#This Row],[Pipe]]&lt;&gt;"",COUNTIF(Item1.3LPP.OnHold46[Pipe],D283),"")</f>
        <v/>
      </c>
      <c r="H283" s="413" t="str">
        <f>IF(Item1.3LPP.OnHold46[[#This Row],[Pipe]]&lt;&gt;"",IF(COUNTIF(Item1.3LPP.OnHold4[Pipe],D283)&gt;0,"Sim","Não"),"")</f>
        <v/>
      </c>
      <c r="I283" s="445"/>
    </row>
    <row r="284" spans="1:9">
      <c r="A284" s="253" t="str">
        <f>IF(Item1.3LPP.OnHold46[[#This Row],[Date]]&lt;&gt;"",WEEKNUM(Item1.3LPP.OnHold46[[#This Row],[Date]]),"")</f>
        <v/>
      </c>
      <c r="B284" s="453"/>
      <c r="C284" s="271"/>
      <c r="D284" s="585"/>
      <c r="E284" s="259"/>
      <c r="F284" s="413"/>
      <c r="G284" s="413" t="str">
        <f>IF(Item1.3LPP.OnHold46[[#This Row],[Pipe]]&lt;&gt;"",COUNTIF(Item1.3LPP.OnHold46[Pipe],D284),"")</f>
        <v/>
      </c>
      <c r="H284" s="413" t="str">
        <f>IF(Item1.3LPP.OnHold46[[#This Row],[Pipe]]&lt;&gt;"",IF(COUNTIF(Item1.3LPP.OnHold4[Pipe],D284)&gt;0,"Sim","Não"),"")</f>
        <v/>
      </c>
      <c r="I284" s="445"/>
    </row>
    <row r="285" spans="1:9">
      <c r="A285" s="253" t="str">
        <f>IF(Item1.3LPP.OnHold46[[#This Row],[Date]]&lt;&gt;"",WEEKNUM(Item1.3LPP.OnHold46[[#This Row],[Date]]),"")</f>
        <v/>
      </c>
      <c r="B285" s="453"/>
      <c r="C285" s="271"/>
      <c r="D285" s="585"/>
      <c r="E285" s="259"/>
      <c r="F285" s="413"/>
      <c r="G285" s="413" t="str">
        <f>IF(Item1.3LPP.OnHold46[[#This Row],[Pipe]]&lt;&gt;"",COUNTIF(Item1.3LPP.OnHold46[Pipe],D285),"")</f>
        <v/>
      </c>
      <c r="H285" s="413" t="str">
        <f>IF(Item1.3LPP.OnHold46[[#This Row],[Pipe]]&lt;&gt;"",IF(COUNTIF(Item1.3LPP.OnHold4[Pipe],D285)&gt;0,"Sim","Não"),"")</f>
        <v/>
      </c>
      <c r="I285" s="445"/>
    </row>
    <row r="286" spans="1:9">
      <c r="A286" s="253" t="str">
        <f>IF(Item1.3LPP.OnHold46[[#This Row],[Date]]&lt;&gt;"",WEEKNUM(Item1.3LPP.OnHold46[[#This Row],[Date]]),"")</f>
        <v/>
      </c>
      <c r="B286" s="453"/>
      <c r="C286" s="271"/>
      <c r="D286" s="585"/>
      <c r="E286" s="259"/>
      <c r="F286" s="413"/>
      <c r="G286" s="413" t="str">
        <f>IF(Item1.3LPP.OnHold46[[#This Row],[Pipe]]&lt;&gt;"",COUNTIF(Item1.3LPP.OnHold46[Pipe],D286),"")</f>
        <v/>
      </c>
      <c r="H286" s="413" t="str">
        <f>IF(Item1.3LPP.OnHold46[[#This Row],[Pipe]]&lt;&gt;"",IF(COUNTIF(Item1.3LPP.OnHold4[Pipe],D286)&gt;0,"Sim","Não"),"")</f>
        <v/>
      </c>
      <c r="I286" s="445"/>
    </row>
    <row r="287" spans="1:9">
      <c r="A287" s="253" t="str">
        <f>IF(Item1.3LPP.OnHold46[[#This Row],[Date]]&lt;&gt;"",WEEKNUM(Item1.3LPP.OnHold46[[#This Row],[Date]]),"")</f>
        <v/>
      </c>
      <c r="B287" s="453"/>
      <c r="C287" s="271"/>
      <c r="D287" s="585"/>
      <c r="E287" s="259"/>
      <c r="F287" s="413"/>
      <c r="G287" s="413" t="str">
        <f>IF(Item1.3LPP.OnHold46[[#This Row],[Pipe]]&lt;&gt;"",COUNTIF(Item1.3LPP.OnHold46[Pipe],D287),"")</f>
        <v/>
      </c>
      <c r="H287" s="413" t="str">
        <f>IF(Item1.3LPP.OnHold46[[#This Row],[Pipe]]&lt;&gt;"",IF(COUNTIF(Item1.3LPP.OnHold4[Pipe],D287)&gt;0,"Sim","Não"),"")</f>
        <v/>
      </c>
      <c r="I287" s="445"/>
    </row>
    <row r="288" spans="1:9">
      <c r="A288" s="253" t="str">
        <f>IF(Item1.3LPP.OnHold46[[#This Row],[Date]]&lt;&gt;"",WEEKNUM(Item1.3LPP.OnHold46[[#This Row],[Date]]),"")</f>
        <v/>
      </c>
      <c r="B288" s="453"/>
      <c r="C288" s="271"/>
      <c r="D288" s="585"/>
      <c r="E288" s="259"/>
      <c r="F288" s="413"/>
      <c r="G288" s="413" t="str">
        <f>IF(Item1.3LPP.OnHold46[[#This Row],[Pipe]]&lt;&gt;"",COUNTIF(Item1.3LPP.OnHold46[Pipe],D288),"")</f>
        <v/>
      </c>
      <c r="H288" s="413" t="str">
        <f>IF(Item1.3LPP.OnHold46[[#This Row],[Pipe]]&lt;&gt;"",IF(COUNTIF(Item1.3LPP.OnHold4[Pipe],D288)&gt;0,"Sim","Não"),"")</f>
        <v/>
      </c>
      <c r="I288" s="445"/>
    </row>
    <row r="289" spans="1:9">
      <c r="A289" s="253" t="str">
        <f>IF(Item1.3LPP.OnHold46[[#This Row],[Date]]&lt;&gt;"",WEEKNUM(Item1.3LPP.OnHold46[[#This Row],[Date]]),"")</f>
        <v/>
      </c>
      <c r="B289" s="453"/>
      <c r="C289" s="271"/>
      <c r="D289" s="585"/>
      <c r="E289" s="259"/>
      <c r="F289" s="413"/>
      <c r="G289" s="413" t="str">
        <f>IF(Item1.3LPP.OnHold46[[#This Row],[Pipe]]&lt;&gt;"",COUNTIF(Item1.3LPP.OnHold46[Pipe],D289),"")</f>
        <v/>
      </c>
      <c r="H289" s="413" t="str">
        <f>IF(Item1.3LPP.OnHold46[[#This Row],[Pipe]]&lt;&gt;"",IF(COUNTIF(Item1.3LPP.OnHold4[Pipe],D289)&gt;0,"Sim","Não"),"")</f>
        <v/>
      </c>
      <c r="I289" s="445"/>
    </row>
    <row r="290" spans="1:9">
      <c r="A290" s="253" t="str">
        <f>IF(Item1.3LPP.OnHold46[[#This Row],[Date]]&lt;&gt;"",WEEKNUM(Item1.3LPP.OnHold46[[#This Row],[Date]]),"")</f>
        <v/>
      </c>
      <c r="B290" s="453"/>
      <c r="C290" s="271"/>
      <c r="D290" s="585"/>
      <c r="E290" s="259"/>
      <c r="F290" s="413"/>
      <c r="G290" s="413" t="str">
        <f>IF(Item1.3LPP.OnHold46[[#This Row],[Pipe]]&lt;&gt;"",COUNTIF(Item1.3LPP.OnHold46[Pipe],D290),"")</f>
        <v/>
      </c>
      <c r="H290" s="413" t="str">
        <f>IF(Item1.3LPP.OnHold46[[#This Row],[Pipe]]&lt;&gt;"",IF(COUNTIF(Item1.3LPP.OnHold4[Pipe],D290)&gt;0,"Sim","Não"),"")</f>
        <v/>
      </c>
      <c r="I290" s="445"/>
    </row>
    <row r="291" spans="1:9">
      <c r="A291" s="253" t="str">
        <f>IF(Item1.3LPP.OnHold46[[#This Row],[Date]]&lt;&gt;"",WEEKNUM(Item1.3LPP.OnHold46[[#This Row],[Date]]),"")</f>
        <v/>
      </c>
      <c r="B291" s="453"/>
      <c r="C291" s="271"/>
      <c r="D291" s="585"/>
      <c r="E291" s="259"/>
      <c r="F291" s="413"/>
      <c r="G291" s="413" t="str">
        <f>IF(Item1.3LPP.OnHold46[[#This Row],[Pipe]]&lt;&gt;"",COUNTIF(Item1.3LPP.OnHold46[Pipe],D291),"")</f>
        <v/>
      </c>
      <c r="H291" s="413" t="str">
        <f>IF(Item1.3LPP.OnHold46[[#This Row],[Pipe]]&lt;&gt;"",IF(COUNTIF(Item1.3LPP.OnHold4[Pipe],D291)&gt;0,"Sim","Não"),"")</f>
        <v/>
      </c>
      <c r="I291" s="445"/>
    </row>
    <row r="292" spans="1:9">
      <c r="A292" s="253" t="str">
        <f>IF(Item1.3LPP.OnHold46[[#This Row],[Date]]&lt;&gt;"",WEEKNUM(Item1.3LPP.OnHold46[[#This Row],[Date]]),"")</f>
        <v/>
      </c>
      <c r="B292" s="453"/>
      <c r="C292" s="271"/>
      <c r="D292" s="585"/>
      <c r="E292" s="259"/>
      <c r="F292" s="413"/>
      <c r="G292" s="413" t="str">
        <f>IF(Item1.3LPP.OnHold46[[#This Row],[Pipe]]&lt;&gt;"",COUNTIF(Item1.3LPP.OnHold46[Pipe],D292),"")</f>
        <v/>
      </c>
      <c r="H292" s="413" t="str">
        <f>IF(Item1.3LPP.OnHold46[[#This Row],[Pipe]]&lt;&gt;"",IF(COUNTIF(Item1.3LPP.OnHold4[Pipe],D292)&gt;0,"Sim","Não"),"")</f>
        <v/>
      </c>
      <c r="I292" s="445"/>
    </row>
    <row r="293" spans="1:9">
      <c r="A293" s="253" t="str">
        <f>IF(Item1.3LPP.OnHold46[[#This Row],[Date]]&lt;&gt;"",WEEKNUM(Item1.3LPP.OnHold46[[#This Row],[Date]]),"")</f>
        <v/>
      </c>
      <c r="B293" s="453"/>
      <c r="C293" s="271"/>
      <c r="D293" s="585"/>
      <c r="E293" s="259"/>
      <c r="F293" s="413"/>
      <c r="G293" s="413" t="str">
        <f>IF(Item1.3LPP.OnHold46[[#This Row],[Pipe]]&lt;&gt;"",COUNTIF(Item1.3LPP.OnHold46[Pipe],D293),"")</f>
        <v/>
      </c>
      <c r="H293" s="413" t="str">
        <f>IF(Item1.3LPP.OnHold46[[#This Row],[Pipe]]&lt;&gt;"",IF(COUNTIF(Item1.3LPP.OnHold4[Pipe],D293)&gt;0,"Sim","Não"),"")</f>
        <v/>
      </c>
      <c r="I293" s="445"/>
    </row>
    <row r="294" spans="1:9">
      <c r="A294" s="253" t="str">
        <f>IF(Item1.3LPP.OnHold46[[#This Row],[Date]]&lt;&gt;"",WEEKNUM(Item1.3LPP.OnHold46[[#This Row],[Date]]),"")</f>
        <v/>
      </c>
      <c r="B294" s="453"/>
      <c r="C294" s="271"/>
      <c r="D294" s="585"/>
      <c r="E294" s="259"/>
      <c r="F294" s="413"/>
      <c r="G294" s="413" t="str">
        <f>IF(Item1.3LPP.OnHold46[[#This Row],[Pipe]]&lt;&gt;"",COUNTIF(Item1.3LPP.OnHold46[Pipe],D294),"")</f>
        <v/>
      </c>
      <c r="H294" s="413" t="str">
        <f>IF(Item1.3LPP.OnHold46[[#This Row],[Pipe]]&lt;&gt;"",IF(COUNTIF(Item1.3LPP.OnHold4[Pipe],D294)&gt;0,"Sim","Não"),"")</f>
        <v/>
      </c>
      <c r="I294" s="445"/>
    </row>
    <row r="295" spans="1:9">
      <c r="A295" s="253" t="str">
        <f>IF(Item1.3LPP.OnHold46[[#This Row],[Date]]&lt;&gt;"",WEEKNUM(Item1.3LPP.OnHold46[[#This Row],[Date]]),"")</f>
        <v/>
      </c>
      <c r="B295" s="453"/>
      <c r="C295" s="271"/>
      <c r="D295" s="585"/>
      <c r="E295" s="259"/>
      <c r="F295" s="413"/>
      <c r="G295" s="413" t="str">
        <f>IF(Item1.3LPP.OnHold46[[#This Row],[Pipe]]&lt;&gt;"",COUNTIF(Item1.3LPP.OnHold46[Pipe],D295),"")</f>
        <v/>
      </c>
      <c r="H295" s="413" t="str">
        <f>IF(Item1.3LPP.OnHold46[[#This Row],[Pipe]]&lt;&gt;"",IF(COUNTIF(Item1.3LPP.OnHold4[Pipe],D295)&gt;0,"Sim","Não"),"")</f>
        <v/>
      </c>
      <c r="I295" s="445"/>
    </row>
    <row r="296" spans="1:9">
      <c r="A296" s="253" t="str">
        <f>IF(Item1.3LPP.OnHold46[[#This Row],[Date]]&lt;&gt;"",WEEKNUM(Item1.3LPP.OnHold46[[#This Row],[Date]]),"")</f>
        <v/>
      </c>
      <c r="B296" s="453"/>
      <c r="C296" s="271"/>
      <c r="D296" s="585"/>
      <c r="E296" s="259"/>
      <c r="F296" s="413"/>
      <c r="G296" s="413" t="str">
        <f>IF(Item1.3LPP.OnHold46[[#This Row],[Pipe]]&lt;&gt;"",COUNTIF(Item1.3LPP.OnHold46[Pipe],D296),"")</f>
        <v/>
      </c>
      <c r="H296" s="413" t="str">
        <f>IF(Item1.3LPP.OnHold46[[#This Row],[Pipe]]&lt;&gt;"",IF(COUNTIF(Item1.3LPP.OnHold4[Pipe],D296)&gt;0,"Sim","Não"),"")</f>
        <v/>
      </c>
      <c r="I296" s="445"/>
    </row>
    <row r="297" spans="1:9">
      <c r="A297" s="253" t="str">
        <f>IF(Item1.3LPP.OnHold46[[#This Row],[Date]]&lt;&gt;"",WEEKNUM(Item1.3LPP.OnHold46[[#This Row],[Date]]),"")</f>
        <v/>
      </c>
      <c r="B297" s="453"/>
      <c r="C297" s="271"/>
      <c r="D297" s="585"/>
      <c r="E297" s="259"/>
      <c r="F297" s="413"/>
      <c r="G297" s="413" t="str">
        <f>IF(Item1.3LPP.OnHold46[[#This Row],[Pipe]]&lt;&gt;"",COUNTIF(Item1.3LPP.OnHold46[Pipe],D297),"")</f>
        <v/>
      </c>
      <c r="H297" s="413" t="str">
        <f>IF(Item1.3LPP.OnHold46[[#This Row],[Pipe]]&lt;&gt;"",IF(COUNTIF(Item1.3LPP.OnHold4[Pipe],D297)&gt;0,"Sim","Não"),"")</f>
        <v/>
      </c>
      <c r="I297" s="445"/>
    </row>
    <row r="298" spans="1:9">
      <c r="A298" s="253" t="str">
        <f>IF(Item1.3LPP.OnHold46[[#This Row],[Date]]&lt;&gt;"",WEEKNUM(Item1.3LPP.OnHold46[[#This Row],[Date]]),"")</f>
        <v/>
      </c>
      <c r="B298" s="453"/>
      <c r="C298" s="271"/>
      <c r="D298" s="585"/>
      <c r="E298" s="259"/>
      <c r="F298" s="413"/>
      <c r="G298" s="413" t="str">
        <f>IF(Item1.3LPP.OnHold46[[#This Row],[Pipe]]&lt;&gt;"",COUNTIF(Item1.3LPP.OnHold46[Pipe],D298),"")</f>
        <v/>
      </c>
      <c r="H298" s="413" t="str">
        <f>IF(Item1.3LPP.OnHold46[[#This Row],[Pipe]]&lt;&gt;"",IF(COUNTIF(Item1.3LPP.OnHold4[Pipe],D298)&gt;0,"Sim","Não"),"")</f>
        <v/>
      </c>
      <c r="I298" s="445"/>
    </row>
    <row r="299" spans="1:9">
      <c r="A299" s="253" t="str">
        <f>IF(Item1.3LPP.OnHold46[[#This Row],[Date]]&lt;&gt;"",WEEKNUM(Item1.3LPP.OnHold46[[#This Row],[Date]]),"")</f>
        <v/>
      </c>
      <c r="B299" s="453"/>
      <c r="C299" s="271"/>
      <c r="D299" s="585"/>
      <c r="E299" s="259"/>
      <c r="F299" s="413"/>
      <c r="G299" s="413" t="str">
        <f>IF(Item1.3LPP.OnHold46[[#This Row],[Pipe]]&lt;&gt;"",COUNTIF(Item1.3LPP.OnHold46[Pipe],D299),"")</f>
        <v/>
      </c>
      <c r="H299" s="413" t="str">
        <f>IF(Item1.3LPP.OnHold46[[#This Row],[Pipe]]&lt;&gt;"",IF(COUNTIF(Item1.3LPP.OnHold4[Pipe],D299)&gt;0,"Sim","Não"),"")</f>
        <v/>
      </c>
      <c r="I299" s="445"/>
    </row>
    <row r="300" spans="1:9">
      <c r="A300" s="253" t="str">
        <f>IF(Item1.3LPP.OnHold46[[#This Row],[Date]]&lt;&gt;"",WEEKNUM(Item1.3LPP.OnHold46[[#This Row],[Date]]),"")</f>
        <v/>
      </c>
      <c r="B300" s="453"/>
      <c r="C300" s="271"/>
      <c r="D300" s="585"/>
      <c r="E300" s="259"/>
      <c r="F300" s="413"/>
      <c r="G300" s="413" t="str">
        <f>IF(Item1.3LPP.OnHold46[[#This Row],[Pipe]]&lt;&gt;"",COUNTIF(Item1.3LPP.OnHold46[Pipe],D300),"")</f>
        <v/>
      </c>
      <c r="H300" s="413" t="str">
        <f>IF(Item1.3LPP.OnHold46[[#This Row],[Pipe]]&lt;&gt;"",IF(COUNTIF(Item1.3LPP.OnHold4[Pipe],D300)&gt;0,"Sim","Não"),"")</f>
        <v/>
      </c>
      <c r="I300" s="445"/>
    </row>
  </sheetData>
  <conditionalFormatting sqref="D1:D3 D5:D7 D17:D18 D22:D23 D27:D37 D39:D44 D47:D49 D52:D53 D56:D65 D70 D73:D78 D84:D88 D99:D103 D115:D1048576">
    <cfRule type="duplicateValues" dxfId="183" priority="575"/>
    <cfRule type="duplicateValues" dxfId="182" priority="535"/>
    <cfRule type="duplicateValues" dxfId="181" priority="534"/>
    <cfRule type="duplicateValues" dxfId="180" priority="533"/>
  </conditionalFormatting>
  <conditionalFormatting sqref="D1:D3 D5:D15 D17:D18 D22:D23 D27:D37 D39:D44 D47:D49 D52:D53 D56:D65 D70 D73:D78 D84:D88 D99:D103 D115:D1048576">
    <cfRule type="duplicateValues" dxfId="179" priority="589"/>
  </conditionalFormatting>
  <conditionalFormatting sqref="D1:D1048576">
    <cfRule type="duplicateValues" dxfId="178" priority="424"/>
    <cfRule type="duplicateValues" dxfId="177" priority="422"/>
    <cfRule type="duplicateValues" dxfId="176" priority="423"/>
    <cfRule type="duplicateValues" dxfId="175" priority="425"/>
    <cfRule type="duplicateValues" dxfId="174" priority="426"/>
  </conditionalFormatting>
  <conditionalFormatting sqref="D4:D300">
    <cfRule type="duplicateValues" dxfId="173" priority="427"/>
    <cfRule type="duplicateValues" dxfId="172" priority="428"/>
    <cfRule type="duplicateValues" dxfId="171" priority="429"/>
    <cfRule type="duplicateValues" dxfId="170" priority="430"/>
    <cfRule type="duplicateValues" dxfId="169" priority="431"/>
  </conditionalFormatting>
  <conditionalFormatting sqref="D8:D11">
    <cfRule type="duplicateValues" dxfId="168" priority="432"/>
    <cfRule type="duplicateValues" dxfId="167" priority="433"/>
    <cfRule type="duplicateValues" dxfId="166" priority="434"/>
    <cfRule type="duplicateValues" dxfId="165" priority="435"/>
  </conditionalFormatting>
  <conditionalFormatting sqref="D12:D15">
    <cfRule type="duplicateValues" dxfId="164" priority="437"/>
    <cfRule type="duplicateValues" dxfId="163" priority="438"/>
    <cfRule type="duplicateValues" dxfId="162" priority="439"/>
    <cfRule type="duplicateValues" dxfId="161" priority="436"/>
  </conditionalFormatting>
  <conditionalFormatting sqref="D16">
    <cfRule type="duplicateValues" dxfId="160" priority="440"/>
    <cfRule type="duplicateValues" dxfId="159" priority="441"/>
    <cfRule type="duplicateValues" dxfId="158" priority="442"/>
    <cfRule type="duplicateValues" dxfId="157" priority="443"/>
    <cfRule type="duplicateValues" dxfId="156" priority="444"/>
  </conditionalFormatting>
  <conditionalFormatting sqref="D19">
    <cfRule type="duplicateValues" dxfId="155" priority="445"/>
    <cfRule type="duplicateValues" dxfId="154" priority="446"/>
    <cfRule type="duplicateValues" dxfId="153" priority="447"/>
    <cfRule type="duplicateValues" dxfId="152" priority="448"/>
  </conditionalFormatting>
  <conditionalFormatting sqref="D20">
    <cfRule type="duplicateValues" dxfId="151" priority="452"/>
    <cfRule type="duplicateValues" dxfId="150" priority="453"/>
    <cfRule type="duplicateValues" dxfId="149" priority="449"/>
    <cfRule type="duplicateValues" dxfId="148" priority="450"/>
    <cfRule type="duplicateValues" dxfId="147" priority="451"/>
  </conditionalFormatting>
  <conditionalFormatting sqref="D21">
    <cfRule type="duplicateValues" dxfId="146" priority="454"/>
    <cfRule type="duplicateValues" dxfId="145" priority="455"/>
    <cfRule type="duplicateValues" dxfId="144" priority="456"/>
    <cfRule type="duplicateValues" dxfId="143" priority="457"/>
    <cfRule type="duplicateValues" dxfId="142" priority="458"/>
  </conditionalFormatting>
  <conditionalFormatting sqref="D24:D26">
    <cfRule type="duplicateValues" dxfId="141" priority="459"/>
    <cfRule type="duplicateValues" dxfId="140" priority="460"/>
    <cfRule type="duplicateValues" dxfId="139" priority="461"/>
    <cfRule type="duplicateValues" dxfId="138" priority="462"/>
    <cfRule type="duplicateValues" dxfId="137" priority="463"/>
  </conditionalFormatting>
  <conditionalFormatting sqref="D38">
    <cfRule type="duplicateValues" dxfId="136" priority="465"/>
    <cfRule type="duplicateValues" dxfId="135" priority="466"/>
    <cfRule type="duplicateValues" dxfId="134" priority="467"/>
    <cfRule type="duplicateValues" dxfId="133" priority="468"/>
    <cfRule type="duplicateValues" dxfId="132" priority="464"/>
  </conditionalFormatting>
  <conditionalFormatting sqref="D41">
    <cfRule type="duplicateValues" dxfId="131" priority="470"/>
    <cfRule type="duplicateValues" dxfId="130" priority="469"/>
    <cfRule type="duplicateValues" dxfId="129" priority="471"/>
  </conditionalFormatting>
  <conditionalFormatting sqref="D45:D46">
    <cfRule type="duplicateValues" dxfId="128" priority="472"/>
    <cfRule type="duplicateValues" dxfId="127" priority="476"/>
    <cfRule type="duplicateValues" dxfId="126" priority="475"/>
    <cfRule type="duplicateValues" dxfId="125" priority="474"/>
    <cfRule type="duplicateValues" dxfId="124" priority="473"/>
  </conditionalFormatting>
  <conditionalFormatting sqref="D50:D51">
    <cfRule type="duplicateValues" dxfId="123" priority="481"/>
    <cfRule type="duplicateValues" dxfId="122" priority="480"/>
    <cfRule type="duplicateValues" dxfId="121" priority="479"/>
    <cfRule type="duplicateValues" dxfId="120" priority="478"/>
    <cfRule type="duplicateValues" dxfId="119" priority="477"/>
  </conditionalFormatting>
  <conditionalFormatting sqref="D54">
    <cfRule type="duplicateValues" dxfId="118" priority="485"/>
    <cfRule type="duplicateValues" dxfId="117" priority="482"/>
    <cfRule type="duplicateValues" dxfId="116" priority="486"/>
    <cfRule type="duplicateValues" dxfId="115" priority="484"/>
    <cfRule type="duplicateValues" dxfId="114" priority="483"/>
  </conditionalFormatting>
  <conditionalFormatting sqref="D55">
    <cfRule type="duplicateValues" dxfId="113" priority="491"/>
    <cfRule type="duplicateValues" dxfId="112" priority="487"/>
    <cfRule type="duplicateValues" dxfId="111" priority="488"/>
    <cfRule type="duplicateValues" dxfId="110" priority="489"/>
    <cfRule type="duplicateValues" dxfId="109" priority="490"/>
  </conditionalFormatting>
  <conditionalFormatting sqref="D66:D69">
    <cfRule type="duplicateValues" dxfId="108" priority="492"/>
    <cfRule type="duplicateValues" dxfId="107" priority="494"/>
    <cfRule type="duplicateValues" dxfId="106" priority="495"/>
    <cfRule type="duplicateValues" dxfId="105" priority="496"/>
    <cfRule type="duplicateValues" dxfId="104" priority="493"/>
  </conditionalFormatting>
  <conditionalFormatting sqref="D71:D72">
    <cfRule type="duplicateValues" dxfId="103" priority="497"/>
    <cfRule type="duplicateValues" dxfId="102" priority="498"/>
    <cfRule type="duplicateValues" dxfId="101" priority="499"/>
    <cfRule type="duplicateValues" dxfId="100" priority="501"/>
    <cfRule type="duplicateValues" dxfId="99" priority="500"/>
  </conditionalFormatting>
  <conditionalFormatting sqref="D79:D80">
    <cfRule type="duplicateValues" dxfId="98" priority="502"/>
    <cfRule type="duplicateValues" dxfId="97" priority="503"/>
    <cfRule type="duplicateValues" dxfId="96" priority="504"/>
    <cfRule type="duplicateValues" dxfId="95" priority="505"/>
    <cfRule type="duplicateValues" dxfId="94" priority="506"/>
    <cfRule type="duplicateValues" dxfId="93" priority="507"/>
  </conditionalFormatting>
  <conditionalFormatting sqref="D81:D83">
    <cfRule type="duplicateValues" dxfId="92" priority="513"/>
    <cfRule type="duplicateValues" dxfId="91" priority="512"/>
    <cfRule type="duplicateValues" dxfId="90" priority="509"/>
    <cfRule type="duplicateValues" dxfId="89" priority="510"/>
    <cfRule type="duplicateValues" dxfId="88" priority="511"/>
    <cfRule type="duplicateValues" dxfId="87" priority="508"/>
  </conditionalFormatting>
  <conditionalFormatting sqref="D89:D94">
    <cfRule type="duplicateValues" dxfId="86" priority="519"/>
    <cfRule type="duplicateValues" dxfId="85" priority="515"/>
    <cfRule type="duplicateValues" dxfId="84" priority="514"/>
    <cfRule type="duplicateValues" dxfId="83" priority="517"/>
    <cfRule type="duplicateValues" dxfId="82" priority="518"/>
    <cfRule type="duplicateValues" dxfId="81" priority="516"/>
  </conditionalFormatting>
  <conditionalFormatting sqref="D95:D96">
    <cfRule type="duplicateValues" dxfId="80" priority="524"/>
    <cfRule type="duplicateValues" dxfId="79" priority="525"/>
    <cfRule type="duplicateValues" dxfId="78" priority="526"/>
    <cfRule type="duplicateValues" dxfId="77" priority="520"/>
    <cfRule type="duplicateValues" dxfId="76" priority="521"/>
    <cfRule type="duplicateValues" dxfId="75" priority="522"/>
    <cfRule type="duplicateValues" dxfId="74" priority="523"/>
  </conditionalFormatting>
  <conditionalFormatting sqref="D97:D98">
    <cfRule type="duplicateValues" dxfId="73" priority="527"/>
    <cfRule type="duplicateValues" dxfId="72" priority="528"/>
    <cfRule type="duplicateValues" dxfId="71" priority="532"/>
    <cfRule type="duplicateValues" dxfId="70" priority="531"/>
    <cfRule type="duplicateValues" dxfId="69" priority="530"/>
    <cfRule type="duplicateValues" dxfId="68" priority="529"/>
  </conditionalFormatting>
  <conditionalFormatting sqref="D104:D114">
    <cfRule type="duplicateValues" dxfId="67" priority="605"/>
    <cfRule type="duplicateValues" dxfId="66" priority="606"/>
    <cfRule type="duplicateValues" dxfId="65" priority="607"/>
    <cfRule type="duplicateValues" dxfId="64" priority="608"/>
    <cfRule type="duplicateValues" dxfId="63" priority="609"/>
    <cfRule type="duplicateValues" dxfId="62" priority="603"/>
    <cfRule type="duplicateValues" dxfId="61" priority="604"/>
  </conditionalFormatting>
  <conditionalFormatting sqref="E2">
    <cfRule type="duplicateValues" dxfId="60" priority="142"/>
    <cfRule type="duplicateValues" dxfId="59" priority="141"/>
  </conditionalFormatting>
  <conditionalFormatting sqref="F4:H300">
    <cfRule type="cellIs" dxfId="58" priority="129" operator="equal">
      <formula>$L$1</formula>
    </cfRule>
    <cfRule type="cellIs" dxfId="57" priority="127" operator="equal">
      <formula>$L$2</formula>
    </cfRule>
    <cfRule type="cellIs" dxfId="56" priority="121" operator="equal">
      <formula>#REF!</formula>
    </cfRule>
    <cfRule type="cellIs" dxfId="55" priority="128" operator="equal">
      <formula>#REF!</formula>
    </cfRule>
  </conditionalFormatting>
  <conditionalFormatting sqref="I71:I72">
    <cfRule type="cellIs" dxfId="54" priority="60" operator="equal">
      <formula>$N$1</formula>
    </cfRule>
    <cfRule type="cellIs" dxfId="53" priority="49" operator="equal">
      <formula>$N$2</formula>
    </cfRule>
    <cfRule type="cellIs" dxfId="52" priority="48" operator="equal">
      <formula>#REF!</formula>
    </cfRule>
    <cfRule type="cellIs" dxfId="51" priority="51" operator="equal">
      <formula>$N$1</formula>
    </cfRule>
    <cfRule type="cellIs" dxfId="50" priority="57" operator="equal">
      <formula>#REF!</formula>
    </cfRule>
    <cfRule type="cellIs" dxfId="49" priority="58" operator="equal">
      <formula>$N$2</formula>
    </cfRule>
    <cfRule type="cellIs" dxfId="48" priority="59" operator="equal">
      <formula>#REF!</formula>
    </cfRule>
    <cfRule type="cellIs" dxfId="47" priority="50" operator="equal">
      <formula>#REF!</formula>
    </cfRule>
  </conditionalFormatting>
  <conditionalFormatting sqref="I80">
    <cfRule type="cellIs" dxfId="46" priority="43" operator="equal">
      <formula>#REF!</formula>
    </cfRule>
    <cfRule type="cellIs" dxfId="45" priority="37" operator="equal">
      <formula>$N$1</formula>
    </cfRule>
    <cfRule type="cellIs" dxfId="44" priority="36" operator="equal">
      <formula>#REF!</formula>
    </cfRule>
    <cfRule type="cellIs" dxfId="43" priority="35" operator="equal">
      <formula>$N$2</formula>
    </cfRule>
    <cfRule type="cellIs" dxfId="42" priority="34" operator="equal">
      <formula>#REF!</formula>
    </cfRule>
    <cfRule type="cellIs" dxfId="41" priority="46" operator="equal">
      <formula>$N$1</formula>
    </cfRule>
    <cfRule type="cellIs" dxfId="40" priority="45" operator="equal">
      <formula>#REF!</formula>
    </cfRule>
    <cfRule type="cellIs" dxfId="39" priority="44" operator="equal">
      <formula>$N$2</formula>
    </cfRule>
  </conditionalFormatting>
  <dataValidations disablePrompts="1" count="1">
    <dataValidation type="list" allowBlank="1" showInputMessage="1" showErrorMessage="1" sqref="I71:I72 I80" xr:uid="{00000000-0002-0000-0B00-000000000000}">
      <formula1>$O$1:$O$5</formula1>
    </dataValidation>
  </dataValidations>
  <pageMargins left="0.511811024" right="0.511811024" top="0.78740157499999996" bottom="0.78740157499999996" header="0.31496062000000002" footer="0.31496062000000002"/>
  <pageSetup paperSize="9" scale="69" orientation="portrait"/>
  <colBreaks count="1" manualBreakCount="1">
    <brk id="9" max="1048575" man="1"/>
  </colBreaks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X150"/>
  <sheetViews>
    <sheetView showGridLines="0" zoomScaleNormal="100" workbookViewId="0">
      <selection activeCell="C22" sqref="C22"/>
    </sheetView>
  </sheetViews>
  <sheetFormatPr defaultRowHeight="14.5"/>
  <cols>
    <col min="1" max="1" width="30.90625" customWidth="1"/>
    <col min="3" max="3" width="29.54296875" style="475" customWidth="1"/>
    <col min="4" max="4" width="10.90625" customWidth="1"/>
    <col min="5" max="5" width="33.90625" customWidth="1"/>
    <col min="6" max="6" width="1.90625" style="318" customWidth="1"/>
    <col min="7" max="7" width="12.453125" style="440" customWidth="1"/>
    <col min="8" max="8" width="11.90625" style="440" customWidth="1"/>
    <col min="9" max="9" width="15.08984375" style="440" customWidth="1"/>
    <col min="10" max="11" width="9.08984375" style="318" customWidth="1"/>
    <col min="12" max="24" width="8.90625" style="318" customWidth="1"/>
  </cols>
  <sheetData>
    <row r="1" spans="1:24" ht="38.25" customHeight="1">
      <c r="A1" s="745" t="s">
        <v>342</v>
      </c>
      <c r="B1" s="746"/>
      <c r="C1" s="746"/>
      <c r="D1" s="746"/>
      <c r="E1" s="747"/>
      <c r="J1" s="440"/>
    </row>
    <row r="2" spans="1:24" s="249" customFormat="1">
      <c r="A2" s="296"/>
      <c r="B2" s="296"/>
      <c r="C2" s="441"/>
      <c r="D2" s="473"/>
      <c r="E2" s="296"/>
      <c r="F2" s="319"/>
      <c r="G2" s="442"/>
      <c r="H2" s="440"/>
      <c r="I2" s="440"/>
      <c r="J2" s="442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24" s="249" customFormat="1" ht="17.25" customHeight="1">
      <c r="A3" s="273" t="s">
        <v>698</v>
      </c>
      <c r="B3" s="250"/>
      <c r="C3" s="474"/>
      <c r="D3" s="250"/>
      <c r="E3" s="250"/>
      <c r="F3" s="319"/>
      <c r="G3" s="442"/>
      <c r="H3" s="440"/>
      <c r="I3" s="440"/>
      <c r="J3" s="442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24" ht="15" customHeight="1">
      <c r="A4" s="274" t="s">
        <v>699</v>
      </c>
      <c r="B4" s="274" t="s">
        <v>57</v>
      </c>
      <c r="C4" s="274" t="s">
        <v>700</v>
      </c>
      <c r="D4" s="275" t="s">
        <v>701</v>
      </c>
      <c r="E4" s="275" t="s">
        <v>702</v>
      </c>
      <c r="H4" s="442"/>
    </row>
    <row r="5" spans="1:24" ht="15" customHeight="1">
      <c r="A5" s="409" t="s">
        <v>703</v>
      </c>
      <c r="B5" s="410">
        <v>1</v>
      </c>
      <c r="C5" s="468" t="s">
        <v>704</v>
      </c>
      <c r="D5" s="413">
        <v>16441</v>
      </c>
      <c r="E5" s="412" t="s">
        <v>705</v>
      </c>
      <c r="H5" s="442"/>
      <c r="I5" s="442"/>
    </row>
    <row r="6" spans="1:24">
      <c r="A6" s="409" t="s">
        <v>706</v>
      </c>
      <c r="B6" s="410">
        <v>1</v>
      </c>
      <c r="C6" s="468" t="s">
        <v>707</v>
      </c>
      <c r="D6" s="253" t="s">
        <v>708</v>
      </c>
      <c r="E6" s="412" t="s">
        <v>709</v>
      </c>
    </row>
    <row r="7" spans="1:24">
      <c r="A7" s="236" t="s">
        <v>710</v>
      </c>
      <c r="B7" s="237">
        <v>1</v>
      </c>
      <c r="C7" s="468" t="s">
        <v>711</v>
      </c>
      <c r="D7" s="253" t="s">
        <v>712</v>
      </c>
      <c r="E7" s="412" t="s">
        <v>709</v>
      </c>
    </row>
    <row r="8" spans="1:24">
      <c r="A8" s="236" t="s">
        <v>713</v>
      </c>
      <c r="B8" s="237">
        <v>2</v>
      </c>
      <c r="C8" s="468" t="s">
        <v>704</v>
      </c>
      <c r="D8" s="253">
        <v>16442</v>
      </c>
      <c r="E8" s="412" t="s">
        <v>709</v>
      </c>
    </row>
    <row r="9" spans="1:24">
      <c r="A9" s="236" t="s">
        <v>714</v>
      </c>
      <c r="B9" s="237">
        <v>2</v>
      </c>
      <c r="C9" s="468" t="s">
        <v>707</v>
      </c>
      <c r="D9" s="253">
        <v>16430</v>
      </c>
      <c r="E9" s="412" t="s">
        <v>709</v>
      </c>
    </row>
    <row r="10" spans="1:24">
      <c r="A10" s="236" t="s">
        <v>715</v>
      </c>
      <c r="B10" s="237">
        <v>2</v>
      </c>
      <c r="C10" s="468" t="s">
        <v>711</v>
      </c>
      <c r="D10" s="260">
        <v>16432</v>
      </c>
      <c r="E10" s="412" t="s">
        <v>705</v>
      </c>
    </row>
    <row r="11" spans="1:24">
      <c r="A11" s="236" t="s">
        <v>716</v>
      </c>
      <c r="B11" s="237">
        <v>3</v>
      </c>
      <c r="C11" s="468" t="s">
        <v>704</v>
      </c>
      <c r="D11" s="253">
        <v>16431</v>
      </c>
      <c r="E11" s="412" t="s">
        <v>705</v>
      </c>
    </row>
    <row r="12" spans="1:24">
      <c r="A12" s="236" t="s">
        <v>717</v>
      </c>
      <c r="B12" s="237">
        <v>3</v>
      </c>
      <c r="C12" s="468" t="s">
        <v>707</v>
      </c>
      <c r="D12" s="253">
        <v>16443</v>
      </c>
      <c r="E12" s="412" t="s">
        <v>709</v>
      </c>
    </row>
    <row r="13" spans="1:24">
      <c r="A13" s="236" t="s">
        <v>718</v>
      </c>
      <c r="B13" s="410">
        <v>3</v>
      </c>
      <c r="C13" s="468" t="s">
        <v>711</v>
      </c>
      <c r="D13" s="413">
        <v>16440</v>
      </c>
      <c r="E13" s="412" t="s">
        <v>709</v>
      </c>
    </row>
    <row r="14" spans="1:24">
      <c r="A14" s="236"/>
      <c r="B14" s="237"/>
      <c r="C14" s="469"/>
      <c r="D14" s="253"/>
      <c r="E14" s="253"/>
    </row>
    <row r="15" spans="1:24">
      <c r="A15" s="256"/>
      <c r="B15" s="257"/>
      <c r="C15" s="469"/>
      <c r="D15" s="253"/>
      <c r="E15" s="253"/>
    </row>
    <row r="16" spans="1:24">
      <c r="A16" s="409"/>
      <c r="B16" s="257"/>
      <c r="C16" s="469"/>
      <c r="D16" s="413"/>
      <c r="E16" s="253"/>
    </row>
    <row r="17" spans="1:5">
      <c r="A17" s="256"/>
      <c r="B17" s="263"/>
      <c r="C17" s="470"/>
      <c r="D17" s="260"/>
      <c r="E17" s="253"/>
    </row>
    <row r="18" spans="1:5">
      <c r="A18" s="256"/>
      <c r="B18" s="263"/>
      <c r="C18" s="470"/>
      <c r="D18" s="260"/>
      <c r="E18" s="253"/>
    </row>
    <row r="19" spans="1:5">
      <c r="A19" s="256"/>
      <c r="B19" s="263"/>
      <c r="C19" s="470"/>
      <c r="D19" s="260"/>
      <c r="E19" s="253"/>
    </row>
    <row r="20" spans="1:5">
      <c r="A20" s="256"/>
      <c r="B20" s="263"/>
      <c r="C20" s="263"/>
      <c r="D20" s="253"/>
      <c r="E20" s="412"/>
    </row>
    <row r="21" spans="1:5">
      <c r="A21" s="256"/>
      <c r="B21" s="263"/>
      <c r="C21" s="263"/>
      <c r="D21" s="253"/>
      <c r="E21" s="412"/>
    </row>
    <row r="22" spans="1:5">
      <c r="A22" s="256"/>
      <c r="B22" s="263"/>
      <c r="C22" s="263"/>
      <c r="D22" s="253"/>
      <c r="E22" s="412"/>
    </row>
    <row r="23" spans="1:5">
      <c r="A23" s="256"/>
      <c r="B23" s="263"/>
      <c r="C23" s="263"/>
      <c r="D23" s="253"/>
      <c r="E23" s="412"/>
    </row>
    <row r="24" spans="1:5">
      <c r="A24" s="256"/>
      <c r="B24" s="263"/>
      <c r="C24" s="263"/>
      <c r="D24" s="253"/>
      <c r="E24" s="253"/>
    </row>
    <row r="25" spans="1:5">
      <c r="A25" s="256"/>
      <c r="B25" s="257"/>
      <c r="C25" s="469"/>
      <c r="D25" s="253"/>
      <c r="E25" s="253"/>
    </row>
    <row r="26" spans="1:5">
      <c r="A26" s="256"/>
      <c r="B26" s="263"/>
      <c r="C26" s="263"/>
      <c r="D26" s="253"/>
      <c r="E26" s="412"/>
    </row>
    <row r="27" spans="1:5">
      <c r="A27" s="256"/>
      <c r="B27" s="257"/>
      <c r="C27" s="469"/>
      <c r="D27" s="253"/>
      <c r="E27" s="412"/>
    </row>
    <row r="28" spans="1:5">
      <c r="A28" s="256"/>
      <c r="B28" s="257"/>
      <c r="C28" s="469"/>
      <c r="D28" s="253"/>
      <c r="E28" s="253"/>
    </row>
    <row r="29" spans="1:5">
      <c r="A29" s="256"/>
      <c r="B29" s="257"/>
      <c r="C29" s="469"/>
      <c r="D29" s="253"/>
      <c r="E29" s="253"/>
    </row>
    <row r="30" spans="1:5">
      <c r="A30" s="256"/>
      <c r="B30" s="257"/>
      <c r="C30" s="469"/>
      <c r="D30" s="253"/>
      <c r="E30" s="253"/>
    </row>
    <row r="31" spans="1:5">
      <c r="A31" s="256"/>
      <c r="B31" s="257"/>
      <c r="C31" s="469"/>
      <c r="D31" s="253"/>
      <c r="E31" s="253"/>
    </row>
    <row r="32" spans="1:5">
      <c r="A32" s="256"/>
      <c r="B32" s="257"/>
      <c r="C32" s="469"/>
      <c r="D32" s="253"/>
      <c r="E32" s="253"/>
    </row>
    <row r="33" spans="1:5">
      <c r="A33" s="256"/>
      <c r="B33" s="257"/>
      <c r="C33" s="469"/>
      <c r="D33" s="253"/>
      <c r="E33" s="253"/>
    </row>
    <row r="34" spans="1:5">
      <c r="A34" s="258"/>
      <c r="B34" s="224"/>
      <c r="C34" s="471"/>
      <c r="D34" s="253"/>
      <c r="E34" s="259"/>
    </row>
    <row r="35" spans="1:5">
      <c r="A35" s="262"/>
      <c r="B35" s="263"/>
      <c r="C35" s="263"/>
      <c r="D35" s="253"/>
      <c r="E35" s="253"/>
    </row>
    <row r="36" spans="1:5">
      <c r="A36" s="262"/>
      <c r="B36" s="263"/>
      <c r="C36" s="470"/>
      <c r="D36" s="260"/>
      <c r="E36" s="253"/>
    </row>
    <row r="37" spans="1:5">
      <c r="A37" s="262"/>
      <c r="B37" s="263"/>
      <c r="C37" s="470"/>
      <c r="D37" s="260"/>
      <c r="E37" s="253"/>
    </row>
    <row r="38" spans="1:5">
      <c r="A38" s="262"/>
      <c r="B38" s="263"/>
      <c r="C38" s="470"/>
      <c r="D38" s="260"/>
      <c r="E38" s="253"/>
    </row>
    <row r="39" spans="1:5">
      <c r="A39" s="262"/>
      <c r="B39" s="263"/>
      <c r="C39" s="263"/>
      <c r="D39" s="253"/>
      <c r="E39" s="253"/>
    </row>
    <row r="40" spans="1:5">
      <c r="A40" s="262"/>
      <c r="B40" s="263"/>
      <c r="C40" s="470"/>
      <c r="D40" s="260"/>
      <c r="E40" s="253"/>
    </row>
    <row r="41" spans="1:5">
      <c r="A41" s="262"/>
      <c r="B41" s="263"/>
      <c r="C41" s="470"/>
      <c r="D41" s="260"/>
      <c r="E41" s="253"/>
    </row>
    <row r="42" spans="1:5">
      <c r="A42" s="262"/>
      <c r="B42" s="263"/>
      <c r="C42" s="470"/>
      <c r="D42" s="260"/>
      <c r="E42" s="253"/>
    </row>
    <row r="43" spans="1:5">
      <c r="A43" s="262"/>
      <c r="B43" s="263"/>
      <c r="C43" s="470"/>
      <c r="D43" s="260"/>
      <c r="E43" s="253"/>
    </row>
    <row r="44" spans="1:5">
      <c r="A44" s="262"/>
      <c r="B44" s="263"/>
      <c r="C44" s="263"/>
      <c r="D44" s="253"/>
      <c r="E44" s="253"/>
    </row>
    <row r="45" spans="1:5">
      <c r="A45" s="262"/>
      <c r="B45" s="263"/>
      <c r="C45" s="470"/>
      <c r="D45" s="260"/>
      <c r="E45" s="253"/>
    </row>
    <row r="46" spans="1:5">
      <c r="A46" s="262"/>
      <c r="B46" s="263"/>
      <c r="C46" s="470"/>
      <c r="D46" s="260"/>
      <c r="E46" s="253"/>
    </row>
    <row r="47" spans="1:5">
      <c r="A47" s="262"/>
      <c r="B47" s="263"/>
      <c r="C47" s="470"/>
      <c r="D47" s="260"/>
      <c r="E47" s="253"/>
    </row>
    <row r="48" spans="1:5">
      <c r="A48" s="262"/>
      <c r="B48" s="263"/>
      <c r="C48" s="470"/>
      <c r="D48" s="260"/>
      <c r="E48" s="253"/>
    </row>
    <row r="49" spans="1:5">
      <c r="A49" s="262"/>
      <c r="B49" s="263"/>
      <c r="C49" s="470"/>
      <c r="D49" s="260"/>
      <c r="E49" s="253"/>
    </row>
    <row r="50" spans="1:5">
      <c r="A50" s="262"/>
      <c r="B50" s="263"/>
      <c r="C50" s="263"/>
      <c r="D50" s="253"/>
      <c r="E50" s="253"/>
    </row>
    <row r="51" spans="1:5">
      <c r="A51" s="234"/>
      <c r="B51" s="263"/>
      <c r="C51" s="470"/>
      <c r="D51" s="260"/>
      <c r="E51" s="253"/>
    </row>
    <row r="52" spans="1:5">
      <c r="A52" s="223"/>
      <c r="B52" s="224"/>
      <c r="C52" s="472"/>
      <c r="D52" s="260"/>
      <c r="E52" s="253"/>
    </row>
    <row r="53" spans="1:5">
      <c r="A53" s="223"/>
      <c r="B53" s="224"/>
      <c r="C53" s="471"/>
      <c r="D53" s="253"/>
      <c r="E53" s="253"/>
    </row>
    <row r="54" spans="1:5">
      <c r="A54" s="223"/>
      <c r="B54" s="224"/>
      <c r="C54" s="472"/>
      <c r="D54" s="260"/>
      <c r="E54" s="253"/>
    </row>
    <row r="55" spans="1:5">
      <c r="A55" s="223"/>
      <c r="B55" s="224"/>
      <c r="C55" s="472"/>
      <c r="D55" s="260"/>
      <c r="E55" s="253"/>
    </row>
    <row r="56" spans="1:5">
      <c r="A56" s="223"/>
      <c r="B56" s="224"/>
      <c r="C56" s="472"/>
      <c r="D56" s="260"/>
      <c r="E56" s="253"/>
    </row>
    <row r="57" spans="1:5">
      <c r="A57" s="223"/>
      <c r="B57" s="224"/>
      <c r="C57" s="471"/>
      <c r="D57" s="253"/>
      <c r="E57" s="253"/>
    </row>
    <row r="58" spans="1:5">
      <c r="A58" s="223"/>
      <c r="B58" s="224"/>
      <c r="C58" s="472"/>
      <c r="D58" s="260"/>
      <c r="E58" s="253"/>
    </row>
    <row r="59" spans="1:5">
      <c r="A59" s="223"/>
      <c r="B59" s="224"/>
      <c r="C59" s="472"/>
      <c r="D59" s="260"/>
      <c r="E59" s="253"/>
    </row>
    <row r="60" spans="1:5">
      <c r="A60" s="223"/>
      <c r="B60" s="224"/>
      <c r="C60" s="471"/>
      <c r="D60" s="253"/>
      <c r="E60" s="253"/>
    </row>
    <row r="61" spans="1:5">
      <c r="A61" s="223"/>
      <c r="B61" s="224"/>
      <c r="C61" s="472"/>
      <c r="D61" s="260"/>
      <c r="E61" s="253"/>
    </row>
    <row r="62" spans="1:5">
      <c r="A62" s="223"/>
      <c r="B62" s="224"/>
      <c r="C62" s="472"/>
      <c r="D62" s="260"/>
      <c r="E62" s="253"/>
    </row>
    <row r="63" spans="1:5">
      <c r="A63" s="238"/>
      <c r="B63" s="235"/>
      <c r="C63" s="469"/>
      <c r="D63" s="253"/>
      <c r="E63" s="253"/>
    </row>
    <row r="64" spans="1:5">
      <c r="A64" s="238"/>
      <c r="B64" s="235"/>
      <c r="C64" s="469"/>
      <c r="D64" s="253"/>
      <c r="E64" s="253"/>
    </row>
    <row r="65" spans="1:5">
      <c r="A65" s="238"/>
      <c r="B65" s="235"/>
      <c r="C65" s="469"/>
      <c r="D65" s="253"/>
      <c r="E65" s="253"/>
    </row>
    <row r="66" spans="1:5">
      <c r="A66" s="238"/>
      <c r="B66" s="235"/>
      <c r="C66" s="469"/>
      <c r="D66" s="253"/>
      <c r="E66" s="253"/>
    </row>
    <row r="67" spans="1:5">
      <c r="A67" s="238"/>
      <c r="B67" s="235"/>
      <c r="C67" s="469"/>
      <c r="D67" s="253"/>
      <c r="E67" s="253"/>
    </row>
    <row r="68" spans="1:5">
      <c r="A68" s="238"/>
      <c r="B68" s="235"/>
      <c r="C68" s="469"/>
      <c r="D68" s="253"/>
      <c r="E68" s="253"/>
    </row>
    <row r="69" spans="1:5">
      <c r="A69" s="238"/>
      <c r="B69" s="235"/>
      <c r="C69" s="469"/>
      <c r="D69" s="253"/>
      <c r="E69" s="253"/>
    </row>
    <row r="70" spans="1:5">
      <c r="A70" s="238"/>
      <c r="B70" s="235"/>
      <c r="C70" s="469"/>
      <c r="D70" s="253"/>
      <c r="E70" s="253"/>
    </row>
    <row r="71" spans="1:5">
      <c r="A71" s="238"/>
      <c r="B71" s="235"/>
      <c r="C71" s="469"/>
      <c r="D71" s="253"/>
      <c r="E71" s="253"/>
    </row>
    <row r="72" spans="1:5">
      <c r="A72" s="238"/>
      <c r="B72" s="235"/>
      <c r="C72" s="469"/>
      <c r="D72" s="253"/>
      <c r="E72" s="253"/>
    </row>
    <row r="73" spans="1:5">
      <c r="A73" s="238"/>
      <c r="B73" s="235"/>
      <c r="C73" s="469"/>
      <c r="D73" s="253"/>
      <c r="E73" s="253"/>
    </row>
    <row r="74" spans="1:5">
      <c r="A74" s="238"/>
      <c r="B74" s="235"/>
      <c r="C74" s="469"/>
      <c r="D74" s="253"/>
      <c r="E74" s="253"/>
    </row>
    <row r="75" spans="1:5">
      <c r="A75" s="238"/>
      <c r="B75" s="235"/>
      <c r="C75" s="469"/>
      <c r="D75" s="253"/>
      <c r="E75" s="253"/>
    </row>
    <row r="76" spans="1:5">
      <c r="A76" s="238"/>
      <c r="B76" s="235"/>
      <c r="C76" s="469"/>
      <c r="D76" s="253"/>
      <c r="E76" s="253"/>
    </row>
    <row r="77" spans="1:5">
      <c r="A77" s="238"/>
      <c r="B77" s="235"/>
      <c r="C77" s="469"/>
      <c r="D77" s="253"/>
      <c r="E77" s="253"/>
    </row>
    <row r="78" spans="1:5">
      <c r="A78" s="264"/>
      <c r="B78" s="224"/>
      <c r="C78" s="471"/>
      <c r="D78" s="253"/>
      <c r="E78" s="253"/>
    </row>
    <row r="79" spans="1:5">
      <c r="A79" s="266"/>
      <c r="B79" s="224"/>
      <c r="C79" s="471"/>
      <c r="D79" s="253"/>
      <c r="E79" s="253"/>
    </row>
    <row r="80" spans="1:5">
      <c r="A80" s="266"/>
      <c r="B80" s="224"/>
      <c r="C80" s="471"/>
      <c r="D80" s="253"/>
      <c r="E80" s="253"/>
    </row>
    <row r="81" spans="1:5">
      <c r="A81" s="266"/>
      <c r="B81" s="224"/>
      <c r="C81" s="471"/>
      <c r="D81" s="253"/>
      <c r="E81" s="253"/>
    </row>
    <row r="82" spans="1:5">
      <c r="A82" s="266"/>
      <c r="B82" s="224"/>
      <c r="C82" s="471"/>
      <c r="D82" s="253"/>
      <c r="E82" s="253"/>
    </row>
    <row r="83" spans="1:5">
      <c r="A83" s="266"/>
      <c r="B83" s="224"/>
      <c r="C83" s="471"/>
      <c r="D83" s="253"/>
      <c r="E83" s="253"/>
    </row>
    <row r="84" spans="1:5">
      <c r="A84" s="266"/>
      <c r="B84" s="224"/>
      <c r="C84" s="471"/>
      <c r="D84" s="253"/>
      <c r="E84" s="253"/>
    </row>
    <row r="85" spans="1:5">
      <c r="A85" s="266"/>
      <c r="B85" s="224"/>
      <c r="C85" s="471"/>
      <c r="D85" s="253"/>
      <c r="E85" s="253"/>
    </row>
    <row r="86" spans="1:5">
      <c r="A86" s="268"/>
      <c r="B86" s="224"/>
      <c r="C86" s="471"/>
      <c r="D86" s="253"/>
      <c r="E86" s="253"/>
    </row>
    <row r="87" spans="1:5">
      <c r="A87" s="268"/>
      <c r="B87" s="224"/>
      <c r="C87" s="471"/>
      <c r="D87" s="253"/>
      <c r="E87" s="259"/>
    </row>
    <row r="88" spans="1:5">
      <c r="A88" s="264"/>
      <c r="B88" s="224"/>
      <c r="C88" s="471"/>
      <c r="D88" s="253"/>
      <c r="E88" s="253"/>
    </row>
    <row r="89" spans="1:5">
      <c r="A89" s="266"/>
      <c r="B89" s="224"/>
      <c r="C89" s="471"/>
      <c r="D89" s="253"/>
      <c r="E89" s="253"/>
    </row>
    <row r="90" spans="1:5">
      <c r="A90" s="266"/>
      <c r="B90" s="224"/>
      <c r="C90" s="471"/>
      <c r="D90" s="253"/>
      <c r="E90" s="253"/>
    </row>
    <row r="91" spans="1:5">
      <c r="A91" s="266"/>
      <c r="B91" s="224"/>
      <c r="C91" s="471"/>
      <c r="D91" s="253"/>
      <c r="E91" s="253"/>
    </row>
    <row r="92" spans="1:5">
      <c r="A92" s="266"/>
      <c r="B92" s="224"/>
      <c r="C92" s="471"/>
      <c r="D92" s="253"/>
      <c r="E92" s="253"/>
    </row>
    <row r="93" spans="1:5">
      <c r="A93" s="266"/>
      <c r="B93" s="224"/>
      <c r="C93" s="471"/>
      <c r="D93" s="253"/>
      <c r="E93" s="253"/>
    </row>
    <row r="94" spans="1:5">
      <c r="A94" s="266"/>
      <c r="B94" s="224"/>
      <c r="C94" s="471"/>
      <c r="D94" s="253"/>
      <c r="E94" s="253"/>
    </row>
    <row r="95" spans="1:5">
      <c r="A95" s="266"/>
      <c r="B95" s="224"/>
      <c r="C95" s="471"/>
      <c r="D95" s="253"/>
      <c r="E95" s="253"/>
    </row>
    <row r="96" spans="1:5">
      <c r="A96" s="266"/>
      <c r="B96" s="224"/>
      <c r="C96" s="471"/>
      <c r="D96" s="253"/>
      <c r="E96" s="253"/>
    </row>
    <row r="97" spans="1:5">
      <c r="A97" s="266"/>
      <c r="B97" s="224"/>
      <c r="C97" s="471"/>
      <c r="D97" s="253"/>
      <c r="E97" s="253"/>
    </row>
    <row r="98" spans="1:5">
      <c r="A98" s="266"/>
      <c r="B98" s="224"/>
      <c r="C98" s="471"/>
      <c r="D98" s="253"/>
      <c r="E98" s="253"/>
    </row>
    <row r="99" spans="1:5">
      <c r="A99" s="266"/>
      <c r="B99" s="224"/>
      <c r="C99" s="471"/>
      <c r="D99" s="253"/>
      <c r="E99" s="253"/>
    </row>
    <row r="100" spans="1:5">
      <c r="A100" s="266"/>
      <c r="B100" s="224"/>
      <c r="C100" s="471"/>
      <c r="D100" s="253"/>
      <c r="E100" s="253"/>
    </row>
    <row r="101" spans="1:5">
      <c r="A101" s="268"/>
      <c r="B101" s="224"/>
      <c r="C101" s="471"/>
      <c r="D101" s="253"/>
      <c r="E101" s="253"/>
    </row>
    <row r="102" spans="1:5">
      <c r="A102" s="258"/>
      <c r="B102" s="224"/>
      <c r="C102" s="471"/>
      <c r="D102" s="253"/>
      <c r="E102" s="253"/>
    </row>
    <row r="103" spans="1:5">
      <c r="A103" s="258"/>
      <c r="B103" s="224"/>
      <c r="C103" s="471"/>
      <c r="D103" s="253"/>
      <c r="E103" s="253"/>
    </row>
    <row r="104" spans="1:5">
      <c r="A104" s="258"/>
      <c r="B104" s="224"/>
      <c r="C104" s="471"/>
      <c r="D104" s="253"/>
      <c r="E104" s="253"/>
    </row>
    <row r="105" spans="1:5">
      <c r="A105" s="258"/>
      <c r="B105" s="224"/>
      <c r="C105" s="471"/>
      <c r="D105" s="253"/>
      <c r="E105" s="253"/>
    </row>
    <row r="106" spans="1:5">
      <c r="A106" s="258"/>
      <c r="B106" s="224"/>
      <c r="C106" s="471"/>
      <c r="D106" s="253"/>
      <c r="E106" s="253"/>
    </row>
    <row r="107" spans="1:5">
      <c r="A107" s="258"/>
      <c r="B107" s="224"/>
      <c r="C107" s="471"/>
      <c r="D107" s="253"/>
      <c r="E107" s="253"/>
    </row>
    <row r="108" spans="1:5">
      <c r="A108" s="258"/>
      <c r="B108" s="224"/>
      <c r="C108" s="471"/>
      <c r="D108" s="253"/>
      <c r="E108" s="253"/>
    </row>
    <row r="109" spans="1:5">
      <c r="A109" s="258"/>
      <c r="B109" s="224"/>
      <c r="C109" s="471"/>
      <c r="D109" s="253"/>
      <c r="E109" s="253"/>
    </row>
    <row r="110" spans="1:5">
      <c r="A110" s="264"/>
      <c r="B110" s="224"/>
      <c r="C110" s="471"/>
      <c r="D110" s="253"/>
      <c r="E110" s="253"/>
    </row>
    <row r="111" spans="1:5">
      <c r="A111" s="268"/>
      <c r="B111" s="224"/>
      <c r="C111" s="471"/>
      <c r="D111" s="253"/>
      <c r="E111" s="253"/>
    </row>
    <row r="112" spans="1:5">
      <c r="A112" s="268"/>
      <c r="B112" s="224"/>
      <c r="C112" s="471"/>
      <c r="D112" s="253"/>
      <c r="E112" s="259"/>
    </row>
    <row r="113" spans="1:5">
      <c r="A113" s="268"/>
      <c r="B113" s="224"/>
      <c r="C113" s="471"/>
      <c r="D113" s="253"/>
      <c r="E113" s="259"/>
    </row>
    <row r="114" spans="1:5">
      <c r="A114" s="268"/>
      <c r="B114" s="224"/>
      <c r="C114" s="471"/>
      <c r="D114" s="253"/>
      <c r="E114" s="259"/>
    </row>
    <row r="115" spans="1:5">
      <c r="A115" s="268"/>
      <c r="B115" s="224"/>
      <c r="C115" s="471"/>
      <c r="D115" s="253"/>
      <c r="E115" s="259"/>
    </row>
    <row r="116" spans="1:5">
      <c r="A116" s="268"/>
      <c r="B116" s="224"/>
      <c r="C116" s="471"/>
      <c r="D116" s="253"/>
      <c r="E116" s="259"/>
    </row>
    <row r="117" spans="1:5">
      <c r="A117" s="268"/>
      <c r="B117" s="224"/>
      <c r="C117" s="471"/>
      <c r="D117" s="253"/>
      <c r="E117" s="259"/>
    </row>
    <row r="118" spans="1:5">
      <c r="A118" s="268"/>
      <c r="B118" s="224"/>
      <c r="C118" s="471"/>
      <c r="D118" s="253"/>
      <c r="E118" s="259"/>
    </row>
    <row r="119" spans="1:5">
      <c r="A119" s="268"/>
      <c r="B119" s="224"/>
      <c r="C119" s="471"/>
      <c r="D119" s="253"/>
      <c r="E119" s="259"/>
    </row>
    <row r="120" spans="1:5">
      <c r="A120" s="268"/>
      <c r="B120" s="224"/>
      <c r="C120" s="471"/>
      <c r="D120" s="253"/>
      <c r="E120" s="259"/>
    </row>
    <row r="121" spans="1:5">
      <c r="A121" s="253"/>
      <c r="B121" s="271"/>
      <c r="C121" s="263"/>
      <c r="D121" s="253"/>
      <c r="E121" s="259"/>
    </row>
    <row r="122" spans="1:5">
      <c r="A122" s="253"/>
      <c r="B122" s="271"/>
      <c r="C122" s="263"/>
      <c r="D122" s="253"/>
      <c r="E122" s="259"/>
    </row>
    <row r="123" spans="1:5">
      <c r="A123" s="253"/>
      <c r="B123" s="271"/>
      <c r="C123" s="263"/>
      <c r="D123" s="253"/>
      <c r="E123" s="259"/>
    </row>
    <row r="124" spans="1:5">
      <c r="A124" s="253"/>
      <c r="B124" s="271"/>
      <c r="C124" s="263"/>
      <c r="D124" s="253"/>
      <c r="E124" s="259"/>
    </row>
    <row r="125" spans="1:5">
      <c r="A125" s="253"/>
      <c r="B125" s="271"/>
      <c r="C125" s="263"/>
      <c r="D125" s="253"/>
      <c r="E125" s="259"/>
    </row>
    <row r="126" spans="1:5">
      <c r="A126" s="253"/>
      <c r="B126" s="271"/>
      <c r="C126" s="263"/>
      <c r="D126" s="253"/>
      <c r="E126" s="259"/>
    </row>
    <row r="127" spans="1:5">
      <c r="A127" s="258"/>
      <c r="B127" s="224"/>
      <c r="C127" s="471"/>
      <c r="D127" s="253"/>
      <c r="E127" s="259"/>
    </row>
    <row r="128" spans="1:5">
      <c r="A128" s="258"/>
      <c r="B128" s="224"/>
      <c r="C128" s="471"/>
      <c r="D128" s="253"/>
      <c r="E128" s="259"/>
    </row>
    <row r="129" spans="1:5">
      <c r="A129" s="264"/>
      <c r="B129" s="224"/>
      <c r="C129" s="471"/>
      <c r="D129" s="253"/>
      <c r="E129" s="259"/>
    </row>
    <row r="130" spans="1:5">
      <c r="A130" s="268"/>
      <c r="B130" s="224"/>
      <c r="C130" s="471"/>
      <c r="D130" s="253"/>
      <c r="E130" s="259"/>
    </row>
    <row r="131" spans="1:5">
      <c r="A131" s="264"/>
      <c r="B131" s="224"/>
      <c r="C131" s="471"/>
      <c r="D131" s="253"/>
      <c r="E131" s="259"/>
    </row>
    <row r="132" spans="1:5">
      <c r="A132" s="266"/>
      <c r="B132" s="224"/>
      <c r="C132" s="471"/>
      <c r="D132" s="253"/>
      <c r="E132" s="259"/>
    </row>
    <row r="133" spans="1:5">
      <c r="A133" s="266"/>
      <c r="B133" s="224"/>
      <c r="C133" s="471"/>
      <c r="D133" s="253"/>
      <c r="E133" s="259"/>
    </row>
    <row r="134" spans="1:5">
      <c r="A134" s="266"/>
      <c r="B134" s="224"/>
      <c r="C134" s="471"/>
      <c r="D134" s="253"/>
      <c r="E134" s="259"/>
    </row>
    <row r="135" spans="1:5">
      <c r="A135" s="268"/>
      <c r="B135" s="224"/>
      <c r="C135" s="471"/>
      <c r="D135" s="253"/>
      <c r="E135" s="259"/>
    </row>
    <row r="136" spans="1:5">
      <c r="A136" s="264"/>
      <c r="B136" s="224"/>
      <c r="C136" s="471"/>
      <c r="D136" s="253"/>
      <c r="E136" s="259"/>
    </row>
    <row r="137" spans="1:5">
      <c r="A137" s="266"/>
      <c r="B137" s="224"/>
      <c r="C137" s="471"/>
      <c r="D137" s="253"/>
      <c r="E137" s="259"/>
    </row>
    <row r="138" spans="1:5">
      <c r="A138" s="266"/>
      <c r="B138" s="224"/>
      <c r="C138" s="471"/>
      <c r="D138" s="253"/>
      <c r="E138" s="259"/>
    </row>
    <row r="139" spans="1:5">
      <c r="A139" s="266"/>
      <c r="B139" s="224"/>
      <c r="C139" s="471"/>
      <c r="D139" s="253"/>
      <c r="E139" s="259"/>
    </row>
    <row r="140" spans="1:5">
      <c r="A140" s="266"/>
      <c r="B140" s="224"/>
      <c r="C140" s="471"/>
      <c r="D140" s="253"/>
      <c r="E140" s="259"/>
    </row>
    <row r="141" spans="1:5">
      <c r="A141" s="268"/>
      <c r="B141" s="224"/>
      <c r="C141" s="471"/>
      <c r="D141" s="253"/>
      <c r="E141" s="259"/>
    </row>
    <row r="142" spans="1:5">
      <c r="A142" s="272"/>
      <c r="B142" s="224"/>
      <c r="C142" s="471"/>
      <c r="D142" s="253"/>
      <c r="E142" s="259"/>
    </row>
    <row r="143" spans="1:5">
      <c r="A143" s="272"/>
      <c r="B143" s="224"/>
      <c r="C143" s="471"/>
      <c r="D143" s="253"/>
      <c r="E143" s="259"/>
    </row>
    <row r="144" spans="1:5">
      <c r="A144" s="272"/>
      <c r="B144" s="224"/>
      <c r="C144" s="471"/>
      <c r="D144" s="253"/>
      <c r="E144" s="259"/>
    </row>
    <row r="145" spans="1:5">
      <c r="A145" s="272"/>
      <c r="B145" s="224"/>
      <c r="C145" s="471"/>
      <c r="D145" s="253"/>
      <c r="E145" s="259"/>
    </row>
    <row r="146" spans="1:5">
      <c r="A146" s="272"/>
      <c r="B146" s="224"/>
      <c r="C146" s="471"/>
      <c r="D146" s="253"/>
      <c r="E146" s="259"/>
    </row>
    <row r="147" spans="1:5">
      <c r="A147" s="272"/>
      <c r="B147" s="224"/>
      <c r="C147" s="471"/>
      <c r="D147" s="253"/>
      <c r="E147" s="259"/>
    </row>
    <row r="148" spans="1:5">
      <c r="A148" s="272"/>
      <c r="B148" s="224"/>
      <c r="C148" s="471"/>
      <c r="D148" s="253"/>
      <c r="E148" s="259"/>
    </row>
    <row r="149" spans="1:5">
      <c r="A149" s="258"/>
      <c r="B149" s="224"/>
      <c r="C149" s="471"/>
      <c r="D149" s="253"/>
      <c r="E149" s="259"/>
    </row>
    <row r="150" spans="1:5">
      <c r="A150" s="258"/>
      <c r="B150" s="224"/>
      <c r="C150" s="471"/>
      <c r="D150" s="253"/>
      <c r="E150" s="259"/>
    </row>
  </sheetData>
  <mergeCells count="1">
    <mergeCell ref="A1:E1"/>
  </mergeCells>
  <conditionalFormatting sqref="D2:D6 D13 D16 D20:D33 D35:D1048576">
    <cfRule type="duplicateValues" dxfId="38" priority="39"/>
    <cfRule type="duplicateValues" dxfId="37" priority="40"/>
    <cfRule type="duplicateValues" dxfId="36" priority="41"/>
  </conditionalFormatting>
  <conditionalFormatting sqref="D2:D6 D13 D16 D20:D1048576">
    <cfRule type="duplicateValues" dxfId="35" priority="35"/>
  </conditionalFormatting>
  <conditionalFormatting sqref="D2:D11 D13 D16 D20:D1048576">
    <cfRule type="duplicateValues" dxfId="34" priority="23"/>
  </conditionalFormatting>
  <conditionalFormatting sqref="D2:D11 D13:D16 D20:D1048576">
    <cfRule type="duplicateValues" dxfId="33" priority="12"/>
  </conditionalFormatting>
  <conditionalFormatting sqref="D2:D16 D20:D1048576">
    <cfRule type="duplicateValues" dxfId="32" priority="6"/>
  </conditionalFormatting>
  <conditionalFormatting sqref="D6:D10">
    <cfRule type="duplicateValues" dxfId="31" priority="24"/>
    <cfRule type="duplicateValues" dxfId="30" priority="25"/>
    <cfRule type="duplicateValues" dxfId="29" priority="26"/>
    <cfRule type="duplicateValues" dxfId="28" priority="27"/>
  </conditionalFormatting>
  <conditionalFormatting sqref="D11">
    <cfRule type="duplicateValues" dxfId="27" priority="31"/>
    <cfRule type="duplicateValues" dxfId="26" priority="32"/>
    <cfRule type="duplicateValues" dxfId="25" priority="33"/>
    <cfRule type="duplicateValues" dxfId="24" priority="34"/>
  </conditionalFormatting>
  <conditionalFormatting sqref="D12">
    <cfRule type="duplicateValues" dxfId="23" priority="7"/>
    <cfRule type="duplicateValues" dxfId="22" priority="8"/>
    <cfRule type="duplicateValues" dxfId="21" priority="9"/>
    <cfRule type="duplicateValues" dxfId="20" priority="10"/>
    <cfRule type="duplicateValues" dxfId="19" priority="11"/>
  </conditionalFormatting>
  <conditionalFormatting sqref="D14">
    <cfRule type="duplicateValues" dxfId="18" priority="21"/>
    <cfRule type="duplicateValues" dxfId="17" priority="19"/>
    <cfRule type="duplicateValues" dxfId="16" priority="20"/>
    <cfRule type="duplicateValues" dxfId="15" priority="22"/>
  </conditionalFormatting>
  <conditionalFormatting sqref="D15">
    <cfRule type="duplicateValues" dxfId="14" priority="16"/>
    <cfRule type="duplicateValues" dxfId="13" priority="17"/>
    <cfRule type="duplicateValues" dxfId="12" priority="13"/>
    <cfRule type="duplicateValues" dxfId="11" priority="14"/>
    <cfRule type="duplicateValues" dxfId="10" priority="15"/>
  </conditionalFormatting>
  <conditionalFormatting sqref="D17:D19">
    <cfRule type="duplicateValues" dxfId="9" priority="1"/>
    <cfRule type="duplicateValues" dxfId="8" priority="2"/>
    <cfRule type="duplicateValues" dxfId="7" priority="3"/>
    <cfRule type="duplicateValues" dxfId="6" priority="4"/>
    <cfRule type="duplicateValues" dxfId="5" priority="5"/>
  </conditionalFormatting>
  <conditionalFormatting sqref="D34">
    <cfRule type="duplicateValues" dxfId="4" priority="36"/>
    <cfRule type="duplicateValues" dxfId="3" priority="37"/>
    <cfRule type="duplicateValues" dxfId="2" priority="38"/>
  </conditionalFormatting>
  <conditionalFormatting sqref="E2">
    <cfRule type="duplicateValues" dxfId="1" priority="42"/>
    <cfRule type="duplicateValues" dxfId="0" priority="43"/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23</vt:i4>
      </vt:variant>
    </vt:vector>
  </HeadingPairs>
  <TitlesOfParts>
    <vt:vector size="36" baseType="lpstr">
      <vt:lpstr>CLEAN Table</vt:lpstr>
      <vt:lpstr>DRAFT TABLE PPT</vt:lpstr>
      <vt:lpstr>Lab Tests PPT</vt:lpstr>
      <vt:lpstr>Lab Tests Prod</vt:lpstr>
      <vt:lpstr>REPAIR</vt:lpstr>
      <vt:lpstr>REJECTION</vt:lpstr>
      <vt:lpstr>Planilha1</vt:lpstr>
      <vt:lpstr>Production</vt:lpstr>
      <vt:lpstr>On hold</vt:lpstr>
      <vt:lpstr>Raw Material</vt:lpstr>
      <vt:lpstr>Stripping- heating &amp; Steel Dam.</vt:lpstr>
      <vt:lpstr>Stripping- From Production</vt:lpstr>
      <vt:lpstr>Tenaris FROSIOCoating Inspector</vt:lpstr>
      <vt:lpstr>'CLEAN Table'!Area_stampa</vt:lpstr>
      <vt:lpstr>'DRAFT TABLE PPT'!Area_stampa</vt:lpstr>
      <vt:lpstr>'Lab Tests PPT'!Area_stampa</vt:lpstr>
      <vt:lpstr>'Lab Tests Prod'!Area_stampa</vt:lpstr>
      <vt:lpstr>REJECTION!Area_stampa</vt:lpstr>
      <vt:lpstr>REPAIR!Area_stampa</vt:lpstr>
      <vt:lpstr>'Stripping- From Production'!Area_stampa</vt:lpstr>
      <vt:lpstr>'CLEAN Table'!ZERO</vt:lpstr>
      <vt:lpstr>'DRAFT TABLE PPT'!ZERO</vt:lpstr>
      <vt:lpstr>'Lab Tests PPT'!ZERO</vt:lpstr>
      <vt:lpstr>'Lab Tests Prod'!ZERO</vt:lpstr>
      <vt:lpstr>REJECTION!ZERO</vt:lpstr>
      <vt:lpstr>REPAIR!ZERO</vt:lpstr>
      <vt:lpstr>'CLEAN Table'!ZERO_Sort</vt:lpstr>
      <vt:lpstr>'DRAFT TABLE PPT'!ZERO_Sort</vt:lpstr>
      <vt:lpstr>'Lab Tests PPT'!ZERO_Sort</vt:lpstr>
      <vt:lpstr>ZERO_Sort</vt:lpstr>
      <vt:lpstr>'CLEAN Table'!ZERO_TXT</vt:lpstr>
      <vt:lpstr>'DRAFT TABLE PPT'!ZERO_TXT</vt:lpstr>
      <vt:lpstr>'Lab Tests PPT'!ZERO_TXT</vt:lpstr>
      <vt:lpstr>REJECTION!ZERO_TXT</vt:lpstr>
      <vt:lpstr>REPAIR!ZERO_TXT</vt:lpstr>
      <vt:lpstr>ZERO_TXT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Zohr Field Development Project - Phase 3</dc:title>
  <dc:subject>Coating Plant Rev.6 - Lab Tests performed.</dc:subject>
  <dc:creator>JULIANO RIGONI</dc:creator>
  <cp:lastModifiedBy>gregrino M</cp:lastModifiedBy>
  <cp:lastPrinted>2026-07-25T19:43:58Z</cp:lastPrinted>
  <dcterms:created xsi:type="dcterms:W3CDTF">2018-04-19T20:14:52Z</dcterms:created>
  <dcterms:modified xsi:type="dcterms:W3CDTF">2026-07-28T05:57:25Z</dcterms:modified>
</cp:coreProperties>
</file>