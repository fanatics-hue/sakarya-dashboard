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ello\Dropbox\SAKARYA\"/>
    </mc:Choice>
  </mc:AlternateContent>
  <xr:revisionPtr revIDLastSave="0" documentId="13_ncr:1_{8D3E27A4-09A9-4C1E-B70F-A05C99E7EE70}" xr6:coauthVersionLast="47" xr6:coauthVersionMax="47" xr10:uidLastSave="{00000000-0000-0000-0000-000000000000}"/>
  <bookViews>
    <workbookView xWindow="-108" yWindow="-108" windowWidth="23256" windowHeight="12456" tabRatio="563" firstSheet="6" activeTab="7" xr2:uid="{00000000-000D-0000-FFFF-FFFF00000000}"/>
  </bookViews>
  <sheets>
    <sheet name="Raw material" sheetId="2" r:id="rId1"/>
    <sheet name="Bare pipes" sheetId="3" r:id="rId2"/>
    <sheet name="Blasting" sheetId="4" r:id="rId3"/>
    <sheet name="Aplic" sheetId="5" r:id="rId4"/>
    <sheet name="Dimensional" sheetId="6" r:id="rId5"/>
    <sheet name="Final inspect" sheetId="7" r:id="rId6"/>
    <sheet name=" Lab Test PQT" sheetId="8" r:id="rId7"/>
    <sheet name=" Lab Test - Early batch" sheetId="13" r:id="rId8"/>
    <sheet name="Early Batch Coated" sheetId="10" r:id="rId9"/>
    <sheet name="Peel Strength" sheetId="11" r:id="rId10"/>
    <sheet name="Tests status PQT" sheetId="12" r:id="rId11"/>
    <sheet name="Planilha1" sheetId="14" r:id="rId12"/>
  </sheets>
  <definedNames>
    <definedName name="_xlnm._FilterDatabase" localSheetId="3" hidden="1">Aplic!$B$5:$O$10</definedName>
    <definedName name="_xlnm._FilterDatabase" localSheetId="1" hidden="1">'Bare pipes'!$C$5:$O$10</definedName>
    <definedName name="_xlnm._FilterDatabase" localSheetId="2" hidden="1">Blasting!$B$4:$P$16</definedName>
    <definedName name="_xlnm._FilterDatabase" localSheetId="4" hidden="1">Dimensional!$A$6:$X$48</definedName>
    <definedName name="_xlnm._FilterDatabase" localSheetId="5" hidden="1">'Final inspect'!$B$6:$M$34</definedName>
    <definedName name="_xlnm._FilterDatabase" localSheetId="11" hidden="1">Planilha1!$B$4:$F$35</definedName>
  </definedNames>
  <calcPr calcId="191029"/>
  <extLst>
    <ext uri="GoogleSheetsCustomDataVersion2">
      <go:sheetsCustomData xmlns:go="http://customooxmlschemas.google.com/" r:id="" roundtripDataChecksum="+ddS8vfEeZ0VapLSbp/ACFYPG1v0JefvmTwbtTqvgSw="/>
    </ext>
  </extLst>
</workbook>
</file>

<file path=xl/calcChain.xml><?xml version="1.0" encoding="utf-8"?>
<calcChain xmlns="http://schemas.openxmlformats.org/spreadsheetml/2006/main">
  <c r="J531" i="11" l="1"/>
  <c r="H531" i="11"/>
  <c r="F531" i="11"/>
  <c r="H528" i="11"/>
  <c r="H529" i="11"/>
  <c r="F529" i="11"/>
  <c r="H511" i="11"/>
  <c r="F511" i="11"/>
  <c r="H510" i="11"/>
  <c r="F510" i="11"/>
  <c r="H513" i="11"/>
  <c r="F513" i="11"/>
  <c r="H512" i="11"/>
  <c r="F512" i="11"/>
  <c r="H520" i="11"/>
  <c r="F520" i="11"/>
  <c r="H519" i="11"/>
  <c r="F519" i="11"/>
  <c r="J513" i="11"/>
  <c r="J512" i="11"/>
  <c r="J511" i="11"/>
  <c r="J510" i="11"/>
  <c r="J540" i="11"/>
  <c r="H540" i="11"/>
  <c r="F540" i="11"/>
  <c r="J539" i="11"/>
  <c r="H539" i="11"/>
  <c r="F539" i="11"/>
  <c r="J538" i="11"/>
  <c r="H538" i="11"/>
  <c r="F538" i="11"/>
  <c r="J537" i="11"/>
  <c r="H537" i="11"/>
  <c r="F537" i="11"/>
  <c r="J530" i="11"/>
  <c r="H530" i="11"/>
  <c r="F530" i="11"/>
  <c r="J529" i="11"/>
  <c r="J528" i="11"/>
  <c r="F528" i="11"/>
  <c r="J522" i="11"/>
  <c r="H522" i="11"/>
  <c r="F522" i="11"/>
  <c r="J521" i="11"/>
  <c r="H521" i="11"/>
  <c r="F521" i="11"/>
  <c r="J520" i="11"/>
  <c r="J519" i="11"/>
  <c r="J504" i="11"/>
  <c r="H504" i="11"/>
  <c r="F504" i="11"/>
  <c r="J503" i="11"/>
  <c r="H503" i="11"/>
  <c r="F503" i="11"/>
  <c r="J502" i="11"/>
  <c r="H502" i="11"/>
  <c r="F502" i="11"/>
  <c r="J501" i="11"/>
  <c r="H501" i="11"/>
  <c r="F501" i="11"/>
  <c r="U8" i="13"/>
  <c r="T8" i="13"/>
  <c r="U9" i="13"/>
  <c r="T9" i="13"/>
  <c r="J493" i="11"/>
  <c r="H493" i="11"/>
  <c r="F493" i="11"/>
  <c r="J492" i="11"/>
  <c r="H492" i="11"/>
  <c r="F492" i="11"/>
  <c r="J495" i="11"/>
  <c r="H495" i="11"/>
  <c r="F495" i="11"/>
  <c r="H494" i="11"/>
  <c r="J494" i="11"/>
  <c r="F494" i="11"/>
  <c r="J486" i="11"/>
  <c r="H486" i="11"/>
  <c r="F486" i="11"/>
  <c r="J485" i="11"/>
  <c r="H485" i="11"/>
  <c r="F485" i="11"/>
  <c r="J484" i="11"/>
  <c r="H484" i="11"/>
  <c r="F484" i="11"/>
  <c r="J483" i="11"/>
  <c r="H483" i="11"/>
  <c r="F483" i="11"/>
  <c r="J477" i="11"/>
  <c r="H477" i="11"/>
  <c r="F477" i="11"/>
  <c r="J476" i="11"/>
  <c r="H476" i="11"/>
  <c r="F476" i="11"/>
  <c r="J475" i="11"/>
  <c r="H475" i="11"/>
  <c r="F475" i="11"/>
  <c r="J474" i="11"/>
  <c r="H474" i="11"/>
  <c r="F474" i="11"/>
  <c r="J468" i="11"/>
  <c r="H468" i="11"/>
  <c r="F468" i="11"/>
  <c r="J467" i="11"/>
  <c r="H467" i="11"/>
  <c r="F467" i="11"/>
  <c r="J466" i="11"/>
  <c r="H466" i="11"/>
  <c r="F466" i="11"/>
  <c r="J465" i="11"/>
  <c r="H465" i="11"/>
  <c r="F465" i="11"/>
  <c r="W9" i="13"/>
  <c r="AJ7" i="13"/>
  <c r="AF7" i="13"/>
  <c r="AJ9" i="8"/>
  <c r="AJ8" i="8"/>
  <c r="AF9" i="8"/>
  <c r="AF8" i="8"/>
  <c r="AR8" i="8"/>
  <c r="AR7" i="13"/>
  <c r="AR10" i="13"/>
  <c r="AR15" i="13"/>
  <c r="AR15" i="8"/>
  <c r="AR41" i="13"/>
  <c r="AR40" i="13"/>
  <c r="AR39" i="13"/>
  <c r="AR38" i="13"/>
  <c r="AR37" i="13"/>
  <c r="AR36" i="13"/>
  <c r="AR35" i="13"/>
  <c r="AR34" i="13"/>
  <c r="AR33" i="13"/>
  <c r="AR32" i="13"/>
  <c r="AR31" i="13"/>
  <c r="AR30" i="13"/>
  <c r="AR29" i="13"/>
  <c r="AR28" i="13"/>
  <c r="AR27" i="13"/>
  <c r="AR26" i="13"/>
  <c r="AR25" i="13"/>
  <c r="AR24" i="13"/>
  <c r="AR36" i="8"/>
  <c r="AR35" i="8"/>
  <c r="AR34" i="8"/>
  <c r="AR23" i="13"/>
  <c r="AR22" i="13"/>
  <c r="AR21" i="13"/>
  <c r="AR20" i="13"/>
  <c r="AR33" i="8"/>
  <c r="AR19" i="13"/>
  <c r="AR18" i="13"/>
  <c r="AR17" i="13"/>
  <c r="AR16" i="13"/>
  <c r="J9" i="8"/>
  <c r="I9" i="8"/>
  <c r="H9" i="8" s="1"/>
  <c r="J15" i="13"/>
  <c r="I15" i="13"/>
  <c r="J10" i="13"/>
  <c r="I10" i="13"/>
  <c r="I7" i="13"/>
  <c r="J7" i="13"/>
  <c r="AR11" i="8"/>
  <c r="AR13" i="8"/>
  <c r="AR26" i="8"/>
  <c r="AR12" i="8"/>
  <c r="AR14" i="8"/>
  <c r="AR16" i="8"/>
  <c r="AR17" i="8"/>
  <c r="AR18" i="8"/>
  <c r="AR19" i="8"/>
  <c r="AR20" i="8"/>
  <c r="AR21" i="8"/>
  <c r="AR22" i="8"/>
  <c r="AR23" i="8"/>
  <c r="AR24" i="8"/>
  <c r="AR25" i="8"/>
  <c r="AR27" i="8"/>
  <c r="AR10" i="8"/>
  <c r="AR32" i="8"/>
  <c r="AR31" i="8"/>
  <c r="AR30" i="8"/>
  <c r="AR29" i="8"/>
  <c r="AR28" i="8"/>
  <c r="I8" i="8"/>
  <c r="J8" i="8"/>
  <c r="I7" i="8"/>
  <c r="J7" i="8"/>
  <c r="AR14" i="13"/>
  <c r="AR13" i="13"/>
  <c r="H448" i="11"/>
  <c r="F459" i="11"/>
  <c r="J459" i="11"/>
  <c r="H459" i="11"/>
  <c r="J458" i="11"/>
  <c r="H458" i="11"/>
  <c r="F458" i="11"/>
  <c r="J457" i="11"/>
  <c r="H457" i="11"/>
  <c r="F457" i="11"/>
  <c r="J456" i="11"/>
  <c r="H456" i="11"/>
  <c r="F456" i="11"/>
  <c r="J441" i="11"/>
  <c r="H441" i="11"/>
  <c r="F441" i="11"/>
  <c r="J440" i="11"/>
  <c r="H440" i="11"/>
  <c r="F440" i="11"/>
  <c r="J450" i="11"/>
  <c r="H450" i="11"/>
  <c r="F450" i="11"/>
  <c r="J449" i="11"/>
  <c r="H449" i="11"/>
  <c r="F449" i="11"/>
  <c r="J448" i="11"/>
  <c r="F448" i="11"/>
  <c r="J447" i="11"/>
  <c r="H447" i="11"/>
  <c r="F447" i="11"/>
  <c r="J439" i="11"/>
  <c r="H439" i="11"/>
  <c r="F439" i="11"/>
  <c r="J438" i="11"/>
  <c r="H438" i="11"/>
  <c r="F438" i="11"/>
  <c r="J432" i="11"/>
  <c r="H432" i="11"/>
  <c r="F432" i="11"/>
  <c r="J431" i="11"/>
  <c r="H431" i="11"/>
  <c r="F431" i="11"/>
  <c r="J430" i="11"/>
  <c r="H430" i="11"/>
  <c r="F430" i="11"/>
  <c r="J429" i="11"/>
  <c r="H429" i="11"/>
  <c r="F429" i="11"/>
  <c r="J423" i="11"/>
  <c r="H423" i="11"/>
  <c r="F423" i="11"/>
  <c r="J422" i="11"/>
  <c r="H422" i="11"/>
  <c r="F422" i="11"/>
  <c r="J421" i="11"/>
  <c r="H421" i="11"/>
  <c r="F421" i="11"/>
  <c r="J420" i="11"/>
  <c r="H420" i="11"/>
  <c r="F420" i="11"/>
  <c r="J414" i="11"/>
  <c r="H414" i="11"/>
  <c r="F414" i="11"/>
  <c r="J413" i="11"/>
  <c r="H413" i="11"/>
  <c r="F413" i="11"/>
  <c r="J412" i="11"/>
  <c r="H412" i="11"/>
  <c r="F412" i="11"/>
  <c r="J411" i="11"/>
  <c r="H411" i="11"/>
  <c r="F411" i="11"/>
  <c r="H402" i="11"/>
  <c r="J403" i="11"/>
  <c r="H403" i="11"/>
  <c r="F403" i="11"/>
  <c r="F402" i="11"/>
  <c r="J402" i="11"/>
  <c r="J405" i="11"/>
  <c r="H405" i="11"/>
  <c r="F405" i="11"/>
  <c r="J404" i="11"/>
  <c r="H404" i="11"/>
  <c r="F404" i="11"/>
  <c r="F394" i="11"/>
  <c r="J396" i="11"/>
  <c r="H396" i="11"/>
  <c r="F396" i="11"/>
  <c r="J395" i="11"/>
  <c r="H395" i="11"/>
  <c r="F395" i="11"/>
  <c r="J394" i="11"/>
  <c r="H394" i="11"/>
  <c r="J393" i="11"/>
  <c r="H393" i="11"/>
  <c r="F393" i="11"/>
  <c r="J387" i="11"/>
  <c r="H387" i="11"/>
  <c r="F387" i="11"/>
  <c r="J386" i="11"/>
  <c r="H386" i="11"/>
  <c r="F386" i="11"/>
  <c r="J385" i="11"/>
  <c r="H385" i="11"/>
  <c r="F385" i="11"/>
  <c r="J384" i="11"/>
  <c r="H384" i="11"/>
  <c r="F384" i="11"/>
  <c r="J378" i="11"/>
  <c r="H378" i="11"/>
  <c r="F378" i="11"/>
  <c r="J377" i="11"/>
  <c r="H377" i="11"/>
  <c r="F377" i="11"/>
  <c r="J376" i="11"/>
  <c r="H376" i="11"/>
  <c r="F376" i="11"/>
  <c r="J375" i="11"/>
  <c r="H375" i="11"/>
  <c r="F375" i="11"/>
  <c r="AB7" i="13"/>
  <c r="S9" i="8"/>
  <c r="Q8" i="8"/>
  <c r="Q9" i="8"/>
  <c r="AR11" i="13"/>
  <c r="AR12" i="13"/>
  <c r="F349" i="11"/>
  <c r="H366" i="11"/>
  <c r="J369" i="11"/>
  <c r="H369" i="11"/>
  <c r="F369" i="11"/>
  <c r="J368" i="11"/>
  <c r="H368" i="11"/>
  <c r="F368" i="11"/>
  <c r="J367" i="11"/>
  <c r="H367" i="11"/>
  <c r="F367" i="11"/>
  <c r="J366" i="11"/>
  <c r="F366" i="11"/>
  <c r="F360" i="11"/>
  <c r="J360" i="11"/>
  <c r="H360" i="11"/>
  <c r="J359" i="11"/>
  <c r="H359" i="11"/>
  <c r="F359" i="11"/>
  <c r="J358" i="11"/>
  <c r="H358" i="11"/>
  <c r="F358" i="11"/>
  <c r="J357" i="11"/>
  <c r="H357" i="11"/>
  <c r="F357" i="11"/>
  <c r="H321" i="11"/>
  <c r="J351" i="11"/>
  <c r="H351" i="11"/>
  <c r="F351" i="11"/>
  <c r="J350" i="11"/>
  <c r="H350" i="11"/>
  <c r="F350" i="11"/>
  <c r="J349" i="11"/>
  <c r="H349" i="11"/>
  <c r="J348" i="11"/>
  <c r="H348" i="11"/>
  <c r="F348" i="11"/>
  <c r="J342" i="11"/>
  <c r="H342" i="11"/>
  <c r="F342" i="11"/>
  <c r="J341" i="11"/>
  <c r="H341" i="11"/>
  <c r="F341" i="11"/>
  <c r="J340" i="11"/>
  <c r="H340" i="11"/>
  <c r="F340" i="11"/>
  <c r="J339" i="11"/>
  <c r="H339" i="11"/>
  <c r="F339" i="11"/>
  <c r="F331" i="11"/>
  <c r="F330" i="11"/>
  <c r="J333" i="11"/>
  <c r="H333" i="11"/>
  <c r="F333" i="11"/>
  <c r="J332" i="11"/>
  <c r="H332" i="11"/>
  <c r="F332" i="11"/>
  <c r="J331" i="11"/>
  <c r="H331" i="11"/>
  <c r="J330" i="11"/>
  <c r="H330" i="11"/>
  <c r="F297" i="11"/>
  <c r="F306" i="11"/>
  <c r="F312" i="11"/>
  <c r="H313" i="11"/>
  <c r="Y9" i="11"/>
  <c r="Y10" i="11" s="1"/>
  <c r="J324" i="11"/>
  <c r="H324" i="11"/>
  <c r="F324" i="11"/>
  <c r="J323" i="11"/>
  <c r="H323" i="11"/>
  <c r="F323" i="11"/>
  <c r="J322" i="11"/>
  <c r="H322" i="11"/>
  <c r="F322" i="11"/>
  <c r="J321" i="11"/>
  <c r="F321" i="11"/>
  <c r="J315" i="11"/>
  <c r="H315" i="11"/>
  <c r="F315" i="11"/>
  <c r="J314" i="11"/>
  <c r="H314" i="11"/>
  <c r="F314" i="11"/>
  <c r="J313" i="11"/>
  <c r="F313" i="11"/>
  <c r="J312" i="11"/>
  <c r="H312" i="11"/>
  <c r="J306" i="11"/>
  <c r="H306" i="11"/>
  <c r="J305" i="11"/>
  <c r="H305" i="11"/>
  <c r="F305" i="11"/>
  <c r="J304" i="11"/>
  <c r="H304" i="11"/>
  <c r="F304" i="11"/>
  <c r="J303" i="11"/>
  <c r="H303" i="11"/>
  <c r="F303" i="11"/>
  <c r="H287" i="11"/>
  <c r="J297" i="11"/>
  <c r="H297" i="11"/>
  <c r="J296" i="11"/>
  <c r="H296" i="11"/>
  <c r="F296" i="11"/>
  <c r="J295" i="11"/>
  <c r="H295" i="11"/>
  <c r="F295" i="11"/>
  <c r="J294" i="11"/>
  <c r="H294" i="11"/>
  <c r="F294" i="11"/>
  <c r="S8" i="8"/>
  <c r="AB9" i="8"/>
  <c r="AB8" i="8"/>
  <c r="J261" i="11"/>
  <c r="H261" i="11"/>
  <c r="F261" i="11"/>
  <c r="J260" i="11"/>
  <c r="H260" i="11"/>
  <c r="F260" i="11"/>
  <c r="J259" i="11"/>
  <c r="H259" i="11"/>
  <c r="F259" i="11"/>
  <c r="J258" i="11"/>
  <c r="H258" i="11"/>
  <c r="F258" i="11"/>
  <c r="J252" i="11"/>
  <c r="H252" i="11"/>
  <c r="F252" i="11"/>
  <c r="J251" i="11"/>
  <c r="H251" i="11"/>
  <c r="F251" i="11"/>
  <c r="J250" i="11"/>
  <c r="H250" i="11"/>
  <c r="F250" i="11"/>
  <c r="J249" i="11"/>
  <c r="H249" i="11"/>
  <c r="F249" i="11"/>
  <c r="J288" i="11"/>
  <c r="H288" i="11"/>
  <c r="F288" i="11"/>
  <c r="J287" i="11"/>
  <c r="F287" i="11"/>
  <c r="J286" i="11"/>
  <c r="H286" i="11"/>
  <c r="F286" i="11"/>
  <c r="J285" i="11"/>
  <c r="H285" i="11"/>
  <c r="F285" i="11"/>
  <c r="H276" i="11"/>
  <c r="J279" i="11"/>
  <c r="H279" i="11"/>
  <c r="F279" i="11"/>
  <c r="J278" i="11"/>
  <c r="H278" i="11"/>
  <c r="F278" i="11"/>
  <c r="J277" i="11"/>
  <c r="H277" i="11"/>
  <c r="F277" i="11"/>
  <c r="J276" i="11"/>
  <c r="F276" i="11"/>
  <c r="J270" i="11"/>
  <c r="H270" i="11"/>
  <c r="F270" i="11"/>
  <c r="J269" i="11"/>
  <c r="H269" i="11"/>
  <c r="F269" i="11"/>
  <c r="J268" i="11"/>
  <c r="H268" i="11"/>
  <c r="F268" i="11"/>
  <c r="J267" i="11"/>
  <c r="H267" i="11"/>
  <c r="F267" i="11"/>
  <c r="Y4" i="11"/>
  <c r="Y5" i="11" s="1"/>
  <c r="J243" i="11"/>
  <c r="H243" i="11"/>
  <c r="F243" i="11"/>
  <c r="J242" i="11"/>
  <c r="H242" i="11"/>
  <c r="F242" i="11"/>
  <c r="J241" i="11"/>
  <c r="H241" i="11"/>
  <c r="F241" i="11"/>
  <c r="J240" i="11"/>
  <c r="H240" i="11"/>
  <c r="F240" i="11"/>
  <c r="H231" i="11"/>
  <c r="J234" i="11"/>
  <c r="H234" i="11"/>
  <c r="F234" i="11"/>
  <c r="J233" i="11"/>
  <c r="H233" i="11"/>
  <c r="F233" i="11"/>
  <c r="J232" i="11"/>
  <c r="H232" i="11"/>
  <c r="F232" i="11"/>
  <c r="J231" i="11"/>
  <c r="F231" i="11"/>
  <c r="F222" i="11"/>
  <c r="J225" i="11"/>
  <c r="H225" i="11"/>
  <c r="F225" i="11"/>
  <c r="J224" i="11"/>
  <c r="H224" i="11"/>
  <c r="F224" i="11"/>
  <c r="J223" i="11"/>
  <c r="H223" i="11"/>
  <c r="J222" i="11"/>
  <c r="H222" i="11"/>
  <c r="F213" i="11"/>
  <c r="F214" i="11"/>
  <c r="F215" i="11"/>
  <c r="F216" i="11"/>
  <c r="J216" i="11"/>
  <c r="H216" i="11"/>
  <c r="J215" i="11"/>
  <c r="H215" i="11"/>
  <c r="J214" i="11"/>
  <c r="H214" i="11"/>
  <c r="J213" i="11"/>
  <c r="H213" i="11"/>
  <c r="H198" i="11"/>
  <c r="J207" i="11"/>
  <c r="H207" i="11"/>
  <c r="F207" i="11"/>
  <c r="J206" i="11"/>
  <c r="H206" i="11"/>
  <c r="F206" i="11"/>
  <c r="J205" i="11"/>
  <c r="H205" i="11"/>
  <c r="F205" i="11"/>
  <c r="J204" i="11"/>
  <c r="H204" i="11"/>
  <c r="F204" i="11"/>
  <c r="J198" i="11"/>
  <c r="F198" i="11"/>
  <c r="J197" i="11"/>
  <c r="H197" i="11"/>
  <c r="F197" i="11"/>
  <c r="J196" i="11"/>
  <c r="H196" i="11"/>
  <c r="F196" i="11"/>
  <c r="J195" i="11"/>
  <c r="H195" i="11"/>
  <c r="F195" i="11"/>
  <c r="J189" i="11"/>
  <c r="H189" i="11"/>
  <c r="F189" i="11"/>
  <c r="J188" i="11"/>
  <c r="H188" i="11"/>
  <c r="F188" i="11"/>
  <c r="J187" i="11"/>
  <c r="H187" i="11"/>
  <c r="F187" i="11"/>
  <c r="J186" i="11"/>
  <c r="H186" i="11"/>
  <c r="F186" i="11"/>
  <c r="J180" i="11"/>
  <c r="H180" i="11"/>
  <c r="F180" i="11"/>
  <c r="J179" i="11"/>
  <c r="H179" i="11"/>
  <c r="F179" i="11"/>
  <c r="J178" i="11"/>
  <c r="H178" i="11"/>
  <c r="F178" i="11"/>
  <c r="J177" i="11"/>
  <c r="H177" i="11"/>
  <c r="F177" i="11"/>
  <c r="F170" i="11"/>
  <c r="J171" i="11"/>
  <c r="H171" i="11"/>
  <c r="F171" i="11"/>
  <c r="J170" i="11"/>
  <c r="H170" i="11"/>
  <c r="J169" i="11"/>
  <c r="H169" i="11"/>
  <c r="F169" i="11"/>
  <c r="J168" i="11"/>
  <c r="H168" i="11"/>
  <c r="F168" i="11"/>
  <c r="H160" i="11"/>
  <c r="F159" i="11"/>
  <c r="J162" i="11"/>
  <c r="H162" i="11"/>
  <c r="F162" i="11"/>
  <c r="J161" i="11"/>
  <c r="H161" i="11"/>
  <c r="F161" i="11"/>
  <c r="J160" i="11"/>
  <c r="F160" i="11"/>
  <c r="J159" i="11"/>
  <c r="H159" i="11"/>
  <c r="H152" i="11"/>
  <c r="H134" i="11"/>
  <c r="H135" i="11"/>
  <c r="J153" i="11"/>
  <c r="H153" i="11"/>
  <c r="F153" i="11"/>
  <c r="J152" i="11"/>
  <c r="F152" i="11"/>
  <c r="J151" i="11"/>
  <c r="H151" i="11"/>
  <c r="F151" i="11"/>
  <c r="J150" i="11"/>
  <c r="H150" i="11"/>
  <c r="F150" i="11"/>
  <c r="H143" i="11"/>
  <c r="J141" i="11"/>
  <c r="H141" i="11"/>
  <c r="F141" i="11"/>
  <c r="J144" i="11"/>
  <c r="H144" i="11"/>
  <c r="F144" i="11"/>
  <c r="J143" i="11"/>
  <c r="F143" i="11"/>
  <c r="J142" i="11"/>
  <c r="H142" i="11"/>
  <c r="F142" i="11"/>
  <c r="J135" i="11"/>
  <c r="F135" i="11"/>
  <c r="J134" i="11"/>
  <c r="F134" i="11"/>
  <c r="J133" i="11"/>
  <c r="H133" i="11"/>
  <c r="F133" i="11"/>
  <c r="J132" i="11"/>
  <c r="H132" i="11"/>
  <c r="F132" i="11"/>
  <c r="J126" i="11"/>
  <c r="H126" i="11"/>
  <c r="F126" i="11"/>
  <c r="J125" i="11"/>
  <c r="H125" i="11"/>
  <c r="F125" i="11"/>
  <c r="J124" i="11"/>
  <c r="H124" i="11"/>
  <c r="F124" i="11"/>
  <c r="J123" i="11"/>
  <c r="H123" i="11"/>
  <c r="F123" i="11"/>
  <c r="J117" i="11"/>
  <c r="H117" i="11"/>
  <c r="F117" i="11"/>
  <c r="J116" i="11"/>
  <c r="H116" i="11"/>
  <c r="F116" i="11"/>
  <c r="J115" i="11"/>
  <c r="H115" i="11"/>
  <c r="F115" i="11"/>
  <c r="J114" i="11"/>
  <c r="H114" i="11"/>
  <c r="F114" i="11"/>
  <c r="H108" i="11"/>
  <c r="J108" i="11"/>
  <c r="F108" i="11"/>
  <c r="J107" i="11"/>
  <c r="H107" i="11"/>
  <c r="F107" i="11"/>
  <c r="J106" i="11"/>
  <c r="H106" i="11"/>
  <c r="F106" i="11"/>
  <c r="J105" i="11"/>
  <c r="H105" i="11"/>
  <c r="F105" i="11"/>
  <c r="F99" i="11"/>
  <c r="J99" i="11"/>
  <c r="H99" i="11"/>
  <c r="J98" i="11"/>
  <c r="H98" i="11"/>
  <c r="F98" i="11"/>
  <c r="J97" i="11"/>
  <c r="H97" i="11"/>
  <c r="F97" i="11"/>
  <c r="J96" i="11"/>
  <c r="H96" i="11"/>
  <c r="F96" i="11"/>
  <c r="J81" i="11"/>
  <c r="H81" i="11"/>
  <c r="F81" i="11"/>
  <c r="J90" i="11"/>
  <c r="H90" i="11"/>
  <c r="F90" i="11"/>
  <c r="J89" i="11"/>
  <c r="H89" i="11"/>
  <c r="F89" i="11"/>
  <c r="J88" i="11"/>
  <c r="H88" i="11"/>
  <c r="F88" i="11"/>
  <c r="J87" i="11"/>
  <c r="H87" i="11"/>
  <c r="F87" i="11"/>
  <c r="J80" i="11"/>
  <c r="H80" i="11"/>
  <c r="F80" i="11"/>
  <c r="J79" i="11"/>
  <c r="H79" i="11"/>
  <c r="F79" i="11"/>
  <c r="J78" i="11"/>
  <c r="H78" i="11"/>
  <c r="F78" i="11"/>
  <c r="J72" i="11"/>
  <c r="H72" i="11"/>
  <c r="F72" i="11"/>
  <c r="J71" i="11"/>
  <c r="H71" i="11"/>
  <c r="F71" i="11"/>
  <c r="J70" i="11"/>
  <c r="H70" i="11"/>
  <c r="F70" i="11"/>
  <c r="J69" i="11"/>
  <c r="H69" i="11"/>
  <c r="F69" i="11"/>
  <c r="J63" i="11"/>
  <c r="H63" i="11"/>
  <c r="F63" i="11"/>
  <c r="J62" i="11"/>
  <c r="H62" i="11"/>
  <c r="F62" i="11"/>
  <c r="J61" i="11"/>
  <c r="H61" i="11"/>
  <c r="F61" i="11"/>
  <c r="J60" i="11"/>
  <c r="H60" i="11"/>
  <c r="F60" i="11"/>
  <c r="J54" i="11"/>
  <c r="H54" i="11"/>
  <c r="F54" i="11"/>
  <c r="J53" i="11"/>
  <c r="H53" i="11"/>
  <c r="F53" i="11"/>
  <c r="J52" i="11"/>
  <c r="H52" i="11"/>
  <c r="F52" i="11"/>
  <c r="J51" i="11"/>
  <c r="H51" i="11"/>
  <c r="F51" i="11"/>
  <c r="J45" i="11"/>
  <c r="H45" i="11"/>
  <c r="F45" i="11"/>
  <c r="J44" i="11"/>
  <c r="H44" i="11"/>
  <c r="F44" i="11"/>
  <c r="J43" i="11"/>
  <c r="H43" i="11"/>
  <c r="F43" i="11"/>
  <c r="J42" i="11"/>
  <c r="H42" i="11"/>
  <c r="F42" i="11"/>
  <c r="F27" i="11"/>
  <c r="H26" i="11"/>
  <c r="F26" i="11"/>
  <c r="F25" i="11"/>
  <c r="F24" i="11"/>
  <c r="F33" i="11"/>
  <c r="F34" i="11"/>
  <c r="J36" i="11"/>
  <c r="H36" i="11"/>
  <c r="F36" i="11"/>
  <c r="J35" i="11"/>
  <c r="H35" i="11"/>
  <c r="F35" i="11"/>
  <c r="J34" i="11"/>
  <c r="H34" i="11"/>
  <c r="J33" i="11"/>
  <c r="H33" i="11"/>
  <c r="J27" i="11"/>
  <c r="H27" i="11"/>
  <c r="J26" i="11"/>
  <c r="J25" i="11"/>
  <c r="H25" i="11"/>
  <c r="J24" i="11"/>
  <c r="H24" i="11"/>
  <c r="J18" i="11"/>
  <c r="H18" i="11"/>
  <c r="J17" i="11"/>
  <c r="H17" i="11"/>
  <c r="J16" i="11"/>
  <c r="H16" i="11"/>
  <c r="J15" i="11"/>
  <c r="H15" i="11"/>
  <c r="J9" i="11"/>
  <c r="H9" i="11"/>
  <c r="J8" i="11"/>
  <c r="H8" i="11"/>
  <c r="J7" i="11"/>
  <c r="H7" i="11"/>
  <c r="J6" i="11"/>
  <c r="H6" i="11"/>
  <c r="J47" i="4"/>
  <c r="J46" i="4"/>
  <c r="J45" i="4"/>
  <c r="J44" i="4"/>
  <c r="J43" i="4"/>
  <c r="J42" i="4"/>
  <c r="J41" i="4"/>
  <c r="J40" i="4"/>
  <c r="J39" i="4"/>
  <c r="J38" i="4"/>
  <c r="J37" i="4"/>
  <c r="J36" i="4"/>
  <c r="J35" i="4"/>
  <c r="J34" i="4"/>
  <c r="J33" i="4"/>
  <c r="J32" i="4"/>
  <c r="J31" i="4"/>
  <c r="J30" i="4"/>
  <c r="J29" i="4"/>
  <c r="J28" i="4"/>
  <c r="J27" i="4"/>
  <c r="J26" i="4"/>
  <c r="J25" i="4"/>
  <c r="J24" i="4"/>
  <c r="J23" i="4"/>
  <c r="J22" i="4"/>
  <c r="J21" i="4"/>
  <c r="J20" i="4"/>
  <c r="J19" i="4"/>
  <c r="J18" i="4"/>
  <c r="J17" i="4"/>
  <c r="J16" i="4"/>
  <c r="J15" i="4"/>
  <c r="J14" i="4"/>
  <c r="J13" i="4"/>
  <c r="J12" i="4"/>
  <c r="J11" i="4"/>
  <c r="J10" i="4"/>
  <c r="J9" i="4"/>
  <c r="J8" i="4"/>
  <c r="J7" i="4"/>
  <c r="J6" i="4"/>
  <c r="J5" i="4"/>
  <c r="H10" i="13" l="1"/>
  <c r="H8" i="8"/>
  <c r="H15" i="13"/>
  <c r="H7" i="8"/>
  <c r="H7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Luiz Fernando Mello</author>
  </authors>
  <commentList>
    <comment ref="W6" authorId="0" shapeId="0" xr:uid="{4D124AD4-4E04-40FB-A52F-CAB2A528C09E}">
      <text>
        <r>
          <rPr>
            <b/>
            <sz val="9"/>
            <color indexed="81"/>
            <rFont val="Segoe UI"/>
            <family val="2"/>
          </rPr>
          <t>Luiz Fernando Mello:</t>
        </r>
        <r>
          <rPr>
            <sz val="9"/>
            <color indexed="81"/>
            <rFont val="Segoe UI"/>
            <family val="2"/>
          </rPr>
          <t xml:space="preserve">
Specimens blanked removed from pipe</t>
        </r>
      </text>
    </comment>
    <comment ref="E7" authorId="0" shapeId="0" xr:uid="{C90141CF-D932-49C2-B416-15B2F0575740}">
      <text>
        <r>
          <rPr>
            <b/>
            <sz val="9"/>
            <color indexed="81"/>
            <rFont val="Segoe UI"/>
            <charset val="1"/>
          </rPr>
          <t>Luiz Fernando Mello:</t>
        </r>
        <r>
          <rPr>
            <sz val="9"/>
            <color indexed="81"/>
            <rFont val="Segoe UI"/>
            <charset val="1"/>
          </rPr>
          <t xml:space="preserve">
test performed on May 18th, 2026
</t>
        </r>
      </text>
    </comment>
    <comment ref="E8" authorId="0" shapeId="0" xr:uid="{8397AEE8-40CF-41F5-A684-251CC34C801C}">
      <text>
        <r>
          <rPr>
            <b/>
            <sz val="9"/>
            <color indexed="81"/>
            <rFont val="Segoe UI"/>
            <charset val="1"/>
          </rPr>
          <t>Luiz Fernando Mello:</t>
        </r>
        <r>
          <rPr>
            <sz val="9"/>
            <color indexed="81"/>
            <rFont val="Segoe UI"/>
            <charset val="1"/>
          </rPr>
          <t xml:space="preserve">
test performed on May 19th, 2026
</t>
        </r>
      </text>
    </comment>
    <comment ref="X8" authorId="0" shapeId="0" xr:uid="{8072F181-F12F-4F70-8D06-DC6E7397D478}">
      <text>
        <r>
          <rPr>
            <b/>
            <sz val="9"/>
            <color indexed="81"/>
            <rFont val="Segoe UI"/>
            <charset val="1"/>
          </rPr>
          <t>Luiz Fernando Mello:</t>
        </r>
        <r>
          <rPr>
            <sz val="9"/>
            <color indexed="81"/>
            <rFont val="Segoe UI"/>
            <charset val="1"/>
          </rPr>
          <t xml:space="preserve">
Test performed regarding repair qualification</t>
        </r>
      </text>
    </comment>
    <comment ref="E9" authorId="0" shapeId="0" xr:uid="{D654D84A-8F47-4154-BA0A-0A65DF84065C}">
      <text>
        <r>
          <rPr>
            <b/>
            <sz val="9"/>
            <color indexed="81"/>
            <rFont val="Segoe UI"/>
            <charset val="1"/>
          </rPr>
          <t>Luiz Fernando Mello:</t>
        </r>
        <r>
          <rPr>
            <sz val="9"/>
            <color indexed="81"/>
            <rFont val="Segoe UI"/>
            <charset val="1"/>
          </rPr>
          <t xml:space="preserve">
test performed on May 18th, 2026
</t>
        </r>
      </text>
    </comment>
    <comment ref="W34" authorId="0" shapeId="0" xr:uid="{48BBC6E8-3362-468D-BA43-19C5A041B1A7}">
      <text>
        <r>
          <rPr>
            <b/>
            <sz val="9"/>
            <color indexed="81"/>
            <rFont val="Segoe UI"/>
            <family val="2"/>
          </rPr>
          <t>Luiz Fernando Mello:</t>
        </r>
        <r>
          <rPr>
            <sz val="9"/>
            <color indexed="81"/>
            <rFont val="Segoe UI"/>
            <family val="2"/>
          </rPr>
          <t xml:space="preserve">
Specimens blanked removed directly at extruder 
Specimens used for PQT and early batch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Luiz Fernando Mello</author>
  </authors>
  <commentList>
    <comment ref="U6" authorId="0" shapeId="0" xr:uid="{00000000-0006-0000-0700-000001000000}">
      <text>
        <r>
          <rPr>
            <b/>
            <sz val="9"/>
            <color indexed="81"/>
            <rFont val="Segoe UI"/>
            <family val="2"/>
          </rPr>
          <t>Luiz Fernando Mello:</t>
        </r>
        <r>
          <rPr>
            <sz val="9"/>
            <color indexed="81"/>
            <rFont val="Segoe UI"/>
            <family val="2"/>
          </rPr>
          <t xml:space="preserve">
PP Blanket removed from Pipe</t>
        </r>
      </text>
    </comment>
    <comment ref="E7" authorId="0" shapeId="0" xr:uid="{DE240FBF-0736-4790-A1D7-D1A68054681E}">
      <text>
        <r>
          <rPr>
            <b/>
            <sz val="9"/>
            <color indexed="81"/>
            <rFont val="Segoe UI"/>
            <charset val="1"/>
          </rPr>
          <t>Luiz Fernando Mello:</t>
        </r>
        <r>
          <rPr>
            <sz val="9"/>
            <color indexed="81"/>
            <rFont val="Segoe UI"/>
            <charset val="1"/>
          </rPr>
          <t xml:space="preserve">
Test performed on May 19th, 2026</t>
        </r>
      </text>
    </comment>
    <comment ref="U7" authorId="0" shapeId="0" xr:uid="{40B914EC-342A-454D-8DD6-E27D9BFB64A6}">
      <text>
        <r>
          <rPr>
            <b/>
            <sz val="9"/>
            <color indexed="81"/>
            <rFont val="Segoe UI"/>
            <family val="2"/>
          </rPr>
          <t>Luiz Fernando Mello:</t>
        </r>
        <r>
          <rPr>
            <sz val="9"/>
            <color indexed="81"/>
            <rFont val="Segoe UI"/>
            <family val="2"/>
          </rPr>
          <t xml:space="preserve">
Blanked removed from pipe.
Retest</t>
        </r>
      </text>
    </comment>
    <comment ref="U8" authorId="0" shapeId="0" xr:uid="{AC02F388-353E-435A-879A-264A595A63DC}">
      <text>
        <r>
          <rPr>
            <b/>
            <sz val="9"/>
            <color indexed="81"/>
            <rFont val="Segoe UI"/>
            <family val="2"/>
          </rPr>
          <t>Luiz Fernando Mello:</t>
        </r>
        <r>
          <rPr>
            <sz val="9"/>
            <color indexed="81"/>
            <rFont val="Segoe UI"/>
            <family val="2"/>
          </rPr>
          <t xml:space="preserve">
Retest performed on july 16, 2026</t>
        </r>
      </text>
    </comment>
    <comment ref="U9" authorId="0" shapeId="0" xr:uid="{00000000-0006-0000-0700-000002000000}">
      <text>
        <r>
          <rPr>
            <b/>
            <sz val="9"/>
            <color indexed="81"/>
            <rFont val="Segoe UI"/>
            <family val="2"/>
          </rPr>
          <t>Luiz Fernando Mello:</t>
        </r>
        <r>
          <rPr>
            <sz val="9"/>
            <color indexed="81"/>
            <rFont val="Segoe UI"/>
            <family val="2"/>
          </rPr>
          <t xml:space="preserve">
Extruded PP Sample</t>
        </r>
      </text>
    </comment>
    <comment ref="W9" authorId="0" shapeId="0" xr:uid="{31B71948-E9BB-4B83-9798-B1E4FC5D265E}">
      <text>
        <r>
          <rPr>
            <b/>
            <sz val="9"/>
            <color indexed="81"/>
            <rFont val="Segoe UI"/>
            <family val="2"/>
          </rPr>
          <t>Luiz Fernando Mello:</t>
        </r>
        <r>
          <rPr>
            <sz val="9"/>
            <color indexed="81"/>
            <rFont val="Segoe UI"/>
            <family val="2"/>
          </rPr>
          <t xml:space="preserve">
PP specimen removed directly at extruder</t>
        </r>
      </text>
    </comment>
    <comment ref="E10" authorId="0" shapeId="0" xr:uid="{3A1EB9BC-0DA8-434C-8AA8-1CF6E16516EB}">
      <text>
        <r>
          <rPr>
            <b/>
            <sz val="9"/>
            <color indexed="81"/>
            <rFont val="Segoe UI"/>
            <charset val="1"/>
          </rPr>
          <t>Luiz Fernando Mello:</t>
        </r>
        <r>
          <rPr>
            <sz val="9"/>
            <color indexed="81"/>
            <rFont val="Segoe UI"/>
            <charset val="1"/>
          </rPr>
          <t xml:space="preserve">
Test performed on May 19th, 2026
pipe was cut to take sample and cutback redone
</t>
        </r>
      </text>
    </comment>
    <comment ref="AS10" authorId="0" shapeId="0" xr:uid="{00000000-0006-0000-0700-000003000000}">
      <text>
        <r>
          <rPr>
            <b/>
            <sz val="9"/>
            <color indexed="81"/>
            <rFont val="Segoe UI"/>
            <charset val="1"/>
          </rPr>
          <t>Luiz Fernando Mello:</t>
        </r>
        <r>
          <rPr>
            <sz val="9"/>
            <color indexed="81"/>
            <rFont val="Segoe UI"/>
            <charset val="1"/>
          </rPr>
          <t xml:space="preserve">
Test performed on May 15, 2026</t>
        </r>
      </text>
    </comment>
    <comment ref="E15" authorId="0" shapeId="0" xr:uid="{92F342D0-9169-480F-93D3-25CFDD2A9E6E}">
      <text>
        <r>
          <rPr>
            <b/>
            <sz val="9"/>
            <color indexed="81"/>
            <rFont val="Segoe UI"/>
            <charset val="1"/>
          </rPr>
          <t>Luiz Fernando Mello:</t>
        </r>
        <r>
          <rPr>
            <sz val="9"/>
            <color indexed="81"/>
            <rFont val="Segoe UI"/>
            <charset val="1"/>
          </rPr>
          <t xml:space="preserve">
Test performed on May 19th, 2026
pipe was cut to take samples and cutback redone</t>
        </r>
      </text>
    </comment>
    <comment ref="AS15" authorId="0" shapeId="0" xr:uid="{C727F3D6-8874-48A7-866B-6EFD0FA3D4B1}">
      <text>
        <r>
          <rPr>
            <b/>
            <sz val="9"/>
            <color indexed="81"/>
            <rFont val="Segoe UI"/>
            <charset val="1"/>
          </rPr>
          <t>Luiz Fernando Mello:</t>
        </r>
        <r>
          <rPr>
            <sz val="9"/>
            <color indexed="81"/>
            <rFont val="Segoe UI"/>
            <charset val="1"/>
          </rPr>
          <t xml:space="preserve">
TEST PERFORMED ON MAY 19th, 2026</t>
        </r>
      </text>
    </comment>
  </commentList>
</comments>
</file>

<file path=xl/sharedStrings.xml><?xml version="1.0" encoding="utf-8"?>
<sst xmlns="http://schemas.openxmlformats.org/spreadsheetml/2006/main" count="6486" uniqueCount="422">
  <si>
    <t>RAW MATERIAL</t>
  </si>
  <si>
    <t>STEEL SHOT</t>
  </si>
  <si>
    <t>PRIMER (FBE)</t>
  </si>
  <si>
    <t>ADHESIVE</t>
  </si>
  <si>
    <t>Blasting machine 1</t>
  </si>
  <si>
    <t>Blasting machine 2</t>
  </si>
  <si>
    <t>Type:</t>
  </si>
  <si>
    <t>Supplier:</t>
  </si>
  <si>
    <t>Batch:</t>
  </si>
  <si>
    <t>INSPECTION AND TRACKING OF BARE PIPES</t>
  </si>
  <si>
    <t>DATE
m/day/year</t>
  </si>
  <si>
    <t>VISUAL</t>
  </si>
  <si>
    <t>Pipe
temp.
 (°C)</t>
  </si>
  <si>
    <t>Ambient
temp. (°C)</t>
  </si>
  <si>
    <t>COMMENTS</t>
  </si>
  <si>
    <t>Blasting 1</t>
  </si>
  <si>
    <t>Blasting 2</t>
  </si>
  <si>
    <t>Water</t>
  </si>
  <si>
    <t>Line speed
(m/min)</t>
  </si>
  <si>
    <t>Pipe temperature</t>
  </si>
  <si>
    <t>Adhesive</t>
  </si>
  <si>
    <t>PP</t>
  </si>
  <si>
    <t>Line
speed
(m/min)</t>
  </si>
  <si>
    <t>Oven 1
(°C)</t>
  </si>
  <si>
    <t>Oven 2
(°C)</t>
  </si>
  <si>
    <t>Temp
 (°C)</t>
  </si>
  <si>
    <t>Voltage
(KV)</t>
  </si>
  <si>
    <t>Pressure
(bar)</t>
  </si>
  <si>
    <t>Temp.
(°C)</t>
  </si>
  <si>
    <t>THICKNESS CONTROL</t>
  </si>
  <si>
    <t>LINE TESTS</t>
  </si>
  <si>
    <t>Thickness 
(µm)</t>
  </si>
  <si>
    <t>Full thickness (mm)</t>
  </si>
  <si>
    <t>End 1</t>
  </si>
  <si>
    <t>End 2</t>
  </si>
  <si>
    <t>End A</t>
  </si>
  <si>
    <t>End B</t>
  </si>
  <si>
    <t>Average
thickness (mm)</t>
  </si>
  <si>
    <t>Weigth
(Kg)</t>
  </si>
  <si>
    <t>Height
(M)</t>
  </si>
  <si>
    <t>ENERGY</t>
  </si>
  <si>
    <t>Temp (°C)</t>
  </si>
  <si>
    <t>Kgf</t>
  </si>
  <si>
    <t>N/mm</t>
  </si>
  <si>
    <t>(J/mm)</t>
  </si>
  <si>
    <t>Total (J)</t>
  </si>
  <si>
    <t>HOLIDAY DETECTOR / FINAL INSPECT</t>
  </si>
  <si>
    <t>COLOR CODE</t>
  </si>
  <si>
    <t>Speed
(m/s)</t>
  </si>
  <si>
    <t>Length (mm)</t>
  </si>
  <si>
    <t>FBE Tail (mm)</t>
  </si>
  <si>
    <t>Angle</t>
  </si>
  <si>
    <t>Degree of
cure for
FBE (DSC)
(°C)</t>
  </si>
  <si>
    <t>Porosity for FBE</t>
  </si>
  <si>
    <r>
      <rPr>
        <sz val="11"/>
        <color theme="1"/>
        <rFont val="Calibri"/>
        <family val="2"/>
      </rPr>
      <t xml:space="preserve">Elongation &amp; Tensile Strength at
yield at 23°C </t>
    </r>
    <r>
      <rPr>
        <sz val="11"/>
        <color theme="1"/>
        <rFont val="Calibri"/>
        <family val="2"/>
      </rPr>
      <t>± 2°C</t>
    </r>
  </si>
  <si>
    <t>Flexibility
test
(0°C)</t>
  </si>
  <si>
    <t>Cathodic disbondment
(24 hours 65°C)</t>
  </si>
  <si>
    <t>Cathodic disbondment
(28 days 23°C)</t>
  </si>
  <si>
    <t>Average</t>
  </si>
  <si>
    <t>1st</t>
  </si>
  <si>
    <t>2nd</t>
  </si>
  <si>
    <t>3rd</t>
  </si>
  <si>
    <t>Aver.</t>
  </si>
  <si>
    <t>ITP Item:</t>
  </si>
  <si>
    <t>Sherwin Willians</t>
  </si>
  <si>
    <t>Pipeclad 2000</t>
  </si>
  <si>
    <t>Borealis Borcoat</t>
  </si>
  <si>
    <t>BB127 E</t>
  </si>
  <si>
    <t>PP TOP COAT</t>
  </si>
  <si>
    <t>BB108E-1199</t>
  </si>
  <si>
    <t>ROUGH COAT</t>
  </si>
  <si>
    <t>BORCOAT 108E-1199 PW</t>
  </si>
  <si>
    <t>G18/G25</t>
  </si>
  <si>
    <t>ABRASIVE</t>
  </si>
  <si>
    <t>STEEL GRID</t>
  </si>
  <si>
    <t>S230</t>
  </si>
  <si>
    <t xml:space="preserve">PIPE 
NUMBER
</t>
  </si>
  <si>
    <t xml:space="preserve">Oil contamination
of abrasives </t>
  </si>
  <si>
    <t xml:space="preserve">PIPE NUMBER
</t>
  </si>
  <si>
    <t xml:space="preserve">SQ
</t>
  </si>
  <si>
    <t>A SA2 1/2</t>
  </si>
  <si>
    <t>SQ</t>
  </si>
  <si>
    <t>TENARIS
NUMBER</t>
  </si>
  <si>
    <t>PIPE NUMBER</t>
  </si>
  <si>
    <t>14.1</t>
  </si>
  <si>
    <t>14.2</t>
  </si>
  <si>
    <t>14.3</t>
  </si>
  <si>
    <t>Cross section
(A12)</t>
  </si>
  <si>
    <t>Interface
(A12)</t>
  </si>
  <si>
    <t>Elongation
(&gt;400%)</t>
  </si>
  <si>
    <t>Le
(&gt;20Mpa)</t>
  </si>
  <si>
    <t>14.4 and 14.5</t>
  </si>
  <si>
    <t>14.6</t>
  </si>
  <si>
    <t xml:space="preserve">Indentation
</t>
  </si>
  <si>
    <t>Results Max (4mm)</t>
  </si>
  <si>
    <t>Results  Average (5mm)</t>
  </si>
  <si>
    <t xml:space="preserve">Cathodic disbondment (28 days 90°C)
</t>
  </si>
  <si>
    <t>Results average (10mm)</t>
  </si>
  <si>
    <t>14.10</t>
  </si>
  <si>
    <t>14.14</t>
  </si>
  <si>
    <t>14.13</t>
  </si>
  <si>
    <t>Hardness
(≥60Shore D)</t>
  </si>
  <si>
    <t>14.12</t>
  </si>
  <si>
    <t>Number
of guns</t>
  </si>
  <si>
    <t>Inter coating
(seconds)</t>
  </si>
  <si>
    <t xml:space="preserve">Conductivity
(≤60µS/cm) </t>
  </si>
  <si>
    <t>Dew 
Point
 (&gt;3°C)</t>
  </si>
  <si>
    <t xml:space="preserve">Relative air
 humidity
(&lt;85°C)
</t>
  </si>
  <si>
    <t>Cleaning
grade Min. Sa2 1/2</t>
  </si>
  <si>
    <t>Roughness
(50-100µm)</t>
  </si>
  <si>
    <t>Residuals
salts Min.
(2µg/cm²)</t>
  </si>
  <si>
    <t>Dew 
Point
 &gt; (3°C)</t>
  </si>
  <si>
    <t xml:space="preserve">relative air
 humidity
(85°C)
</t>
  </si>
  <si>
    <t>Dust
contamination Max.</t>
  </si>
  <si>
    <t>Class 2</t>
  </si>
  <si>
    <t>Rating 2</t>
  </si>
  <si>
    <t>Cooling
temperature
≤ (80°C)</t>
  </si>
  <si>
    <t>Primer 
250-500</t>
  </si>
  <si>
    <t>Adhesive
200-400</t>
  </si>
  <si>
    <t>Body
4,0-7,0</t>
  </si>
  <si>
    <t>Weld
Min. 4,0</t>
  </si>
  <si>
    <t>RESIDUAL MAGNETISM
Av. (15Gaus)
No &gt;20G</t>
  </si>
  <si>
    <t>Impact test
≥10 J/mm @temp. 23±3°C</t>
  </si>
  <si>
    <t>HOLIDAY DETECTOR
10 V/microns ≤25</t>
  </si>
  <si>
    <t xml:space="preserve">Peel Strength
at 23±3°C Average. (25N/mm) Min. Absolute 20N/mm 
at 90±3°C Average. (6N/mm) Min. Absolute 4.2N/mm </t>
  </si>
  <si>
    <t>CUTBACK 170 (-0/+20)mm 
FBE 3 to 10mm
3LPP angle 20° (0/+10°)</t>
  </si>
  <si>
    <t>725105/725067</t>
  </si>
  <si>
    <t>XB25100255</t>
  </si>
  <si>
    <t>POWDER ADHESIVE</t>
  </si>
  <si>
    <t>BB127 E - PW</t>
  </si>
  <si>
    <t>S225720015</t>
  </si>
  <si>
    <t>S240550026</t>
  </si>
  <si>
    <t>04/21/2026</t>
  </si>
  <si>
    <t>26.4.</t>
  </si>
  <si>
    <t>APPROVED</t>
  </si>
  <si>
    <t>-</t>
  </si>
  <si>
    <t>0.258</t>
  </si>
  <si>
    <t>6.74</t>
  </si>
  <si>
    <t>8.22</t>
  </si>
  <si>
    <t>48+H26:H50</t>
  </si>
  <si>
    <t>SEGREGATED</t>
  </si>
  <si>
    <t>N1</t>
  </si>
  <si>
    <t>C1</t>
  </si>
  <si>
    <t>0,4 - 0,3</t>
  </si>
  <si>
    <t>0,2 - 0,2</t>
  </si>
  <si>
    <t>0,2 - 0,3</t>
  </si>
  <si>
    <t>0,1 - 0,2</t>
  </si>
  <si>
    <t>0,1 - 0,1</t>
  </si>
  <si>
    <t>0,2 - 0,1</t>
  </si>
  <si>
    <t>0,3 - 0,3</t>
  </si>
  <si>
    <t>0,4 - 0,2</t>
  </si>
  <si>
    <t>0,5 - 0,4</t>
  </si>
  <si>
    <t>0,3 - 0,1</t>
  </si>
  <si>
    <t>0,1 - 0,0</t>
  </si>
  <si>
    <t>0,5 - 0,1</t>
  </si>
  <si>
    <t>0,1 - 0,3</t>
  </si>
  <si>
    <t>0,6 - ,03</t>
  </si>
  <si>
    <t>Bubble at 340mm distance from end B</t>
  </si>
  <si>
    <t>Organic Contamination</t>
  </si>
  <si>
    <t>04/22/26</t>
  </si>
  <si>
    <t>YELLOW</t>
  </si>
  <si>
    <t>EARLY BATCH</t>
  </si>
  <si>
    <t>NUMBER
(CTB)
26.4.</t>
  </si>
  <si>
    <t>5,68mm</t>
  </si>
  <si>
    <t>5,59mm</t>
  </si>
  <si>
    <t>5,65mm</t>
  </si>
  <si>
    <t>5,69mm</t>
  </si>
  <si>
    <t>5,58mm</t>
  </si>
  <si>
    <t>5,55mm</t>
  </si>
  <si>
    <t>5,60mm</t>
  </si>
  <si>
    <t>5,71mm</t>
  </si>
  <si>
    <t>5,5mm</t>
  </si>
  <si>
    <t>5,50mm</t>
  </si>
  <si>
    <t>5,7mm</t>
  </si>
  <si>
    <t>4,8mm</t>
  </si>
  <si>
    <t>4,6mm</t>
  </si>
  <si>
    <t>5,0mm</t>
  </si>
  <si>
    <t>4,9mm</t>
  </si>
  <si>
    <t>5,2mm</t>
  </si>
  <si>
    <t>5,1mm</t>
  </si>
  <si>
    <t>4,4mm</t>
  </si>
  <si>
    <t>5,4mm</t>
  </si>
  <si>
    <t>NUMBER
(CTB)
26.4.</t>
  </si>
  <si>
    <t>P.E Contamination</t>
  </si>
  <si>
    <t>Peel Strength (N/mm)</t>
  </si>
  <si>
    <t>Acceptance criteria</t>
  </si>
  <si>
    <t>Pipe number</t>
  </si>
  <si>
    <t>Type of failure</t>
  </si>
  <si>
    <t>Remarks</t>
  </si>
  <si>
    <t>Temperature:</t>
  </si>
  <si>
    <t>23±3°C</t>
  </si>
  <si>
    <t>Force:</t>
  </si>
  <si>
    <t>63.71Kgf</t>
  </si>
  <si>
    <t>25N/mm</t>
  </si>
  <si>
    <t>Position</t>
  </si>
  <si>
    <t>Cohesive</t>
  </si>
  <si>
    <t>Elongation PP</t>
  </si>
  <si>
    <t>Absolute minimum Force:</t>
  </si>
  <si>
    <t>50.96Kgf</t>
  </si>
  <si>
    <t>20N/mm</t>
  </si>
  <si>
    <t>Ave.</t>
  </si>
  <si>
    <t>Min.</t>
  </si>
  <si>
    <t>Max.</t>
  </si>
  <si>
    <t>90±3°C</t>
  </si>
  <si>
    <t>15.29Kgf</t>
  </si>
  <si>
    <t>6N/mm</t>
  </si>
  <si>
    <t>26.4.2085</t>
  </si>
  <si>
    <t>END A</t>
  </si>
  <si>
    <t>Cohesive mode</t>
  </si>
  <si>
    <t>10.70Kgf</t>
  </si>
  <si>
    <t>4.2N/mm</t>
  </si>
  <si>
    <t>END B</t>
  </si>
  <si>
    <t>26.4.2110</t>
  </si>
  <si>
    <t>26.4.2194</t>
  </si>
  <si>
    <t>26.4.2167</t>
  </si>
  <si>
    <t>26.4.2092</t>
  </si>
  <si>
    <t>26.4.2154</t>
  </si>
  <si>
    <t>26.4.2239</t>
  </si>
  <si>
    <t>26.4.2183</t>
  </si>
  <si>
    <t>April 22nd, 2026</t>
  </si>
  <si>
    <t>April 21st, 2026</t>
  </si>
  <si>
    <t>April 23rd, 2026</t>
  </si>
  <si>
    <t>26.4.2093</t>
  </si>
  <si>
    <t>REMAINING TESTS</t>
  </si>
  <si>
    <t xml:space="preserve"> PTS TESTS PQT</t>
  </si>
  <si>
    <t>26.4.2157</t>
  </si>
  <si>
    <t>Early batch - Production</t>
  </si>
  <si>
    <t>TOTAL OF TESTS PROGRAMED</t>
  </si>
  <si>
    <t>TOTAL OF TESTS PERFORMED</t>
  </si>
  <si>
    <t>26.4.2184</t>
  </si>
  <si>
    <t>26.4.2198</t>
  </si>
  <si>
    <t>26.4.2108</t>
  </si>
  <si>
    <t>26.4.2104</t>
  </si>
  <si>
    <t>Cohesive mode + Elongation</t>
  </si>
  <si>
    <t>26.4.2153</t>
  </si>
  <si>
    <t xml:space="preserve">Cohesive mode </t>
  </si>
  <si>
    <t>April 24th, 2026</t>
  </si>
  <si>
    <t>END A
Retest</t>
  </si>
  <si>
    <t>NOTE: The test was redone because the graph’s force lines overlapped</t>
  </si>
  <si>
    <t xml:space="preserve">During the testes performed today, was observed in the position END A temperature 24,86ºC value below specified 19,23 N/mm (absolute minimum), obtained a Cohesive Mode Failure, even though another test was carried out in the same position with satisfactory results </t>
  </si>
  <si>
    <t>04/24/2026</t>
  </si>
  <si>
    <t>PQT</t>
  </si>
  <si>
    <t>Segregated</t>
  </si>
  <si>
    <t>Rough coat did not applied in 3 windows yet</t>
  </si>
  <si>
    <t>26.4.2181</t>
  </si>
  <si>
    <t>26.4.2105</t>
  </si>
  <si>
    <t>26.4.2164</t>
  </si>
  <si>
    <t>26.4.2191</t>
  </si>
  <si>
    <t>26.4.2233</t>
  </si>
  <si>
    <t>04/25/2026</t>
  </si>
  <si>
    <t>26.4.2106</t>
  </si>
  <si>
    <t>April 25th, 2026</t>
  </si>
  <si>
    <t>26.4.2251</t>
  </si>
  <si>
    <t>26.4.2133</t>
  </si>
  <si>
    <t>26.4.2102</t>
  </si>
  <si>
    <t>April 27th, 2026</t>
  </si>
  <si>
    <t>26.4.2186</t>
  </si>
  <si>
    <t>26.4.2173</t>
  </si>
  <si>
    <t>NOTE</t>
  </si>
  <si>
    <t>26.4.2248</t>
  </si>
  <si>
    <t>26.4.2087</t>
  </si>
  <si>
    <t>26.4.2183 (Cold)</t>
  </si>
  <si>
    <t>26.4.2239 (Hot)</t>
  </si>
  <si>
    <t>Approved</t>
  </si>
  <si>
    <t>Impact at reduced temperature</t>
  </si>
  <si>
    <t>Impact test
≥10 J/mm @temp. -10±3°C</t>
  </si>
  <si>
    <t>Impact test
≥10 J/mm @temp. -20±3°C</t>
  </si>
  <si>
    <t>Stability
during PP
extrusion
(ΔMFR ≤ 35%)</t>
  </si>
  <si>
    <t>Hot water
imersion
(48h)
Ave. ≤2,0mm 
Max. ≤ 3,0mm</t>
  </si>
  <si>
    <t>N/A</t>
  </si>
  <si>
    <t>26.4.2203</t>
  </si>
  <si>
    <t>04/22/2026</t>
  </si>
  <si>
    <t>04/27/2026</t>
  </si>
  <si>
    <t>Rejected</t>
  </si>
  <si>
    <t>26.4.2251 presented damage in the steel due to cutback bushes. (minimum wall thickness registered 30,3mm)</t>
  </si>
  <si>
    <t>REJECTED</t>
  </si>
  <si>
    <t>April 28th, 2026</t>
  </si>
  <si>
    <t>26.4.2178</t>
  </si>
  <si>
    <t>26.4.2253</t>
  </si>
  <si>
    <t>26.4.2236</t>
  </si>
  <si>
    <t>26.4.2150</t>
  </si>
  <si>
    <t>26.4.2109</t>
  </si>
  <si>
    <t>26.4.2201</t>
  </si>
  <si>
    <t>26.4.2116</t>
  </si>
  <si>
    <t>26.4.2146</t>
  </si>
  <si>
    <t>26.4.2187</t>
  </si>
  <si>
    <t>26.4.2188</t>
  </si>
  <si>
    <t>26.4.2163</t>
  </si>
  <si>
    <t>26.4.2162</t>
  </si>
  <si>
    <t>26.4.2160</t>
  </si>
  <si>
    <t>26.4.2190</t>
  </si>
  <si>
    <t>26.4.2131</t>
  </si>
  <si>
    <t>26.4.2189</t>
  </si>
  <si>
    <t>26.4.2254</t>
  </si>
  <si>
    <t>26.4.2202</t>
  </si>
  <si>
    <t>26.4.2237</t>
  </si>
  <si>
    <t>26.4.2195</t>
  </si>
  <si>
    <t>26.4.2168</t>
  </si>
  <si>
    <t>26.4.2166</t>
  </si>
  <si>
    <t>26.4.2200</t>
  </si>
  <si>
    <t>26.4.2242</t>
  </si>
  <si>
    <t>26.4.2241</t>
  </si>
  <si>
    <t>26.4.2159</t>
  </si>
  <si>
    <t>26.4.2151</t>
  </si>
  <si>
    <t>26.4.2119</t>
  </si>
  <si>
    <t>26.4.2158</t>
  </si>
  <si>
    <t>26.4.2196</t>
  </si>
  <si>
    <t>26.4.2193</t>
  </si>
  <si>
    <t>26.4.2172</t>
  </si>
  <si>
    <t>26.4.2169</t>
  </si>
  <si>
    <t>26.4.2199</t>
  </si>
  <si>
    <t>26.4.2171</t>
  </si>
  <si>
    <t>26.4.2165</t>
  </si>
  <si>
    <t>26.4.2192</t>
  </si>
  <si>
    <t>4th</t>
  </si>
  <si>
    <t>5th</t>
  </si>
  <si>
    <t>ITEM</t>
  </si>
  <si>
    <t>DISCRIPTION OF CONTROL</t>
  </si>
  <si>
    <t>FREQUENCY</t>
  </si>
  <si>
    <t xml:space="preserve">Subtitle </t>
  </si>
  <si>
    <t>AP</t>
  </si>
  <si>
    <t>OG</t>
  </si>
  <si>
    <t>Ongoing</t>
  </si>
  <si>
    <t>Waiting</t>
  </si>
  <si>
    <t>Non-Applicable</t>
  </si>
  <si>
    <t>Morning shift</t>
  </si>
  <si>
    <t>Mid shift</t>
  </si>
  <si>
    <t>Night shift</t>
  </si>
  <si>
    <t>12.6</t>
  </si>
  <si>
    <t>12.7</t>
  </si>
  <si>
    <t>12.8</t>
  </si>
  <si>
    <t>IMPACT TEST</t>
  </si>
  <si>
    <t>PEEL STRENGTH (BOTH ENDS)</t>
  </si>
  <si>
    <t>3 PIPES</t>
  </si>
  <si>
    <t>29 PIPES</t>
  </si>
  <si>
    <t>DRY ADHESION TEST FOR FBE</t>
  </si>
  <si>
    <t>1 PIPE</t>
  </si>
  <si>
    <t>12.11</t>
  </si>
  <si>
    <t>COATING REPAIR QUALIFICATION</t>
  </si>
  <si>
    <t>1 FOR VALIDATION</t>
  </si>
  <si>
    <t xml:space="preserve">12.12 </t>
  </si>
  <si>
    <t>12.15</t>
  </si>
  <si>
    <t>CUTBACK</t>
  </si>
  <si>
    <t>DEGREE OF CURE (DSC) FOR FBE</t>
  </si>
  <si>
    <t>POROSITY FOR FBE</t>
  </si>
  <si>
    <t>14.4</t>
  </si>
  <si>
    <t>INDENTATION</t>
  </si>
  <si>
    <t>ELONGATION AT BREAK (EXTRUDED AND PIPE)</t>
  </si>
  <si>
    <t>14.5</t>
  </si>
  <si>
    <t xml:space="preserve">14.6 </t>
  </si>
  <si>
    <t>FLEXIBILITY TEST AT 0ºC</t>
  </si>
  <si>
    <t>STATUS</t>
  </si>
  <si>
    <t>14.7</t>
  </si>
  <si>
    <t>14.8</t>
  </si>
  <si>
    <t>14.9</t>
  </si>
  <si>
    <t>CATHODIC DISBONDMENT 24H 65ºC</t>
  </si>
  <si>
    <t>CATHODIC DISBONDMENT 28 DAYS 23ºC</t>
  </si>
  <si>
    <t>CATHODIC DISBONDMENT 28 DAYS 90ºC</t>
  </si>
  <si>
    <t>HOT WATER IMMERSION 48H</t>
  </si>
  <si>
    <t>PRODUCTION STABILITY</t>
  </si>
  <si>
    <t>Min. 5º C
ΔtG:≤5ºC</t>
  </si>
  <si>
    <t>Temp
23±3
(°C)</t>
  </si>
  <si>
    <t>Temp
60±3
(°C)</t>
  </si>
  <si>
    <t>Results
≤0.1
(mm)</t>
  </si>
  <si>
    <t>Results
≤0.4
(mm)</t>
  </si>
  <si>
    <t>EARLY</t>
  </si>
  <si>
    <t>BACTH</t>
  </si>
  <si>
    <t>TESTS STATUS FOLLOW OP - OD 609.6mm x 32,2 PQT</t>
  </si>
  <si>
    <t>2 PIPE</t>
  </si>
  <si>
    <t>HARDNESS</t>
  </si>
  <si>
    <t>IMPACT AT REDUCED TEMPERATURE</t>
  </si>
  <si>
    <t>2 PIPES</t>
  </si>
  <si>
    <t>14.15</t>
  </si>
  <si>
    <t>MECHANICAL TESTING ON STEEL PIPE AFTER COATING</t>
  </si>
  <si>
    <t>4 PIPES</t>
  </si>
  <si>
    <t>26.4.2090</t>
  </si>
  <si>
    <t>A11</t>
  </si>
  <si>
    <t>A12</t>
  </si>
  <si>
    <t>COATING STRIPPING</t>
  </si>
  <si>
    <t>RJ</t>
  </si>
  <si>
    <t>May 01st, 2026</t>
  </si>
  <si>
    <t xml:space="preserve"> PTS TESTS EARLY BATCH</t>
  </si>
  <si>
    <t>May 02nd, 2026</t>
  </si>
  <si>
    <t>Early batch (Without PST)</t>
  </si>
  <si>
    <t>Early batch - Sloted done May 04</t>
  </si>
  <si>
    <t>Early batch - Sloted done May 01</t>
  </si>
  <si>
    <t>Tenaris Report</t>
  </si>
  <si>
    <t>Pigeon Organic Contamination</t>
  </si>
  <si>
    <t>26.4.2148</t>
  </si>
  <si>
    <t>16.45</t>
  </si>
  <si>
    <t>Early batch - Sloted done May 08</t>
  </si>
  <si>
    <t>SLOT with measurements out of specification</t>
  </si>
  <si>
    <t>Early batch - Sloted done May 09</t>
  </si>
  <si>
    <t>Early batch - Sloted done May 12</t>
  </si>
  <si>
    <t>Elongation &amp; Tensile Strength at
yield at 60°C ± 2°C</t>
  </si>
  <si>
    <t>TENSILE STRENGTH  (EXTRUDED AND PIPE) at 23ºC and 60ºC</t>
  </si>
  <si>
    <t>ROUGH COAT (Missing Rough from 3 windows oppened</t>
  </si>
  <si>
    <t>Early batch - Sloted done May 13</t>
  </si>
  <si>
    <t>May 13th, 2026</t>
  </si>
  <si>
    <t>When the type of failure is registered as “Elongation” the PST test should be interrupted and the maximum force will be considered as reference value.</t>
  </si>
  <si>
    <t>Early batch - Sloted done May 14</t>
  </si>
  <si>
    <t>May 14th, 2026</t>
  </si>
  <si>
    <t>Early batch - Sloted done May 15</t>
  </si>
  <si>
    <t>05/16/2026</t>
  </si>
  <si>
    <t>May 16th, 2026</t>
  </si>
  <si>
    <t>Dry adhesion test for FBE</t>
  </si>
  <si>
    <t>Maximum 
Rating 2</t>
  </si>
  <si>
    <t>May 18th, 2026</t>
  </si>
  <si>
    <t>Early batch - Sloted done May 18</t>
  </si>
  <si>
    <t>(25Kv)</t>
  </si>
  <si>
    <t xml:space="preserve">
Holiday
</t>
  </si>
  <si>
    <t>Early batch - Sloted done May 19</t>
  </si>
  <si>
    <t xml:space="preserve">COATING
DATE
</t>
  </si>
  <si>
    <t>Early batch - Sloted done May 20</t>
  </si>
  <si>
    <t>Early batch - Sloted done May 22</t>
  </si>
  <si>
    <t>25 PIPES</t>
  </si>
  <si>
    <t>Early batch - Sloted done May 23</t>
  </si>
  <si>
    <t>Jun 15th, 2026</t>
  </si>
  <si>
    <t>Jun 16th, 2026</t>
  </si>
  <si>
    <t>dano aço</t>
  </si>
  <si>
    <t>Jun 17th, 2026</t>
  </si>
  <si>
    <t>Jun 18th,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</si>
</sst>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5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8"/>
      <color theme="1"/>
      <name val="Calibri"/>
      <family val="2"/>
    </font>
    <font>
      <sz val="11"/>
      <color rgb="FFBF9000"/>
      <name val="Calibri"/>
      <family val="2"/>
    </font>
    <font>
      <sz val="12"/>
      <color theme="1"/>
      <name val="Calibri"/>
      <family val="2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</font>
    <font>
      <sz val="12"/>
      <name val="Calibri"/>
      <family val="2"/>
    </font>
    <font>
      <sz val="8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</font>
    <font>
      <b/>
      <sz val="8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000000"/>
      <name val="Calibri"/>
      <family val="2"/>
    </font>
    <font>
      <sz val="9"/>
      <color rgb="FF000000"/>
      <name val="Arial"/>
      <family val="2"/>
    </font>
    <font>
      <b/>
      <sz val="9"/>
      <color rgb="FF000000"/>
      <name val="Calibri"/>
      <family val="2"/>
    </font>
    <font>
      <sz val="8"/>
      <color rgb="FF000000"/>
      <name val="Arial"/>
      <family val="2"/>
    </font>
    <font>
      <sz val="8"/>
      <color rgb="FF000000"/>
      <name val="Calibri"/>
      <family val="2"/>
    </font>
    <font>
      <sz val="8"/>
      <color theme="1"/>
      <name val="Arial"/>
      <family val="2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7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1"/>
      <color theme="1"/>
      <name val="Arial"/>
      <family val="2"/>
    </font>
    <font>
      <sz val="11"/>
      <name val="Arial"/>
      <family val="2"/>
    </font>
    <font>
      <b/>
      <sz val="11"/>
      <color theme="1"/>
      <name val="Arial"/>
      <family val="2"/>
    </font>
    <font>
      <sz val="11"/>
      <color rgb="FFFF0000"/>
      <name val="Calibri"/>
      <family val="2"/>
    </font>
    <font>
      <sz val="10"/>
      <color rgb="FF000000"/>
      <name val="Arial"/>
      <family val="2"/>
    </font>
    <font>
      <sz val="9"/>
      <color indexed="81"/>
      <name val="Segoe UI"/>
      <charset val="1"/>
    </font>
    <font>
      <b/>
      <sz val="9"/>
      <color indexed="81"/>
      <name val="Segoe UI"/>
      <charset val="1"/>
    </font>
    <font>
      <sz val="8"/>
      <name val="Calibri"/>
      <scheme val="minor"/>
    </font>
    <font>
      <b/>
      <sz val="11"/>
      <color rgb="FFFF0000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4" tint="0.39997558519241921"/>
        <bgColor rgb="FFD8D8D8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39997558519241921"/>
        <bgColor theme="0"/>
      </patternFill>
    </fill>
    <fill>
      <patternFill patternType="solid">
        <fgColor theme="0"/>
        <bgColor rgb="FFD8D8D8"/>
      </patternFill>
    </fill>
    <fill>
      <patternFill patternType="solid">
        <fgColor theme="0"/>
      </patternFill>
    </fill>
    <fill>
      <patternFill patternType="solid">
        <fgColor rgb="FFFFFF00"/>
        <bgColor theme="0"/>
      </patternFill>
    </fill>
    <fill>
      <patternFill patternType="solid">
        <fgColor rgb="FFB4C6E7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theme="0"/>
      </patternFill>
    </fill>
    <fill>
      <patternFill patternType="solid">
        <fgColor theme="5" tint="0.79998168889431442"/>
        <bgColor rgb="FFFFFF00"/>
      </patternFill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theme="0"/>
      </patternFill>
    </fill>
    <fill>
      <patternFill patternType="solid">
        <fgColor theme="0" tint="-4.9989318521683403E-2"/>
        <bgColor rgb="FFD8D8D8"/>
      </patternFill>
    </fill>
    <fill>
      <patternFill patternType="solid">
        <fgColor theme="0" tint="-0.14999847407452621"/>
        <bgColor theme="0"/>
      </patternFill>
    </fill>
    <fill>
      <patternFill patternType="solid">
        <fgColor rgb="FFFFC7CE"/>
      </patternFill>
    </fill>
    <fill>
      <patternFill patternType="solid">
        <fgColor rgb="FFFFD85B"/>
        <bgColor indexed="64"/>
      </patternFill>
    </fill>
    <fill>
      <patternFill patternType="solid">
        <fgColor rgb="FFFFDD7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theme="0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BD85D"/>
        <bgColor indexed="64"/>
      </patternFill>
    </fill>
    <fill>
      <patternFill patternType="solid">
        <fgColor rgb="FF92D050"/>
        <bgColor rgb="FFD8D8D8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theme="0"/>
      </patternFill>
    </fill>
  </fills>
  <borders count="8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</borders>
  <cellStyleXfs count="6">
    <xf numFmtId="0" fontId="0" fillId="0" borderId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12" fillId="5" borderId="0" applyNumberFormat="0" applyBorder="0" applyAlignment="0" applyProtection="0"/>
    <xf numFmtId="0" fontId="38" fillId="27" borderId="0" applyNumberFormat="0" applyBorder="0" applyAlignment="0" applyProtection="0"/>
    <xf numFmtId="0" fontId="19" fillId="3" borderId="26" applyProtection="0">
      <alignment horizontal="center" vertical="center"/>
    </xf>
  </cellStyleXfs>
  <cellXfs count="438">
    <xf numFmtId="0" fontId="0" fillId="0" borderId="0" xfId="0"/>
    <xf numFmtId="0" fontId="14" fillId="0" borderId="0" xfId="0" applyFont="1" applyAlignment="1">
      <alignment horizontal="center" vertical="center"/>
    </xf>
    <xf numFmtId="0" fontId="14" fillId="0" borderId="0" xfId="0" applyFont="1"/>
    <xf numFmtId="0" fontId="14" fillId="2" borderId="12" xfId="0" applyFont="1" applyFill="1" applyBorder="1"/>
    <xf numFmtId="0" fontId="14" fillId="0" borderId="0" xfId="0" applyFont="1" applyAlignment="1">
      <alignment horizontal="center"/>
    </xf>
    <xf numFmtId="0" fontId="14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/>
    </xf>
    <xf numFmtId="14" fontId="14" fillId="2" borderId="1" xfId="0" applyNumberFormat="1" applyFont="1" applyFill="1" applyBorder="1" applyAlignment="1">
      <alignment horizontal="center"/>
    </xf>
    <xf numFmtId="164" fontId="14" fillId="2" borderId="1" xfId="0" applyNumberFormat="1" applyFont="1" applyFill="1" applyBorder="1" applyAlignment="1">
      <alignment horizontal="center" vertical="center"/>
    </xf>
    <xf numFmtId="2" fontId="14" fillId="2" borderId="1" xfId="0" applyNumberFormat="1" applyFont="1" applyFill="1" applyBorder="1" applyAlignment="1">
      <alignment horizontal="center" vertical="center"/>
    </xf>
    <xf numFmtId="0" fontId="14" fillId="2" borderId="13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0" fontId="14" fillId="2" borderId="1" xfId="0" applyFont="1" applyFill="1" applyBorder="1"/>
    <xf numFmtId="0" fontId="14" fillId="2" borderId="13" xfId="0" applyFont="1" applyFill="1" applyBorder="1"/>
    <xf numFmtId="0" fontId="14" fillId="2" borderId="24" xfId="0" applyFont="1" applyFill="1" applyBorder="1"/>
    <xf numFmtId="0" fontId="14" fillId="2" borderId="24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/>
    </xf>
    <xf numFmtId="164" fontId="14" fillId="2" borderId="1" xfId="0" applyNumberFormat="1" applyFont="1" applyFill="1" applyBorder="1" applyAlignment="1">
      <alignment horizontal="center"/>
    </xf>
    <xf numFmtId="2" fontId="14" fillId="2" borderId="1" xfId="0" applyNumberFormat="1" applyFont="1" applyFill="1" applyBorder="1" applyAlignment="1">
      <alignment horizontal="center"/>
    </xf>
    <xf numFmtId="1" fontId="14" fillId="2" borderId="1" xfId="0" applyNumberFormat="1" applyFont="1" applyFill="1" applyBorder="1" applyAlignment="1">
      <alignment horizontal="center"/>
    </xf>
    <xf numFmtId="20" fontId="14" fillId="2" borderId="1" xfId="0" applyNumberFormat="1" applyFont="1" applyFill="1" applyBorder="1" applyAlignment="1">
      <alignment horizontal="center"/>
    </xf>
    <xf numFmtId="0" fontId="14" fillId="2" borderId="1" xfId="0" applyFont="1" applyFill="1" applyBorder="1" applyAlignment="1">
      <alignment horizontal="center" vertical="center" wrapText="1"/>
    </xf>
    <xf numFmtId="0" fontId="14" fillId="2" borderId="24" xfId="0" applyFont="1" applyFill="1" applyBorder="1" applyAlignment="1">
      <alignment horizontal="center" wrapText="1"/>
    </xf>
    <xf numFmtId="0" fontId="14" fillId="2" borderId="23" xfId="0" applyFont="1" applyFill="1" applyBorder="1" applyAlignment="1">
      <alignment horizontal="center"/>
    </xf>
    <xf numFmtId="14" fontId="14" fillId="2" borderId="1" xfId="0" applyNumberFormat="1" applyFont="1" applyFill="1" applyBorder="1" applyAlignment="1">
      <alignment horizontal="center" vertical="center"/>
    </xf>
    <xf numFmtId="0" fontId="0" fillId="0" borderId="26" xfId="0" applyBorder="1"/>
    <xf numFmtId="0" fontId="15" fillId="0" borderId="26" xfId="0" applyFont="1" applyBorder="1"/>
    <xf numFmtId="0" fontId="14" fillId="7" borderId="1" xfId="0" applyFont="1" applyFill="1" applyBorder="1" applyAlignment="1">
      <alignment horizontal="center"/>
    </xf>
    <xf numFmtId="0" fontId="14" fillId="8" borderId="24" xfId="0" applyFont="1" applyFill="1" applyBorder="1" applyAlignment="1">
      <alignment horizontal="center" wrapText="1"/>
    </xf>
    <xf numFmtId="0" fontId="14" fillId="8" borderId="1" xfId="0" applyFont="1" applyFill="1" applyBorder="1" applyAlignment="1">
      <alignment horizontal="center" wrapText="1"/>
    </xf>
    <xf numFmtId="0" fontId="14" fillId="8" borderId="22" xfId="0" applyFont="1" applyFill="1" applyBorder="1" applyAlignment="1">
      <alignment horizontal="center" vertical="center"/>
    </xf>
    <xf numFmtId="0" fontId="14" fillId="8" borderId="22" xfId="0" applyFont="1" applyFill="1" applyBorder="1" applyAlignment="1">
      <alignment horizontal="center"/>
    </xf>
    <xf numFmtId="0" fontId="14" fillId="8" borderId="22" xfId="0" applyFont="1" applyFill="1" applyBorder="1" applyAlignment="1">
      <alignment horizontal="center" wrapText="1"/>
    </xf>
    <xf numFmtId="0" fontId="14" fillId="8" borderId="24" xfId="0" applyFont="1" applyFill="1" applyBorder="1" applyAlignment="1">
      <alignment horizontal="center" vertical="center" wrapText="1"/>
    </xf>
    <xf numFmtId="0" fontId="14" fillId="8" borderId="1" xfId="0" applyFont="1" applyFill="1" applyBorder="1" applyAlignment="1">
      <alignment horizontal="center" vertical="center" wrapText="1"/>
    </xf>
    <xf numFmtId="0" fontId="14" fillId="8" borderId="22" xfId="0" applyFont="1" applyFill="1" applyBorder="1" applyAlignment="1">
      <alignment horizontal="center" vertical="center" wrapText="1"/>
    </xf>
    <xf numFmtId="0" fontId="14" fillId="8" borderId="25" xfId="0" applyFont="1" applyFill="1" applyBorder="1" applyAlignment="1">
      <alignment horizontal="left"/>
    </xf>
    <xf numFmtId="0" fontId="14" fillId="8" borderId="1" xfId="0" applyFont="1" applyFill="1" applyBorder="1" applyAlignment="1">
      <alignment horizontal="center"/>
    </xf>
    <xf numFmtId="0" fontId="14" fillId="8" borderId="1" xfId="0" applyFont="1" applyFill="1" applyBorder="1"/>
    <xf numFmtId="0" fontId="14" fillId="2" borderId="24" xfId="0" applyFont="1" applyFill="1" applyBorder="1" applyAlignment="1">
      <alignment horizontal="center"/>
    </xf>
    <xf numFmtId="0" fontId="14" fillId="8" borderId="53" xfId="0" applyFont="1" applyFill="1" applyBorder="1" applyAlignment="1">
      <alignment horizontal="center" vertical="center"/>
    </xf>
    <xf numFmtId="0" fontId="14" fillId="8" borderId="53" xfId="0" applyFont="1" applyFill="1" applyBorder="1" applyAlignment="1">
      <alignment horizontal="center"/>
    </xf>
    <xf numFmtId="0" fontId="14" fillId="8" borderId="53" xfId="0" applyFont="1" applyFill="1" applyBorder="1" applyAlignment="1">
      <alignment horizontal="center" wrapText="1"/>
    </xf>
    <xf numFmtId="0" fontId="14" fillId="8" borderId="54" xfId="0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horizontal="center" vertical="top" wrapText="1"/>
    </xf>
    <xf numFmtId="0" fontId="14" fillId="8" borderId="29" xfId="0" applyFont="1" applyFill="1" applyBorder="1" applyAlignment="1">
      <alignment horizontal="center" vertical="center" wrapText="1"/>
    </xf>
    <xf numFmtId="0" fontId="14" fillId="8" borderId="24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4" fillId="8" borderId="1" xfId="0" applyFont="1" applyFill="1" applyBorder="1" applyAlignment="1">
      <alignment horizontal="center" vertical="center"/>
    </xf>
    <xf numFmtId="0" fontId="18" fillId="8" borderId="36" xfId="0" applyFont="1" applyFill="1" applyBorder="1" applyAlignment="1">
      <alignment horizontal="center" vertical="center" wrapText="1"/>
    </xf>
    <xf numFmtId="2" fontId="19" fillId="12" borderId="1" xfId="1" applyNumberFormat="1" applyFill="1" applyBorder="1" applyAlignment="1">
      <alignment horizontal="center"/>
    </xf>
    <xf numFmtId="0" fontId="14" fillId="8" borderId="25" xfId="0" applyFont="1" applyFill="1" applyBorder="1" applyAlignment="1">
      <alignment horizontal="center" vertical="center" wrapText="1"/>
    </xf>
    <xf numFmtId="0" fontId="14" fillId="8" borderId="36" xfId="0" applyFont="1" applyFill="1" applyBorder="1" applyAlignment="1">
      <alignment horizontal="center" vertical="center" wrapText="1"/>
    </xf>
    <xf numFmtId="0" fontId="14" fillId="8" borderId="32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4" fillId="2" borderId="48" xfId="0" applyFont="1" applyFill="1" applyBorder="1" applyAlignment="1">
      <alignment horizontal="center"/>
    </xf>
    <xf numFmtId="0" fontId="14" fillId="2" borderId="25" xfId="0" applyFont="1" applyFill="1" applyBorder="1" applyAlignment="1">
      <alignment horizontal="center"/>
    </xf>
    <xf numFmtId="0" fontId="14" fillId="2" borderId="20" xfId="0" applyFont="1" applyFill="1" applyBorder="1" applyAlignment="1">
      <alignment horizontal="center" vertical="center"/>
    </xf>
    <xf numFmtId="0" fontId="14" fillId="2" borderId="36" xfId="0" applyFont="1" applyFill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2" borderId="36" xfId="0" applyFont="1" applyFill="1" applyBorder="1" applyAlignment="1">
      <alignment horizontal="center"/>
    </xf>
    <xf numFmtId="0" fontId="14" fillId="7" borderId="36" xfId="0" applyFont="1" applyFill="1" applyBorder="1" applyAlignment="1">
      <alignment horizontal="center"/>
    </xf>
    <xf numFmtId="164" fontId="14" fillId="2" borderId="36" xfId="0" applyNumberFormat="1" applyFont="1" applyFill="1" applyBorder="1" applyAlignment="1">
      <alignment horizontal="center"/>
    </xf>
    <xf numFmtId="2" fontId="14" fillId="2" borderId="36" xfId="0" applyNumberFormat="1" applyFont="1" applyFill="1" applyBorder="1" applyAlignment="1">
      <alignment horizontal="center"/>
    </xf>
    <xf numFmtId="1" fontId="14" fillId="2" borderId="36" xfId="0" applyNumberFormat="1" applyFont="1" applyFill="1" applyBorder="1" applyAlignment="1">
      <alignment horizontal="center"/>
    </xf>
    <xf numFmtId="164" fontId="14" fillId="2" borderId="36" xfId="0" applyNumberFormat="1" applyFont="1" applyFill="1" applyBorder="1" applyAlignment="1">
      <alignment horizontal="center" vertical="center"/>
    </xf>
    <xf numFmtId="2" fontId="14" fillId="2" borderId="36" xfId="0" applyNumberFormat="1" applyFont="1" applyFill="1" applyBorder="1" applyAlignment="1">
      <alignment horizontal="center" vertical="center"/>
    </xf>
    <xf numFmtId="164" fontId="14" fillId="2" borderId="36" xfId="0" applyNumberFormat="1" applyFont="1" applyFill="1" applyBorder="1"/>
    <xf numFmtId="0" fontId="14" fillId="2" borderId="36" xfId="0" applyFont="1" applyFill="1" applyBorder="1"/>
    <xf numFmtId="0" fontId="0" fillId="0" borderId="36" xfId="0" applyBorder="1"/>
    <xf numFmtId="0" fontId="14" fillId="0" borderId="36" xfId="0" applyFont="1" applyBorder="1" applyAlignment="1">
      <alignment horizontal="center"/>
    </xf>
    <xf numFmtId="0" fontId="14" fillId="13" borderId="36" xfId="0" applyFont="1" applyFill="1" applyBorder="1" applyAlignment="1">
      <alignment horizontal="center"/>
    </xf>
    <xf numFmtId="0" fontId="0" fillId="0" borderId="36" xfId="0" applyBorder="1" applyAlignment="1">
      <alignment horizontal="center"/>
    </xf>
    <xf numFmtId="0" fontId="14" fillId="2" borderId="20" xfId="0" applyFont="1" applyFill="1" applyBorder="1" applyAlignment="1">
      <alignment horizontal="center"/>
    </xf>
    <xf numFmtId="164" fontId="14" fillId="2" borderId="20" xfId="0" applyNumberFormat="1" applyFont="1" applyFill="1" applyBorder="1" applyAlignment="1">
      <alignment horizontal="center"/>
    </xf>
    <xf numFmtId="2" fontId="14" fillId="2" borderId="20" xfId="0" applyNumberFormat="1" applyFont="1" applyFill="1" applyBorder="1" applyAlignment="1">
      <alignment horizontal="center"/>
    </xf>
    <xf numFmtId="0" fontId="14" fillId="10" borderId="20" xfId="0" applyFont="1" applyFill="1" applyBorder="1" applyAlignment="1">
      <alignment horizontal="center"/>
    </xf>
    <xf numFmtId="14" fontId="14" fillId="2" borderId="36" xfId="0" applyNumberFormat="1" applyFont="1" applyFill="1" applyBorder="1" applyAlignment="1">
      <alignment horizontal="center"/>
    </xf>
    <xf numFmtId="0" fontId="14" fillId="11" borderId="36" xfId="0" applyFont="1" applyFill="1" applyBorder="1" applyAlignment="1">
      <alignment horizontal="center" vertical="center" wrapText="1"/>
    </xf>
    <xf numFmtId="0" fontId="13" fillId="2" borderId="36" xfId="0" applyFont="1" applyFill="1" applyBorder="1" applyAlignment="1">
      <alignment horizontal="center" vertical="center"/>
    </xf>
    <xf numFmtId="0" fontId="14" fillId="2" borderId="36" xfId="0" applyFont="1" applyFill="1" applyBorder="1" applyAlignment="1">
      <alignment vertical="center"/>
    </xf>
    <xf numFmtId="2" fontId="17" fillId="2" borderId="36" xfId="0" applyNumberFormat="1" applyFont="1" applyFill="1" applyBorder="1" applyAlignment="1">
      <alignment horizontal="center" vertical="center"/>
    </xf>
    <xf numFmtId="0" fontId="10" fillId="0" borderId="36" xfId="0" applyFont="1" applyBorder="1" applyAlignment="1">
      <alignment horizontal="center"/>
    </xf>
    <xf numFmtId="164" fontId="14" fillId="2" borderId="24" xfId="0" applyNumberFormat="1" applyFont="1" applyFill="1" applyBorder="1" applyAlignment="1">
      <alignment horizontal="center" wrapText="1"/>
    </xf>
    <xf numFmtId="0" fontId="14" fillId="8" borderId="37" xfId="0" applyFont="1" applyFill="1" applyBorder="1"/>
    <xf numFmtId="165" fontId="14" fillId="2" borderId="36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27" fillId="14" borderId="36" xfId="0" applyFont="1" applyFill="1" applyBorder="1" applyAlignment="1">
      <alignment horizontal="center" vertical="center" wrapText="1"/>
    </xf>
    <xf numFmtId="0" fontId="29" fillId="0" borderId="5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0" fontId="31" fillId="0" borderId="36" xfId="0" applyFont="1" applyBorder="1" applyAlignment="1">
      <alignment horizontal="center" vertical="center"/>
    </xf>
    <xf numFmtId="0" fontId="32" fillId="16" borderId="36" xfId="0" applyFont="1" applyFill="1" applyBorder="1" applyAlignment="1">
      <alignment horizontal="center" vertical="center"/>
    </xf>
    <xf numFmtId="0" fontId="32" fillId="16" borderId="36" xfId="0" applyFont="1" applyFill="1" applyBorder="1" applyAlignment="1">
      <alignment horizontal="center" vertical="center" wrapText="1"/>
    </xf>
    <xf numFmtId="2" fontId="32" fillId="16" borderId="36" xfId="0" applyNumberFormat="1" applyFont="1" applyFill="1" applyBorder="1" applyAlignment="1">
      <alignment horizontal="center" vertical="center" wrapText="1"/>
    </xf>
    <xf numFmtId="9" fontId="32" fillId="16" borderId="36" xfId="0" applyNumberFormat="1" applyFont="1" applyFill="1" applyBorder="1" applyAlignment="1">
      <alignment horizontal="center" vertical="center" wrapText="1"/>
    </xf>
    <xf numFmtId="0" fontId="33" fillId="0" borderId="59" xfId="0" applyFont="1" applyBorder="1" applyAlignment="1">
      <alignment horizontal="center" vertical="center"/>
    </xf>
    <xf numFmtId="0" fontId="29" fillId="0" borderId="61" xfId="0" applyFont="1" applyBorder="1" applyAlignment="1">
      <alignment horizontal="center" vertical="center"/>
    </xf>
    <xf numFmtId="0" fontId="30" fillId="0" borderId="62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9" fontId="32" fillId="0" borderId="36" xfId="0" applyNumberFormat="1" applyFont="1" applyBorder="1" applyAlignment="1">
      <alignment horizontal="center" vertical="center"/>
    </xf>
    <xf numFmtId="9" fontId="32" fillId="16" borderId="36" xfId="0" applyNumberFormat="1" applyFont="1" applyFill="1" applyBorder="1" applyAlignment="1">
      <alignment horizontal="center" vertical="center"/>
    </xf>
    <xf numFmtId="0" fontId="34" fillId="0" borderId="36" xfId="0" applyFont="1" applyBorder="1" applyAlignment="1">
      <alignment horizontal="center" vertical="center"/>
    </xf>
    <xf numFmtId="0" fontId="32" fillId="16" borderId="62" xfId="0" applyFont="1" applyFill="1" applyBorder="1" applyAlignment="1">
      <alignment horizontal="center" vertical="center"/>
    </xf>
    <xf numFmtId="0" fontId="32" fillId="0" borderId="62" xfId="0" applyFont="1" applyBorder="1" applyAlignment="1">
      <alignment horizontal="center" vertical="center"/>
    </xf>
    <xf numFmtId="2" fontId="32" fillId="16" borderId="62" xfId="0" applyNumberFormat="1" applyFont="1" applyFill="1" applyBorder="1" applyAlignment="1">
      <alignment horizontal="center" vertical="center" wrapText="1"/>
    </xf>
    <xf numFmtId="9" fontId="32" fillId="0" borderId="62" xfId="0" applyNumberFormat="1" applyFont="1" applyBorder="1" applyAlignment="1">
      <alignment horizontal="center" vertical="center"/>
    </xf>
    <xf numFmtId="0" fontId="33" fillId="0" borderId="65" xfId="0" applyFont="1" applyBorder="1" applyAlignment="1">
      <alignment horizontal="center" vertical="center"/>
    </xf>
    <xf numFmtId="2" fontId="32" fillId="16" borderId="36" xfId="0" applyNumberFormat="1" applyFont="1" applyFill="1" applyBorder="1" applyAlignment="1">
      <alignment horizontal="center" vertical="center"/>
    </xf>
    <xf numFmtId="2" fontId="34" fillId="0" borderId="36" xfId="0" applyNumberFormat="1" applyFont="1" applyBorder="1" applyAlignment="1">
      <alignment horizontal="center" vertical="center"/>
    </xf>
    <xf numFmtId="2" fontId="32" fillId="0" borderId="62" xfId="0" applyNumberFormat="1" applyFont="1" applyBorder="1" applyAlignment="1">
      <alignment horizontal="center" vertical="center"/>
    </xf>
    <xf numFmtId="2" fontId="32" fillId="16" borderId="62" xfId="0" applyNumberFormat="1" applyFont="1" applyFill="1" applyBorder="1" applyAlignment="1">
      <alignment horizontal="center" vertical="center"/>
    </xf>
    <xf numFmtId="0" fontId="35" fillId="0" borderId="0" xfId="0" applyFont="1"/>
    <xf numFmtId="9" fontId="32" fillId="17" borderId="36" xfId="0" applyNumberFormat="1" applyFont="1" applyFill="1" applyBorder="1" applyAlignment="1">
      <alignment horizontal="center" vertical="center" wrapText="1"/>
    </xf>
    <xf numFmtId="0" fontId="0" fillId="0" borderId="59" xfId="0" applyBorder="1"/>
    <xf numFmtId="0" fontId="0" fillId="0" borderId="65" xfId="0" applyBorder="1"/>
    <xf numFmtId="0" fontId="14" fillId="2" borderId="26" xfId="0" applyFont="1" applyFill="1" applyBorder="1" applyAlignment="1">
      <alignment horizontal="center"/>
    </xf>
    <xf numFmtId="0" fontId="14" fillId="17" borderId="36" xfId="0" applyFont="1" applyFill="1" applyBorder="1" applyAlignment="1">
      <alignment horizontal="center" vertical="center"/>
    </xf>
    <xf numFmtId="0" fontId="14" fillId="18" borderId="36" xfId="0" applyFont="1" applyFill="1" applyBorder="1" applyAlignment="1">
      <alignment horizontal="center" vertical="center"/>
    </xf>
    <xf numFmtId="0" fontId="14" fillId="18" borderId="36" xfId="0" applyFont="1" applyFill="1" applyBorder="1" applyAlignment="1">
      <alignment horizontal="center"/>
    </xf>
    <xf numFmtId="0" fontId="9" fillId="17" borderId="36" xfId="0" applyFont="1" applyFill="1" applyBorder="1"/>
    <xf numFmtId="0" fontId="14" fillId="19" borderId="36" xfId="0" applyFont="1" applyFill="1" applyBorder="1" applyAlignment="1">
      <alignment horizontal="center" vertical="center"/>
    </xf>
    <xf numFmtId="0" fontId="14" fillId="20" borderId="36" xfId="0" applyFont="1" applyFill="1" applyBorder="1" applyAlignment="1">
      <alignment horizontal="center"/>
    </xf>
    <xf numFmtId="0" fontId="14" fillId="21" borderId="36" xfId="0" applyFont="1" applyFill="1" applyBorder="1" applyAlignment="1">
      <alignment horizontal="center"/>
    </xf>
    <xf numFmtId="0" fontId="14" fillId="20" borderId="36" xfId="0" applyFont="1" applyFill="1" applyBorder="1" applyAlignment="1">
      <alignment horizontal="center" vertical="center"/>
    </xf>
    <xf numFmtId="0" fontId="34" fillId="0" borderId="62" xfId="0" applyFont="1" applyBorder="1" applyAlignment="1">
      <alignment horizontal="center" vertical="center"/>
    </xf>
    <xf numFmtId="2" fontId="34" fillId="0" borderId="62" xfId="0" applyNumberFormat="1" applyFont="1" applyBorder="1" applyAlignment="1">
      <alignment horizontal="center" vertical="center"/>
    </xf>
    <xf numFmtId="0" fontId="9" fillId="0" borderId="36" xfId="0" applyFont="1" applyBorder="1" applyAlignment="1">
      <alignment horizontal="center"/>
    </xf>
    <xf numFmtId="9" fontId="32" fillId="17" borderId="36" xfId="0" applyNumberFormat="1" applyFont="1" applyFill="1" applyBorder="1" applyAlignment="1">
      <alignment horizontal="center" vertical="center"/>
    </xf>
    <xf numFmtId="9" fontId="32" fillId="6" borderId="36" xfId="0" applyNumberFormat="1" applyFont="1" applyFill="1" applyBorder="1" applyAlignment="1">
      <alignment horizontal="center" vertical="center" wrapText="1"/>
    </xf>
    <xf numFmtId="9" fontId="32" fillId="6" borderId="36" xfId="0" applyNumberFormat="1" applyFont="1" applyFill="1" applyBorder="1" applyAlignment="1">
      <alignment horizontal="center" vertical="center"/>
    </xf>
    <xf numFmtId="9" fontId="32" fillId="6" borderId="62" xfId="0" applyNumberFormat="1" applyFont="1" applyFill="1" applyBorder="1" applyAlignment="1">
      <alignment horizontal="center" vertical="center"/>
    </xf>
    <xf numFmtId="0" fontId="32" fillId="22" borderId="36" xfId="0" applyFont="1" applyFill="1" applyBorder="1" applyAlignment="1">
      <alignment horizontal="center" vertical="center"/>
    </xf>
    <xf numFmtId="0" fontId="35" fillId="22" borderId="0" xfId="0" applyFont="1" applyFill="1"/>
    <xf numFmtId="0" fontId="36" fillId="0" borderId="0" xfId="0" applyFont="1"/>
    <xf numFmtId="2" fontId="34" fillId="0" borderId="0" xfId="0" applyNumberFormat="1" applyFont="1" applyAlignment="1">
      <alignment horizontal="center" vertical="center"/>
    </xf>
    <xf numFmtId="0" fontId="34" fillId="0" borderId="36" xfId="0" applyFont="1" applyBorder="1" applyAlignment="1">
      <alignment horizontal="center"/>
    </xf>
    <xf numFmtId="0" fontId="32" fillId="6" borderId="36" xfId="0" applyFont="1" applyFill="1" applyBorder="1" applyAlignment="1">
      <alignment horizontal="center" vertical="center"/>
    </xf>
    <xf numFmtId="0" fontId="32" fillId="6" borderId="36" xfId="0" applyFont="1" applyFill="1" applyBorder="1" applyAlignment="1">
      <alignment horizontal="center" vertical="center" wrapText="1"/>
    </xf>
    <xf numFmtId="2" fontId="32" fillId="6" borderId="36" xfId="0" applyNumberFormat="1" applyFont="1" applyFill="1" applyBorder="1" applyAlignment="1">
      <alignment horizontal="center" vertical="center"/>
    </xf>
    <xf numFmtId="0" fontId="34" fillId="6" borderId="36" xfId="0" applyFont="1" applyFill="1" applyBorder="1" applyAlignment="1">
      <alignment horizontal="center" vertical="center"/>
    </xf>
    <xf numFmtId="2" fontId="34" fillId="6" borderId="36" xfId="0" applyNumberFormat="1" applyFont="1" applyFill="1" applyBorder="1" applyAlignment="1">
      <alignment horizontal="center" vertical="center"/>
    </xf>
    <xf numFmtId="2" fontId="32" fillId="0" borderId="36" xfId="0" applyNumberFormat="1" applyFont="1" applyBorder="1" applyAlignment="1">
      <alignment horizontal="center" vertical="center"/>
    </xf>
    <xf numFmtId="0" fontId="34" fillId="0" borderId="62" xfId="0" applyFont="1" applyBorder="1" applyAlignment="1">
      <alignment horizontal="center"/>
    </xf>
    <xf numFmtId="2" fontId="34" fillId="0" borderId="78" xfId="0" applyNumberFormat="1" applyFont="1" applyBorder="1" applyAlignment="1">
      <alignment horizontal="center"/>
    </xf>
    <xf numFmtId="0" fontId="35" fillId="0" borderId="0" xfId="0" applyFont="1" applyAlignment="1">
      <alignment horizontal="center"/>
    </xf>
    <xf numFmtId="0" fontId="8" fillId="12" borderId="36" xfId="3" applyFont="1" applyFill="1" applyBorder="1" applyAlignment="1">
      <alignment horizontal="center"/>
    </xf>
    <xf numFmtId="0" fontId="37" fillId="12" borderId="36" xfId="2" applyFont="1" applyFill="1" applyBorder="1" applyAlignment="1">
      <alignment horizontal="center"/>
    </xf>
    <xf numFmtId="0" fontId="7" fillId="0" borderId="0" xfId="0" applyFont="1"/>
    <xf numFmtId="0" fontId="13" fillId="8" borderId="25" xfId="0" applyFont="1" applyFill="1" applyBorder="1" applyAlignment="1">
      <alignment horizontal="center" vertical="center" wrapText="1"/>
    </xf>
    <xf numFmtId="2" fontId="7" fillId="23" borderId="36" xfId="0" applyNumberFormat="1" applyFont="1" applyFill="1" applyBorder="1" applyAlignment="1">
      <alignment horizontal="center"/>
    </xf>
    <xf numFmtId="2" fontId="37" fillId="23" borderId="1" xfId="1" applyNumberFormat="1" applyFont="1" applyFill="1" applyBorder="1" applyAlignment="1">
      <alignment horizontal="center"/>
    </xf>
    <xf numFmtId="2" fontId="37" fillId="23" borderId="25" xfId="1" applyNumberFormat="1" applyFont="1" applyFill="1" applyBorder="1" applyAlignment="1">
      <alignment horizontal="center"/>
    </xf>
    <xf numFmtId="2" fontId="21" fillId="24" borderId="1" xfId="0" applyNumberFormat="1" applyFont="1" applyFill="1" applyBorder="1" applyAlignment="1">
      <alignment horizontal="center"/>
    </xf>
    <xf numFmtId="0" fontId="14" fillId="8" borderId="66" xfId="0" applyFont="1" applyFill="1" applyBorder="1" applyAlignment="1">
      <alignment horizontal="center" vertical="center" wrapText="1"/>
    </xf>
    <xf numFmtId="0" fontId="13" fillId="11" borderId="36" xfId="0" applyFont="1" applyFill="1" applyBorder="1" applyAlignment="1">
      <alignment horizontal="center" vertical="center" wrapText="1"/>
    </xf>
    <xf numFmtId="0" fontId="26" fillId="6" borderId="36" xfId="0" applyFont="1" applyFill="1" applyBorder="1" applyAlignment="1">
      <alignment horizontal="center" vertical="center"/>
    </xf>
    <xf numFmtId="0" fontId="26" fillId="6" borderId="36" xfId="0" applyFont="1" applyFill="1" applyBorder="1" applyAlignment="1">
      <alignment horizontal="center"/>
    </xf>
    <xf numFmtId="0" fontId="0" fillId="6" borderId="36" xfId="0" applyFill="1" applyBorder="1" applyAlignment="1">
      <alignment horizontal="center" vertical="center"/>
    </xf>
    <xf numFmtId="0" fontId="0" fillId="6" borderId="0" xfId="0" applyFill="1"/>
    <xf numFmtId="0" fontId="14" fillId="11" borderId="67" xfId="0" applyFont="1" applyFill="1" applyBorder="1" applyAlignment="1">
      <alignment horizontal="center" vertical="center" wrapText="1"/>
    </xf>
    <xf numFmtId="0" fontId="14" fillId="25" borderId="67" xfId="0" applyFont="1" applyFill="1" applyBorder="1" applyAlignment="1">
      <alignment horizontal="center" vertical="center" wrapText="1"/>
    </xf>
    <xf numFmtId="0" fontId="8" fillId="12" borderId="66" xfId="3" applyFont="1" applyFill="1" applyBorder="1" applyAlignment="1">
      <alignment horizontal="center"/>
    </xf>
    <xf numFmtId="2" fontId="37" fillId="23" borderId="20" xfId="1" applyNumberFormat="1" applyFont="1" applyFill="1" applyBorder="1" applyAlignment="1">
      <alignment horizontal="center" vertical="center"/>
    </xf>
    <xf numFmtId="2" fontId="37" fillId="23" borderId="36" xfId="1" applyNumberFormat="1" applyFont="1" applyFill="1" applyBorder="1" applyAlignment="1">
      <alignment horizontal="center" vertical="center"/>
    </xf>
    <xf numFmtId="2" fontId="37" fillId="23" borderId="36" xfId="1" applyNumberFormat="1" applyFont="1" applyFill="1" applyBorder="1" applyAlignment="1">
      <alignment horizontal="center"/>
    </xf>
    <xf numFmtId="0" fontId="6" fillId="0" borderId="36" xfId="0" applyFont="1" applyBorder="1" applyAlignment="1">
      <alignment horizontal="center"/>
    </xf>
    <xf numFmtId="0" fontId="14" fillId="13" borderId="1" xfId="0" applyFont="1" applyFill="1" applyBorder="1" applyAlignment="1">
      <alignment horizontal="center"/>
    </xf>
    <xf numFmtId="0" fontId="14" fillId="26" borderId="12" xfId="0" applyFont="1" applyFill="1" applyBorder="1"/>
    <xf numFmtId="0" fontId="14" fillId="26" borderId="24" xfId="0" applyFont="1" applyFill="1" applyBorder="1" applyAlignment="1">
      <alignment horizontal="center" vertical="center"/>
    </xf>
    <xf numFmtId="2" fontId="14" fillId="24" borderId="36" xfId="0" applyNumberFormat="1" applyFont="1" applyFill="1" applyBorder="1" applyAlignment="1">
      <alignment horizontal="center"/>
    </xf>
    <xf numFmtId="2" fontId="37" fillId="23" borderId="17" xfId="1" applyNumberFormat="1" applyFont="1" applyFill="1" applyBorder="1" applyAlignment="1">
      <alignment horizontal="center" vertical="center"/>
    </xf>
    <xf numFmtId="0" fontId="38" fillId="27" borderId="36" xfId="4" applyBorder="1" applyAlignment="1">
      <alignment horizontal="center" vertical="center"/>
    </xf>
    <xf numFmtId="0" fontId="0" fillId="30" borderId="36" xfId="0" applyFill="1" applyBorder="1" applyAlignment="1">
      <alignment horizontal="center" vertical="center"/>
    </xf>
    <xf numFmtId="0" fontId="33" fillId="0" borderId="36" xfId="0" applyFont="1" applyBorder="1" applyAlignment="1">
      <alignment horizontal="center" vertical="center"/>
    </xf>
    <xf numFmtId="0" fontId="40" fillId="0" borderId="36" xfId="0" applyFont="1" applyBorder="1" applyAlignment="1">
      <alignment horizontal="center" vertical="center" wrapText="1"/>
    </xf>
    <xf numFmtId="0" fontId="33" fillId="0" borderId="36" xfId="0" applyFont="1" applyBorder="1" applyAlignment="1">
      <alignment horizontal="center" vertical="center" wrapText="1"/>
    </xf>
    <xf numFmtId="0" fontId="15" fillId="9" borderId="48" xfId="0" applyFont="1" applyFill="1" applyBorder="1" applyAlignment="1">
      <alignment horizontal="center" vertical="center" wrapText="1"/>
    </xf>
    <xf numFmtId="0" fontId="32" fillId="17" borderId="36" xfId="0" applyFont="1" applyFill="1" applyBorder="1" applyAlignment="1">
      <alignment horizontal="center" vertical="center" wrapText="1"/>
    </xf>
    <xf numFmtId="2" fontId="34" fillId="17" borderId="36" xfId="0" applyNumberFormat="1" applyFont="1" applyFill="1" applyBorder="1" applyAlignment="1">
      <alignment horizontal="center" vertical="center"/>
    </xf>
    <xf numFmtId="0" fontId="34" fillId="17" borderId="36" xfId="0" applyFont="1" applyFill="1" applyBorder="1" applyAlignment="1">
      <alignment horizontal="center" vertical="center"/>
    </xf>
    <xf numFmtId="0" fontId="37" fillId="6" borderId="36" xfId="0" applyFont="1" applyFill="1" applyBorder="1" applyAlignment="1">
      <alignment horizontal="center" vertical="center" wrapText="1"/>
    </xf>
    <xf numFmtId="0" fontId="0" fillId="6" borderId="39" xfId="0" applyFill="1" applyBorder="1" applyAlignment="1">
      <alignment vertical="center"/>
    </xf>
    <xf numFmtId="0" fontId="0" fillId="6" borderId="38" xfId="0" applyFill="1" applyBorder="1" applyAlignment="1">
      <alignment vertical="center"/>
    </xf>
    <xf numFmtId="0" fontId="33" fillId="0" borderId="58" xfId="0" applyFont="1" applyBorder="1" applyAlignment="1">
      <alignment horizontal="center" vertical="center"/>
    </xf>
    <xf numFmtId="0" fontId="19" fillId="3" borderId="59" xfId="5" applyBorder="1">
      <alignment horizontal="center" vertical="center"/>
    </xf>
    <xf numFmtId="0" fontId="40" fillId="0" borderId="62" xfId="0" applyFont="1" applyBorder="1" applyAlignment="1">
      <alignment horizontal="center" vertical="center" wrapText="1"/>
    </xf>
    <xf numFmtId="0" fontId="19" fillId="3" borderId="58" xfId="5" applyBorder="1">
      <alignment horizontal="center" vertical="center"/>
    </xf>
    <xf numFmtId="0" fontId="0" fillId="0" borderId="59" xfId="0" applyBorder="1" applyAlignment="1">
      <alignment horizontal="center" vertical="center"/>
    </xf>
    <xf numFmtId="0" fontId="37" fillId="6" borderId="61" xfId="5" applyFont="1" applyFill="1" applyBorder="1">
      <alignment horizontal="center" vertical="center"/>
    </xf>
    <xf numFmtId="0" fontId="37" fillId="6" borderId="62" xfId="4" applyFont="1" applyFill="1" applyBorder="1" applyAlignment="1">
      <alignment horizontal="center" vertical="center"/>
    </xf>
    <xf numFmtId="0" fontId="37" fillId="6" borderId="62" xfId="0" applyFont="1" applyFill="1" applyBorder="1" applyAlignment="1">
      <alignment horizontal="center" vertical="center"/>
    </xf>
    <xf numFmtId="0" fontId="37" fillId="0" borderId="62" xfId="0" applyFont="1" applyBorder="1" applyAlignment="1">
      <alignment horizontal="center" vertical="center" wrapText="1"/>
    </xf>
    <xf numFmtId="0" fontId="37" fillId="0" borderId="65" xfId="0" applyFont="1" applyBorder="1" applyAlignment="1">
      <alignment horizontal="center" vertical="center" wrapText="1"/>
    </xf>
    <xf numFmtId="0" fontId="15" fillId="9" borderId="18" xfId="0" applyFont="1" applyFill="1" applyBorder="1"/>
    <xf numFmtId="2" fontId="41" fillId="31" borderId="1" xfId="1" applyNumberFormat="1" applyFont="1" applyFill="1" applyBorder="1" applyAlignment="1">
      <alignment horizontal="center"/>
    </xf>
    <xf numFmtId="165" fontId="21" fillId="24" borderId="1" xfId="0" applyNumberFormat="1" applyFont="1" applyFill="1" applyBorder="1" applyAlignment="1">
      <alignment horizontal="center"/>
    </xf>
    <xf numFmtId="2" fontId="34" fillId="0" borderId="0" xfId="0" applyNumberFormat="1" applyFont="1" applyAlignment="1">
      <alignment horizontal="center"/>
    </xf>
    <xf numFmtId="0" fontId="32" fillId="16" borderId="67" xfId="0" applyFont="1" applyFill="1" applyBorder="1" applyAlignment="1">
      <alignment horizontal="center" vertical="center" wrapText="1"/>
    </xf>
    <xf numFmtId="0" fontId="14" fillId="18" borderId="24" xfId="0" applyFont="1" applyFill="1" applyBorder="1" applyAlignment="1">
      <alignment horizontal="center" vertical="center"/>
    </xf>
    <xf numFmtId="2" fontId="19" fillId="12" borderId="16" xfId="1" applyNumberFormat="1" applyFill="1" applyBorder="1" applyAlignment="1">
      <alignment horizontal="center"/>
    </xf>
    <xf numFmtId="14" fontId="14" fillId="2" borderId="34" xfId="0" applyNumberFormat="1" applyFont="1" applyFill="1" applyBorder="1" applyAlignment="1">
      <alignment horizontal="center"/>
    </xf>
    <xf numFmtId="2" fontId="21" fillId="24" borderId="16" xfId="0" applyNumberFormat="1" applyFont="1" applyFill="1" applyBorder="1" applyAlignment="1">
      <alignment horizontal="center"/>
    </xf>
    <xf numFmtId="2" fontId="37" fillId="23" borderId="16" xfId="1" applyNumberFormat="1" applyFont="1" applyFill="1" applyBorder="1" applyAlignment="1">
      <alignment horizontal="center"/>
    </xf>
    <xf numFmtId="14" fontId="14" fillId="2" borderId="36" xfId="0" applyNumberFormat="1" applyFont="1" applyFill="1" applyBorder="1"/>
    <xf numFmtId="0" fontId="0" fillId="6" borderId="36" xfId="0" applyFill="1" applyBorder="1" applyAlignment="1">
      <alignment horizontal="center"/>
    </xf>
    <xf numFmtId="2" fontId="14" fillId="24" borderId="1" xfId="0" applyNumberFormat="1" applyFont="1" applyFill="1" applyBorder="1" applyAlignment="1">
      <alignment horizontal="center"/>
    </xf>
    <xf numFmtId="0" fontId="5" fillId="0" borderId="0" xfId="0" applyFont="1"/>
    <xf numFmtId="0" fontId="5" fillId="6" borderId="36" xfId="0" applyFont="1" applyFill="1" applyBorder="1" applyAlignment="1">
      <alignment horizontal="center"/>
    </xf>
    <xf numFmtId="0" fontId="7" fillId="34" borderId="0" xfId="0" applyFont="1" applyFill="1"/>
    <xf numFmtId="0" fontId="14" fillId="32" borderId="36" xfId="0" applyFont="1" applyFill="1" applyBorder="1" applyAlignment="1">
      <alignment horizontal="center" vertical="center"/>
    </xf>
    <xf numFmtId="14" fontId="14" fillId="32" borderId="34" xfId="0" applyNumberFormat="1" applyFont="1" applyFill="1" applyBorder="1" applyAlignment="1">
      <alignment horizontal="center"/>
    </xf>
    <xf numFmtId="0" fontId="37" fillId="33" borderId="36" xfId="2" applyFont="1" applyFill="1" applyBorder="1" applyAlignment="1">
      <alignment horizontal="center"/>
    </xf>
    <xf numFmtId="2" fontId="4" fillId="35" borderId="1" xfId="1" applyNumberFormat="1" applyFont="1" applyFill="1" applyBorder="1" applyAlignment="1">
      <alignment horizontal="center"/>
    </xf>
    <xf numFmtId="2" fontId="19" fillId="12" borderId="20" xfId="1" applyNumberFormat="1" applyFill="1" applyBorder="1" applyAlignment="1">
      <alignment horizontal="center"/>
    </xf>
    <xf numFmtId="2" fontId="19" fillId="12" borderId="24" xfId="1" applyNumberFormat="1" applyFill="1" applyBorder="1" applyAlignment="1">
      <alignment horizontal="center"/>
    </xf>
    <xf numFmtId="2" fontId="4" fillId="23" borderId="1" xfId="1" applyNumberFormat="1" applyFont="1" applyFill="1" applyBorder="1" applyAlignment="1">
      <alignment horizontal="center"/>
    </xf>
    <xf numFmtId="0" fontId="44" fillId="8" borderId="39" xfId="0" applyFont="1" applyFill="1" applyBorder="1"/>
    <xf numFmtId="0" fontId="44" fillId="8" borderId="1" xfId="0" applyFont="1" applyFill="1" applyBorder="1"/>
    <xf numFmtId="0" fontId="44" fillId="0" borderId="0" xfId="0" applyFont="1"/>
    <xf numFmtId="0" fontId="44" fillId="2" borderId="12" xfId="0" applyFont="1" applyFill="1" applyBorder="1"/>
    <xf numFmtId="0" fontId="44" fillId="8" borderId="13" xfId="0" applyFont="1" applyFill="1" applyBorder="1"/>
    <xf numFmtId="0" fontId="44" fillId="0" borderId="0" xfId="0" applyFont="1" applyAlignment="1">
      <alignment horizontal="center"/>
    </xf>
    <xf numFmtId="0" fontId="44" fillId="8" borderId="48" xfId="0" applyFont="1" applyFill="1" applyBorder="1"/>
    <xf numFmtId="0" fontId="44" fillId="8" borderId="16" xfId="0" applyFont="1" applyFill="1" applyBorder="1"/>
    <xf numFmtId="0" fontId="47" fillId="2" borderId="24" xfId="0" applyFont="1" applyFill="1" applyBorder="1" applyAlignment="1">
      <alignment horizontal="center" wrapText="1"/>
    </xf>
    <xf numFmtId="0" fontId="14" fillId="13" borderId="24" xfId="0" applyFont="1" applyFill="1" applyBorder="1" applyAlignment="1">
      <alignment horizontal="center" vertical="center"/>
    </xf>
    <xf numFmtId="0" fontId="19" fillId="3" borderId="70" xfId="5" applyBorder="1">
      <alignment horizontal="center" vertical="center"/>
    </xf>
    <xf numFmtId="0" fontId="37" fillId="0" borderId="65" xfId="0" applyFont="1" applyBorder="1" applyAlignment="1">
      <alignment horizontal="center" vertical="center"/>
    </xf>
    <xf numFmtId="0" fontId="3" fillId="0" borderId="0" xfId="0" applyFont="1"/>
    <xf numFmtId="0" fontId="48" fillId="0" borderId="0" xfId="0" applyFont="1"/>
    <xf numFmtId="0" fontId="2" fillId="6" borderId="36" xfId="0" applyFont="1" applyFill="1" applyBorder="1" applyAlignment="1">
      <alignment horizontal="center"/>
    </xf>
    <xf numFmtId="0" fontId="18" fillId="8" borderId="38" xfId="0" applyFont="1" applyFill="1" applyBorder="1" applyAlignment="1">
      <alignment horizontal="center" vertical="center" wrapText="1"/>
    </xf>
    <xf numFmtId="0" fontId="32" fillId="0" borderId="67" xfId="0" applyFont="1" applyBorder="1" applyAlignment="1">
      <alignment horizontal="center" vertical="center"/>
    </xf>
    <xf numFmtId="2" fontId="32" fillId="16" borderId="67" xfId="0" applyNumberFormat="1" applyFont="1" applyFill="1" applyBorder="1" applyAlignment="1">
      <alignment horizontal="center" vertical="center"/>
    </xf>
    <xf numFmtId="0" fontId="34" fillId="0" borderId="67" xfId="0" applyFont="1" applyBorder="1" applyAlignment="1">
      <alignment horizontal="center" vertical="center"/>
    </xf>
    <xf numFmtId="2" fontId="34" fillId="0" borderId="67" xfId="0" applyNumberFormat="1" applyFont="1" applyBorder="1" applyAlignment="1">
      <alignment horizontal="center" vertical="center"/>
    </xf>
    <xf numFmtId="2" fontId="34" fillId="0" borderId="38" xfId="0" applyNumberFormat="1" applyFont="1" applyBorder="1" applyAlignment="1">
      <alignment horizontal="center"/>
    </xf>
    <xf numFmtId="0" fontId="33" fillId="6" borderId="64" xfId="0" applyFont="1" applyFill="1" applyBorder="1" applyAlignment="1">
      <alignment horizontal="center" vertical="center"/>
    </xf>
    <xf numFmtId="0" fontId="40" fillId="6" borderId="81" xfId="0" applyFont="1" applyFill="1" applyBorder="1" applyAlignment="1">
      <alignment horizontal="center" vertical="center" wrapText="1"/>
    </xf>
    <xf numFmtId="0" fontId="40" fillId="0" borderId="81" xfId="0" applyFont="1" applyBorder="1" applyAlignment="1">
      <alignment horizontal="center" vertical="center" wrapText="1"/>
    </xf>
    <xf numFmtId="0" fontId="33" fillId="6" borderId="55" xfId="0" applyFont="1" applyFill="1" applyBorder="1" applyAlignment="1">
      <alignment horizontal="center" vertical="center"/>
    </xf>
    <xf numFmtId="0" fontId="33" fillId="6" borderId="56" xfId="0" applyFont="1" applyFill="1" applyBorder="1" applyAlignment="1">
      <alignment horizontal="center" vertical="center"/>
    </xf>
    <xf numFmtId="0" fontId="40" fillId="6" borderId="56" xfId="0" applyFont="1" applyFill="1" applyBorder="1" applyAlignment="1">
      <alignment horizontal="center" vertical="center" wrapText="1"/>
    </xf>
    <xf numFmtId="0" fontId="33" fillId="0" borderId="61" xfId="0" applyFont="1" applyBorder="1" applyAlignment="1">
      <alignment horizontal="center" vertical="center"/>
    </xf>
    <xf numFmtId="0" fontId="33" fillId="0" borderId="62" xfId="0" applyFont="1" applyBorder="1" applyAlignment="1">
      <alignment horizontal="center" vertical="center" wrapText="1"/>
    </xf>
    <xf numFmtId="0" fontId="19" fillId="3" borderId="65" xfId="5" applyBorder="1">
      <alignment horizontal="center" vertical="center"/>
    </xf>
    <xf numFmtId="0" fontId="0" fillId="29" borderId="73" xfId="0" applyFill="1" applyBorder="1" applyAlignment="1">
      <alignment vertical="center"/>
    </xf>
    <xf numFmtId="0" fontId="0" fillId="29" borderId="74" xfId="0" applyFill="1" applyBorder="1" applyAlignment="1">
      <alignment vertical="center"/>
    </xf>
    <xf numFmtId="0" fontId="0" fillId="0" borderId="38" xfId="0" applyBorder="1" applyAlignment="1">
      <alignment horizontal="center" vertical="center"/>
    </xf>
    <xf numFmtId="0" fontId="37" fillId="0" borderId="78" xfId="0" applyFont="1" applyBorder="1" applyAlignment="1">
      <alignment horizontal="center" vertical="center" wrapText="1"/>
    </xf>
    <xf numFmtId="0" fontId="0" fillId="0" borderId="37" xfId="0" quotePrefix="1" applyBorder="1" applyAlignment="1">
      <alignment horizontal="center"/>
    </xf>
    <xf numFmtId="0" fontId="14" fillId="8" borderId="27" xfId="0" applyFont="1" applyFill="1" applyBorder="1" applyAlignment="1">
      <alignment horizontal="center" vertical="center" wrapText="1"/>
    </xf>
    <xf numFmtId="0" fontId="14" fillId="36" borderId="36" xfId="0" applyFont="1" applyFill="1" applyBorder="1" applyAlignment="1">
      <alignment horizontal="center" vertical="center" wrapText="1"/>
    </xf>
    <xf numFmtId="164" fontId="14" fillId="24" borderId="36" xfId="0" applyNumberFormat="1" applyFont="1" applyFill="1" applyBorder="1" applyAlignment="1">
      <alignment horizontal="center" vertical="center"/>
    </xf>
    <xf numFmtId="2" fontId="14" fillId="36" borderId="36" xfId="0" applyNumberFormat="1" applyFont="1" applyFill="1" applyBorder="1" applyAlignment="1">
      <alignment horizontal="center" vertical="center" wrapText="1"/>
    </xf>
    <xf numFmtId="2" fontId="41" fillId="12" borderId="16" xfId="1" applyNumberFormat="1" applyFont="1" applyFill="1" applyBorder="1" applyAlignment="1">
      <alignment horizontal="center"/>
    </xf>
    <xf numFmtId="2" fontId="52" fillId="6" borderId="1" xfId="1" applyNumberFormat="1" applyFont="1" applyFill="1" applyBorder="1" applyAlignment="1">
      <alignment horizontal="center"/>
    </xf>
    <xf numFmtId="2" fontId="52" fillId="12" borderId="1" xfId="1" applyNumberFormat="1" applyFont="1" applyFill="1" applyBorder="1" applyAlignment="1">
      <alignment horizontal="center"/>
    </xf>
    <xf numFmtId="0" fontId="32" fillId="16" borderId="62" xfId="0" applyFont="1" applyFill="1" applyBorder="1" applyAlignment="1">
      <alignment horizontal="center" vertical="center" wrapText="1"/>
    </xf>
    <xf numFmtId="2" fontId="1" fillId="23" borderId="1" xfId="1" applyNumberFormat="1" applyFont="1" applyFill="1" applyBorder="1" applyAlignment="1">
      <alignment horizontal="center"/>
    </xf>
    <xf numFmtId="2" fontId="32" fillId="0" borderId="67" xfId="0" applyNumberFormat="1" applyFont="1" applyBorder="1" applyAlignment="1">
      <alignment horizontal="center" vertical="center"/>
    </xf>
    <xf numFmtId="0" fontId="14" fillId="13" borderId="36" xfId="0" applyFont="1" applyFill="1" applyBorder="1" applyAlignment="1">
      <alignment horizontal="center" vertical="center"/>
    </xf>
    <xf numFmtId="0" fontId="14" fillId="38" borderId="1" xfId="0" applyFont="1" applyFill="1" applyBorder="1" applyAlignment="1">
      <alignment horizontal="center"/>
    </xf>
    <xf numFmtId="0" fontId="14" fillId="38" borderId="36" xfId="0" applyFont="1" applyFill="1" applyBorder="1" applyAlignment="1">
      <alignment horizontal="center"/>
    </xf>
    <xf numFmtId="0" fontId="27" fillId="0" borderId="60" xfId="0" applyFont="1" applyBorder="1" applyAlignment="1">
      <alignment horizontal="center" vertical="center"/>
    </xf>
    <xf numFmtId="0" fontId="27" fillId="0" borderId="63" xfId="0" applyFont="1" applyBorder="1" applyAlignment="1">
      <alignment horizontal="center" vertical="center"/>
    </xf>
    <xf numFmtId="0" fontId="27" fillId="0" borderId="64" xfId="0" applyFont="1" applyBorder="1" applyAlignment="1">
      <alignment horizontal="center" vertical="center"/>
    </xf>
    <xf numFmtId="0" fontId="27" fillId="14" borderId="72" xfId="0" applyFont="1" applyFill="1" applyBorder="1" applyAlignment="1">
      <alignment horizontal="center" vertical="center" wrapText="1"/>
    </xf>
    <xf numFmtId="0" fontId="27" fillId="14" borderId="73" xfId="0" applyFont="1" applyFill="1" applyBorder="1" applyAlignment="1">
      <alignment horizontal="center" vertical="center" wrapText="1"/>
    </xf>
    <xf numFmtId="0" fontId="27" fillId="14" borderId="74" xfId="0" applyFont="1" applyFill="1" applyBorder="1" applyAlignment="1">
      <alignment horizontal="center" vertical="center" wrapText="1"/>
    </xf>
    <xf numFmtId="0" fontId="27" fillId="14" borderId="60" xfId="0" applyFont="1" applyFill="1" applyBorder="1" applyAlignment="1">
      <alignment horizontal="center" vertical="center" wrapText="1"/>
    </xf>
    <xf numFmtId="0" fontId="27" fillId="14" borderId="63" xfId="0" applyFont="1" applyFill="1" applyBorder="1" applyAlignment="1">
      <alignment horizontal="center" vertical="center" wrapText="1"/>
    </xf>
    <xf numFmtId="0" fontId="27" fillId="14" borderId="71" xfId="0" applyFont="1" applyFill="1" applyBorder="1" applyAlignment="1">
      <alignment horizontal="center" vertical="center" wrapText="1"/>
    </xf>
    <xf numFmtId="0" fontId="27" fillId="14" borderId="37" xfId="0" applyFont="1" applyFill="1" applyBorder="1" applyAlignment="1">
      <alignment horizontal="center" vertical="center" wrapText="1"/>
    </xf>
    <xf numFmtId="0" fontId="27" fillId="14" borderId="39" xfId="0" applyFont="1" applyFill="1" applyBorder="1" applyAlignment="1">
      <alignment horizontal="center" vertical="center" wrapText="1"/>
    </xf>
    <xf numFmtId="0" fontId="27" fillId="14" borderId="38" xfId="0" applyFont="1" applyFill="1" applyBorder="1" applyAlignment="1">
      <alignment horizontal="center" vertical="center" wrapText="1"/>
    </xf>
    <xf numFmtId="0" fontId="27" fillId="15" borderId="37" xfId="0" applyFont="1" applyFill="1" applyBorder="1" applyAlignment="1">
      <alignment horizontal="center" vertical="center" wrapText="1"/>
    </xf>
    <xf numFmtId="0" fontId="27" fillId="15" borderId="39" xfId="0" applyFont="1" applyFill="1" applyBorder="1" applyAlignment="1">
      <alignment horizontal="center" vertical="center" wrapText="1"/>
    </xf>
    <xf numFmtId="0" fontId="27" fillId="15" borderId="38" xfId="0" applyFont="1" applyFill="1" applyBorder="1" applyAlignment="1">
      <alignment horizontal="center" vertical="center" wrapText="1"/>
    </xf>
    <xf numFmtId="0" fontId="27" fillId="15" borderId="68" xfId="0" applyFont="1" applyFill="1" applyBorder="1" applyAlignment="1">
      <alignment horizontal="center" vertical="center" wrapText="1"/>
    </xf>
    <xf numFmtId="0" fontId="27" fillId="15" borderId="69" xfId="0" applyFont="1" applyFill="1" applyBorder="1" applyAlignment="1">
      <alignment horizontal="center" vertical="center" wrapText="1"/>
    </xf>
    <xf numFmtId="0" fontId="27" fillId="15" borderId="70" xfId="0" applyFont="1" applyFill="1" applyBorder="1" applyAlignment="1">
      <alignment horizontal="center" vertical="center" wrapText="1"/>
    </xf>
    <xf numFmtId="0" fontId="27" fillId="14" borderId="66" xfId="0" applyFont="1" applyFill="1" applyBorder="1" applyAlignment="1">
      <alignment horizontal="center" vertical="center" wrapText="1"/>
    </xf>
    <xf numFmtId="0" fontId="27" fillId="14" borderId="67" xfId="0" applyFont="1" applyFill="1" applyBorder="1" applyAlignment="1">
      <alignment horizontal="center" vertical="center" wrapText="1"/>
    </xf>
    <xf numFmtId="0" fontId="27" fillId="15" borderId="66" xfId="0" applyFont="1" applyFill="1" applyBorder="1" applyAlignment="1">
      <alignment horizontal="center" vertical="center" wrapText="1"/>
    </xf>
    <xf numFmtId="0" fontId="27" fillId="15" borderId="67" xfId="0" applyFont="1" applyFill="1" applyBorder="1" applyAlignment="1">
      <alignment horizontal="center" vertical="center" wrapText="1"/>
    </xf>
    <xf numFmtId="0" fontId="28" fillId="14" borderId="55" xfId="0" applyFont="1" applyFill="1" applyBorder="1" applyAlignment="1">
      <alignment horizontal="center" vertical="center"/>
    </xf>
    <xf numFmtId="0" fontId="28" fillId="14" borderId="56" xfId="0" applyFont="1" applyFill="1" applyBorder="1" applyAlignment="1">
      <alignment horizontal="center" vertical="center"/>
    </xf>
    <xf numFmtId="0" fontId="28" fillId="14" borderId="57" xfId="0" applyFont="1" applyFill="1" applyBorder="1" applyAlignment="1">
      <alignment horizontal="center" vertical="center"/>
    </xf>
    <xf numFmtId="0" fontId="30" fillId="0" borderId="75" xfId="0" applyFont="1" applyBorder="1" applyAlignment="1">
      <alignment horizontal="left" vertical="center"/>
    </xf>
    <xf numFmtId="0" fontId="30" fillId="0" borderId="41" xfId="0" applyFont="1" applyBorder="1" applyAlignment="1">
      <alignment horizontal="left" vertical="center"/>
    </xf>
    <xf numFmtId="0" fontId="30" fillId="0" borderId="43" xfId="0" applyFont="1" applyBorder="1" applyAlignment="1">
      <alignment horizontal="left" vertical="center"/>
    </xf>
    <xf numFmtId="0" fontId="30" fillId="0" borderId="76" xfId="0" applyFont="1" applyBorder="1" applyAlignment="1">
      <alignment horizontal="left" vertical="center"/>
    </xf>
    <xf numFmtId="0" fontId="30" fillId="0" borderId="77" xfId="0" applyFont="1" applyBorder="1" applyAlignment="1">
      <alignment horizontal="left" vertical="center"/>
    </xf>
    <xf numFmtId="0" fontId="30" fillId="0" borderId="78" xfId="0" applyFont="1" applyBorder="1" applyAlignment="1">
      <alignment horizontal="left" vertical="center"/>
    </xf>
    <xf numFmtId="0" fontId="27" fillId="15" borderId="36" xfId="0" applyFont="1" applyFill="1" applyBorder="1" applyAlignment="1">
      <alignment horizontal="center" vertical="center" wrapText="1"/>
    </xf>
    <xf numFmtId="0" fontId="27" fillId="14" borderId="55" xfId="0" applyFont="1" applyFill="1" applyBorder="1" applyAlignment="1">
      <alignment horizontal="center" vertical="center" wrapText="1"/>
    </xf>
    <xf numFmtId="0" fontId="27" fillId="14" borderId="56" xfId="0" applyFont="1" applyFill="1" applyBorder="1" applyAlignment="1">
      <alignment horizontal="center" vertical="center" wrapText="1"/>
    </xf>
    <xf numFmtId="0" fontId="27" fillId="14" borderId="57" xfId="0" applyFont="1" applyFill="1" applyBorder="1" applyAlignment="1">
      <alignment horizontal="center" vertical="center" wrapText="1"/>
    </xf>
    <xf numFmtId="0" fontId="27" fillId="14" borderId="58" xfId="0" applyFont="1" applyFill="1" applyBorder="1" applyAlignment="1">
      <alignment horizontal="center" vertical="center" wrapText="1"/>
    </xf>
    <xf numFmtId="0" fontId="27" fillId="14" borderId="36" xfId="0" applyFont="1" applyFill="1" applyBorder="1" applyAlignment="1">
      <alignment horizontal="center" vertical="center" wrapText="1"/>
    </xf>
    <xf numFmtId="0" fontId="27" fillId="15" borderId="59" xfId="0" applyFont="1" applyFill="1" applyBorder="1" applyAlignment="1">
      <alignment horizontal="center" vertical="center" wrapText="1"/>
    </xf>
    <xf numFmtId="0" fontId="31" fillId="0" borderId="36" xfId="0" applyFont="1" applyBorder="1" applyAlignment="1">
      <alignment horizontal="center" vertical="center"/>
    </xf>
    <xf numFmtId="0" fontId="31" fillId="0" borderId="62" xfId="0" applyFont="1" applyBorder="1" applyAlignment="1">
      <alignment horizontal="center" vertical="center"/>
    </xf>
    <xf numFmtId="0" fontId="44" fillId="0" borderId="2" xfId="0" applyFont="1" applyBorder="1" applyAlignment="1">
      <alignment horizontal="center"/>
    </xf>
    <xf numFmtId="0" fontId="45" fillId="0" borderId="4" xfId="0" applyFont="1" applyBorder="1"/>
    <xf numFmtId="0" fontId="45" fillId="0" borderId="3" xfId="0" applyFont="1" applyBorder="1"/>
    <xf numFmtId="11" fontId="44" fillId="0" borderId="5" xfId="0" applyNumberFormat="1" applyFont="1" applyBorder="1" applyAlignment="1">
      <alignment horizontal="center"/>
    </xf>
    <xf numFmtId="0" fontId="45" fillId="0" borderId="6" xfId="0" applyFont="1" applyBorder="1"/>
    <xf numFmtId="0" fontId="45" fillId="0" borderId="7" xfId="0" applyFont="1" applyBorder="1"/>
    <xf numFmtId="0" fontId="44" fillId="0" borderId="5" xfId="0" applyFont="1" applyBorder="1" applyAlignment="1">
      <alignment horizontal="center"/>
    </xf>
    <xf numFmtId="0" fontId="44" fillId="2" borderId="14" xfId="0" applyFont="1" applyFill="1" applyBorder="1" applyAlignment="1">
      <alignment horizontal="center"/>
    </xf>
    <xf numFmtId="0" fontId="45" fillId="0" borderId="15" xfId="0" applyFont="1" applyBorder="1"/>
    <xf numFmtId="11" fontId="46" fillId="2" borderId="2" xfId="0" applyNumberFormat="1" applyFont="1" applyFill="1" applyBorder="1" applyAlignment="1">
      <alignment horizontal="center"/>
    </xf>
    <xf numFmtId="16" fontId="44" fillId="0" borderId="2" xfId="0" applyNumberFormat="1" applyFont="1" applyBorder="1" applyAlignment="1">
      <alignment horizontal="center"/>
    </xf>
    <xf numFmtId="0" fontId="44" fillId="0" borderId="25" xfId="0" applyFont="1" applyBorder="1" applyAlignment="1">
      <alignment horizontal="center"/>
    </xf>
    <xf numFmtId="0" fontId="44" fillId="0" borderId="34" xfId="0" applyFont="1" applyBorder="1" applyAlignment="1">
      <alignment horizontal="center"/>
    </xf>
    <xf numFmtId="0" fontId="44" fillId="0" borderId="16" xfId="0" applyFont="1" applyBorder="1" applyAlignment="1">
      <alignment horizontal="center"/>
    </xf>
    <xf numFmtId="0" fontId="44" fillId="8" borderId="35" xfId="0" applyFont="1" applyFill="1" applyBorder="1" applyAlignment="1">
      <alignment horizontal="center" vertical="center"/>
    </xf>
    <xf numFmtId="0" fontId="45" fillId="9" borderId="26" xfId="0" applyFont="1" applyFill="1" applyBorder="1"/>
    <xf numFmtId="0" fontId="45" fillId="9" borderId="27" xfId="0" applyFont="1" applyFill="1" applyBorder="1"/>
    <xf numFmtId="0" fontId="45" fillId="9" borderId="8" xfId="0" applyFont="1" applyFill="1" applyBorder="1"/>
    <xf numFmtId="0" fontId="45" fillId="9" borderId="9" xfId="0" applyFont="1" applyFill="1" applyBorder="1"/>
    <xf numFmtId="0" fontId="45" fillId="9" borderId="10" xfId="0" applyFont="1" applyFill="1" applyBorder="1"/>
    <xf numFmtId="0" fontId="44" fillId="8" borderId="2" xfId="0" applyFont="1" applyFill="1" applyBorder="1" applyAlignment="1">
      <alignment horizontal="center"/>
    </xf>
    <xf numFmtId="0" fontId="45" fillId="9" borderId="4" xfId="0" applyFont="1" applyFill="1" applyBorder="1"/>
    <xf numFmtId="0" fontId="44" fillId="8" borderId="29" xfId="0" applyFont="1" applyFill="1" applyBorder="1" applyAlignment="1">
      <alignment horizontal="center"/>
    </xf>
    <xf numFmtId="0" fontId="45" fillId="9" borderId="30" xfId="0" applyFont="1" applyFill="1" applyBorder="1"/>
    <xf numFmtId="0" fontId="44" fillId="8" borderId="39" xfId="0" applyFont="1" applyFill="1" applyBorder="1" applyAlignment="1">
      <alignment horizontal="center"/>
    </xf>
    <xf numFmtId="0" fontId="44" fillId="8" borderId="38" xfId="0" applyFont="1" applyFill="1" applyBorder="1" applyAlignment="1">
      <alignment horizontal="center"/>
    </xf>
    <xf numFmtId="0" fontId="45" fillId="9" borderId="11" xfId="0" applyFont="1" applyFill="1" applyBorder="1"/>
    <xf numFmtId="0" fontId="44" fillId="8" borderId="36" xfId="0" applyFont="1" applyFill="1" applyBorder="1" applyAlignment="1">
      <alignment horizontal="center"/>
    </xf>
    <xf numFmtId="0" fontId="44" fillId="8" borderId="45" xfId="0" applyFont="1" applyFill="1" applyBorder="1" applyAlignment="1">
      <alignment horizontal="center"/>
    </xf>
    <xf numFmtId="0" fontId="23" fillId="9" borderId="47" xfId="0" applyFont="1" applyFill="1" applyBorder="1" applyAlignment="1">
      <alignment horizontal="center" vertical="center"/>
    </xf>
    <xf numFmtId="0" fontId="23" fillId="9" borderId="34" xfId="0" applyFont="1" applyFill="1" applyBorder="1" applyAlignment="1">
      <alignment horizontal="center" vertical="center"/>
    </xf>
    <xf numFmtId="0" fontId="23" fillId="9" borderId="16" xfId="0" applyFont="1" applyFill="1" applyBorder="1" applyAlignment="1">
      <alignment horizontal="center" vertical="center"/>
    </xf>
    <xf numFmtId="0" fontId="14" fillId="8" borderId="20" xfId="0" applyFont="1" applyFill="1" applyBorder="1" applyAlignment="1">
      <alignment horizontal="center" vertical="center" wrapText="1"/>
    </xf>
    <xf numFmtId="0" fontId="15" fillId="9" borderId="21" xfId="0" applyFont="1" applyFill="1" applyBorder="1"/>
    <xf numFmtId="0" fontId="14" fillId="8" borderId="2" xfId="0" applyFont="1" applyFill="1" applyBorder="1" applyAlignment="1">
      <alignment horizontal="center" vertical="center" wrapText="1"/>
    </xf>
    <xf numFmtId="0" fontId="15" fillId="9" borderId="4" xfId="0" applyFont="1" applyFill="1" applyBorder="1"/>
    <xf numFmtId="0" fontId="15" fillId="9" borderId="3" xfId="0" applyFont="1" applyFill="1" applyBorder="1"/>
    <xf numFmtId="0" fontId="14" fillId="8" borderId="24" xfId="0" applyFont="1" applyFill="1" applyBorder="1" applyAlignment="1">
      <alignment horizontal="center" vertical="center" wrapText="1"/>
    </xf>
    <xf numFmtId="0" fontId="14" fillId="8" borderId="20" xfId="0" applyFont="1" applyFill="1" applyBorder="1" applyAlignment="1">
      <alignment horizontal="center" vertical="center"/>
    </xf>
    <xf numFmtId="0" fontId="14" fillId="8" borderId="42" xfId="0" applyFont="1" applyFill="1" applyBorder="1" applyAlignment="1">
      <alignment horizontal="center" vertical="center" wrapText="1"/>
    </xf>
    <xf numFmtId="0" fontId="14" fillId="8" borderId="51" xfId="0" applyFont="1" applyFill="1" applyBorder="1" applyAlignment="1">
      <alignment horizontal="center" vertical="center" wrapText="1"/>
    </xf>
    <xf numFmtId="0" fontId="14" fillId="8" borderId="40" xfId="0" applyFont="1" applyFill="1" applyBorder="1" applyAlignment="1">
      <alignment horizontal="center" vertical="center" wrapText="1"/>
    </xf>
    <xf numFmtId="0" fontId="14" fillId="8" borderId="44" xfId="0" applyFont="1" applyFill="1" applyBorder="1" applyAlignment="1">
      <alignment horizontal="center" wrapText="1"/>
    </xf>
    <xf numFmtId="0" fontId="15" fillId="9" borderId="46" xfId="0" applyFont="1" applyFill="1" applyBorder="1"/>
    <xf numFmtId="0" fontId="14" fillId="8" borderId="50" xfId="0" applyFont="1" applyFill="1" applyBorder="1" applyAlignment="1">
      <alignment horizontal="center" vertical="center"/>
    </xf>
    <xf numFmtId="0" fontId="15" fillId="9" borderId="52" xfId="0" applyFont="1" applyFill="1" applyBorder="1"/>
    <xf numFmtId="0" fontId="14" fillId="8" borderId="49" xfId="0" applyFont="1" applyFill="1" applyBorder="1" applyAlignment="1">
      <alignment horizontal="center" vertical="center" wrapText="1"/>
    </xf>
    <xf numFmtId="0" fontId="15" fillId="9" borderId="24" xfId="0" applyFont="1" applyFill="1" applyBorder="1"/>
    <xf numFmtId="0" fontId="14" fillId="8" borderId="49" xfId="0" applyFont="1" applyFill="1" applyBorder="1" applyAlignment="1">
      <alignment horizontal="center" vertical="center"/>
    </xf>
    <xf numFmtId="0" fontId="14" fillId="8" borderId="49" xfId="0" applyFont="1" applyFill="1" applyBorder="1" applyAlignment="1">
      <alignment horizontal="center" wrapText="1"/>
    </xf>
    <xf numFmtId="0" fontId="15" fillId="9" borderId="24" xfId="0" applyFont="1" applyFill="1" applyBorder="1" applyAlignment="1">
      <alignment vertical="center"/>
    </xf>
    <xf numFmtId="0" fontId="14" fillId="8" borderId="49" xfId="0" applyFont="1" applyFill="1" applyBorder="1" applyAlignment="1">
      <alignment horizontal="center" vertical="top" wrapText="1"/>
    </xf>
    <xf numFmtId="0" fontId="15" fillId="9" borderId="24" xfId="0" applyFont="1" applyFill="1" applyBorder="1" applyAlignment="1">
      <alignment horizontal="center"/>
    </xf>
    <xf numFmtId="0" fontId="14" fillId="8" borderId="20" xfId="0" applyFont="1" applyFill="1" applyBorder="1" applyAlignment="1">
      <alignment horizontal="center" wrapText="1"/>
    </xf>
    <xf numFmtId="0" fontId="15" fillId="0" borderId="33" xfId="0" applyFont="1" applyBorder="1"/>
    <xf numFmtId="0" fontId="16" fillId="8" borderId="34" xfId="0" applyFont="1" applyFill="1" applyBorder="1" applyAlignment="1">
      <alignment horizontal="center" vertical="center"/>
    </xf>
    <xf numFmtId="0" fontId="16" fillId="8" borderId="16" xfId="0" applyFont="1" applyFill="1" applyBorder="1" applyAlignment="1">
      <alignment horizontal="center" vertical="center"/>
    </xf>
    <xf numFmtId="0" fontId="15" fillId="9" borderId="32" xfId="0" applyFont="1" applyFill="1" applyBorder="1"/>
    <xf numFmtId="0" fontId="14" fillId="8" borderId="29" xfId="0" applyFont="1" applyFill="1" applyBorder="1" applyAlignment="1">
      <alignment horizontal="center" vertical="center" wrapText="1"/>
    </xf>
    <xf numFmtId="0" fontId="15" fillId="9" borderId="30" xfId="0" applyFont="1" applyFill="1" applyBorder="1"/>
    <xf numFmtId="0" fontId="15" fillId="9" borderId="30" xfId="0" applyFont="1" applyFill="1" applyBorder="1" applyAlignment="1">
      <alignment horizontal="center"/>
    </xf>
    <xf numFmtId="0" fontId="15" fillId="9" borderId="32" xfId="0" applyFont="1" applyFill="1" applyBorder="1" applyAlignment="1">
      <alignment horizontal="center"/>
    </xf>
    <xf numFmtId="0" fontId="15" fillId="9" borderId="28" xfId="0" applyFont="1" applyFill="1" applyBorder="1"/>
    <xf numFmtId="0" fontId="15" fillId="9" borderId="31" xfId="0" applyFont="1" applyFill="1" applyBorder="1"/>
    <xf numFmtId="0" fontId="14" fillId="8" borderId="5" xfId="0" applyFont="1" applyFill="1" applyBorder="1" applyAlignment="1">
      <alignment horizontal="center" vertical="center" wrapText="1"/>
    </xf>
    <xf numFmtId="0" fontId="15" fillId="9" borderId="7" xfId="0" applyFont="1" applyFill="1" applyBorder="1"/>
    <xf numFmtId="0" fontId="15" fillId="9" borderId="8" xfId="0" applyFont="1" applyFill="1" applyBorder="1"/>
    <xf numFmtId="0" fontId="15" fillId="9" borderId="10" xfId="0" applyFont="1" applyFill="1" applyBorder="1"/>
    <xf numFmtId="0" fontId="16" fillId="8" borderId="2" xfId="0" applyFont="1" applyFill="1" applyBorder="1" applyAlignment="1">
      <alignment horizontal="center" vertical="center" wrapText="1"/>
    </xf>
    <xf numFmtId="0" fontId="14" fillId="8" borderId="17" xfId="0" applyFont="1" applyFill="1" applyBorder="1" applyAlignment="1">
      <alignment horizontal="center" vertical="center" wrapText="1"/>
    </xf>
    <xf numFmtId="0" fontId="15" fillId="9" borderId="18" xfId="0" applyFont="1" applyFill="1" applyBorder="1"/>
    <xf numFmtId="0" fontId="15" fillId="9" borderId="19" xfId="0" applyFont="1" applyFill="1" applyBorder="1"/>
    <xf numFmtId="0" fontId="14" fillId="8" borderId="2" xfId="0" applyFont="1" applyFill="1" applyBorder="1" applyAlignment="1">
      <alignment horizontal="center" wrapText="1"/>
    </xf>
    <xf numFmtId="0" fontId="18" fillId="8" borderId="39" xfId="0" applyFont="1" applyFill="1" applyBorder="1" applyAlignment="1">
      <alignment horizontal="center" vertical="center" wrapText="1"/>
    </xf>
    <xf numFmtId="0" fontId="18" fillId="8" borderId="38" xfId="0" applyFont="1" applyFill="1" applyBorder="1" applyAlignment="1">
      <alignment horizontal="center" vertical="center" wrapText="1"/>
    </xf>
    <xf numFmtId="0" fontId="14" fillId="8" borderId="44" xfId="0" applyFont="1" applyFill="1" applyBorder="1" applyAlignment="1">
      <alignment horizontal="center" vertical="center" wrapText="1"/>
    </xf>
    <xf numFmtId="0" fontId="21" fillId="8" borderId="45" xfId="0" applyFont="1" applyFill="1" applyBorder="1" applyAlignment="1">
      <alignment horizontal="center" vertical="center" wrapText="1"/>
    </xf>
    <xf numFmtId="0" fontId="21" fillId="8" borderId="46" xfId="0" applyFont="1" applyFill="1" applyBorder="1" applyAlignment="1">
      <alignment horizontal="center" vertical="center" wrapText="1"/>
    </xf>
    <xf numFmtId="0" fontId="14" fillId="8" borderId="32" xfId="0" applyFont="1" applyFill="1" applyBorder="1" applyAlignment="1">
      <alignment horizontal="center" vertical="center" wrapText="1"/>
    </xf>
    <xf numFmtId="0" fontId="18" fillId="8" borderId="36" xfId="0" applyFont="1" applyFill="1" applyBorder="1" applyAlignment="1">
      <alignment horizontal="center" vertical="center" wrapText="1"/>
    </xf>
    <xf numFmtId="0" fontId="18" fillId="8" borderId="37" xfId="0" applyFont="1" applyFill="1" applyBorder="1" applyAlignment="1">
      <alignment horizontal="center" vertical="center" wrapText="1"/>
    </xf>
    <xf numFmtId="0" fontId="14" fillId="8" borderId="35" xfId="0" applyFont="1" applyFill="1" applyBorder="1" applyAlignment="1">
      <alignment horizontal="center" vertical="center" wrapText="1"/>
    </xf>
    <xf numFmtId="0" fontId="15" fillId="9" borderId="26" xfId="0" applyFont="1" applyFill="1" applyBorder="1" applyAlignment="1">
      <alignment horizontal="center"/>
    </xf>
    <xf numFmtId="0" fontId="15" fillId="9" borderId="8" xfId="0" applyFont="1" applyFill="1" applyBorder="1" applyAlignment="1">
      <alignment horizontal="center"/>
    </xf>
    <xf numFmtId="0" fontId="15" fillId="9" borderId="9" xfId="0" applyFont="1" applyFill="1" applyBorder="1" applyAlignment="1">
      <alignment horizontal="center"/>
    </xf>
    <xf numFmtId="0" fontId="15" fillId="9" borderId="33" xfId="0" applyFont="1" applyFill="1" applyBorder="1" applyAlignment="1">
      <alignment horizontal="center"/>
    </xf>
    <xf numFmtId="0" fontId="15" fillId="9" borderId="27" xfId="0" applyFont="1" applyFill="1" applyBorder="1"/>
    <xf numFmtId="0" fontId="14" fillId="8" borderId="18" xfId="0" applyFont="1" applyFill="1" applyBorder="1" applyAlignment="1">
      <alignment horizontal="center" vertical="center" wrapText="1"/>
    </xf>
    <xf numFmtId="0" fontId="14" fillId="8" borderId="23" xfId="0" applyFont="1" applyFill="1" applyBorder="1" applyAlignment="1">
      <alignment horizontal="center" vertical="center" wrapText="1"/>
    </xf>
    <xf numFmtId="0" fontId="14" fillId="8" borderId="25" xfId="0" applyFont="1" applyFill="1" applyBorder="1" applyAlignment="1">
      <alignment horizontal="center" vertical="center" wrapText="1"/>
    </xf>
    <xf numFmtId="0" fontId="14" fillId="8" borderId="34" xfId="0" applyFont="1" applyFill="1" applyBorder="1" applyAlignment="1">
      <alignment horizontal="center" vertical="center" wrapText="1"/>
    </xf>
    <xf numFmtId="0" fontId="14" fillId="8" borderId="16" xfId="0" applyFont="1" applyFill="1" applyBorder="1" applyAlignment="1">
      <alignment horizontal="center" vertical="center" wrapText="1"/>
    </xf>
    <xf numFmtId="0" fontId="14" fillId="8" borderId="43" xfId="0" applyFont="1" applyFill="1" applyBorder="1" applyAlignment="1">
      <alignment horizontal="center" vertical="center" wrapText="1"/>
    </xf>
    <xf numFmtId="0" fontId="14" fillId="8" borderId="79" xfId="0" applyFont="1" applyFill="1" applyBorder="1" applyAlignment="1">
      <alignment horizontal="center" vertical="center" wrapText="1"/>
    </xf>
    <xf numFmtId="0" fontId="14" fillId="8" borderId="45" xfId="0" applyFont="1" applyFill="1" applyBorder="1" applyAlignment="1">
      <alignment horizontal="center" vertical="center" wrapText="1"/>
    </xf>
    <xf numFmtId="0" fontId="14" fillId="8" borderId="46" xfId="0" applyFont="1" applyFill="1" applyBorder="1" applyAlignment="1">
      <alignment horizontal="center" vertical="center" wrapText="1"/>
    </xf>
    <xf numFmtId="0" fontId="15" fillId="9" borderId="21" xfId="0" applyFont="1" applyFill="1" applyBorder="1" applyAlignment="1">
      <alignment vertical="center"/>
    </xf>
    <xf numFmtId="0" fontId="22" fillId="8" borderId="37" xfId="0" applyFont="1" applyFill="1" applyBorder="1" applyAlignment="1">
      <alignment horizontal="center" vertical="center" wrapText="1"/>
    </xf>
    <xf numFmtId="0" fontId="22" fillId="8" borderId="39" xfId="0" applyFont="1" applyFill="1" applyBorder="1" applyAlignment="1">
      <alignment horizontal="center" vertical="center" wrapText="1"/>
    </xf>
    <xf numFmtId="0" fontId="22" fillId="8" borderId="38" xfId="0" applyFont="1" applyFill="1" applyBorder="1" applyAlignment="1">
      <alignment horizontal="center" vertical="center" wrapText="1"/>
    </xf>
    <xf numFmtId="0" fontId="14" fillId="8" borderId="36" xfId="0" applyFont="1" applyFill="1" applyBorder="1" applyAlignment="1">
      <alignment horizontal="center" vertical="center" wrapText="1"/>
    </xf>
    <xf numFmtId="0" fontId="14" fillId="8" borderId="27" xfId="0" applyFont="1" applyFill="1" applyBorder="1" applyAlignment="1">
      <alignment horizontal="center" vertical="center" wrapText="1"/>
    </xf>
    <xf numFmtId="0" fontId="15" fillId="9" borderId="33" xfId="0" applyFont="1" applyFill="1" applyBorder="1"/>
    <xf numFmtId="0" fontId="37" fillId="37" borderId="66" xfId="2" applyFont="1" applyFill="1" applyBorder="1" applyAlignment="1">
      <alignment horizontal="center" vertical="center"/>
    </xf>
    <xf numFmtId="0" fontId="37" fillId="37" borderId="67" xfId="2" applyFont="1" applyFill="1" applyBorder="1" applyAlignment="1">
      <alignment horizontal="center" vertical="center"/>
    </xf>
    <xf numFmtId="0" fontId="0" fillId="37" borderId="85" xfId="0" quotePrefix="1" applyFill="1" applyBorder="1" applyAlignment="1">
      <alignment horizontal="center" vertical="center"/>
    </xf>
    <xf numFmtId="0" fontId="0" fillId="37" borderId="67" xfId="0" quotePrefix="1" applyFill="1" applyBorder="1" applyAlignment="1">
      <alignment horizontal="center" vertical="center"/>
    </xf>
    <xf numFmtId="0" fontId="14" fillId="8" borderId="84" xfId="0" applyFont="1" applyFill="1" applyBorder="1" applyAlignment="1">
      <alignment horizontal="center" vertical="center" wrapText="1"/>
    </xf>
    <xf numFmtId="0" fontId="14" fillId="8" borderId="83" xfId="0" applyFont="1" applyFill="1" applyBorder="1" applyAlignment="1">
      <alignment horizontal="center" vertical="center" wrapText="1"/>
    </xf>
    <xf numFmtId="0" fontId="0" fillId="9" borderId="36" xfId="0" applyFill="1" applyBorder="1" applyAlignment="1">
      <alignment horizontal="center" vertical="center"/>
    </xf>
    <xf numFmtId="0" fontId="13" fillId="9" borderId="36" xfId="0" applyFont="1" applyFill="1" applyBorder="1" applyAlignment="1">
      <alignment horizontal="center" vertical="center"/>
    </xf>
    <xf numFmtId="0" fontId="13" fillId="8" borderId="36" xfId="0" applyFont="1" applyFill="1" applyBorder="1" applyAlignment="1">
      <alignment horizontal="center" vertical="center" wrapText="1"/>
    </xf>
    <xf numFmtId="0" fontId="26" fillId="9" borderId="36" xfId="0" applyFont="1" applyFill="1" applyBorder="1"/>
    <xf numFmtId="0" fontId="26" fillId="9" borderId="36" xfId="0" applyFont="1" applyFill="1" applyBorder="1" applyAlignment="1">
      <alignment horizontal="center" vertical="center"/>
    </xf>
    <xf numFmtId="0" fontId="26" fillId="9" borderId="36" xfId="0" applyFont="1" applyFill="1" applyBorder="1" applyAlignment="1">
      <alignment horizontal="center"/>
    </xf>
    <xf numFmtId="0" fontId="13" fillId="10" borderId="36" xfId="0" applyFont="1" applyFill="1" applyBorder="1" applyAlignment="1">
      <alignment horizontal="center" vertical="center"/>
    </xf>
    <xf numFmtId="0" fontId="13" fillId="8" borderId="66" xfId="0" applyFont="1" applyFill="1" applyBorder="1" applyAlignment="1">
      <alignment horizontal="center" vertical="center" wrapText="1"/>
    </xf>
    <xf numFmtId="0" fontId="13" fillId="8" borderId="80" xfId="0" applyFont="1" applyFill="1" applyBorder="1" applyAlignment="1">
      <alignment horizontal="center" vertical="center" wrapText="1"/>
    </xf>
    <xf numFmtId="0" fontId="13" fillId="8" borderId="67" xfId="0" applyFont="1" applyFill="1" applyBorder="1" applyAlignment="1">
      <alignment horizontal="center" vertical="center" wrapText="1"/>
    </xf>
    <xf numFmtId="0" fontId="0" fillId="29" borderId="72" xfId="0" applyFill="1" applyBorder="1" applyAlignment="1">
      <alignment horizontal="center" vertical="center"/>
    </xf>
    <xf numFmtId="0" fontId="0" fillId="29" borderId="73" xfId="0" applyFill="1" applyBorder="1" applyAlignment="1">
      <alignment horizontal="center" vertical="center"/>
    </xf>
    <xf numFmtId="0" fontId="0" fillId="29" borderId="74" xfId="0" applyFill="1" applyBorder="1" applyAlignment="1">
      <alignment horizontal="center" vertical="center"/>
    </xf>
    <xf numFmtId="0" fontId="39" fillId="29" borderId="68" xfId="0" applyFont="1" applyFill="1" applyBorder="1" applyAlignment="1">
      <alignment horizontal="center" vertical="center"/>
    </xf>
    <xf numFmtId="0" fontId="39" fillId="29" borderId="82" xfId="0" applyFont="1" applyFill="1" applyBorder="1" applyAlignment="1">
      <alignment horizontal="center" vertical="center"/>
    </xf>
    <xf numFmtId="0" fontId="35" fillId="28" borderId="55" xfId="0" applyFont="1" applyFill="1" applyBorder="1" applyAlignment="1">
      <alignment horizontal="center" vertical="center"/>
    </xf>
    <xf numFmtId="0" fontId="35" fillId="28" borderId="56" xfId="0" applyFont="1" applyFill="1" applyBorder="1" applyAlignment="1">
      <alignment horizontal="center" vertical="center"/>
    </xf>
    <xf numFmtId="0" fontId="35" fillId="28" borderId="57" xfId="0" applyFont="1" applyFill="1" applyBorder="1" applyAlignment="1">
      <alignment horizontal="center" vertical="center"/>
    </xf>
    <xf numFmtId="0" fontId="39" fillId="29" borderId="60" xfId="0" applyFont="1" applyFill="1" applyBorder="1" applyAlignment="1">
      <alignment horizontal="center" vertical="center"/>
    </xf>
    <xf numFmtId="0" fontId="39" fillId="29" borderId="64" xfId="0" applyFont="1" applyFill="1" applyBorder="1" applyAlignment="1">
      <alignment horizontal="center" vertical="center"/>
    </xf>
    <xf numFmtId="0" fontId="39" fillId="29" borderId="66" xfId="0" applyFont="1" applyFill="1" applyBorder="1" applyAlignment="1">
      <alignment horizontal="center" vertical="center" wrapText="1"/>
    </xf>
    <xf numFmtId="0" fontId="39" fillId="29" borderId="81" xfId="0" applyFont="1" applyFill="1" applyBorder="1" applyAlignment="1">
      <alignment horizontal="center" vertical="center" wrapText="1"/>
    </xf>
    <xf numFmtId="0" fontId="39" fillId="29" borderId="66" xfId="0" applyFont="1" applyFill="1" applyBorder="1" applyAlignment="1">
      <alignment horizontal="center" vertical="center"/>
    </xf>
    <xf numFmtId="0" fontId="39" fillId="29" borderId="81" xfId="0" applyFont="1" applyFill="1" applyBorder="1" applyAlignment="1">
      <alignment horizontal="center" vertical="center"/>
    </xf>
  </cellXfs>
  <cellStyles count="6">
    <cellStyle name="20% - Ênfase3" xfId="3" builtinId="38"/>
    <cellStyle name="AP" xfId="5" xr:uid="{00000000-0005-0000-0000-000001000000}"/>
    <cellStyle name="Bom" xfId="1" builtinId="26"/>
    <cellStyle name="Neutro" xfId="2" builtinId="28"/>
    <cellStyle name="Normal" xfId="0" builtinId="0"/>
    <cellStyle name="Ruim" xfId="4" builtinId="27"/>
  </cellStyles>
  <dxfs count="88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Z998"/>
  <sheetViews>
    <sheetView showGridLines="0" workbookViewId="0">
      <selection activeCell="B24" sqref="B24"/>
    </sheetView>
  </sheetViews>
  <sheetFormatPr defaultColWidth="14.44140625" defaultRowHeight="15" customHeight="1" x14ac:dyDescent="0.3"/>
  <cols>
    <col min="1" max="1" width="3.88671875" customWidth="1"/>
    <col min="2" max="2" width="12.5546875" customWidth="1"/>
    <col min="3" max="3" width="8.5546875" customWidth="1"/>
    <col min="4" max="4" width="16.6640625" customWidth="1"/>
    <col min="5" max="6" width="8.5546875" customWidth="1"/>
    <col min="7" max="7" width="8.33203125" customWidth="1"/>
    <col min="8" max="8" width="8.5546875" customWidth="1"/>
    <col min="9" max="9" width="11.33203125" customWidth="1"/>
    <col min="10" max="10" width="0.6640625" customWidth="1"/>
    <col min="11" max="11" width="8" customWidth="1"/>
    <col min="12" max="12" width="8.44140625" customWidth="1"/>
    <col min="13" max="13" width="5.44140625" customWidth="1"/>
    <col min="14" max="14" width="3.44140625" customWidth="1"/>
    <col min="15" max="15" width="8.5546875" customWidth="1"/>
    <col min="16" max="16" width="5.44140625" customWidth="1"/>
    <col min="17" max="17" width="8" customWidth="1"/>
    <col min="18" max="18" width="6.88671875" customWidth="1"/>
    <col min="19" max="19" width="8.5546875" customWidth="1"/>
    <col min="20" max="20" width="8" customWidth="1"/>
    <col min="21" max="21" width="7" customWidth="1"/>
    <col min="22" max="22" width="1.5546875" customWidth="1"/>
    <col min="23" max="23" width="10.33203125" customWidth="1"/>
  </cols>
  <sheetData>
    <row r="2" spans="2:26" ht="14.4" x14ac:dyDescent="0.3">
      <c r="B2" s="84" t="s">
        <v>0</v>
      </c>
      <c r="C2" s="217"/>
      <c r="D2" s="217"/>
      <c r="E2" s="217"/>
      <c r="F2" s="217"/>
      <c r="G2" s="329" t="s">
        <v>0</v>
      </c>
      <c r="H2" s="329"/>
      <c r="I2" s="329"/>
      <c r="J2" s="329"/>
      <c r="K2" s="329"/>
      <c r="L2" s="329"/>
      <c r="M2" s="329"/>
      <c r="N2" s="329"/>
      <c r="O2" s="329"/>
      <c r="P2" s="329"/>
      <c r="Q2" s="329"/>
      <c r="R2" s="329"/>
      <c r="S2" s="329"/>
      <c r="T2" s="329"/>
      <c r="U2" s="329"/>
      <c r="V2" s="329"/>
      <c r="W2" s="329"/>
      <c r="X2" s="329"/>
      <c r="Y2" s="330"/>
    </row>
    <row r="3" spans="2:26" ht="14.4" x14ac:dyDescent="0.3">
      <c r="B3" s="36" t="s">
        <v>73</v>
      </c>
      <c r="C3" s="332" t="s">
        <v>74</v>
      </c>
      <c r="D3" s="332"/>
      <c r="E3" s="333" t="s">
        <v>1</v>
      </c>
      <c r="F3" s="333"/>
      <c r="G3" s="319" t="s">
        <v>2</v>
      </c>
      <c r="H3" s="320"/>
      <c r="I3" s="320"/>
      <c r="J3" s="321"/>
      <c r="K3" s="319" t="s">
        <v>3</v>
      </c>
      <c r="L3" s="320"/>
      <c r="M3" s="320"/>
      <c r="N3" s="321"/>
      <c r="O3" s="319" t="s">
        <v>128</v>
      </c>
      <c r="P3" s="320"/>
      <c r="Q3" s="320"/>
      <c r="R3" s="321"/>
      <c r="S3" s="319" t="s">
        <v>68</v>
      </c>
      <c r="T3" s="320"/>
      <c r="U3" s="320"/>
      <c r="V3" s="320"/>
      <c r="W3" s="319" t="s">
        <v>70</v>
      </c>
      <c r="X3" s="320"/>
      <c r="Y3" s="321"/>
    </row>
    <row r="4" spans="2:26" ht="14.4" x14ac:dyDescent="0.3">
      <c r="B4" s="37"/>
      <c r="C4" s="327" t="s">
        <v>4</v>
      </c>
      <c r="D4" s="328"/>
      <c r="E4" s="325" t="s">
        <v>5</v>
      </c>
      <c r="F4" s="326"/>
      <c r="G4" s="322"/>
      <c r="H4" s="323"/>
      <c r="I4" s="323"/>
      <c r="J4" s="324"/>
      <c r="K4" s="322"/>
      <c r="L4" s="323"/>
      <c r="M4" s="323"/>
      <c r="N4" s="324"/>
      <c r="O4" s="322"/>
      <c r="P4" s="323"/>
      <c r="Q4" s="323"/>
      <c r="R4" s="324"/>
      <c r="S4" s="322"/>
      <c r="T4" s="323"/>
      <c r="U4" s="323"/>
      <c r="V4" s="331"/>
      <c r="W4" s="322"/>
      <c r="X4" s="323"/>
      <c r="Y4" s="324"/>
    </row>
    <row r="5" spans="2:26" ht="14.4" x14ac:dyDescent="0.3">
      <c r="B5" s="38" t="s">
        <v>6</v>
      </c>
      <c r="C5" s="305" t="s">
        <v>72</v>
      </c>
      <c r="D5" s="306"/>
      <c r="E5" s="305" t="s">
        <v>75</v>
      </c>
      <c r="F5" s="306"/>
      <c r="G5" s="218" t="s">
        <v>7</v>
      </c>
      <c r="H5" s="315" t="s">
        <v>64</v>
      </c>
      <c r="I5" s="307"/>
      <c r="J5" s="306"/>
      <c r="K5" s="218" t="s">
        <v>7</v>
      </c>
      <c r="L5" s="316" t="s">
        <v>66</v>
      </c>
      <c r="M5" s="317"/>
      <c r="N5" s="318"/>
      <c r="O5" s="218" t="s">
        <v>7</v>
      </c>
      <c r="P5" s="316" t="s">
        <v>66</v>
      </c>
      <c r="Q5" s="317"/>
      <c r="R5" s="318"/>
      <c r="S5" s="218" t="s">
        <v>7</v>
      </c>
      <c r="T5" s="316" t="s">
        <v>66</v>
      </c>
      <c r="U5" s="317"/>
      <c r="V5" s="318"/>
      <c r="W5" s="218" t="s">
        <v>7</v>
      </c>
      <c r="X5" s="305" t="s">
        <v>66</v>
      </c>
      <c r="Y5" s="306"/>
    </row>
    <row r="6" spans="2:26" ht="14.4" x14ac:dyDescent="0.3">
      <c r="B6" s="38" t="s">
        <v>8</v>
      </c>
      <c r="C6" s="305" t="s">
        <v>126</v>
      </c>
      <c r="D6" s="306"/>
      <c r="E6" s="305">
        <v>725316</v>
      </c>
      <c r="F6" s="306"/>
      <c r="G6" s="218" t="s">
        <v>6</v>
      </c>
      <c r="H6" s="305" t="s">
        <v>65</v>
      </c>
      <c r="I6" s="307"/>
      <c r="J6" s="306"/>
      <c r="K6" s="218" t="s">
        <v>6</v>
      </c>
      <c r="L6" s="305" t="s">
        <v>67</v>
      </c>
      <c r="M6" s="307"/>
      <c r="N6" s="306"/>
      <c r="O6" s="218" t="s">
        <v>6</v>
      </c>
      <c r="P6" s="305" t="s">
        <v>129</v>
      </c>
      <c r="Q6" s="307"/>
      <c r="R6" s="306"/>
      <c r="S6" s="218" t="s">
        <v>6</v>
      </c>
      <c r="T6" s="305" t="s">
        <v>69</v>
      </c>
      <c r="U6" s="307"/>
      <c r="V6" s="307"/>
      <c r="W6" s="218" t="s">
        <v>6</v>
      </c>
      <c r="X6" s="305" t="s">
        <v>71</v>
      </c>
      <c r="Y6" s="306"/>
      <c r="Z6" s="2"/>
    </row>
    <row r="7" spans="2:26" ht="14.4" x14ac:dyDescent="0.3">
      <c r="C7" s="219"/>
      <c r="D7" s="219"/>
      <c r="E7" s="220"/>
      <c r="F7" s="220"/>
      <c r="G7" s="218" t="s">
        <v>8</v>
      </c>
      <c r="H7" s="308" t="s">
        <v>127</v>
      </c>
      <c r="I7" s="309"/>
      <c r="J7" s="310"/>
      <c r="K7" s="221" t="s">
        <v>8</v>
      </c>
      <c r="L7" s="311">
        <v>225876</v>
      </c>
      <c r="M7" s="309"/>
      <c r="N7" s="310"/>
      <c r="O7" s="221" t="s">
        <v>8</v>
      </c>
      <c r="P7" s="311" t="s">
        <v>130</v>
      </c>
      <c r="Q7" s="309"/>
      <c r="R7" s="310"/>
      <c r="S7" s="218" t="s">
        <v>8</v>
      </c>
      <c r="T7" s="305">
        <v>63250612</v>
      </c>
      <c r="U7" s="307"/>
      <c r="V7" s="307"/>
      <c r="W7" s="218" t="s">
        <v>8</v>
      </c>
      <c r="X7" s="305" t="s">
        <v>131</v>
      </c>
      <c r="Y7" s="306"/>
      <c r="Z7" s="2"/>
    </row>
    <row r="8" spans="2:26" ht="14.4" x14ac:dyDescent="0.3">
      <c r="B8" s="2"/>
      <c r="C8" s="222"/>
      <c r="D8" s="222"/>
      <c r="E8" s="312"/>
      <c r="F8" s="313"/>
      <c r="G8" s="223" t="s">
        <v>8</v>
      </c>
      <c r="H8" s="314"/>
      <c r="I8" s="307"/>
      <c r="J8" s="306"/>
      <c r="K8" s="218" t="s">
        <v>8</v>
      </c>
      <c r="L8" s="305"/>
      <c r="M8" s="307"/>
      <c r="N8" s="306"/>
      <c r="O8" s="218" t="s">
        <v>8</v>
      </c>
      <c r="P8" s="305"/>
      <c r="Q8" s="307"/>
      <c r="R8" s="306"/>
      <c r="S8" s="224" t="s">
        <v>8</v>
      </c>
      <c r="T8" s="305"/>
      <c r="U8" s="307"/>
      <c r="V8" s="307"/>
      <c r="W8" s="218" t="s">
        <v>8</v>
      </c>
      <c r="X8" s="305"/>
      <c r="Y8" s="306"/>
      <c r="Z8" s="2"/>
    </row>
    <row r="9" spans="2:26" ht="15.75" customHeight="1" x14ac:dyDescent="0.3"/>
    <row r="10" spans="2:26" ht="15.75" customHeight="1" x14ac:dyDescent="0.3"/>
    <row r="11" spans="2:26" ht="15.75" customHeight="1" x14ac:dyDescent="0.3"/>
    <row r="12" spans="2:26" ht="15.75" customHeight="1" x14ac:dyDescent="0.3"/>
    <row r="13" spans="2:26" ht="15.75" customHeight="1" x14ac:dyDescent="0.3"/>
    <row r="14" spans="2:26" ht="15.75" customHeight="1" x14ac:dyDescent="0.3"/>
    <row r="15" spans="2:26" ht="15.75" customHeight="1" x14ac:dyDescent="0.3"/>
    <row r="16" spans="2:26" ht="15.75" customHeight="1" x14ac:dyDescent="0.3"/>
    <row r="17" ht="15.75" customHeight="1" x14ac:dyDescent="0.3"/>
    <row r="18" ht="15.75" customHeight="1" x14ac:dyDescent="0.3"/>
    <row r="19" ht="15.75" customHeight="1" x14ac:dyDescent="0.3"/>
    <row r="20" ht="15.75" customHeight="1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</sheetData>
  <mergeCells count="35">
    <mergeCell ref="W3:Y4"/>
    <mergeCell ref="E4:F4"/>
    <mergeCell ref="C4:D4"/>
    <mergeCell ref="O3:R4"/>
    <mergeCell ref="G2:Y2"/>
    <mergeCell ref="G3:J4"/>
    <mergeCell ref="K3:N4"/>
    <mergeCell ref="S3:V4"/>
    <mergeCell ref="C3:D3"/>
    <mergeCell ref="E3:F3"/>
    <mergeCell ref="C5:D5"/>
    <mergeCell ref="E5:F5"/>
    <mergeCell ref="H5:J5"/>
    <mergeCell ref="L5:N5"/>
    <mergeCell ref="T5:V5"/>
    <mergeCell ref="P5:R5"/>
    <mergeCell ref="X5:Y5"/>
    <mergeCell ref="T8:V8"/>
    <mergeCell ref="X8:Y8"/>
    <mergeCell ref="E6:F6"/>
    <mergeCell ref="E8:F8"/>
    <mergeCell ref="H8:J8"/>
    <mergeCell ref="L8:N8"/>
    <mergeCell ref="P6:R6"/>
    <mergeCell ref="P7:R7"/>
    <mergeCell ref="P8:R8"/>
    <mergeCell ref="C6:D6"/>
    <mergeCell ref="H6:J6"/>
    <mergeCell ref="L6:N6"/>
    <mergeCell ref="X6:Y6"/>
    <mergeCell ref="H7:J7"/>
    <mergeCell ref="L7:N7"/>
    <mergeCell ref="X7:Y7"/>
    <mergeCell ref="T6:V6"/>
    <mergeCell ref="T7:V7"/>
  </mergeCells>
  <pageMargins left="0.511811024" right="0.511811024" top="0.78740157499999996" bottom="0.78740157499999996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Q1000"/>
  <sheetViews>
    <sheetView showGridLines="0" zoomScale="85" zoomScaleNormal="85" workbookViewId="0">
      <pane xSplit="1" ySplit="5" topLeftCell="C6" activePane="bottomRight" state="frozen"/>
      <selection pane="topRight" activeCell="B1" sqref="B1"/>
      <selection pane="bottomLeft" activeCell="A6" sqref="A6"/>
      <selection pane="bottomRight" activeCell="C12" sqref="C12"/>
    </sheetView>
  </sheetViews>
  <sheetFormatPr defaultColWidth="14.44140625" defaultRowHeight="15" customHeight="1" x14ac:dyDescent="0.3"/>
  <cols>
    <col min="1" max="1" width="3.44140625" customWidth="1"/>
    <col min="2" max="2" width="4.44140625" customWidth="1"/>
    <col min="3" max="3" width="12.109375" style="54" customWidth="1"/>
    <col min="4" max="4" width="12.109375" customWidth="1"/>
    <col min="5" max="5" width="12.5546875" customWidth="1"/>
    <col min="6" max="6" width="9.6640625" customWidth="1"/>
    <col min="7" max="7" width="8.88671875" customWidth="1"/>
    <col min="8" max="8" width="10.88671875" customWidth="1"/>
    <col min="9" max="9" width="9.33203125" customWidth="1"/>
    <col min="10" max="14" width="10.44140625" customWidth="1"/>
    <col min="15" max="15" width="18.6640625" customWidth="1"/>
    <col min="16" max="16" width="12.44140625" customWidth="1"/>
    <col min="17" max="17" width="13.88671875" customWidth="1"/>
  </cols>
  <sheetData>
    <row r="1" spans="2:17" ht="14.4" x14ac:dyDescent="0.3">
      <c r="B1" s="1"/>
      <c r="F1" s="1"/>
      <c r="G1" s="1"/>
      <c r="H1" s="1"/>
      <c r="I1" s="1"/>
      <c r="J1" s="1"/>
      <c r="K1" s="1"/>
      <c r="L1" s="1"/>
      <c r="M1" s="1"/>
      <c r="N1" s="1"/>
    </row>
    <row r="2" spans="2:17" ht="29.4" customHeight="1" x14ac:dyDescent="0.3">
      <c r="B2" s="1"/>
      <c r="C2" s="334" t="s">
        <v>9</v>
      </c>
      <c r="D2" s="335"/>
      <c r="E2" s="335"/>
      <c r="F2" s="335"/>
      <c r="G2" s="335"/>
      <c r="H2" s="335"/>
      <c r="I2" s="335"/>
      <c r="J2" s="335"/>
      <c r="K2" s="335"/>
      <c r="L2" s="335"/>
      <c r="M2" s="335"/>
      <c r="N2" s="335"/>
      <c r="O2" s="336"/>
      <c r="Q2" s="2"/>
    </row>
    <row r="3" spans="2:17" ht="31.2" customHeight="1" x14ac:dyDescent="0.3">
      <c r="B3" s="1"/>
      <c r="C3" s="337" t="s">
        <v>76</v>
      </c>
      <c r="D3" s="337" t="s">
        <v>10</v>
      </c>
      <c r="E3" s="343" t="s">
        <v>11</v>
      </c>
      <c r="F3" s="337" t="s">
        <v>12</v>
      </c>
      <c r="G3" s="337" t="s">
        <v>13</v>
      </c>
      <c r="H3" s="337" t="s">
        <v>107</v>
      </c>
      <c r="I3" s="337" t="s">
        <v>106</v>
      </c>
      <c r="J3" s="339" t="s">
        <v>77</v>
      </c>
      <c r="K3" s="340"/>
      <c r="L3" s="339" t="s">
        <v>105</v>
      </c>
      <c r="M3" s="341"/>
      <c r="N3" s="340"/>
      <c r="O3" s="343" t="s">
        <v>14</v>
      </c>
    </row>
    <row r="4" spans="2:17" ht="36" customHeight="1" x14ac:dyDescent="0.3">
      <c r="B4" s="1"/>
      <c r="C4" s="342"/>
      <c r="D4" s="338"/>
      <c r="E4" s="338"/>
      <c r="F4" s="338"/>
      <c r="G4" s="338"/>
      <c r="H4" s="338"/>
      <c r="I4" s="338"/>
      <c r="J4" s="34" t="s">
        <v>15</v>
      </c>
      <c r="K4" s="34" t="s">
        <v>16</v>
      </c>
      <c r="L4" s="34" t="s">
        <v>17</v>
      </c>
      <c r="M4" s="34" t="s">
        <v>15</v>
      </c>
      <c r="N4" s="34" t="s">
        <v>16</v>
      </c>
      <c r="O4" s="338"/>
    </row>
    <row r="5" spans="2:17" ht="15" customHeight="1" x14ac:dyDescent="0.3">
      <c r="B5" s="1"/>
      <c r="C5" s="30" t="s">
        <v>133</v>
      </c>
      <c r="D5" s="30"/>
      <c r="E5" s="31"/>
      <c r="F5" s="35"/>
      <c r="G5" s="35"/>
      <c r="H5" s="35"/>
      <c r="I5" s="35"/>
      <c r="J5" s="35"/>
      <c r="K5" s="35"/>
      <c r="L5" s="35"/>
      <c r="M5" s="35"/>
      <c r="N5" s="35"/>
      <c r="O5" s="30"/>
    </row>
    <row r="6" spans="2:17" ht="14.4" x14ac:dyDescent="0.3">
      <c r="B6" s="1">
        <v>1</v>
      </c>
      <c r="C6" s="6">
        <v>2087</v>
      </c>
      <c r="D6" s="7" t="s">
        <v>132</v>
      </c>
      <c r="E6" s="6" t="s">
        <v>134</v>
      </c>
      <c r="F6" s="8">
        <v>20.399999999999999</v>
      </c>
      <c r="G6" s="8">
        <v>21.5</v>
      </c>
      <c r="H6" s="5">
        <v>74.099999999999994</v>
      </c>
      <c r="I6" s="8">
        <v>17.2</v>
      </c>
      <c r="J6" s="6" t="s">
        <v>134</v>
      </c>
      <c r="K6" s="6" t="s">
        <v>134</v>
      </c>
      <c r="L6" s="9" t="s">
        <v>136</v>
      </c>
      <c r="M6" s="8" t="s">
        <v>137</v>
      </c>
      <c r="N6" s="8" t="s">
        <v>138</v>
      </c>
      <c r="O6" s="6"/>
    </row>
    <row r="7" spans="2:17" ht="14.4" x14ac:dyDescent="0.3">
      <c r="B7" s="1">
        <v>2</v>
      </c>
      <c r="C7" s="6">
        <v>2085</v>
      </c>
      <c r="D7" s="7" t="s">
        <v>132</v>
      </c>
      <c r="E7" s="6" t="s">
        <v>134</v>
      </c>
      <c r="F7" s="8">
        <v>20.100000000000001</v>
      </c>
      <c r="G7" s="8">
        <v>21.5</v>
      </c>
      <c r="H7" s="5">
        <v>74.099999999999994</v>
      </c>
      <c r="I7" s="8">
        <v>17.2</v>
      </c>
      <c r="J7" s="6" t="s">
        <v>134</v>
      </c>
      <c r="K7" s="6" t="s">
        <v>134</v>
      </c>
      <c r="L7" s="8" t="s">
        <v>135</v>
      </c>
      <c r="M7" s="8" t="s">
        <v>135</v>
      </c>
      <c r="N7" s="8" t="s">
        <v>135</v>
      </c>
      <c r="O7" s="5"/>
    </row>
    <row r="8" spans="2:17" ht="14.4" x14ac:dyDescent="0.3">
      <c r="B8" s="1">
        <v>3</v>
      </c>
      <c r="C8" s="6">
        <v>2110</v>
      </c>
      <c r="D8" s="7" t="s">
        <v>132</v>
      </c>
      <c r="E8" s="6" t="s">
        <v>134</v>
      </c>
      <c r="F8" s="8">
        <v>22.7</v>
      </c>
      <c r="G8" s="8">
        <v>22</v>
      </c>
      <c r="H8" s="5">
        <v>72.5</v>
      </c>
      <c r="I8" s="8">
        <v>16.7</v>
      </c>
      <c r="J8" s="6" t="s">
        <v>134</v>
      </c>
      <c r="K8" s="6" t="s">
        <v>134</v>
      </c>
      <c r="L8" s="8" t="s">
        <v>135</v>
      </c>
      <c r="M8" s="8" t="s">
        <v>135</v>
      </c>
      <c r="N8" s="8" t="s">
        <v>135</v>
      </c>
      <c r="O8" s="5"/>
    </row>
    <row r="9" spans="2:17" ht="14.4" x14ac:dyDescent="0.3">
      <c r="B9" s="1">
        <v>4</v>
      </c>
      <c r="C9" s="6">
        <v>2194</v>
      </c>
      <c r="D9" s="7" t="s">
        <v>132</v>
      </c>
      <c r="E9" s="6" t="s">
        <v>134</v>
      </c>
      <c r="F9" s="8">
        <v>24</v>
      </c>
      <c r="G9" s="8">
        <v>22</v>
      </c>
      <c r="H9" s="5">
        <v>72.5</v>
      </c>
      <c r="I9" s="8">
        <v>16.7</v>
      </c>
      <c r="J9" s="6" t="s">
        <v>134</v>
      </c>
      <c r="K9" s="6" t="s">
        <v>134</v>
      </c>
      <c r="L9" s="8" t="s">
        <v>135</v>
      </c>
      <c r="M9" s="8" t="s">
        <v>135</v>
      </c>
      <c r="N9" s="8" t="s">
        <v>135</v>
      </c>
      <c r="O9" s="5"/>
    </row>
    <row r="10" spans="2:17" ht="14.4" x14ac:dyDescent="0.3">
      <c r="B10" s="1">
        <v>5</v>
      </c>
      <c r="C10" s="6">
        <v>2167</v>
      </c>
      <c r="D10" s="7" t="s">
        <v>132</v>
      </c>
      <c r="E10" s="6" t="s">
        <v>134</v>
      </c>
      <c r="F10" s="8">
        <v>21.4</v>
      </c>
      <c r="G10" s="8">
        <v>22</v>
      </c>
      <c r="H10" s="5">
        <v>72.2</v>
      </c>
      <c r="I10" s="8">
        <v>16.7</v>
      </c>
      <c r="J10" s="6" t="s">
        <v>134</v>
      </c>
      <c r="K10" s="6" t="s">
        <v>134</v>
      </c>
      <c r="L10" s="8" t="s">
        <v>135</v>
      </c>
      <c r="M10" s="8" t="s">
        <v>135</v>
      </c>
      <c r="N10" s="8" t="s">
        <v>135</v>
      </c>
      <c r="O10" s="5"/>
    </row>
    <row r="11" spans="2:17" ht="14.4" x14ac:dyDescent="0.3">
      <c r="B11" s="1">
        <v>6</v>
      </c>
      <c r="C11" s="6">
        <v>2102</v>
      </c>
      <c r="D11" s="7" t="s">
        <v>132</v>
      </c>
      <c r="E11" s="6" t="s">
        <v>134</v>
      </c>
      <c r="F11" s="8">
        <v>19.899999999999999</v>
      </c>
      <c r="G11" s="8">
        <v>22.2</v>
      </c>
      <c r="H11" s="8">
        <v>72.2</v>
      </c>
      <c r="I11" s="8">
        <v>16.7</v>
      </c>
      <c r="J11" s="6" t="s">
        <v>134</v>
      </c>
      <c r="K11" s="6" t="s">
        <v>134</v>
      </c>
      <c r="L11" s="8" t="s">
        <v>135</v>
      </c>
      <c r="M11" s="8" t="s">
        <v>135</v>
      </c>
      <c r="N11" s="8" t="s">
        <v>135</v>
      </c>
      <c r="O11" s="5"/>
    </row>
    <row r="12" spans="2:17" ht="14.4" x14ac:dyDescent="0.3">
      <c r="B12" s="1">
        <v>7</v>
      </c>
      <c r="C12" s="6">
        <v>2186</v>
      </c>
      <c r="D12" s="7" t="s">
        <v>132</v>
      </c>
      <c r="E12" s="6" t="s">
        <v>134</v>
      </c>
      <c r="F12" s="8">
        <v>22.3</v>
      </c>
      <c r="G12" s="8">
        <v>22.2</v>
      </c>
      <c r="H12" s="5">
        <v>72.2</v>
      </c>
      <c r="I12" s="8">
        <v>16.7</v>
      </c>
      <c r="J12" s="6" t="s">
        <v>134</v>
      </c>
      <c r="K12" s="6" t="s">
        <v>134</v>
      </c>
      <c r="L12" s="8" t="s">
        <v>135</v>
      </c>
      <c r="M12" s="8" t="s">
        <v>135</v>
      </c>
      <c r="N12" s="8" t="s">
        <v>135</v>
      </c>
      <c r="O12" s="5"/>
    </row>
    <row r="13" spans="2:17" ht="14.4" x14ac:dyDescent="0.3">
      <c r="B13" s="1">
        <v>8</v>
      </c>
      <c r="C13" s="6">
        <v>2173</v>
      </c>
      <c r="D13" s="7" t="s">
        <v>132</v>
      </c>
      <c r="E13" s="6" t="s">
        <v>134</v>
      </c>
      <c r="F13" s="8">
        <v>20.5</v>
      </c>
      <c r="G13" s="8">
        <v>22.2</v>
      </c>
      <c r="H13" s="5">
        <v>64.3</v>
      </c>
      <c r="I13" s="8">
        <v>16.7</v>
      </c>
      <c r="J13" s="6" t="s">
        <v>134</v>
      </c>
      <c r="K13" s="6" t="s">
        <v>134</v>
      </c>
      <c r="L13" s="8" t="s">
        <v>135</v>
      </c>
      <c r="M13" s="8" t="s">
        <v>135</v>
      </c>
      <c r="N13" s="8" t="s">
        <v>135</v>
      </c>
      <c r="O13" s="5"/>
    </row>
    <row r="14" spans="2:17" ht="14.4" x14ac:dyDescent="0.3">
      <c r="B14" s="1">
        <v>9</v>
      </c>
      <c r="C14" s="27">
        <v>2203</v>
      </c>
      <c r="D14" s="7" t="s">
        <v>132</v>
      </c>
      <c r="E14" s="6" t="s">
        <v>134</v>
      </c>
      <c r="F14" s="8">
        <v>21.3</v>
      </c>
      <c r="G14" s="8">
        <v>24</v>
      </c>
      <c r="H14" s="57">
        <v>64.3</v>
      </c>
      <c r="I14" s="8">
        <v>16.8</v>
      </c>
      <c r="J14" s="6" t="s">
        <v>134</v>
      </c>
      <c r="K14" s="6" t="s">
        <v>134</v>
      </c>
      <c r="L14" s="8" t="s">
        <v>135</v>
      </c>
      <c r="M14" s="8" t="s">
        <v>135</v>
      </c>
      <c r="N14" s="8" t="s">
        <v>135</v>
      </c>
      <c r="O14" s="5"/>
    </row>
    <row r="15" spans="2:17" ht="14.4" x14ac:dyDescent="0.3">
      <c r="B15" s="1">
        <v>10</v>
      </c>
      <c r="C15" s="6">
        <v>2169</v>
      </c>
      <c r="D15" s="7" t="s">
        <v>132</v>
      </c>
      <c r="E15" s="6" t="s">
        <v>134</v>
      </c>
      <c r="F15" s="8">
        <v>26.1</v>
      </c>
      <c r="G15" s="8">
        <v>24</v>
      </c>
      <c r="H15" s="58">
        <v>64.3</v>
      </c>
      <c r="I15" s="8">
        <v>16.8</v>
      </c>
      <c r="J15" s="6" t="s">
        <v>134</v>
      </c>
      <c r="K15" s="6" t="s">
        <v>134</v>
      </c>
      <c r="L15" s="8" t="s">
        <v>135</v>
      </c>
      <c r="M15" s="8" t="s">
        <v>135</v>
      </c>
      <c r="N15" s="8" t="s">
        <v>135</v>
      </c>
      <c r="O15" s="5"/>
    </row>
    <row r="16" spans="2:17" ht="14.4" x14ac:dyDescent="0.3">
      <c r="B16" s="1">
        <v>11</v>
      </c>
      <c r="C16" s="6">
        <v>2199</v>
      </c>
      <c r="D16" s="7" t="s">
        <v>132</v>
      </c>
      <c r="E16" s="6" t="s">
        <v>134</v>
      </c>
      <c r="F16" s="8">
        <v>23.3</v>
      </c>
      <c r="G16" s="8">
        <v>24</v>
      </c>
      <c r="H16" s="15">
        <v>64.3</v>
      </c>
      <c r="I16" s="8">
        <v>16.8</v>
      </c>
      <c r="J16" s="6" t="s">
        <v>134</v>
      </c>
      <c r="K16" s="6" t="s">
        <v>134</v>
      </c>
      <c r="L16" s="8" t="s">
        <v>135</v>
      </c>
      <c r="M16" s="8" t="s">
        <v>135</v>
      </c>
      <c r="N16" s="8" t="s">
        <v>135</v>
      </c>
      <c r="O16" s="5"/>
    </row>
    <row r="17" spans="2:15" ht="14.4" x14ac:dyDescent="0.3">
      <c r="B17" s="1">
        <v>12</v>
      </c>
      <c r="C17" s="5">
        <v>2171</v>
      </c>
      <c r="D17" s="7" t="s">
        <v>132</v>
      </c>
      <c r="E17" s="6" t="s">
        <v>134</v>
      </c>
      <c r="F17" s="8">
        <v>23.8</v>
      </c>
      <c r="G17" s="8">
        <v>24</v>
      </c>
      <c r="H17" s="5">
        <v>64</v>
      </c>
      <c r="I17" s="8">
        <v>16.8</v>
      </c>
      <c r="J17" s="6" t="s">
        <v>134</v>
      </c>
      <c r="K17" s="6" t="s">
        <v>134</v>
      </c>
      <c r="L17" s="8" t="s">
        <v>135</v>
      </c>
      <c r="M17" s="8" t="s">
        <v>135</v>
      </c>
      <c r="N17" s="8" t="s">
        <v>135</v>
      </c>
      <c r="O17" s="5"/>
    </row>
    <row r="18" spans="2:15" ht="14.4" x14ac:dyDescent="0.3">
      <c r="B18" s="1">
        <v>13</v>
      </c>
      <c r="C18" s="5">
        <v>2251</v>
      </c>
      <c r="D18" s="7" t="s">
        <v>132</v>
      </c>
      <c r="E18" s="6" t="s">
        <v>134</v>
      </c>
      <c r="F18" s="8">
        <v>22.6</v>
      </c>
      <c r="G18" s="8">
        <v>24.1</v>
      </c>
      <c r="H18" s="10">
        <v>64</v>
      </c>
      <c r="I18" s="8">
        <v>16.8</v>
      </c>
      <c r="J18" s="6" t="s">
        <v>134</v>
      </c>
      <c r="K18" s="6" t="s">
        <v>134</v>
      </c>
      <c r="L18" s="8" t="s">
        <v>135</v>
      </c>
      <c r="M18" s="8" t="s">
        <v>135</v>
      </c>
      <c r="N18" s="8" t="s">
        <v>135</v>
      </c>
      <c r="O18" s="5"/>
    </row>
    <row r="19" spans="2:15" ht="14.4" x14ac:dyDescent="0.3">
      <c r="B19" s="1">
        <v>14</v>
      </c>
      <c r="C19" s="5">
        <v>2133</v>
      </c>
      <c r="D19" s="7" t="s">
        <v>132</v>
      </c>
      <c r="E19" s="6" t="s">
        <v>134</v>
      </c>
      <c r="F19" s="5">
        <v>23.2</v>
      </c>
      <c r="G19" s="5">
        <v>24.1</v>
      </c>
      <c r="H19" s="5">
        <v>64</v>
      </c>
      <c r="I19" s="8">
        <v>16.8</v>
      </c>
      <c r="J19" s="6" t="s">
        <v>134</v>
      </c>
      <c r="K19" s="6" t="s">
        <v>134</v>
      </c>
      <c r="L19" s="8" t="s">
        <v>135</v>
      </c>
      <c r="M19" s="8" t="s">
        <v>135</v>
      </c>
      <c r="N19" s="8" t="s">
        <v>135</v>
      </c>
      <c r="O19" s="5"/>
    </row>
    <row r="20" spans="2:15" ht="14.4" x14ac:dyDescent="0.3">
      <c r="B20" s="1">
        <v>15</v>
      </c>
      <c r="C20" s="5">
        <v>2183</v>
      </c>
      <c r="D20" s="7" t="s">
        <v>132</v>
      </c>
      <c r="E20" s="6" t="s">
        <v>134</v>
      </c>
      <c r="F20" s="5">
        <v>22.6</v>
      </c>
      <c r="G20" s="5">
        <v>24.1</v>
      </c>
      <c r="H20" s="5">
        <v>64</v>
      </c>
      <c r="I20" s="8">
        <v>16.8</v>
      </c>
      <c r="J20" s="6" t="s">
        <v>134</v>
      </c>
      <c r="K20" s="6" t="s">
        <v>134</v>
      </c>
      <c r="L20" s="8" t="s">
        <v>135</v>
      </c>
      <c r="M20" s="8" t="s">
        <v>135</v>
      </c>
      <c r="N20" s="8" t="s">
        <v>135</v>
      </c>
      <c r="O20" s="5"/>
    </row>
    <row r="21" spans="2:15" ht="15.75" customHeight="1" x14ac:dyDescent="0.3">
      <c r="B21" s="1">
        <v>16</v>
      </c>
      <c r="C21" s="5">
        <v>2108</v>
      </c>
      <c r="D21" s="7" t="s">
        <v>132</v>
      </c>
      <c r="E21" s="6" t="s">
        <v>134</v>
      </c>
      <c r="F21" s="5">
        <v>22.3</v>
      </c>
      <c r="G21" s="5">
        <v>24.1</v>
      </c>
      <c r="H21" s="5">
        <v>60.5</v>
      </c>
      <c r="I21" s="5">
        <v>16.7</v>
      </c>
      <c r="J21" s="6" t="s">
        <v>134</v>
      </c>
      <c r="K21" s="6" t="s">
        <v>134</v>
      </c>
      <c r="L21" s="8" t="s">
        <v>135</v>
      </c>
      <c r="M21" s="8" t="s">
        <v>135</v>
      </c>
      <c r="N21" s="8" t="s">
        <v>135</v>
      </c>
      <c r="O21" s="5"/>
    </row>
    <row r="22" spans="2:15" ht="15.75" customHeight="1" x14ac:dyDescent="0.3">
      <c r="B22" s="1">
        <v>17</v>
      </c>
      <c r="C22" s="5">
        <v>2165</v>
      </c>
      <c r="D22" s="7" t="s">
        <v>132</v>
      </c>
      <c r="E22" s="6" t="s">
        <v>134</v>
      </c>
      <c r="F22" s="5">
        <v>23.5</v>
      </c>
      <c r="G22" s="5">
        <v>25</v>
      </c>
      <c r="H22" s="5">
        <v>60.5</v>
      </c>
      <c r="I22" s="5">
        <v>16.7</v>
      </c>
      <c r="J22" s="6" t="s">
        <v>134</v>
      </c>
      <c r="K22" s="6" t="s">
        <v>134</v>
      </c>
      <c r="L22" s="8" t="s">
        <v>135</v>
      </c>
      <c r="M22" s="8" t="s">
        <v>135</v>
      </c>
      <c r="N22" s="8" t="s">
        <v>135</v>
      </c>
      <c r="O22" s="5"/>
    </row>
    <row r="23" spans="2:15" ht="15.75" customHeight="1" x14ac:dyDescent="0.3">
      <c r="B23" s="1">
        <v>18</v>
      </c>
      <c r="C23" s="5">
        <v>2191</v>
      </c>
      <c r="D23" s="7" t="s">
        <v>132</v>
      </c>
      <c r="E23" s="6" t="s">
        <v>134</v>
      </c>
      <c r="F23" s="5">
        <v>21.4</v>
      </c>
      <c r="G23" s="5">
        <v>25</v>
      </c>
      <c r="H23" s="5">
        <v>60.5</v>
      </c>
      <c r="I23" s="5">
        <v>16.7</v>
      </c>
      <c r="J23" s="6" t="s">
        <v>134</v>
      </c>
      <c r="K23" s="6" t="s">
        <v>134</v>
      </c>
      <c r="L23" s="8" t="s">
        <v>135</v>
      </c>
      <c r="M23" s="8" t="s">
        <v>135</v>
      </c>
      <c r="N23" s="8" t="s">
        <v>135</v>
      </c>
      <c r="O23" s="5"/>
    </row>
    <row r="24" spans="2:15" ht="15.75" customHeight="1" x14ac:dyDescent="0.3">
      <c r="B24" s="1">
        <v>19</v>
      </c>
      <c r="C24" s="5">
        <v>2233</v>
      </c>
      <c r="D24" s="7" t="s">
        <v>132</v>
      </c>
      <c r="E24" s="6" t="s">
        <v>134</v>
      </c>
      <c r="F24" s="5">
        <v>23.5</v>
      </c>
      <c r="G24" s="5">
        <v>25.1</v>
      </c>
      <c r="H24" s="5">
        <v>60.5</v>
      </c>
      <c r="I24" s="5">
        <v>16.7</v>
      </c>
      <c r="J24" s="6" t="s">
        <v>134</v>
      </c>
      <c r="K24" s="6" t="s">
        <v>134</v>
      </c>
      <c r="L24" s="8" t="s">
        <v>135</v>
      </c>
      <c r="M24" s="8" t="s">
        <v>135</v>
      </c>
      <c r="N24" s="8" t="s">
        <v>135</v>
      </c>
      <c r="O24" s="5"/>
    </row>
    <row r="25" spans="2:15" ht="15.75" customHeight="1" x14ac:dyDescent="0.3">
      <c r="B25" s="1">
        <v>20</v>
      </c>
      <c r="C25" s="5">
        <v>2105</v>
      </c>
      <c r="D25" s="7" t="s">
        <v>132</v>
      </c>
      <c r="E25" s="6" t="s">
        <v>134</v>
      </c>
      <c r="F25" s="5">
        <v>23.6</v>
      </c>
      <c r="G25" s="5">
        <v>25.1</v>
      </c>
      <c r="H25" s="5">
        <v>47.9</v>
      </c>
      <c r="I25" s="5">
        <v>15.6</v>
      </c>
      <c r="J25" s="6" t="s">
        <v>134</v>
      </c>
      <c r="K25" s="6" t="s">
        <v>134</v>
      </c>
      <c r="L25" s="8" t="s">
        <v>135</v>
      </c>
      <c r="M25" s="8" t="s">
        <v>135</v>
      </c>
      <c r="N25" s="8" t="s">
        <v>135</v>
      </c>
      <c r="O25" s="5"/>
    </row>
    <row r="26" spans="2:15" ht="15.75" customHeight="1" x14ac:dyDescent="0.3">
      <c r="B26" s="1">
        <v>21</v>
      </c>
      <c r="C26" s="5">
        <v>2164</v>
      </c>
      <c r="D26" s="7" t="s">
        <v>132</v>
      </c>
      <c r="E26" s="6" t="s">
        <v>134</v>
      </c>
      <c r="F26" s="5">
        <v>30.8</v>
      </c>
      <c r="G26" s="5">
        <v>28.4</v>
      </c>
      <c r="H26" s="5">
        <v>47.9</v>
      </c>
      <c r="I26" s="5">
        <v>15.6</v>
      </c>
      <c r="J26" s="6" t="s">
        <v>134</v>
      </c>
      <c r="K26" s="6" t="s">
        <v>134</v>
      </c>
      <c r="L26" s="8" t="s">
        <v>135</v>
      </c>
      <c r="M26" s="8" t="s">
        <v>135</v>
      </c>
      <c r="N26" s="8" t="s">
        <v>135</v>
      </c>
      <c r="O26" s="5"/>
    </row>
    <row r="27" spans="2:15" ht="15.75" customHeight="1" x14ac:dyDescent="0.3">
      <c r="B27" s="1">
        <v>22</v>
      </c>
      <c r="C27" s="5">
        <v>2153</v>
      </c>
      <c r="D27" s="7" t="s">
        <v>132</v>
      </c>
      <c r="E27" s="6" t="s">
        <v>134</v>
      </c>
      <c r="F27" s="5">
        <v>29</v>
      </c>
      <c r="G27" s="5">
        <v>28.4</v>
      </c>
      <c r="H27" s="10">
        <v>47.9</v>
      </c>
      <c r="I27" s="5">
        <v>15.6</v>
      </c>
      <c r="J27" s="6" t="s">
        <v>134</v>
      </c>
      <c r="K27" s="6" t="s">
        <v>134</v>
      </c>
      <c r="L27" s="8" t="s">
        <v>135</v>
      </c>
      <c r="M27" s="8" t="s">
        <v>135</v>
      </c>
      <c r="N27" s="8" t="s">
        <v>135</v>
      </c>
      <c r="O27" s="5"/>
    </row>
    <row r="28" spans="2:15" ht="15.75" customHeight="1" x14ac:dyDescent="0.3">
      <c r="B28" s="1">
        <v>23</v>
      </c>
      <c r="C28" s="5">
        <v>2106</v>
      </c>
      <c r="D28" s="7" t="s">
        <v>132</v>
      </c>
      <c r="E28" s="6" t="s">
        <v>134</v>
      </c>
      <c r="F28" s="5">
        <v>25.3</v>
      </c>
      <c r="G28" s="5">
        <v>28.4</v>
      </c>
      <c r="H28" s="5">
        <v>47.9</v>
      </c>
      <c r="I28" s="5">
        <v>15.6</v>
      </c>
      <c r="J28" s="6" t="s">
        <v>134</v>
      </c>
      <c r="K28" s="6" t="s">
        <v>134</v>
      </c>
      <c r="L28" s="8" t="s">
        <v>135</v>
      </c>
      <c r="M28" s="8" t="s">
        <v>135</v>
      </c>
      <c r="N28" s="8" t="s">
        <v>135</v>
      </c>
      <c r="O28" s="5"/>
    </row>
    <row r="29" spans="2:15" ht="15.75" customHeight="1" x14ac:dyDescent="0.3">
      <c r="B29" s="1">
        <v>24</v>
      </c>
      <c r="C29" s="5">
        <v>2092</v>
      </c>
      <c r="D29" s="7" t="s">
        <v>132</v>
      </c>
      <c r="E29" s="6" t="s">
        <v>134</v>
      </c>
      <c r="F29" s="5">
        <v>28.9</v>
      </c>
      <c r="G29" s="5">
        <v>28.5</v>
      </c>
      <c r="H29" s="15">
        <v>48.1</v>
      </c>
      <c r="I29" s="5">
        <v>16.899999999999999</v>
      </c>
      <c r="J29" s="6" t="s">
        <v>134</v>
      </c>
      <c r="K29" s="6" t="s">
        <v>134</v>
      </c>
      <c r="L29" s="8" t="s">
        <v>135</v>
      </c>
      <c r="M29" s="8" t="s">
        <v>135</v>
      </c>
      <c r="N29" s="8" t="s">
        <v>135</v>
      </c>
      <c r="O29" s="5"/>
    </row>
    <row r="30" spans="2:15" ht="15.75" customHeight="1" x14ac:dyDescent="0.3">
      <c r="B30" s="1">
        <v>25</v>
      </c>
      <c r="C30" s="5">
        <v>2154</v>
      </c>
      <c r="D30" s="7" t="s">
        <v>132</v>
      </c>
      <c r="E30" s="6" t="s">
        <v>134</v>
      </c>
      <c r="F30" s="5">
        <v>30.6</v>
      </c>
      <c r="G30" s="5">
        <v>28.5</v>
      </c>
      <c r="H30" s="5">
        <v>48.1</v>
      </c>
      <c r="I30" s="5">
        <v>16.899999999999999</v>
      </c>
      <c r="J30" s="6" t="s">
        <v>134</v>
      </c>
      <c r="K30" s="6" t="s">
        <v>134</v>
      </c>
      <c r="L30" s="8" t="s">
        <v>135</v>
      </c>
      <c r="M30" s="8" t="s">
        <v>135</v>
      </c>
      <c r="N30" s="8" t="s">
        <v>135</v>
      </c>
      <c r="O30" s="5"/>
    </row>
    <row r="31" spans="2:15" ht="15.75" customHeight="1" x14ac:dyDescent="0.3">
      <c r="B31" s="1">
        <v>26</v>
      </c>
      <c r="C31" s="5">
        <v>2192</v>
      </c>
      <c r="D31" s="7" t="s">
        <v>132</v>
      </c>
      <c r="E31" s="6" t="s">
        <v>134</v>
      </c>
      <c r="F31" s="5">
        <v>29.2</v>
      </c>
      <c r="G31" s="5">
        <v>28.5</v>
      </c>
      <c r="H31" s="8">
        <v>48.1</v>
      </c>
      <c r="I31" s="5">
        <v>16.899999999999999</v>
      </c>
      <c r="J31" s="6" t="s">
        <v>134</v>
      </c>
      <c r="K31" s="6" t="s">
        <v>134</v>
      </c>
      <c r="L31" s="8" t="s">
        <v>135</v>
      </c>
      <c r="M31" s="8" t="s">
        <v>135</v>
      </c>
      <c r="N31" s="8" t="s">
        <v>135</v>
      </c>
      <c r="O31" s="5"/>
    </row>
    <row r="32" spans="2:15" ht="15.75" customHeight="1" x14ac:dyDescent="0.3">
      <c r="B32" s="1">
        <v>27</v>
      </c>
      <c r="C32" s="5">
        <v>2093</v>
      </c>
      <c r="D32" s="7" t="s">
        <v>132</v>
      </c>
      <c r="E32" s="6" t="s">
        <v>134</v>
      </c>
      <c r="F32" s="5">
        <v>27.9</v>
      </c>
      <c r="G32" s="5">
        <v>28.5</v>
      </c>
      <c r="H32" s="5">
        <v>48.1</v>
      </c>
      <c r="I32" s="5">
        <v>16.7</v>
      </c>
      <c r="J32" s="6" t="s">
        <v>134</v>
      </c>
      <c r="K32" s="6" t="s">
        <v>134</v>
      </c>
      <c r="L32" s="8" t="s">
        <v>135</v>
      </c>
      <c r="M32" s="8" t="s">
        <v>135</v>
      </c>
      <c r="N32" s="8" t="s">
        <v>135</v>
      </c>
      <c r="O32" s="5"/>
    </row>
    <row r="33" spans="2:15" ht="15.75" customHeight="1" x14ac:dyDescent="0.3">
      <c r="B33" s="1">
        <v>28</v>
      </c>
      <c r="C33" s="5">
        <v>2157</v>
      </c>
      <c r="D33" s="7" t="s">
        <v>132</v>
      </c>
      <c r="E33" s="6" t="s">
        <v>134</v>
      </c>
      <c r="F33" s="5">
        <v>28.9</v>
      </c>
      <c r="G33" s="5">
        <v>30.2</v>
      </c>
      <c r="H33" s="5">
        <v>45</v>
      </c>
      <c r="I33" s="5">
        <v>16.7</v>
      </c>
      <c r="J33" s="6" t="s">
        <v>134</v>
      </c>
      <c r="K33" s="6" t="s">
        <v>134</v>
      </c>
      <c r="L33" s="8" t="s">
        <v>135</v>
      </c>
      <c r="M33" s="8" t="s">
        <v>135</v>
      </c>
      <c r="N33" s="8" t="s">
        <v>135</v>
      </c>
      <c r="O33" s="5"/>
    </row>
    <row r="34" spans="2:15" ht="15.75" customHeight="1" x14ac:dyDescent="0.3">
      <c r="B34" s="1">
        <v>29</v>
      </c>
      <c r="C34" s="5">
        <v>2239</v>
      </c>
      <c r="D34" s="7" t="s">
        <v>132</v>
      </c>
      <c r="E34" s="6" t="s">
        <v>134</v>
      </c>
      <c r="F34" s="57">
        <v>27.3</v>
      </c>
      <c r="G34" s="57">
        <v>30.2</v>
      </c>
      <c r="H34" s="57">
        <v>45</v>
      </c>
      <c r="I34" s="57">
        <v>16.7</v>
      </c>
      <c r="J34" s="6" t="s">
        <v>134</v>
      </c>
      <c r="K34" s="6" t="s">
        <v>134</v>
      </c>
      <c r="L34" s="8" t="s">
        <v>135</v>
      </c>
      <c r="M34" s="8" t="s">
        <v>135</v>
      </c>
      <c r="N34" s="8" t="s">
        <v>135</v>
      </c>
      <c r="O34" s="57"/>
    </row>
    <row r="35" spans="2:15" ht="15.75" customHeight="1" x14ac:dyDescent="0.3">
      <c r="B35" s="1">
        <v>30</v>
      </c>
      <c r="C35" s="5">
        <v>2181</v>
      </c>
      <c r="D35" s="7" t="s">
        <v>132</v>
      </c>
      <c r="E35" s="56" t="s">
        <v>134</v>
      </c>
      <c r="F35" s="58">
        <v>27.2</v>
      </c>
      <c r="G35" s="58">
        <v>30.2</v>
      </c>
      <c r="H35" s="58">
        <v>45</v>
      </c>
      <c r="I35" s="58">
        <v>16.7</v>
      </c>
      <c r="J35" s="6" t="s">
        <v>134</v>
      </c>
      <c r="K35" s="6" t="s">
        <v>134</v>
      </c>
      <c r="L35" s="8" t="s">
        <v>135</v>
      </c>
      <c r="M35" s="8" t="s">
        <v>135</v>
      </c>
      <c r="N35" s="8" t="s">
        <v>135</v>
      </c>
      <c r="O35" s="58"/>
    </row>
    <row r="36" spans="2:15" ht="15.75" customHeight="1" x14ac:dyDescent="0.3">
      <c r="B36" s="1">
        <v>31</v>
      </c>
      <c r="C36" s="5">
        <v>2104</v>
      </c>
      <c r="D36" s="7" t="s">
        <v>132</v>
      </c>
      <c r="E36" s="6" t="s">
        <v>134</v>
      </c>
      <c r="F36" s="15">
        <v>26.6</v>
      </c>
      <c r="G36" s="15">
        <v>30.2</v>
      </c>
      <c r="H36" s="15">
        <v>45</v>
      </c>
      <c r="I36" s="15">
        <v>15.7</v>
      </c>
      <c r="J36" s="6" t="s">
        <v>139</v>
      </c>
      <c r="K36" s="6" t="s">
        <v>134</v>
      </c>
      <c r="L36" s="8" t="s">
        <v>135</v>
      </c>
      <c r="M36" s="8" t="s">
        <v>135</v>
      </c>
      <c r="N36" s="8" t="s">
        <v>135</v>
      </c>
      <c r="O36" s="15"/>
    </row>
    <row r="37" spans="2:15" ht="15.75" customHeight="1" x14ac:dyDescent="0.3">
      <c r="B37" s="1">
        <v>32</v>
      </c>
      <c r="C37" s="5">
        <v>2184</v>
      </c>
      <c r="D37" s="7" t="s">
        <v>132</v>
      </c>
      <c r="E37" s="6" t="s">
        <v>134</v>
      </c>
      <c r="F37" s="5">
        <v>29</v>
      </c>
      <c r="G37" s="5">
        <v>30.1</v>
      </c>
      <c r="H37" s="5">
        <v>42.3</v>
      </c>
      <c r="I37" s="5">
        <v>16.2</v>
      </c>
      <c r="J37" s="6" t="s">
        <v>134</v>
      </c>
      <c r="K37" s="6" t="s">
        <v>134</v>
      </c>
      <c r="L37" s="8" t="s">
        <v>135</v>
      </c>
      <c r="M37" s="8" t="s">
        <v>135</v>
      </c>
      <c r="N37" s="8" t="s">
        <v>135</v>
      </c>
      <c r="O37" s="5"/>
    </row>
    <row r="38" spans="2:15" ht="15.75" customHeight="1" x14ac:dyDescent="0.3">
      <c r="B38" s="1">
        <v>33</v>
      </c>
      <c r="C38" s="5">
        <v>2198</v>
      </c>
      <c r="D38" s="7" t="s">
        <v>132</v>
      </c>
      <c r="E38" s="6" t="s">
        <v>134</v>
      </c>
      <c r="F38" s="10">
        <v>36.200000000000003</v>
      </c>
      <c r="G38" s="10">
        <v>30.9</v>
      </c>
      <c r="H38" s="10">
        <v>41.1</v>
      </c>
      <c r="I38" s="10">
        <v>16.600000000000001</v>
      </c>
      <c r="J38" s="6" t="s">
        <v>134</v>
      </c>
      <c r="K38" s="6" t="s">
        <v>134</v>
      </c>
      <c r="L38" s="8" t="s">
        <v>135</v>
      </c>
      <c r="M38" s="8" t="s">
        <v>135</v>
      </c>
      <c r="N38" s="8" t="s">
        <v>135</v>
      </c>
      <c r="O38" s="5"/>
    </row>
    <row r="39" spans="2:15" ht="15.75" customHeight="1" x14ac:dyDescent="0.3">
      <c r="B39" s="1">
        <v>34</v>
      </c>
      <c r="C39" s="10">
        <v>2236</v>
      </c>
      <c r="D39" s="7" t="s">
        <v>132</v>
      </c>
      <c r="E39" s="6" t="s">
        <v>134</v>
      </c>
      <c r="F39" s="5">
        <v>33.799999999999997</v>
      </c>
      <c r="G39" s="5">
        <v>30.6</v>
      </c>
      <c r="H39" s="5">
        <v>42.1</v>
      </c>
      <c r="I39" s="5">
        <v>16.2</v>
      </c>
      <c r="J39" s="6" t="s">
        <v>134</v>
      </c>
      <c r="K39" s="6" t="s">
        <v>134</v>
      </c>
      <c r="L39" s="8" t="s">
        <v>135</v>
      </c>
      <c r="M39" s="8" t="s">
        <v>135</v>
      </c>
      <c r="N39" s="8" t="s">
        <v>135</v>
      </c>
      <c r="O39" s="5"/>
    </row>
    <row r="40" spans="2:15" ht="15.75" customHeight="1" x14ac:dyDescent="0.3">
      <c r="B40" s="1">
        <v>35</v>
      </c>
      <c r="C40" s="6">
        <v>2150</v>
      </c>
      <c r="D40" s="7" t="s">
        <v>132</v>
      </c>
      <c r="E40" s="6" t="s">
        <v>134</v>
      </c>
      <c r="F40" s="5">
        <v>34.6</v>
      </c>
      <c r="G40" s="5">
        <v>30.7</v>
      </c>
      <c r="H40" s="5">
        <v>41.5</v>
      </c>
      <c r="I40" s="5">
        <v>16.2</v>
      </c>
      <c r="J40" s="6" t="s">
        <v>134</v>
      </c>
      <c r="K40" s="6" t="s">
        <v>134</v>
      </c>
      <c r="L40" s="8" t="s">
        <v>135</v>
      </c>
      <c r="M40" s="8" t="s">
        <v>135</v>
      </c>
      <c r="N40" s="8" t="s">
        <v>135</v>
      </c>
      <c r="O40" s="5"/>
    </row>
    <row r="41" spans="2:15" ht="15.75" customHeight="1" x14ac:dyDescent="0.3">
      <c r="B41" s="1">
        <v>36</v>
      </c>
      <c r="C41" s="6">
        <v>2109</v>
      </c>
      <c r="D41" s="7" t="s">
        <v>132</v>
      </c>
      <c r="E41" s="6" t="s">
        <v>134</v>
      </c>
      <c r="F41" s="5">
        <v>35.1</v>
      </c>
      <c r="G41" s="5">
        <v>30.6</v>
      </c>
      <c r="H41" s="5">
        <v>41.2</v>
      </c>
      <c r="I41" s="5">
        <v>15.3</v>
      </c>
      <c r="J41" s="6" t="s">
        <v>134</v>
      </c>
      <c r="K41" s="6" t="s">
        <v>134</v>
      </c>
      <c r="L41" s="8" t="s">
        <v>135</v>
      </c>
      <c r="M41" s="8" t="s">
        <v>135</v>
      </c>
      <c r="N41" s="8" t="s">
        <v>135</v>
      </c>
      <c r="O41" s="5"/>
    </row>
    <row r="42" spans="2:15" ht="15.75" customHeight="1" x14ac:dyDescent="0.3">
      <c r="B42" s="1">
        <v>37</v>
      </c>
      <c r="C42" s="6">
        <v>2201</v>
      </c>
      <c r="D42" s="7" t="s">
        <v>132</v>
      </c>
      <c r="E42" s="6" t="s">
        <v>134</v>
      </c>
      <c r="F42" s="5">
        <v>35.799999999999997</v>
      </c>
      <c r="G42" s="5">
        <v>30.4</v>
      </c>
      <c r="H42" s="5">
        <v>41.2</v>
      </c>
      <c r="I42" s="5">
        <v>16.2</v>
      </c>
      <c r="J42" s="6" t="s">
        <v>134</v>
      </c>
      <c r="K42" s="6" t="s">
        <v>134</v>
      </c>
      <c r="L42" s="8" t="s">
        <v>135</v>
      </c>
      <c r="M42" s="8" t="s">
        <v>135</v>
      </c>
      <c r="N42" s="8" t="s">
        <v>135</v>
      </c>
      <c r="O42" s="12"/>
    </row>
    <row r="43" spans="2:15" ht="15.75" customHeight="1" x14ac:dyDescent="0.3">
      <c r="B43" s="1">
        <v>38</v>
      </c>
      <c r="C43" s="6">
        <v>2116</v>
      </c>
      <c r="D43" s="7" t="s">
        <v>132</v>
      </c>
      <c r="E43" s="6" t="s">
        <v>134</v>
      </c>
      <c r="F43" s="5">
        <v>38</v>
      </c>
      <c r="G43" s="5">
        <v>30.5</v>
      </c>
      <c r="H43" s="5">
        <v>41.2</v>
      </c>
      <c r="I43" s="5">
        <v>15.3</v>
      </c>
      <c r="J43" s="6" t="s">
        <v>134</v>
      </c>
      <c r="K43" s="6" t="s">
        <v>134</v>
      </c>
      <c r="L43" s="8" t="s">
        <v>135</v>
      </c>
      <c r="M43" s="8" t="s">
        <v>135</v>
      </c>
      <c r="N43" s="8" t="s">
        <v>135</v>
      </c>
      <c r="O43" s="12"/>
    </row>
    <row r="44" spans="2:15" ht="15.75" customHeight="1" x14ac:dyDescent="0.3">
      <c r="B44" s="1">
        <v>39</v>
      </c>
      <c r="C44" s="6">
        <v>2146</v>
      </c>
      <c r="D44" s="7" t="s">
        <v>132</v>
      </c>
      <c r="E44" s="6" t="s">
        <v>134</v>
      </c>
      <c r="F44" s="5">
        <v>38.299999999999997</v>
      </c>
      <c r="G44" s="5">
        <v>31.2</v>
      </c>
      <c r="H44" s="5">
        <v>41.2</v>
      </c>
      <c r="I44" s="5">
        <v>16.2</v>
      </c>
      <c r="J44" s="6" t="s">
        <v>134</v>
      </c>
      <c r="K44" s="6" t="s">
        <v>134</v>
      </c>
      <c r="L44" s="8" t="s">
        <v>135</v>
      </c>
      <c r="M44" s="8" t="s">
        <v>135</v>
      </c>
      <c r="N44" s="8" t="s">
        <v>135</v>
      </c>
      <c r="O44" s="12"/>
    </row>
    <row r="45" spans="2:15" ht="15.75" customHeight="1" x14ac:dyDescent="0.3">
      <c r="B45" s="1">
        <v>40</v>
      </c>
      <c r="C45" s="6">
        <v>2187</v>
      </c>
      <c r="D45" s="7" t="s">
        <v>132</v>
      </c>
      <c r="E45" s="6" t="s">
        <v>134</v>
      </c>
      <c r="F45" s="5">
        <v>36.5</v>
      </c>
      <c r="G45" s="5">
        <v>33.5</v>
      </c>
      <c r="H45" s="5">
        <v>41.2</v>
      </c>
      <c r="I45" s="5">
        <v>16.2</v>
      </c>
      <c r="J45" s="6" t="s">
        <v>134</v>
      </c>
      <c r="K45" s="6" t="s">
        <v>134</v>
      </c>
      <c r="L45" s="8" t="s">
        <v>135</v>
      </c>
      <c r="M45" s="8" t="s">
        <v>135</v>
      </c>
      <c r="N45" s="8" t="s">
        <v>135</v>
      </c>
      <c r="O45" s="12"/>
    </row>
    <row r="46" spans="2:15" ht="15.75" customHeight="1" x14ac:dyDescent="0.3">
      <c r="B46" s="1">
        <v>41</v>
      </c>
      <c r="C46" s="6">
        <v>2188</v>
      </c>
      <c r="D46" s="7" t="s">
        <v>132</v>
      </c>
      <c r="E46" s="6" t="s">
        <v>134</v>
      </c>
      <c r="F46" s="5">
        <v>30.7</v>
      </c>
      <c r="G46" s="5">
        <v>30.6</v>
      </c>
      <c r="H46" s="5">
        <v>42.2</v>
      </c>
      <c r="I46" s="5">
        <v>19.3</v>
      </c>
      <c r="J46" s="6" t="s">
        <v>134</v>
      </c>
      <c r="K46" s="6" t="s">
        <v>134</v>
      </c>
      <c r="L46" s="8" t="s">
        <v>135</v>
      </c>
      <c r="M46" s="8" t="s">
        <v>135</v>
      </c>
      <c r="N46" s="8" t="s">
        <v>135</v>
      </c>
      <c r="O46" s="12"/>
    </row>
    <row r="47" spans="2:15" ht="15.75" customHeight="1" x14ac:dyDescent="0.3">
      <c r="B47" s="1">
        <v>42</v>
      </c>
      <c r="C47" s="6">
        <v>2163</v>
      </c>
      <c r="D47" s="7" t="s">
        <v>132</v>
      </c>
      <c r="E47" s="6" t="s">
        <v>134</v>
      </c>
      <c r="F47" s="10">
        <v>30.2</v>
      </c>
      <c r="G47" s="10">
        <v>33.5</v>
      </c>
      <c r="H47" s="5">
        <v>41.2</v>
      </c>
      <c r="I47" s="10">
        <v>15.9</v>
      </c>
      <c r="J47" s="6" t="s">
        <v>134</v>
      </c>
      <c r="K47" s="6" t="s">
        <v>134</v>
      </c>
      <c r="L47" s="8" t="s">
        <v>135</v>
      </c>
      <c r="M47" s="8" t="s">
        <v>135</v>
      </c>
      <c r="N47" s="8" t="s">
        <v>135</v>
      </c>
      <c r="O47" s="13"/>
    </row>
    <row r="48" spans="2:15" ht="15.75" customHeight="1" x14ac:dyDescent="0.3">
      <c r="B48" s="1">
        <v>43</v>
      </c>
      <c r="C48" s="55">
        <v>2162</v>
      </c>
      <c r="D48" s="7" t="s">
        <v>132</v>
      </c>
      <c r="E48" s="6" t="s">
        <v>134</v>
      </c>
      <c r="F48" s="5">
        <v>30.7</v>
      </c>
      <c r="G48" s="5">
        <v>40.5</v>
      </c>
      <c r="H48" s="5">
        <v>41.5</v>
      </c>
      <c r="I48" s="5">
        <v>17.899999999999999</v>
      </c>
      <c r="J48" s="6" t="s">
        <v>134</v>
      </c>
      <c r="K48" s="6" t="s">
        <v>134</v>
      </c>
      <c r="L48" s="8" t="s">
        <v>135</v>
      </c>
      <c r="M48" s="8" t="s">
        <v>135</v>
      </c>
      <c r="N48" s="8" t="s">
        <v>135</v>
      </c>
      <c r="O48" s="12"/>
    </row>
    <row r="49" spans="2:15" ht="15.75" customHeight="1" x14ac:dyDescent="0.3">
      <c r="B49" s="1"/>
      <c r="C49" s="39"/>
      <c r="D49" s="10"/>
      <c r="E49" s="10"/>
      <c r="F49" s="15"/>
      <c r="G49" s="15"/>
      <c r="H49" s="15"/>
      <c r="I49" s="15"/>
      <c r="J49" s="10"/>
      <c r="K49" s="10"/>
      <c r="L49" s="15"/>
      <c r="M49" s="15"/>
      <c r="N49" s="15"/>
      <c r="O49" s="14"/>
    </row>
    <row r="50" spans="2:15" ht="15.75" customHeight="1" x14ac:dyDescent="0.3">
      <c r="B50" s="1"/>
      <c r="C50" s="6"/>
      <c r="D50" s="10"/>
      <c r="E50" s="10"/>
      <c r="F50" s="5"/>
      <c r="G50" s="5"/>
      <c r="H50" s="5"/>
      <c r="I50" s="5"/>
      <c r="J50" s="10"/>
      <c r="K50" s="10"/>
      <c r="L50" s="5"/>
      <c r="M50" s="5"/>
      <c r="N50" s="5"/>
      <c r="O50" s="12"/>
    </row>
    <row r="51" spans="2:15" ht="15.75" customHeight="1" x14ac:dyDescent="0.3">
      <c r="B51" s="1"/>
      <c r="C51" s="6"/>
      <c r="D51" s="12"/>
      <c r="E51" s="12"/>
      <c r="F51" s="5"/>
      <c r="G51" s="5"/>
      <c r="H51" s="5"/>
      <c r="I51" s="5"/>
      <c r="J51" s="5"/>
      <c r="K51" s="5"/>
      <c r="L51" s="5"/>
      <c r="M51" s="5"/>
      <c r="N51" s="5"/>
      <c r="O51" s="12"/>
    </row>
    <row r="52" spans="2:15" ht="15.75" customHeight="1" x14ac:dyDescent="0.3">
      <c r="B52" s="1"/>
      <c r="C52" s="6"/>
      <c r="D52" s="12"/>
      <c r="E52" s="12"/>
      <c r="F52" s="5"/>
      <c r="G52" s="5"/>
      <c r="H52" s="5"/>
      <c r="I52" s="5"/>
      <c r="J52" s="5"/>
      <c r="K52" s="5"/>
      <c r="L52" s="5"/>
      <c r="M52" s="5"/>
      <c r="N52" s="5"/>
      <c r="O52" s="12"/>
    </row>
    <row r="53" spans="2:15" ht="15.75" customHeight="1" x14ac:dyDescent="0.3">
      <c r="B53" s="1"/>
      <c r="C53" s="16"/>
      <c r="D53" s="3"/>
      <c r="E53" s="3"/>
      <c r="F53" s="11"/>
      <c r="G53" s="11"/>
      <c r="H53" s="11"/>
      <c r="I53" s="11"/>
      <c r="J53" s="11"/>
      <c r="K53" s="11"/>
      <c r="L53" s="11"/>
      <c r="M53" s="11"/>
      <c r="N53" s="11"/>
      <c r="O53" s="3"/>
    </row>
    <row r="54" spans="2:15" ht="15.75" customHeight="1" x14ac:dyDescent="0.3">
      <c r="B54" s="1"/>
      <c r="C54" s="16"/>
      <c r="D54" s="3"/>
      <c r="E54" s="3"/>
      <c r="F54" s="11"/>
      <c r="G54" s="11"/>
      <c r="H54" s="11"/>
      <c r="I54" s="11"/>
      <c r="J54" s="11"/>
      <c r="K54" s="11"/>
      <c r="L54" s="11"/>
      <c r="M54" s="11"/>
      <c r="N54" s="11"/>
      <c r="O54" s="3"/>
    </row>
    <row r="55" spans="2:15" ht="15.75" customHeight="1" x14ac:dyDescent="0.3">
      <c r="B55" s="1"/>
      <c r="C55" s="16"/>
      <c r="D55" s="3"/>
      <c r="E55" s="3"/>
      <c r="F55" s="11"/>
      <c r="G55" s="11"/>
      <c r="H55" s="11"/>
      <c r="I55" s="11"/>
      <c r="J55" s="11"/>
      <c r="K55" s="11"/>
      <c r="L55" s="11"/>
      <c r="M55" s="11"/>
      <c r="N55" s="11"/>
      <c r="O55" s="3"/>
    </row>
    <row r="56" spans="2:15" ht="15.75" customHeight="1" x14ac:dyDescent="0.3">
      <c r="B56" s="1"/>
      <c r="C56" s="16"/>
      <c r="D56" s="3"/>
      <c r="E56" s="3"/>
      <c r="F56" s="11"/>
      <c r="G56" s="11"/>
      <c r="H56" s="11"/>
      <c r="I56" s="11"/>
      <c r="J56" s="11"/>
      <c r="K56" s="11"/>
      <c r="L56" s="11"/>
      <c r="M56" s="11"/>
      <c r="N56" s="11"/>
      <c r="O56" s="3"/>
    </row>
    <row r="57" spans="2:15" ht="15.75" customHeight="1" x14ac:dyDescent="0.3">
      <c r="B57" s="1"/>
      <c r="F57" s="1"/>
      <c r="G57" s="1"/>
      <c r="H57" s="1"/>
      <c r="I57" s="1"/>
      <c r="J57" s="1"/>
      <c r="K57" s="1"/>
      <c r="L57" s="1"/>
      <c r="M57" s="1"/>
      <c r="N57" s="1"/>
    </row>
    <row r="58" spans="2:15" ht="15.75" customHeight="1" x14ac:dyDescent="0.3">
      <c r="B58" s="1"/>
      <c r="F58" s="1"/>
      <c r="G58" s="1"/>
      <c r="H58" s="1"/>
      <c r="I58" s="1"/>
      <c r="J58" s="1"/>
      <c r="K58" s="1"/>
      <c r="L58" s="1"/>
      <c r="M58" s="1"/>
      <c r="N58" s="1"/>
    </row>
    <row r="59" spans="2:15" ht="15.75" customHeight="1" x14ac:dyDescent="0.3">
      <c r="B59" s="1"/>
      <c r="F59" s="1"/>
      <c r="G59" s="1"/>
      <c r="H59" s="1"/>
      <c r="I59" s="1"/>
      <c r="J59" s="1"/>
      <c r="K59" s="1"/>
      <c r="L59" s="1"/>
      <c r="M59" s="1"/>
      <c r="N59" s="1"/>
    </row>
    <row r="60" spans="2:15" ht="15.75" customHeight="1" x14ac:dyDescent="0.3">
      <c r="B60" s="1"/>
      <c r="F60" s="1"/>
      <c r="G60" s="1"/>
      <c r="H60" s="1"/>
      <c r="I60" s="1"/>
      <c r="J60" s="1"/>
      <c r="K60" s="1"/>
      <c r="L60" s="1"/>
      <c r="M60" s="1"/>
      <c r="N60" s="1"/>
    </row>
    <row r="61" spans="2:15" ht="15.75" customHeight="1" x14ac:dyDescent="0.3">
      <c r="B61" s="1"/>
      <c r="F61" s="1"/>
      <c r="G61" s="1"/>
      <c r="H61" s="1"/>
      <c r="I61" s="1"/>
      <c r="J61" s="1"/>
      <c r="K61" s="1"/>
      <c r="L61" s="1"/>
      <c r="M61" s="1"/>
      <c r="N61" s="1"/>
    </row>
    <row r="62" spans="2:15" ht="15.75" customHeight="1" x14ac:dyDescent="0.3">
      <c r="B62" s="1"/>
      <c r="F62" s="1"/>
      <c r="G62" s="1"/>
      <c r="H62" s="1"/>
      <c r="I62" s="1"/>
      <c r="J62" s="1"/>
      <c r="K62" s="1"/>
      <c r="L62" s="1"/>
      <c r="M62" s="1"/>
      <c r="N62" s="1"/>
    </row>
    <row r="63" spans="2:15" ht="15.75" customHeight="1" x14ac:dyDescent="0.3">
      <c r="B63" s="1"/>
      <c r="F63" s="1"/>
      <c r="G63" s="1"/>
      <c r="H63" s="1"/>
      <c r="I63" s="1"/>
      <c r="J63" s="1"/>
      <c r="K63" s="1"/>
      <c r="L63" s="1"/>
      <c r="M63" s="1"/>
      <c r="N63" s="1"/>
    </row>
    <row r="64" spans="2:15" ht="15.75" customHeight="1" x14ac:dyDescent="0.3">
      <c r="B64" s="1"/>
      <c r="F64" s="1"/>
      <c r="G64" s="1"/>
      <c r="H64" s="1"/>
      <c r="I64" s="1"/>
      <c r="J64" s="1"/>
      <c r="K64" s="1"/>
      <c r="L64" s="1"/>
      <c r="M64" s="1"/>
      <c r="N64" s="1"/>
    </row>
    <row r="65" spans="2:14" ht="15.75" customHeight="1" x14ac:dyDescent="0.3">
      <c r="B65" s="1"/>
      <c r="F65" s="1"/>
      <c r="G65" s="1"/>
      <c r="H65" s="1"/>
      <c r="I65" s="1"/>
      <c r="J65" s="1"/>
      <c r="K65" s="1"/>
      <c r="L65" s="1"/>
      <c r="M65" s="1"/>
      <c r="N65" s="1"/>
    </row>
    <row r="66" spans="2:14" ht="15.75" customHeight="1" x14ac:dyDescent="0.3">
      <c r="B66" s="1"/>
      <c r="F66" s="1"/>
      <c r="G66" s="1"/>
      <c r="H66" s="1"/>
      <c r="I66" s="1"/>
      <c r="J66" s="1"/>
      <c r="K66" s="1"/>
      <c r="L66" s="1"/>
      <c r="M66" s="1"/>
      <c r="N66" s="1"/>
    </row>
    <row r="67" spans="2:14" ht="15.75" customHeight="1" x14ac:dyDescent="0.3">
      <c r="B67" s="1"/>
      <c r="F67" s="1"/>
      <c r="G67" s="1"/>
      <c r="H67" s="1"/>
      <c r="I67" s="1"/>
      <c r="J67" s="1"/>
      <c r="K67" s="1"/>
      <c r="L67" s="1"/>
      <c r="M67" s="1"/>
      <c r="N67" s="1"/>
    </row>
    <row r="68" spans="2:14" ht="15.75" customHeight="1" x14ac:dyDescent="0.3">
      <c r="B68" s="1"/>
      <c r="F68" s="1"/>
      <c r="G68" s="1"/>
      <c r="H68" s="1"/>
      <c r="I68" s="1"/>
      <c r="J68" s="1"/>
      <c r="K68" s="1"/>
      <c r="L68" s="1"/>
      <c r="M68" s="1"/>
      <c r="N68" s="1"/>
    </row>
    <row r="69" spans="2:14" ht="15.75" customHeight="1" x14ac:dyDescent="0.3">
      <c r="B69" s="1"/>
      <c r="F69" s="1"/>
      <c r="G69" s="1"/>
      <c r="H69" s="1"/>
      <c r="I69" s="1"/>
      <c r="J69" s="1"/>
      <c r="K69" s="1"/>
      <c r="L69" s="1"/>
      <c r="M69" s="1"/>
      <c r="N69" s="1"/>
    </row>
    <row r="70" spans="2:14" ht="15.75" customHeight="1" x14ac:dyDescent="0.3">
      <c r="B70" s="1"/>
      <c r="F70" s="1"/>
      <c r="G70" s="1"/>
      <c r="H70" s="1"/>
      <c r="I70" s="1"/>
      <c r="J70" s="1"/>
      <c r="K70" s="1"/>
      <c r="L70" s="1"/>
      <c r="M70" s="1"/>
      <c r="N70" s="1"/>
    </row>
    <row r="71" spans="2:14" ht="15.75" customHeight="1" x14ac:dyDescent="0.3">
      <c r="B71" s="1"/>
      <c r="F71" s="1"/>
      <c r="G71" s="1"/>
      <c r="H71" s="1"/>
      <c r="I71" s="1"/>
      <c r="J71" s="1"/>
      <c r="K71" s="1"/>
      <c r="L71" s="1"/>
      <c r="M71" s="1"/>
      <c r="N71" s="1"/>
    </row>
    <row r="72" spans="2:14" ht="15.75" customHeight="1" x14ac:dyDescent="0.3">
      <c r="B72" s="1"/>
      <c r="F72" s="1"/>
      <c r="G72" s="1"/>
      <c r="H72" s="1"/>
      <c r="I72" s="1"/>
      <c r="J72" s="1"/>
      <c r="K72" s="1"/>
      <c r="L72" s="1"/>
      <c r="M72" s="1"/>
      <c r="N72" s="1"/>
    </row>
    <row r="73" spans="2:14" ht="15.75" customHeight="1" x14ac:dyDescent="0.3">
      <c r="B73" s="1"/>
      <c r="F73" s="1"/>
      <c r="G73" s="1"/>
      <c r="H73" s="1"/>
      <c r="I73" s="1"/>
      <c r="J73" s="1"/>
      <c r="K73" s="1"/>
      <c r="L73" s="1"/>
      <c r="M73" s="1"/>
      <c r="N73" s="1"/>
    </row>
    <row r="74" spans="2:14" ht="15.75" customHeight="1" x14ac:dyDescent="0.3">
      <c r="B74" s="1"/>
      <c r="F74" s="1"/>
      <c r="G74" s="1"/>
      <c r="H74" s="1"/>
      <c r="I74" s="1"/>
      <c r="J74" s="1"/>
      <c r="K74" s="1"/>
      <c r="L74" s="1"/>
      <c r="M74" s="1"/>
      <c r="N74" s="1"/>
    </row>
    <row r="75" spans="2:14" ht="15.75" customHeight="1" x14ac:dyDescent="0.3">
      <c r="B75" s="1"/>
      <c r="F75" s="1"/>
      <c r="G75" s="1"/>
      <c r="H75" s="1"/>
      <c r="I75" s="1"/>
      <c r="J75" s="1"/>
      <c r="K75" s="1"/>
      <c r="L75" s="1"/>
      <c r="M75" s="1"/>
      <c r="N75" s="1"/>
    </row>
    <row r="76" spans="2:14" ht="15.75" customHeight="1" x14ac:dyDescent="0.3">
      <c r="B76" s="1"/>
      <c r="F76" s="1"/>
      <c r="G76" s="1"/>
      <c r="H76" s="1"/>
      <c r="I76" s="1"/>
      <c r="J76" s="1"/>
      <c r="K76" s="1"/>
      <c r="L76" s="1"/>
      <c r="M76" s="1"/>
      <c r="N76" s="1"/>
    </row>
    <row r="77" spans="2:14" ht="15.75" customHeight="1" x14ac:dyDescent="0.3">
      <c r="B77" s="1"/>
      <c r="F77" s="1"/>
      <c r="G77" s="1"/>
      <c r="H77" s="1"/>
      <c r="I77" s="1"/>
      <c r="J77" s="1"/>
      <c r="K77" s="1"/>
      <c r="L77" s="1"/>
      <c r="M77" s="1"/>
      <c r="N77" s="1"/>
    </row>
    <row r="78" spans="2:14" ht="15.75" customHeight="1" x14ac:dyDescent="0.3">
      <c r="B78" s="1"/>
      <c r="F78" s="1"/>
      <c r="G78" s="1"/>
      <c r="H78" s="1"/>
      <c r="I78" s="1"/>
      <c r="J78" s="1"/>
      <c r="K78" s="1"/>
      <c r="L78" s="1"/>
      <c r="M78" s="1"/>
      <c r="N78" s="1"/>
    </row>
    <row r="79" spans="2:14" ht="15.75" customHeight="1" x14ac:dyDescent="0.3">
      <c r="B79" s="1"/>
      <c r="F79" s="1"/>
      <c r="G79" s="1"/>
      <c r="H79" s="1"/>
      <c r="I79" s="1"/>
      <c r="J79" s="1"/>
      <c r="K79" s="1"/>
      <c r="L79" s="1"/>
      <c r="M79" s="1"/>
      <c r="N79" s="1"/>
    </row>
    <row r="80" spans="2:14" ht="15.75" customHeight="1" x14ac:dyDescent="0.3">
      <c r="B80" s="1"/>
      <c r="F80" s="1"/>
      <c r="G80" s="1"/>
      <c r="H80" s="1"/>
      <c r="I80" s="1"/>
      <c r="J80" s="1"/>
      <c r="K80" s="1"/>
      <c r="L80" s="1"/>
      <c r="M80" s="1"/>
      <c r="N80" s="1"/>
    </row>
    <row r="81" spans="2:14" ht="15.75" customHeight="1" x14ac:dyDescent="0.3">
      <c r="B81" s="1"/>
      <c r="F81" s="1"/>
      <c r="G81" s="1"/>
      <c r="H81" s="1"/>
      <c r="I81" s="1"/>
      <c r="J81" s="1"/>
      <c r="K81" s="1"/>
      <c r="L81" s="1"/>
      <c r="M81" s="1"/>
      <c r="N81" s="1"/>
    </row>
    <row r="82" spans="2:14" ht="15.75" customHeight="1" x14ac:dyDescent="0.3">
      <c r="B82" s="1"/>
      <c r="F82" s="1"/>
      <c r="G82" s="1"/>
      <c r="H82" s="1"/>
      <c r="I82" s="1"/>
      <c r="J82" s="1"/>
      <c r="K82" s="1"/>
      <c r="L82" s="1"/>
      <c r="M82" s="1"/>
      <c r="N82" s="1"/>
    </row>
    <row r="83" spans="2:14" ht="15.75" customHeight="1" x14ac:dyDescent="0.3">
      <c r="B83" s="1"/>
      <c r="F83" s="1"/>
      <c r="G83" s="1"/>
      <c r="H83" s="1"/>
      <c r="I83" s="1"/>
      <c r="J83" s="1"/>
      <c r="K83" s="1"/>
      <c r="L83" s="1"/>
      <c r="M83" s="1"/>
      <c r="N83" s="1"/>
    </row>
    <row r="84" spans="2:14" ht="15.75" customHeight="1" x14ac:dyDescent="0.3">
      <c r="B84" s="1"/>
      <c r="F84" s="1"/>
      <c r="G84" s="1"/>
      <c r="H84" s="1"/>
      <c r="I84" s="1"/>
      <c r="J84" s="1"/>
      <c r="K84" s="1"/>
      <c r="L84" s="1"/>
      <c r="M84" s="1"/>
      <c r="N84" s="1"/>
    </row>
    <row r="85" spans="2:14" ht="15.75" customHeight="1" x14ac:dyDescent="0.3">
      <c r="B85" s="1"/>
      <c r="F85" s="1"/>
      <c r="G85" s="1"/>
      <c r="H85" s="1"/>
      <c r="I85" s="1"/>
      <c r="J85" s="1"/>
      <c r="K85" s="1"/>
      <c r="L85" s="1"/>
      <c r="M85" s="1"/>
      <c r="N85" s="1"/>
    </row>
    <row r="86" spans="2:14" ht="15.75" customHeight="1" x14ac:dyDescent="0.3">
      <c r="B86" s="1"/>
      <c r="F86" s="1"/>
      <c r="G86" s="1"/>
      <c r="H86" s="1"/>
      <c r="I86" s="1"/>
      <c r="J86" s="1"/>
      <c r="K86" s="1"/>
      <c r="L86" s="1"/>
      <c r="M86" s="1"/>
      <c r="N86" s="1"/>
    </row>
    <row r="87" spans="2:14" ht="15.75" customHeight="1" x14ac:dyDescent="0.3">
      <c r="B87" s="1"/>
      <c r="F87" s="1"/>
      <c r="G87" s="1"/>
      <c r="H87" s="1"/>
      <c r="I87" s="1"/>
      <c r="J87" s="1"/>
      <c r="K87" s="1"/>
      <c r="L87" s="1"/>
      <c r="M87" s="1"/>
      <c r="N87" s="1"/>
    </row>
    <row r="88" spans="2:14" ht="15.75" customHeight="1" x14ac:dyDescent="0.3">
      <c r="B88" s="1"/>
      <c r="F88" s="1"/>
      <c r="G88" s="1"/>
      <c r="H88" s="1"/>
      <c r="I88" s="1"/>
      <c r="J88" s="1"/>
      <c r="K88" s="1"/>
      <c r="L88" s="1"/>
      <c r="M88" s="1"/>
      <c r="N88" s="1"/>
    </row>
    <row r="89" spans="2:14" ht="15.75" customHeight="1" x14ac:dyDescent="0.3">
      <c r="B89" s="1"/>
      <c r="F89" s="1"/>
      <c r="G89" s="1"/>
      <c r="H89" s="1"/>
      <c r="I89" s="1"/>
      <c r="J89" s="1"/>
      <c r="K89" s="1"/>
      <c r="L89" s="1"/>
      <c r="M89" s="1"/>
      <c r="N89" s="1"/>
    </row>
    <row r="90" spans="2:14" ht="15.75" customHeight="1" x14ac:dyDescent="0.3">
      <c r="B90" s="1"/>
      <c r="F90" s="1"/>
      <c r="G90" s="1"/>
      <c r="H90" s="1"/>
      <c r="I90" s="1"/>
      <c r="J90" s="1"/>
      <c r="K90" s="1"/>
      <c r="L90" s="1"/>
      <c r="M90" s="1"/>
      <c r="N90" s="1"/>
    </row>
    <row r="91" spans="2:14" ht="15.75" customHeight="1" x14ac:dyDescent="0.3">
      <c r="B91" s="1"/>
      <c r="F91" s="1"/>
      <c r="G91" s="1"/>
      <c r="H91" s="1"/>
      <c r="I91" s="1"/>
      <c r="J91" s="1"/>
      <c r="K91" s="1"/>
      <c r="L91" s="1"/>
      <c r="M91" s="1"/>
      <c r="N91" s="1"/>
    </row>
    <row r="92" spans="2:14" ht="15.75" customHeight="1" x14ac:dyDescent="0.3">
      <c r="B92" s="1"/>
      <c r="F92" s="1"/>
      <c r="G92" s="1"/>
      <c r="H92" s="1"/>
      <c r="I92" s="1"/>
      <c r="J92" s="1"/>
      <c r="K92" s="1"/>
      <c r="L92" s="1"/>
      <c r="M92" s="1"/>
      <c r="N92" s="1"/>
    </row>
    <row r="93" spans="2:14" ht="15.75" customHeight="1" x14ac:dyDescent="0.3">
      <c r="B93" s="1"/>
      <c r="F93" s="1"/>
      <c r="G93" s="1"/>
      <c r="H93" s="1"/>
      <c r="I93" s="1"/>
      <c r="J93" s="1"/>
      <c r="K93" s="1"/>
      <c r="L93" s="1"/>
      <c r="M93" s="1"/>
      <c r="N93" s="1"/>
    </row>
    <row r="94" spans="2:14" ht="15.75" customHeight="1" x14ac:dyDescent="0.3">
      <c r="B94" s="1"/>
      <c r="F94" s="1"/>
      <c r="G94" s="1"/>
      <c r="H94" s="1"/>
      <c r="I94" s="1"/>
      <c r="J94" s="1"/>
      <c r="K94" s="1"/>
      <c r="L94" s="1"/>
      <c r="M94" s="1"/>
      <c r="N94" s="1"/>
    </row>
    <row r="95" spans="2:14" ht="15.75" customHeight="1" x14ac:dyDescent="0.3">
      <c r="B95" s="1"/>
      <c r="F95" s="1"/>
      <c r="G95" s="1"/>
      <c r="H95" s="1"/>
      <c r="I95" s="1"/>
      <c r="J95" s="1"/>
      <c r="K95" s="1"/>
      <c r="L95" s="1"/>
      <c r="M95" s="1"/>
      <c r="N95" s="1"/>
    </row>
    <row r="96" spans="2:14" ht="15.75" customHeight="1" x14ac:dyDescent="0.3">
      <c r="B96" s="1"/>
      <c r="F96" s="1"/>
      <c r="G96" s="1"/>
      <c r="H96" s="1"/>
      <c r="I96" s="1"/>
      <c r="J96" s="1"/>
      <c r="K96" s="1"/>
      <c r="L96" s="1"/>
      <c r="M96" s="1"/>
      <c r="N96" s="1"/>
    </row>
    <row r="97" spans="2:14" ht="15.75" customHeight="1" x14ac:dyDescent="0.3">
      <c r="B97" s="1"/>
      <c r="F97" s="1"/>
      <c r="G97" s="1"/>
      <c r="H97" s="1"/>
      <c r="I97" s="1"/>
      <c r="J97" s="1"/>
      <c r="K97" s="1"/>
      <c r="L97" s="1"/>
      <c r="M97" s="1"/>
      <c r="N97" s="1"/>
    </row>
    <row r="98" spans="2:14" ht="15.75" customHeight="1" x14ac:dyDescent="0.3">
      <c r="B98" s="1"/>
      <c r="F98" s="1"/>
      <c r="G98" s="1"/>
      <c r="H98" s="1"/>
      <c r="I98" s="1"/>
      <c r="J98" s="1"/>
      <c r="K98" s="1"/>
      <c r="L98" s="1"/>
      <c r="M98" s="1"/>
      <c r="N98" s="1"/>
    </row>
    <row r="99" spans="2:14" ht="15.75" customHeight="1" x14ac:dyDescent="0.3">
      <c r="B99" s="1"/>
      <c r="F99" s="1"/>
      <c r="G99" s="1"/>
      <c r="H99" s="1"/>
      <c r="I99" s="1"/>
      <c r="J99" s="1"/>
      <c r="K99" s="1"/>
      <c r="L99" s="1"/>
      <c r="M99" s="1"/>
      <c r="N99" s="1"/>
    </row>
    <row r="100" spans="2:14" ht="15.75" customHeight="1" x14ac:dyDescent="0.3">
      <c r="B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2:14" ht="15.75" customHeight="1" x14ac:dyDescent="0.3">
      <c r="B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2:14" ht="15.75" customHeight="1" x14ac:dyDescent="0.3">
      <c r="B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2:14" ht="15.75" customHeight="1" x14ac:dyDescent="0.3">
      <c r="B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2:14" ht="15.75" customHeight="1" x14ac:dyDescent="0.3">
      <c r="B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2:14" ht="15.75" customHeight="1" x14ac:dyDescent="0.3">
      <c r="B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2:14" ht="15.75" customHeight="1" x14ac:dyDescent="0.3">
      <c r="B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2:14" ht="15.75" customHeight="1" x14ac:dyDescent="0.3">
      <c r="B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2:14" ht="15.75" customHeight="1" x14ac:dyDescent="0.3">
      <c r="B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2:14" ht="15.75" customHeight="1" x14ac:dyDescent="0.3">
      <c r="B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2:14" ht="15.75" customHeight="1" x14ac:dyDescent="0.3">
      <c r="B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2:14" ht="15.75" customHeight="1" x14ac:dyDescent="0.3">
      <c r="B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2:14" ht="15.75" customHeight="1" x14ac:dyDescent="0.3">
      <c r="B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2:14" ht="15.75" customHeight="1" x14ac:dyDescent="0.3">
      <c r="B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2:14" ht="15.75" customHeight="1" x14ac:dyDescent="0.3">
      <c r="B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2:14" ht="15.75" customHeight="1" x14ac:dyDescent="0.3">
      <c r="B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2:14" ht="15.75" customHeight="1" x14ac:dyDescent="0.3">
      <c r="B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2:14" ht="15.75" customHeight="1" x14ac:dyDescent="0.3">
      <c r="B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2:14" ht="15.75" customHeight="1" x14ac:dyDescent="0.3">
      <c r="B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2:14" ht="15.75" customHeight="1" x14ac:dyDescent="0.3">
      <c r="B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2:14" ht="15.75" customHeight="1" x14ac:dyDescent="0.3">
      <c r="B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2:14" ht="15.75" customHeight="1" x14ac:dyDescent="0.3">
      <c r="B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2:14" ht="15.75" customHeight="1" x14ac:dyDescent="0.3">
      <c r="B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2:14" ht="15.75" customHeight="1" x14ac:dyDescent="0.3">
      <c r="B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2:14" ht="15.75" customHeight="1" x14ac:dyDescent="0.3">
      <c r="B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2:14" ht="15.75" customHeight="1" x14ac:dyDescent="0.3">
      <c r="B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2:14" ht="15.75" customHeight="1" x14ac:dyDescent="0.3">
      <c r="B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2:14" ht="15.75" customHeight="1" x14ac:dyDescent="0.3">
      <c r="B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2:14" ht="15.75" customHeight="1" x14ac:dyDescent="0.3">
      <c r="B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2:14" ht="15.75" customHeight="1" x14ac:dyDescent="0.3">
      <c r="B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2:14" ht="15.75" customHeight="1" x14ac:dyDescent="0.3">
      <c r="B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2:14" ht="15.75" customHeight="1" x14ac:dyDescent="0.3">
      <c r="B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2:14" ht="15.75" customHeight="1" x14ac:dyDescent="0.3">
      <c r="B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2:14" ht="15.75" customHeight="1" x14ac:dyDescent="0.3">
      <c r="B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2:14" ht="15.75" customHeight="1" x14ac:dyDescent="0.3">
      <c r="B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2:14" ht="15.75" customHeight="1" x14ac:dyDescent="0.3">
      <c r="B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2:14" ht="15.75" customHeight="1" x14ac:dyDescent="0.3">
      <c r="B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2:14" ht="15.75" customHeight="1" x14ac:dyDescent="0.3">
      <c r="B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2:14" ht="15.75" customHeight="1" x14ac:dyDescent="0.3">
      <c r="B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2:14" ht="15.75" customHeight="1" x14ac:dyDescent="0.3">
      <c r="B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2:14" ht="15.75" customHeight="1" x14ac:dyDescent="0.3">
      <c r="B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2:14" ht="15.75" customHeight="1" x14ac:dyDescent="0.3">
      <c r="B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2:14" ht="15.75" customHeight="1" x14ac:dyDescent="0.3">
      <c r="B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2:14" ht="15.75" customHeight="1" x14ac:dyDescent="0.3">
      <c r="B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2:14" ht="15.75" customHeight="1" x14ac:dyDescent="0.3">
      <c r="B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2:14" ht="15.75" customHeight="1" x14ac:dyDescent="0.3">
      <c r="B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2:14" ht="15.75" customHeight="1" x14ac:dyDescent="0.3">
      <c r="B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2:14" ht="15.75" customHeight="1" x14ac:dyDescent="0.3">
      <c r="B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2:14" ht="15.75" customHeight="1" x14ac:dyDescent="0.3">
      <c r="B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2:14" ht="15.75" customHeight="1" x14ac:dyDescent="0.3">
      <c r="B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2:14" ht="15.75" customHeight="1" x14ac:dyDescent="0.3">
      <c r="B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2:14" ht="15.75" customHeight="1" x14ac:dyDescent="0.3">
      <c r="B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2:14" ht="15.75" customHeight="1" x14ac:dyDescent="0.3">
      <c r="B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2:14" ht="15.75" customHeight="1" x14ac:dyDescent="0.3">
      <c r="B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2:14" ht="15.75" customHeight="1" x14ac:dyDescent="0.3">
      <c r="B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2:14" ht="15.75" customHeight="1" x14ac:dyDescent="0.3">
      <c r="B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2:14" ht="15.75" customHeight="1" x14ac:dyDescent="0.3">
      <c r="B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2:14" ht="15.75" customHeight="1" x14ac:dyDescent="0.3">
      <c r="B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2:14" ht="15.75" customHeight="1" x14ac:dyDescent="0.3">
      <c r="B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2:14" ht="15.75" customHeight="1" x14ac:dyDescent="0.3">
      <c r="B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2:14" ht="15.75" customHeight="1" x14ac:dyDescent="0.3">
      <c r="B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2:14" ht="15.75" customHeight="1" x14ac:dyDescent="0.3">
      <c r="B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2:14" ht="15.75" customHeight="1" x14ac:dyDescent="0.3">
      <c r="B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2:14" ht="15.75" customHeight="1" x14ac:dyDescent="0.3">
      <c r="B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2:14" ht="15.75" customHeight="1" x14ac:dyDescent="0.3">
      <c r="B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2:14" ht="15.75" customHeight="1" x14ac:dyDescent="0.3">
      <c r="B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2:14" ht="15.75" customHeight="1" x14ac:dyDescent="0.3">
      <c r="B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2:14" ht="15.75" customHeight="1" x14ac:dyDescent="0.3">
      <c r="B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2:14" ht="15.75" customHeight="1" x14ac:dyDescent="0.3">
      <c r="B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2:14" ht="15.75" customHeight="1" x14ac:dyDescent="0.3">
      <c r="B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2:14" ht="15.75" customHeight="1" x14ac:dyDescent="0.3">
      <c r="B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2:14" ht="15.75" customHeight="1" x14ac:dyDescent="0.3">
      <c r="B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2:14" ht="15.75" customHeight="1" x14ac:dyDescent="0.3">
      <c r="B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2:14" ht="15.75" customHeight="1" x14ac:dyDescent="0.3">
      <c r="B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2:14" ht="15.75" customHeight="1" x14ac:dyDescent="0.3">
      <c r="B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2:14" ht="15.75" customHeight="1" x14ac:dyDescent="0.3">
      <c r="B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2:14" ht="15.75" customHeight="1" x14ac:dyDescent="0.3">
      <c r="B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2:14" ht="15.75" customHeight="1" x14ac:dyDescent="0.3">
      <c r="B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2:14" ht="15.75" customHeight="1" x14ac:dyDescent="0.3">
      <c r="B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2:14" ht="15.75" customHeight="1" x14ac:dyDescent="0.3">
      <c r="B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2:14" ht="15.75" customHeight="1" x14ac:dyDescent="0.3">
      <c r="B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2:14" ht="15.75" customHeight="1" x14ac:dyDescent="0.3">
      <c r="B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2:14" ht="15.75" customHeight="1" x14ac:dyDescent="0.3">
      <c r="B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2:14" ht="15.75" customHeight="1" x14ac:dyDescent="0.3">
      <c r="B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2:14" ht="15.75" customHeight="1" x14ac:dyDescent="0.3">
      <c r="B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2:14" ht="15.75" customHeight="1" x14ac:dyDescent="0.3">
      <c r="B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2:14" ht="15.75" customHeight="1" x14ac:dyDescent="0.3">
      <c r="B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2:14" ht="15.75" customHeight="1" x14ac:dyDescent="0.3">
      <c r="B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2:14" ht="15.75" customHeight="1" x14ac:dyDescent="0.3">
      <c r="B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2:14" ht="15.75" customHeight="1" x14ac:dyDescent="0.3">
      <c r="B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2:14" ht="15.75" customHeight="1" x14ac:dyDescent="0.3">
      <c r="B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2:14" ht="15.75" customHeight="1" x14ac:dyDescent="0.3">
      <c r="B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2:14" ht="15.75" customHeight="1" x14ac:dyDescent="0.3">
      <c r="B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2:14" ht="15.75" customHeight="1" x14ac:dyDescent="0.3">
      <c r="B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2:14" ht="15.75" customHeight="1" x14ac:dyDescent="0.3">
      <c r="B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2:14" ht="15.75" customHeight="1" x14ac:dyDescent="0.3">
      <c r="B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2:14" ht="15.75" customHeight="1" x14ac:dyDescent="0.3">
      <c r="B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2:14" ht="15.75" customHeight="1" x14ac:dyDescent="0.3">
      <c r="B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2:14" ht="15.75" customHeight="1" x14ac:dyDescent="0.3">
      <c r="B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2:14" ht="15.75" customHeight="1" x14ac:dyDescent="0.3">
      <c r="B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2:14" ht="15.75" customHeight="1" x14ac:dyDescent="0.3">
      <c r="B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2:14" ht="15.75" customHeight="1" x14ac:dyDescent="0.3">
      <c r="B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2:14" ht="15.75" customHeight="1" x14ac:dyDescent="0.3">
      <c r="B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2:14" ht="15.75" customHeight="1" x14ac:dyDescent="0.3">
      <c r="B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2:14" ht="15.75" customHeight="1" x14ac:dyDescent="0.3">
      <c r="B204" s="1"/>
      <c r="F204" s="1"/>
      <c r="G204" s="1"/>
      <c r="H204" s="1"/>
      <c r="I204" s="1"/>
      <c r="J204" s="1"/>
      <c r="K204" s="1"/>
      <c r="L204" s="1"/>
      <c r="M204" s="1"/>
      <c r="N204" s="1"/>
    </row>
    <row r="205" spans="2:14" ht="15.75" customHeight="1" x14ac:dyDescent="0.3">
      <c r="B205" s="1"/>
      <c r="F205" s="1"/>
      <c r="G205" s="1"/>
      <c r="H205" s="1"/>
      <c r="I205" s="1"/>
      <c r="J205" s="1"/>
      <c r="K205" s="1"/>
      <c r="L205" s="1"/>
      <c r="M205" s="1"/>
      <c r="N205" s="1"/>
    </row>
    <row r="206" spans="2:14" ht="15.75" customHeight="1" x14ac:dyDescent="0.3">
      <c r="B206" s="1"/>
      <c r="F206" s="1"/>
      <c r="G206" s="1"/>
      <c r="H206" s="1"/>
      <c r="I206" s="1"/>
      <c r="J206" s="1"/>
      <c r="K206" s="1"/>
      <c r="L206" s="1"/>
      <c r="M206" s="1"/>
      <c r="N206" s="1"/>
    </row>
    <row r="207" spans="2:14" ht="15.75" customHeight="1" x14ac:dyDescent="0.3">
      <c r="B207" s="1"/>
      <c r="F207" s="1"/>
      <c r="G207" s="1"/>
      <c r="H207" s="1"/>
      <c r="I207" s="1"/>
      <c r="J207" s="1"/>
      <c r="K207" s="1"/>
      <c r="L207" s="1"/>
      <c r="M207" s="1"/>
      <c r="N207" s="1"/>
    </row>
    <row r="208" spans="2:14" ht="15.75" customHeight="1" x14ac:dyDescent="0.3">
      <c r="B208" s="1"/>
      <c r="F208" s="1"/>
      <c r="G208" s="1"/>
      <c r="H208" s="1"/>
      <c r="I208" s="1"/>
      <c r="J208" s="1"/>
      <c r="K208" s="1"/>
      <c r="L208" s="1"/>
      <c r="M208" s="1"/>
      <c r="N208" s="1"/>
    </row>
    <row r="209" spans="2:14" ht="15.75" customHeight="1" x14ac:dyDescent="0.3">
      <c r="B209" s="1"/>
      <c r="F209" s="1"/>
      <c r="G209" s="1"/>
      <c r="H209" s="1"/>
      <c r="I209" s="1"/>
      <c r="J209" s="1"/>
      <c r="K209" s="1"/>
      <c r="L209" s="1"/>
      <c r="M209" s="1"/>
      <c r="N209" s="1"/>
    </row>
    <row r="210" spans="2:14" ht="15.75" customHeight="1" x14ac:dyDescent="0.3">
      <c r="B210" s="1"/>
      <c r="F210" s="1"/>
      <c r="G210" s="1"/>
      <c r="H210" s="1"/>
      <c r="I210" s="1"/>
      <c r="J210" s="1"/>
      <c r="K210" s="1"/>
      <c r="L210" s="1"/>
      <c r="M210" s="1"/>
      <c r="N210" s="1"/>
    </row>
    <row r="211" spans="2:14" ht="15.75" customHeight="1" x14ac:dyDescent="0.3">
      <c r="B211" s="1"/>
      <c r="F211" s="1"/>
      <c r="G211" s="1"/>
      <c r="H211" s="1"/>
      <c r="I211" s="1"/>
      <c r="J211" s="1"/>
      <c r="K211" s="1"/>
      <c r="L211" s="1"/>
      <c r="M211" s="1"/>
      <c r="N211" s="1"/>
    </row>
    <row r="212" spans="2:14" ht="15.75" customHeight="1" x14ac:dyDescent="0.3">
      <c r="B212" s="1"/>
      <c r="F212" s="1"/>
      <c r="G212" s="1"/>
      <c r="H212" s="1"/>
      <c r="I212" s="1"/>
      <c r="J212" s="1"/>
      <c r="K212" s="1"/>
      <c r="L212" s="1"/>
      <c r="M212" s="1"/>
      <c r="N212" s="1"/>
    </row>
    <row r="213" spans="2:14" ht="15.75" customHeight="1" x14ac:dyDescent="0.3">
      <c r="B213" s="1"/>
      <c r="F213" s="1"/>
      <c r="G213" s="1"/>
      <c r="H213" s="1"/>
      <c r="I213" s="1"/>
      <c r="J213" s="1"/>
      <c r="K213" s="1"/>
      <c r="L213" s="1"/>
      <c r="M213" s="1"/>
      <c r="N213" s="1"/>
    </row>
    <row r="214" spans="2:14" ht="15.75" customHeight="1" x14ac:dyDescent="0.3">
      <c r="B214" s="1"/>
      <c r="F214" s="1"/>
      <c r="G214" s="1"/>
      <c r="H214" s="1"/>
      <c r="I214" s="1"/>
      <c r="J214" s="1"/>
      <c r="K214" s="1"/>
      <c r="L214" s="1"/>
      <c r="M214" s="1"/>
      <c r="N214" s="1"/>
    </row>
    <row r="215" spans="2:14" ht="15.75" customHeight="1" x14ac:dyDescent="0.3">
      <c r="B215" s="1"/>
      <c r="F215" s="1"/>
      <c r="G215" s="1"/>
      <c r="H215" s="1"/>
      <c r="I215" s="1"/>
      <c r="J215" s="1"/>
      <c r="K215" s="1"/>
      <c r="L215" s="1"/>
      <c r="M215" s="1"/>
      <c r="N215" s="1"/>
    </row>
    <row r="216" spans="2:14" ht="15.75" customHeight="1" x14ac:dyDescent="0.3">
      <c r="B216" s="1"/>
      <c r="F216" s="1"/>
      <c r="G216" s="1"/>
      <c r="H216" s="1"/>
      <c r="I216" s="1"/>
      <c r="J216" s="1"/>
      <c r="K216" s="1"/>
      <c r="L216" s="1"/>
      <c r="M216" s="1"/>
      <c r="N216" s="1"/>
    </row>
    <row r="217" spans="2:14" ht="15.75" customHeight="1" x14ac:dyDescent="0.3">
      <c r="B217" s="1"/>
      <c r="F217" s="1"/>
      <c r="G217" s="1"/>
      <c r="H217" s="1"/>
      <c r="I217" s="1"/>
      <c r="J217" s="1"/>
      <c r="K217" s="1"/>
      <c r="L217" s="1"/>
      <c r="M217" s="1"/>
      <c r="N217" s="1"/>
    </row>
    <row r="218" spans="2:14" ht="15.75" customHeight="1" x14ac:dyDescent="0.3">
      <c r="B218" s="1"/>
      <c r="F218" s="1"/>
      <c r="G218" s="1"/>
      <c r="H218" s="1"/>
      <c r="I218" s="1"/>
      <c r="J218" s="1"/>
      <c r="K218" s="1"/>
      <c r="L218" s="1"/>
      <c r="M218" s="1"/>
      <c r="N218" s="1"/>
    </row>
    <row r="219" spans="2:14" ht="15.75" customHeight="1" x14ac:dyDescent="0.3">
      <c r="B219" s="1"/>
      <c r="F219" s="1"/>
      <c r="G219" s="1"/>
      <c r="H219" s="1"/>
      <c r="I219" s="1"/>
      <c r="J219" s="1"/>
      <c r="K219" s="1"/>
      <c r="L219" s="1"/>
      <c r="M219" s="1"/>
      <c r="N219" s="1"/>
    </row>
    <row r="220" spans="2:14" ht="15.75" customHeight="1" x14ac:dyDescent="0.3">
      <c r="B220" s="1"/>
      <c r="F220" s="1"/>
      <c r="G220" s="1"/>
      <c r="H220" s="1"/>
      <c r="I220" s="1"/>
      <c r="J220" s="1"/>
      <c r="K220" s="1"/>
      <c r="L220" s="1"/>
      <c r="M220" s="1"/>
      <c r="N220" s="1"/>
    </row>
    <row r="221" spans="2:14" ht="15.75" customHeight="1" x14ac:dyDescent="0.3">
      <c r="B221" s="1"/>
      <c r="F221" s="1"/>
      <c r="G221" s="1"/>
      <c r="H221" s="1"/>
      <c r="I221" s="1"/>
      <c r="J221" s="1"/>
      <c r="K221" s="1"/>
      <c r="L221" s="1"/>
      <c r="M221" s="1"/>
      <c r="N221" s="1"/>
    </row>
    <row r="222" spans="2:14" ht="15.75" customHeight="1" x14ac:dyDescent="0.3"/>
    <row r="223" spans="2:14" ht="15.75" customHeight="1" x14ac:dyDescent="0.3"/>
    <row r="224" spans="2:1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C5:O10" xr:uid="{00000000-0009-0000-0000-000001000000}"/>
  <mergeCells count="11">
    <mergeCell ref="C2:O2"/>
    <mergeCell ref="H3:H4"/>
    <mergeCell ref="I3:I4"/>
    <mergeCell ref="J3:K3"/>
    <mergeCell ref="L3:N3"/>
    <mergeCell ref="G3:G4"/>
    <mergeCell ref="C3:C4"/>
    <mergeCell ref="D3:D4"/>
    <mergeCell ref="E3:E4"/>
    <mergeCell ref="F3:F4"/>
    <mergeCell ref="O3:O4"/>
  </mergeCells>
  <pageMargins left="0.511811024" right="0.511811024" top="0.78740157499999996" bottom="0.78740157499999996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999"/>
  <sheetViews>
    <sheetView showGridLines="0" workbookViewId="0">
      <pane xSplit="1" ySplit="4" topLeftCell="B34" activePane="bottomRight" state="frozen"/>
      <selection pane="topRight" activeCell="B1" sqref="B1"/>
      <selection pane="bottomLeft" activeCell="A6" sqref="A6"/>
      <selection pane="bottomRight" activeCell="B36" sqref="B36"/>
    </sheetView>
  </sheetViews>
  <sheetFormatPr defaultColWidth="14.44140625" defaultRowHeight="15" customHeight="1" x14ac:dyDescent="0.3"/>
  <cols>
    <col min="1" max="1" width="3.88671875" customWidth="1"/>
    <col min="2" max="2" width="11" customWidth="1"/>
    <col min="3" max="3" width="11.6640625" customWidth="1"/>
    <col min="4" max="4" width="12.5546875" customWidth="1"/>
    <col min="5" max="5" width="9.6640625" customWidth="1"/>
    <col min="6" max="6" width="8.88671875" customWidth="1"/>
    <col min="7" max="7" width="11.5546875" customWidth="1"/>
    <col min="8" max="8" width="9.33203125" style="54" customWidth="1"/>
    <col min="9" max="9" width="12" customWidth="1"/>
    <col min="10" max="10" width="12.109375" customWidth="1"/>
    <col min="11" max="11" width="13.5546875" customWidth="1"/>
    <col min="12" max="13" width="10" customWidth="1"/>
    <col min="14" max="15" width="10.44140625" customWidth="1"/>
    <col min="16" max="16" width="28.44140625" bestFit="1" customWidth="1"/>
  </cols>
  <sheetData>
    <row r="1" spans="1:16" ht="17.399999999999999" customHeight="1" x14ac:dyDescent="0.3">
      <c r="E1" s="4"/>
      <c r="F1" s="4"/>
      <c r="G1" s="4"/>
      <c r="J1" s="4"/>
      <c r="K1" s="4"/>
      <c r="L1" s="4"/>
      <c r="M1" s="4"/>
    </row>
    <row r="2" spans="1:16" ht="30" customHeight="1" x14ac:dyDescent="0.3">
      <c r="A2" s="344" t="s">
        <v>79</v>
      </c>
      <c r="B2" s="351" t="s">
        <v>78</v>
      </c>
      <c r="C2" s="351" t="s">
        <v>10</v>
      </c>
      <c r="D2" s="353" t="s">
        <v>11</v>
      </c>
      <c r="E2" s="354" t="s">
        <v>12</v>
      </c>
      <c r="F2" s="351" t="s">
        <v>13</v>
      </c>
      <c r="G2" s="356" t="s">
        <v>112</v>
      </c>
      <c r="H2" s="354" t="s">
        <v>111</v>
      </c>
      <c r="I2" s="354" t="s">
        <v>108</v>
      </c>
      <c r="J2" s="351" t="s">
        <v>109</v>
      </c>
      <c r="K2" s="354" t="s">
        <v>110</v>
      </c>
      <c r="L2" s="347" t="s">
        <v>113</v>
      </c>
      <c r="M2" s="348"/>
      <c r="N2" s="347" t="s">
        <v>18</v>
      </c>
      <c r="O2" s="348"/>
      <c r="P2" s="349" t="s">
        <v>14</v>
      </c>
    </row>
    <row r="3" spans="1:16" ht="15" customHeight="1" x14ac:dyDescent="0.3">
      <c r="A3" s="345"/>
      <c r="B3" s="352"/>
      <c r="C3" s="352"/>
      <c r="D3" s="352"/>
      <c r="E3" s="352"/>
      <c r="F3" s="355"/>
      <c r="G3" s="352"/>
      <c r="H3" s="357"/>
      <c r="I3" s="352"/>
      <c r="J3" s="355"/>
      <c r="K3" s="352"/>
      <c r="L3" s="28" t="s">
        <v>115</v>
      </c>
      <c r="M3" s="28" t="s">
        <v>114</v>
      </c>
      <c r="N3" s="29" t="s">
        <v>15</v>
      </c>
      <c r="O3" s="29" t="s">
        <v>16</v>
      </c>
      <c r="P3" s="350"/>
    </row>
    <row r="4" spans="1:16" ht="15" customHeight="1" x14ac:dyDescent="0.3">
      <c r="A4" s="346"/>
      <c r="B4" s="40" t="s">
        <v>133</v>
      </c>
      <c r="C4" s="40"/>
      <c r="D4" s="41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3"/>
    </row>
    <row r="5" spans="1:16" ht="14.4" x14ac:dyDescent="0.3">
      <c r="A5" s="59">
        <v>1</v>
      </c>
      <c r="B5" s="60" t="s">
        <v>260</v>
      </c>
      <c r="C5" s="7" t="s">
        <v>132</v>
      </c>
      <c r="D5" s="60" t="s">
        <v>134</v>
      </c>
      <c r="E5" s="62">
        <v>31</v>
      </c>
      <c r="F5" s="62">
        <v>24</v>
      </c>
      <c r="G5" s="62">
        <v>67.2</v>
      </c>
      <c r="H5" s="62">
        <v>17.489999999999998</v>
      </c>
      <c r="I5" s="62" t="s">
        <v>80</v>
      </c>
      <c r="J5" s="63">
        <f>(73+76+82)/3</f>
        <v>77</v>
      </c>
      <c r="K5" s="62" t="s">
        <v>147</v>
      </c>
      <c r="L5" s="64" t="s">
        <v>141</v>
      </c>
      <c r="M5" s="64" t="s">
        <v>142</v>
      </c>
      <c r="N5" s="62">
        <v>3.9</v>
      </c>
      <c r="O5" s="62">
        <v>3.6</v>
      </c>
      <c r="P5" s="60"/>
    </row>
    <row r="6" spans="1:16" ht="14.4" x14ac:dyDescent="0.3">
      <c r="A6" s="59">
        <v>2</v>
      </c>
      <c r="B6" s="60" t="s">
        <v>206</v>
      </c>
      <c r="C6" s="7" t="s">
        <v>132</v>
      </c>
      <c r="D6" s="60" t="s">
        <v>134</v>
      </c>
      <c r="E6" s="62">
        <v>36.4</v>
      </c>
      <c r="F6" s="62">
        <v>23.7</v>
      </c>
      <c r="G6" s="62">
        <v>63.2</v>
      </c>
      <c r="H6" s="62">
        <v>16.510000000000002</v>
      </c>
      <c r="I6" s="62" t="s">
        <v>80</v>
      </c>
      <c r="J6" s="63">
        <f>(76+74+63)/3</f>
        <v>71</v>
      </c>
      <c r="K6" s="62" t="s">
        <v>152</v>
      </c>
      <c r="L6" s="64" t="s">
        <v>141</v>
      </c>
      <c r="M6" s="64" t="s">
        <v>142</v>
      </c>
      <c r="N6" s="62" t="s">
        <v>135</v>
      </c>
      <c r="O6" s="62" t="s">
        <v>135</v>
      </c>
      <c r="P6" s="60"/>
    </row>
    <row r="7" spans="1:16" ht="14.4" x14ac:dyDescent="0.3">
      <c r="A7" s="59">
        <v>3</v>
      </c>
      <c r="B7" s="60" t="s">
        <v>212</v>
      </c>
      <c r="C7" s="7" t="s">
        <v>132</v>
      </c>
      <c r="D7" s="60" t="s">
        <v>134</v>
      </c>
      <c r="E7" s="62">
        <v>33</v>
      </c>
      <c r="F7" s="62">
        <v>25.6</v>
      </c>
      <c r="G7" s="62">
        <v>56.6</v>
      </c>
      <c r="H7" s="62">
        <v>16.53</v>
      </c>
      <c r="I7" s="62" t="s">
        <v>80</v>
      </c>
      <c r="J7" s="63">
        <f>(68+73+33)/3</f>
        <v>58</v>
      </c>
      <c r="K7" s="62" t="s">
        <v>147</v>
      </c>
      <c r="L7" s="64" t="s">
        <v>141</v>
      </c>
      <c r="M7" s="64" t="s">
        <v>142</v>
      </c>
      <c r="N7" s="62" t="s">
        <v>135</v>
      </c>
      <c r="O7" s="62" t="s">
        <v>135</v>
      </c>
      <c r="P7" s="60"/>
    </row>
    <row r="8" spans="1:16" ht="14.4" x14ac:dyDescent="0.3">
      <c r="A8" s="59">
        <v>4</v>
      </c>
      <c r="B8" s="60" t="s">
        <v>213</v>
      </c>
      <c r="C8" s="7" t="s">
        <v>132</v>
      </c>
      <c r="D8" s="60" t="s">
        <v>134</v>
      </c>
      <c r="E8" s="62">
        <v>36.200000000000003</v>
      </c>
      <c r="F8" s="62">
        <v>25.6</v>
      </c>
      <c r="G8" s="62">
        <v>56.6</v>
      </c>
      <c r="H8" s="62">
        <v>16.5</v>
      </c>
      <c r="I8" s="62" t="s">
        <v>80</v>
      </c>
      <c r="J8" s="63">
        <f>(70+74+68)/3</f>
        <v>70.666666666666671</v>
      </c>
      <c r="K8" s="62" t="s">
        <v>147</v>
      </c>
      <c r="L8" s="64" t="s">
        <v>141</v>
      </c>
      <c r="M8" s="64" t="s">
        <v>142</v>
      </c>
      <c r="N8" s="62" t="s">
        <v>135</v>
      </c>
      <c r="O8" s="62" t="s">
        <v>135</v>
      </c>
      <c r="P8" s="60"/>
    </row>
    <row r="9" spans="1:16" ht="14.4" x14ac:dyDescent="0.3">
      <c r="A9" s="59">
        <v>5</v>
      </c>
      <c r="B9" s="60" t="s">
        <v>214</v>
      </c>
      <c r="C9" s="7" t="s">
        <v>132</v>
      </c>
      <c r="D9" s="60" t="s">
        <v>134</v>
      </c>
      <c r="E9" s="62">
        <v>32.4</v>
      </c>
      <c r="F9" s="62">
        <v>26.9</v>
      </c>
      <c r="G9" s="62">
        <v>52.5</v>
      </c>
      <c r="H9" s="62">
        <v>16.29</v>
      </c>
      <c r="I9" s="62" t="s">
        <v>80</v>
      </c>
      <c r="J9" s="63">
        <f>(73+71+65)/3</f>
        <v>69.666666666666671</v>
      </c>
      <c r="K9" s="62" t="s">
        <v>148</v>
      </c>
      <c r="L9" s="64" t="s">
        <v>141</v>
      </c>
      <c r="M9" s="64" t="s">
        <v>142</v>
      </c>
      <c r="N9" s="62" t="s">
        <v>135</v>
      </c>
      <c r="O9" s="62" t="s">
        <v>135</v>
      </c>
      <c r="P9" s="60"/>
    </row>
    <row r="10" spans="1:16" ht="14.4" x14ac:dyDescent="0.3">
      <c r="A10" s="59">
        <v>6</v>
      </c>
      <c r="B10" s="60" t="s">
        <v>254</v>
      </c>
      <c r="C10" s="7" t="s">
        <v>132</v>
      </c>
      <c r="D10" s="60" t="s">
        <v>134</v>
      </c>
      <c r="E10" s="62">
        <v>36</v>
      </c>
      <c r="F10" s="62">
        <v>27.7</v>
      </c>
      <c r="G10" s="62">
        <v>50.5</v>
      </c>
      <c r="H10" s="62">
        <v>16.59</v>
      </c>
      <c r="I10" s="62" t="s">
        <v>80</v>
      </c>
      <c r="J10" s="63">
        <f>(75+59+67)/3</f>
        <v>67</v>
      </c>
      <c r="K10" s="62" t="s">
        <v>147</v>
      </c>
      <c r="L10" s="64" t="s">
        <v>141</v>
      </c>
      <c r="M10" s="64" t="s">
        <v>142</v>
      </c>
      <c r="N10" s="62" t="s">
        <v>135</v>
      </c>
      <c r="O10" s="62" t="s">
        <v>135</v>
      </c>
      <c r="P10" s="60"/>
    </row>
    <row r="11" spans="1:16" ht="14.4" x14ac:dyDescent="0.3">
      <c r="A11" s="59">
        <v>7</v>
      </c>
      <c r="B11" s="60" t="s">
        <v>256</v>
      </c>
      <c r="C11" s="7" t="s">
        <v>132</v>
      </c>
      <c r="D11" s="60" t="s">
        <v>134</v>
      </c>
      <c r="E11" s="62">
        <v>36</v>
      </c>
      <c r="F11" s="62">
        <v>27.7</v>
      </c>
      <c r="G11" s="62">
        <v>50.5</v>
      </c>
      <c r="H11" s="62">
        <v>16.59</v>
      </c>
      <c r="I11" s="62" t="s">
        <v>80</v>
      </c>
      <c r="J11" s="63">
        <f>(73+74+69)/3</f>
        <v>72</v>
      </c>
      <c r="K11" s="62" t="s">
        <v>147</v>
      </c>
      <c r="L11" s="64" t="s">
        <v>141</v>
      </c>
      <c r="M11" s="64" t="s">
        <v>142</v>
      </c>
      <c r="N11" s="62" t="s">
        <v>135</v>
      </c>
      <c r="O11" s="62" t="s">
        <v>135</v>
      </c>
      <c r="P11" s="60"/>
    </row>
    <row r="12" spans="1:16" ht="14.4" x14ac:dyDescent="0.3">
      <c r="A12" s="59">
        <v>8</v>
      </c>
      <c r="B12" s="60" t="s">
        <v>257</v>
      </c>
      <c r="C12" s="7" t="s">
        <v>132</v>
      </c>
      <c r="D12" s="60" t="s">
        <v>134</v>
      </c>
      <c r="E12" s="62">
        <v>36.1</v>
      </c>
      <c r="F12" s="62">
        <v>27.5</v>
      </c>
      <c r="G12" s="62">
        <v>48.2</v>
      </c>
      <c r="H12" s="62">
        <v>15.95</v>
      </c>
      <c r="I12" s="62" t="s">
        <v>80</v>
      </c>
      <c r="J12" s="63">
        <f>(69+70+75)/3</f>
        <v>71.333333333333329</v>
      </c>
      <c r="K12" s="62" t="s">
        <v>144</v>
      </c>
      <c r="L12" s="64" t="s">
        <v>141</v>
      </c>
      <c r="M12" s="64" t="s">
        <v>142</v>
      </c>
      <c r="N12" s="62" t="s">
        <v>135</v>
      </c>
      <c r="O12" s="62" t="s">
        <v>135</v>
      </c>
      <c r="P12" s="60"/>
    </row>
    <row r="13" spans="1:16" ht="14.4" x14ac:dyDescent="0.3">
      <c r="A13" s="59">
        <v>9</v>
      </c>
      <c r="B13" s="61" t="s">
        <v>270</v>
      </c>
      <c r="C13" s="7" t="s">
        <v>132</v>
      </c>
      <c r="D13" s="60" t="s">
        <v>134</v>
      </c>
      <c r="E13" s="62">
        <v>35.5</v>
      </c>
      <c r="F13" s="62">
        <v>28.5</v>
      </c>
      <c r="G13" s="62">
        <v>45.9</v>
      </c>
      <c r="H13" s="62">
        <v>15.85</v>
      </c>
      <c r="I13" s="62" t="s">
        <v>80</v>
      </c>
      <c r="J13" s="63">
        <f>(68+71+71)/3</f>
        <v>70</v>
      </c>
      <c r="K13" s="62" t="s">
        <v>146</v>
      </c>
      <c r="L13" s="64" t="s">
        <v>141</v>
      </c>
      <c r="M13" s="64" t="s">
        <v>142</v>
      </c>
      <c r="N13" s="62" t="s">
        <v>135</v>
      </c>
      <c r="O13" s="62" t="s">
        <v>135</v>
      </c>
      <c r="P13" s="60"/>
    </row>
    <row r="14" spans="1:16" ht="14.4" x14ac:dyDescent="0.3">
      <c r="A14" s="59">
        <v>10</v>
      </c>
      <c r="B14" s="60" t="s">
        <v>309</v>
      </c>
      <c r="C14" s="7" t="s">
        <v>132</v>
      </c>
      <c r="D14" s="60" t="s">
        <v>134</v>
      </c>
      <c r="E14" s="60">
        <v>35.6</v>
      </c>
      <c r="F14" s="62">
        <v>27.9</v>
      </c>
      <c r="G14" s="62">
        <v>50.2</v>
      </c>
      <c r="H14" s="62">
        <v>16.59</v>
      </c>
      <c r="I14" s="62" t="s">
        <v>80</v>
      </c>
      <c r="J14" s="63">
        <f>(68+60+66)/3</f>
        <v>64.666666666666671</v>
      </c>
      <c r="K14" s="62" t="s">
        <v>143</v>
      </c>
      <c r="L14" s="64" t="s">
        <v>141</v>
      </c>
      <c r="M14" s="64" t="s">
        <v>142</v>
      </c>
      <c r="N14" s="62" t="s">
        <v>135</v>
      </c>
      <c r="O14" s="62" t="s">
        <v>135</v>
      </c>
      <c r="P14" s="60"/>
    </row>
    <row r="15" spans="1:16" ht="14.4" x14ac:dyDescent="0.3">
      <c r="A15" s="59">
        <v>11</v>
      </c>
      <c r="B15" s="60" t="s">
        <v>310</v>
      </c>
      <c r="C15" s="7" t="s">
        <v>132</v>
      </c>
      <c r="D15" s="60" t="s">
        <v>134</v>
      </c>
      <c r="E15" s="62">
        <v>37.200000000000003</v>
      </c>
      <c r="F15" s="62">
        <v>27.7</v>
      </c>
      <c r="G15" s="62">
        <v>48.8</v>
      </c>
      <c r="H15" s="62">
        <v>15.95</v>
      </c>
      <c r="I15" s="62" t="s">
        <v>80</v>
      </c>
      <c r="J15" s="63">
        <f>(72+63+74)/3</f>
        <v>69.666666666666671</v>
      </c>
      <c r="K15" s="62" t="s">
        <v>152</v>
      </c>
      <c r="L15" s="64" t="s">
        <v>141</v>
      </c>
      <c r="M15" s="64" t="s">
        <v>142</v>
      </c>
      <c r="N15" s="62" t="s">
        <v>135</v>
      </c>
      <c r="O15" s="62" t="s">
        <v>135</v>
      </c>
      <c r="P15" s="60"/>
    </row>
    <row r="16" spans="1:16" ht="14.4" x14ac:dyDescent="0.3">
      <c r="A16" s="59">
        <v>12</v>
      </c>
      <c r="B16" s="58" t="s">
        <v>311</v>
      </c>
      <c r="C16" s="7" t="s">
        <v>132</v>
      </c>
      <c r="D16" s="60" t="s">
        <v>134</v>
      </c>
      <c r="E16" s="60">
        <v>37.299999999999997</v>
      </c>
      <c r="F16" s="62">
        <v>28.7</v>
      </c>
      <c r="G16" s="62">
        <v>47</v>
      </c>
      <c r="H16" s="62">
        <v>16.53</v>
      </c>
      <c r="I16" s="62" t="s">
        <v>80</v>
      </c>
      <c r="J16" s="63">
        <f>(69+70+61)/3</f>
        <v>66.666666666666671</v>
      </c>
      <c r="K16" s="62" t="s">
        <v>153</v>
      </c>
      <c r="L16" s="64" t="s">
        <v>141</v>
      </c>
      <c r="M16" s="64" t="s">
        <v>142</v>
      </c>
      <c r="N16" s="62" t="s">
        <v>135</v>
      </c>
      <c r="O16" s="62" t="s">
        <v>135</v>
      </c>
      <c r="P16" s="60"/>
    </row>
    <row r="17" spans="1:16" ht="14.4" x14ac:dyDescent="0.3">
      <c r="A17" s="59">
        <v>13</v>
      </c>
      <c r="B17" s="58" t="s">
        <v>252</v>
      </c>
      <c r="C17" s="7" t="s">
        <v>132</v>
      </c>
      <c r="D17" s="60" t="s">
        <v>134</v>
      </c>
      <c r="E17" s="60">
        <v>39.5</v>
      </c>
      <c r="F17" s="62">
        <v>28.7</v>
      </c>
      <c r="G17" s="62">
        <v>47</v>
      </c>
      <c r="H17" s="62">
        <v>16.53</v>
      </c>
      <c r="I17" s="62" t="s">
        <v>80</v>
      </c>
      <c r="J17" s="63">
        <f>(77+69+72)/3</f>
        <v>72.666666666666671</v>
      </c>
      <c r="K17" s="62" t="s">
        <v>154</v>
      </c>
      <c r="L17" s="64" t="s">
        <v>141</v>
      </c>
      <c r="M17" s="64" t="s">
        <v>142</v>
      </c>
      <c r="N17" s="62" t="s">
        <v>135</v>
      </c>
      <c r="O17" s="62" t="s">
        <v>135</v>
      </c>
      <c r="P17" s="60"/>
    </row>
    <row r="18" spans="1:16" ht="14.4" x14ac:dyDescent="0.3">
      <c r="A18" s="59">
        <v>14</v>
      </c>
      <c r="B18" s="58" t="s">
        <v>253</v>
      </c>
      <c r="C18" s="7" t="s">
        <v>132</v>
      </c>
      <c r="D18" s="60" t="s">
        <v>134</v>
      </c>
      <c r="E18" s="60">
        <v>42.6</v>
      </c>
      <c r="F18" s="60">
        <v>29.2</v>
      </c>
      <c r="G18" s="62">
        <v>46</v>
      </c>
      <c r="H18" s="62">
        <v>16.190000000000001</v>
      </c>
      <c r="I18" s="62" t="s">
        <v>80</v>
      </c>
      <c r="J18" s="63">
        <f>(71+65+69)/3</f>
        <v>68.333333333333329</v>
      </c>
      <c r="K18" s="62" t="s">
        <v>147</v>
      </c>
      <c r="L18" s="64" t="s">
        <v>141</v>
      </c>
      <c r="M18" s="64" t="s">
        <v>142</v>
      </c>
      <c r="N18" s="62" t="s">
        <v>135</v>
      </c>
      <c r="O18" s="62" t="s">
        <v>135</v>
      </c>
      <c r="P18" s="62"/>
    </row>
    <row r="19" spans="1:16" ht="14.4" x14ac:dyDescent="0.3">
      <c r="A19" s="59">
        <v>15</v>
      </c>
      <c r="B19" s="58" t="s">
        <v>218</v>
      </c>
      <c r="C19" s="7" t="s">
        <v>132</v>
      </c>
      <c r="D19" s="60" t="s">
        <v>134</v>
      </c>
      <c r="E19" s="60">
        <v>41.1</v>
      </c>
      <c r="F19" s="60">
        <v>29.5</v>
      </c>
      <c r="G19" s="62">
        <v>48.5</v>
      </c>
      <c r="H19" s="62">
        <v>17.77</v>
      </c>
      <c r="I19" s="62" t="s">
        <v>80</v>
      </c>
      <c r="J19" s="63">
        <f>(63+65+61)/3</f>
        <v>63</v>
      </c>
      <c r="K19" s="62" t="s">
        <v>147</v>
      </c>
      <c r="L19" s="64" t="s">
        <v>141</v>
      </c>
      <c r="M19" s="64" t="s">
        <v>142</v>
      </c>
      <c r="N19" s="62" t="s">
        <v>135</v>
      </c>
      <c r="O19" s="62" t="s">
        <v>135</v>
      </c>
      <c r="P19" s="62"/>
    </row>
    <row r="20" spans="1:16" ht="15.75" customHeight="1" x14ac:dyDescent="0.3">
      <c r="A20" s="59">
        <v>16</v>
      </c>
      <c r="B20" s="58" t="s">
        <v>231</v>
      </c>
      <c r="C20" s="7" t="s">
        <v>132</v>
      </c>
      <c r="D20" s="60" t="s">
        <v>134</v>
      </c>
      <c r="E20" s="58">
        <v>39.299999999999997</v>
      </c>
      <c r="F20" s="58">
        <v>28.5</v>
      </c>
      <c r="G20" s="65">
        <v>47.1</v>
      </c>
      <c r="H20" s="65">
        <v>16.53</v>
      </c>
      <c r="I20" s="62" t="s">
        <v>80</v>
      </c>
      <c r="J20" s="63">
        <f>(58+69+76)/3</f>
        <v>67.666666666666671</v>
      </c>
      <c r="K20" s="62" t="s">
        <v>147</v>
      </c>
      <c r="L20" s="64" t="s">
        <v>141</v>
      </c>
      <c r="M20" s="64" t="s">
        <v>142</v>
      </c>
      <c r="N20" s="62" t="s">
        <v>135</v>
      </c>
      <c r="O20" s="62" t="s">
        <v>135</v>
      </c>
      <c r="P20" s="67"/>
    </row>
    <row r="21" spans="1:16" ht="15.75" customHeight="1" x14ac:dyDescent="0.3">
      <c r="A21" s="59">
        <v>17</v>
      </c>
      <c r="B21" s="58" t="s">
        <v>312</v>
      </c>
      <c r="C21" s="7" t="s">
        <v>132</v>
      </c>
      <c r="D21" s="71" t="s">
        <v>275</v>
      </c>
      <c r="E21" s="58">
        <v>40.4</v>
      </c>
      <c r="F21" s="65">
        <v>28.5</v>
      </c>
      <c r="G21" s="65">
        <v>47.1</v>
      </c>
      <c r="H21" s="65">
        <v>16.53</v>
      </c>
      <c r="I21" s="62" t="s">
        <v>80</v>
      </c>
      <c r="J21" s="63">
        <f>(76+82+66)/3</f>
        <v>74.666666666666671</v>
      </c>
      <c r="K21" s="62" t="s">
        <v>147</v>
      </c>
      <c r="L21" s="64" t="s">
        <v>141</v>
      </c>
      <c r="M21" s="64" t="s">
        <v>142</v>
      </c>
      <c r="N21" s="62" t="s">
        <v>135</v>
      </c>
      <c r="O21" s="62" t="s">
        <v>135</v>
      </c>
      <c r="P21" s="58" t="s">
        <v>387</v>
      </c>
    </row>
    <row r="22" spans="1:16" ht="15.75" customHeight="1" x14ac:dyDescent="0.3">
      <c r="A22" s="59">
        <v>18</v>
      </c>
      <c r="B22" s="58" t="s">
        <v>247</v>
      </c>
      <c r="C22" s="7" t="s">
        <v>132</v>
      </c>
      <c r="D22" s="60" t="s">
        <v>134</v>
      </c>
      <c r="E22" s="58">
        <v>41</v>
      </c>
      <c r="F22" s="58">
        <v>28.8</v>
      </c>
      <c r="G22" s="58">
        <v>48.7</v>
      </c>
      <c r="H22" s="58">
        <v>16.86</v>
      </c>
      <c r="I22" s="62" t="s">
        <v>80</v>
      </c>
      <c r="J22" s="63">
        <f>(64+71+67)/3</f>
        <v>67.333333333333329</v>
      </c>
      <c r="K22" s="62" t="s">
        <v>147</v>
      </c>
      <c r="L22" s="64" t="s">
        <v>141</v>
      </c>
      <c r="M22" s="64" t="s">
        <v>142</v>
      </c>
      <c r="N22" s="62" t="s">
        <v>135</v>
      </c>
      <c r="O22" s="62" t="s">
        <v>135</v>
      </c>
      <c r="P22" s="58"/>
    </row>
    <row r="23" spans="1:16" ht="15.75" customHeight="1" x14ac:dyDescent="0.3">
      <c r="A23" s="59">
        <v>19</v>
      </c>
      <c r="B23" s="58" t="s">
        <v>248</v>
      </c>
      <c r="C23" s="7" t="s">
        <v>132</v>
      </c>
      <c r="D23" s="60" t="s">
        <v>134</v>
      </c>
      <c r="E23" s="58">
        <v>39.799999999999997</v>
      </c>
      <c r="F23" s="58">
        <v>27</v>
      </c>
      <c r="G23" s="58">
        <v>49.8</v>
      </c>
      <c r="H23" s="58">
        <v>15.36</v>
      </c>
      <c r="I23" s="62" t="s">
        <v>80</v>
      </c>
      <c r="J23" s="63">
        <f>(76+60+68)/3</f>
        <v>68</v>
      </c>
      <c r="K23" s="62" t="s">
        <v>147</v>
      </c>
      <c r="L23" s="64" t="s">
        <v>141</v>
      </c>
      <c r="M23" s="64" t="s">
        <v>142</v>
      </c>
      <c r="N23" s="62" t="s">
        <v>135</v>
      </c>
      <c r="O23" s="62" t="s">
        <v>135</v>
      </c>
      <c r="P23" s="58"/>
    </row>
    <row r="24" spans="1:16" ht="15.75" customHeight="1" x14ac:dyDescent="0.3">
      <c r="A24" s="59">
        <v>20</v>
      </c>
      <c r="B24" s="58" t="s">
        <v>245</v>
      </c>
      <c r="C24" s="7" t="s">
        <v>132</v>
      </c>
      <c r="D24" s="60" t="s">
        <v>134</v>
      </c>
      <c r="E24" s="58">
        <v>39.700000000000003</v>
      </c>
      <c r="F24" s="58">
        <v>27.4</v>
      </c>
      <c r="G24" s="58">
        <v>47.3</v>
      </c>
      <c r="H24" s="58">
        <v>14.71</v>
      </c>
      <c r="I24" s="62" t="s">
        <v>80</v>
      </c>
      <c r="J24" s="63">
        <f>(73+71+74)/3</f>
        <v>72.666666666666671</v>
      </c>
      <c r="K24" s="62" t="s">
        <v>147</v>
      </c>
      <c r="L24" s="64" t="s">
        <v>141</v>
      </c>
      <c r="M24" s="64" t="s">
        <v>142</v>
      </c>
      <c r="N24" s="62" t="s">
        <v>135</v>
      </c>
      <c r="O24" s="62" t="s">
        <v>135</v>
      </c>
      <c r="P24" s="58"/>
    </row>
    <row r="25" spans="1:16" ht="15.75" customHeight="1" x14ac:dyDescent="0.3">
      <c r="A25" s="59">
        <v>21</v>
      </c>
      <c r="B25" s="58" t="s">
        <v>246</v>
      </c>
      <c r="C25" s="7" t="s">
        <v>132</v>
      </c>
      <c r="D25" s="60" t="s">
        <v>134</v>
      </c>
      <c r="E25" s="58">
        <v>41.2</v>
      </c>
      <c r="F25" s="58">
        <v>27.4</v>
      </c>
      <c r="G25" s="58">
        <v>47.3</v>
      </c>
      <c r="H25" s="58">
        <v>14.94</v>
      </c>
      <c r="I25" s="62" t="s">
        <v>80</v>
      </c>
      <c r="J25" s="63">
        <f>(70+67+68)/3</f>
        <v>68.333333333333329</v>
      </c>
      <c r="K25" s="62" t="s">
        <v>147</v>
      </c>
      <c r="L25" s="64" t="s">
        <v>141</v>
      </c>
      <c r="M25" s="64" t="s">
        <v>142</v>
      </c>
      <c r="N25" s="62" t="s">
        <v>135</v>
      </c>
      <c r="O25" s="62" t="s">
        <v>135</v>
      </c>
      <c r="P25" s="58"/>
    </row>
    <row r="26" spans="1:16" ht="15.75" customHeight="1" x14ac:dyDescent="0.3">
      <c r="A26" s="59">
        <v>22</v>
      </c>
      <c r="B26" s="58" t="s">
        <v>234</v>
      </c>
      <c r="C26" s="7" t="s">
        <v>132</v>
      </c>
      <c r="D26" s="60" t="s">
        <v>134</v>
      </c>
      <c r="E26" s="58">
        <v>39.799999999999997</v>
      </c>
      <c r="F26" s="58">
        <v>27.4</v>
      </c>
      <c r="G26" s="58">
        <v>45</v>
      </c>
      <c r="H26" s="58">
        <v>14.23</v>
      </c>
      <c r="I26" s="62" t="s">
        <v>80</v>
      </c>
      <c r="J26" s="63">
        <f>(76+63+73)/3</f>
        <v>70.666666666666671</v>
      </c>
      <c r="K26" s="62" t="s">
        <v>145</v>
      </c>
      <c r="L26" s="64" t="s">
        <v>141</v>
      </c>
      <c r="M26" s="64" t="s">
        <v>142</v>
      </c>
      <c r="N26" s="62" t="s">
        <v>135</v>
      </c>
      <c r="O26" s="62" t="s">
        <v>135</v>
      </c>
      <c r="P26" s="58"/>
    </row>
    <row r="27" spans="1:16" ht="15.75" customHeight="1" x14ac:dyDescent="0.3">
      <c r="A27" s="59">
        <v>23</v>
      </c>
      <c r="B27" s="58" t="s">
        <v>250</v>
      </c>
      <c r="C27" s="7" t="s">
        <v>132</v>
      </c>
      <c r="D27" s="60" t="s">
        <v>134</v>
      </c>
      <c r="E27" s="58">
        <v>41.7</v>
      </c>
      <c r="F27" s="58">
        <v>28.1</v>
      </c>
      <c r="G27" s="58">
        <v>43.3</v>
      </c>
      <c r="H27" s="58">
        <v>14.77</v>
      </c>
      <c r="I27" s="62" t="s">
        <v>80</v>
      </c>
      <c r="J27" s="63">
        <f>(72+68+74)/3</f>
        <v>71.333333333333329</v>
      </c>
      <c r="K27" s="62" t="s">
        <v>146</v>
      </c>
      <c r="L27" s="64" t="s">
        <v>141</v>
      </c>
      <c r="M27" s="64" t="s">
        <v>142</v>
      </c>
      <c r="N27" s="62" t="s">
        <v>135</v>
      </c>
      <c r="O27" s="62" t="s">
        <v>135</v>
      </c>
      <c r="P27" s="58"/>
    </row>
    <row r="28" spans="1:16" ht="15.75" customHeight="1" x14ac:dyDescent="0.3">
      <c r="A28" s="59">
        <v>24</v>
      </c>
      <c r="B28" s="58" t="s">
        <v>215</v>
      </c>
      <c r="C28" s="7" t="s">
        <v>132</v>
      </c>
      <c r="D28" s="60" t="s">
        <v>134</v>
      </c>
      <c r="E28" s="58">
        <v>39.1</v>
      </c>
      <c r="F28" s="58">
        <v>28.2</v>
      </c>
      <c r="G28" s="58">
        <v>42.2</v>
      </c>
      <c r="H28" s="58">
        <v>14.77</v>
      </c>
      <c r="I28" s="62" t="s">
        <v>80</v>
      </c>
      <c r="J28" s="63">
        <f>(65+80+72)/3</f>
        <v>72.333333333333329</v>
      </c>
      <c r="K28" s="62" t="s">
        <v>155</v>
      </c>
      <c r="L28" s="64" t="s">
        <v>141</v>
      </c>
      <c r="M28" s="64" t="s">
        <v>142</v>
      </c>
      <c r="N28" s="62" t="s">
        <v>135</v>
      </c>
      <c r="O28" s="62" t="s">
        <v>135</v>
      </c>
      <c r="P28" s="58"/>
    </row>
    <row r="29" spans="1:16" ht="15.75" customHeight="1" x14ac:dyDescent="0.3">
      <c r="A29" s="59">
        <v>25</v>
      </c>
      <c r="B29" s="58" t="s">
        <v>216</v>
      </c>
      <c r="C29" s="7" t="s">
        <v>132</v>
      </c>
      <c r="D29" s="60" t="s">
        <v>134</v>
      </c>
      <c r="E29" s="58">
        <v>40.5</v>
      </c>
      <c r="F29" s="58">
        <v>29</v>
      </c>
      <c r="G29" s="58">
        <v>42.2</v>
      </c>
      <c r="H29" s="58">
        <v>15.28</v>
      </c>
      <c r="I29" s="62" t="s">
        <v>80</v>
      </c>
      <c r="J29" s="63">
        <f>(70+69+71)/3</f>
        <v>70</v>
      </c>
      <c r="K29" s="62" t="s">
        <v>147</v>
      </c>
      <c r="L29" s="64" t="s">
        <v>141</v>
      </c>
      <c r="M29" s="64" t="s">
        <v>142</v>
      </c>
      <c r="N29" s="62" t="s">
        <v>135</v>
      </c>
      <c r="O29" s="62" t="s">
        <v>135</v>
      </c>
      <c r="P29" s="58"/>
    </row>
    <row r="30" spans="1:16" ht="15.75" customHeight="1" x14ac:dyDescent="0.3">
      <c r="A30" s="59">
        <v>26</v>
      </c>
      <c r="B30" s="58" t="s">
        <v>313</v>
      </c>
      <c r="C30" s="7" t="s">
        <v>132</v>
      </c>
      <c r="D30" s="71" t="s">
        <v>275</v>
      </c>
      <c r="E30" s="58">
        <v>39.299999999999997</v>
      </c>
      <c r="F30" s="58">
        <v>29</v>
      </c>
      <c r="G30" s="58">
        <v>46.2</v>
      </c>
      <c r="H30" s="58">
        <v>14.77</v>
      </c>
      <c r="I30" s="62" t="s">
        <v>80</v>
      </c>
      <c r="J30" s="63">
        <f>(69+68+93)/3</f>
        <v>76.666666666666671</v>
      </c>
      <c r="K30" s="62" t="s">
        <v>147</v>
      </c>
      <c r="L30" s="64" t="s">
        <v>141</v>
      </c>
      <c r="M30" s="64" t="s">
        <v>142</v>
      </c>
      <c r="N30" s="62" t="s">
        <v>135</v>
      </c>
      <c r="O30" s="62" t="s">
        <v>135</v>
      </c>
      <c r="P30" s="58" t="s">
        <v>387</v>
      </c>
    </row>
    <row r="31" spans="1:16" ht="15.75" customHeight="1" x14ac:dyDescent="0.3">
      <c r="A31" s="59">
        <v>27</v>
      </c>
      <c r="B31" s="58" t="s">
        <v>222</v>
      </c>
      <c r="C31" s="7" t="s">
        <v>132</v>
      </c>
      <c r="D31" s="60" t="s">
        <v>134</v>
      </c>
      <c r="E31" s="58">
        <v>38.9</v>
      </c>
      <c r="F31" s="58">
        <v>28.4</v>
      </c>
      <c r="G31" s="58">
        <v>42.9</v>
      </c>
      <c r="H31" s="58">
        <v>14.77</v>
      </c>
      <c r="I31" s="62" t="s">
        <v>80</v>
      </c>
      <c r="J31" s="63">
        <f>(72+62+61)/3</f>
        <v>65</v>
      </c>
      <c r="K31" s="58" t="s">
        <v>156</v>
      </c>
      <c r="L31" s="64" t="s">
        <v>141</v>
      </c>
      <c r="M31" s="64" t="s">
        <v>142</v>
      </c>
      <c r="N31" s="62" t="s">
        <v>135</v>
      </c>
      <c r="O31" s="62" t="s">
        <v>135</v>
      </c>
      <c r="P31" s="58"/>
    </row>
    <row r="32" spans="1:16" ht="15.75" customHeight="1" x14ac:dyDescent="0.3">
      <c r="A32" s="59">
        <v>28</v>
      </c>
      <c r="B32" s="58" t="s">
        <v>225</v>
      </c>
      <c r="C32" s="7" t="s">
        <v>132</v>
      </c>
      <c r="D32" s="60" t="s">
        <v>134</v>
      </c>
      <c r="E32" s="58">
        <v>42.2</v>
      </c>
      <c r="F32" s="58">
        <v>28.5</v>
      </c>
      <c r="G32" s="58">
        <v>42.5</v>
      </c>
      <c r="H32" s="58">
        <v>14.77</v>
      </c>
      <c r="I32" s="62" t="s">
        <v>80</v>
      </c>
      <c r="J32" s="63">
        <f>(75+61+69)/3</f>
        <v>68.333333333333329</v>
      </c>
      <c r="K32" s="58" t="s">
        <v>144</v>
      </c>
      <c r="L32" s="64" t="s">
        <v>141</v>
      </c>
      <c r="M32" s="64" t="s">
        <v>142</v>
      </c>
      <c r="N32" s="62" t="s">
        <v>135</v>
      </c>
      <c r="O32" s="62" t="s">
        <v>135</v>
      </c>
      <c r="P32" s="58"/>
    </row>
    <row r="33" spans="1:16" ht="15.75" customHeight="1" x14ac:dyDescent="0.3">
      <c r="A33" s="59">
        <v>29</v>
      </c>
      <c r="B33" s="58" t="s">
        <v>217</v>
      </c>
      <c r="C33" s="7" t="s">
        <v>132</v>
      </c>
      <c r="D33" s="60" t="s">
        <v>134</v>
      </c>
      <c r="E33" s="58">
        <v>43.3</v>
      </c>
      <c r="F33" s="58">
        <v>30.2</v>
      </c>
      <c r="G33" s="58">
        <v>47.8</v>
      </c>
      <c r="H33" s="58">
        <v>17.440000000000001</v>
      </c>
      <c r="I33" s="62" t="s">
        <v>80</v>
      </c>
      <c r="J33" s="63">
        <f>(70+80+68)/3</f>
        <v>72.666666666666671</v>
      </c>
      <c r="K33" s="58" t="s">
        <v>146</v>
      </c>
      <c r="L33" s="64" t="s">
        <v>141</v>
      </c>
      <c r="M33" s="64" t="s">
        <v>142</v>
      </c>
      <c r="N33" s="62" t="s">
        <v>135</v>
      </c>
      <c r="O33" s="62" t="s">
        <v>135</v>
      </c>
      <c r="P33" s="58"/>
    </row>
    <row r="34" spans="1:16" ht="15.75" customHeight="1" x14ac:dyDescent="0.3">
      <c r="A34" s="59">
        <v>30</v>
      </c>
      <c r="B34" s="58" t="s">
        <v>244</v>
      </c>
      <c r="C34" s="7" t="s">
        <v>132</v>
      </c>
      <c r="D34" s="60" t="s">
        <v>134</v>
      </c>
      <c r="E34" s="60">
        <v>39.5</v>
      </c>
      <c r="F34" s="60">
        <v>30.2</v>
      </c>
      <c r="G34" s="60">
        <v>47.8</v>
      </c>
      <c r="H34" s="60">
        <v>17.440000000000001</v>
      </c>
      <c r="I34" s="62" t="s">
        <v>80</v>
      </c>
      <c r="J34" s="63">
        <f>(58+70+61)/3</f>
        <v>63</v>
      </c>
      <c r="K34" s="60" t="s">
        <v>147</v>
      </c>
      <c r="L34" s="64" t="s">
        <v>141</v>
      </c>
      <c r="M34" s="64" t="s">
        <v>142</v>
      </c>
      <c r="N34" s="62" t="s">
        <v>135</v>
      </c>
      <c r="O34" s="62" t="s">
        <v>135</v>
      </c>
      <c r="P34" s="68"/>
    </row>
    <row r="35" spans="1:16" ht="15.75" customHeight="1" x14ac:dyDescent="0.3">
      <c r="A35" s="59">
        <v>31</v>
      </c>
      <c r="B35" s="58" t="s">
        <v>232</v>
      </c>
      <c r="C35" s="7" t="s">
        <v>132</v>
      </c>
      <c r="D35" s="60" t="s">
        <v>134</v>
      </c>
      <c r="E35" s="60">
        <v>40.1</v>
      </c>
      <c r="F35" s="60">
        <v>30.7</v>
      </c>
      <c r="G35" s="60">
        <v>42.1</v>
      </c>
      <c r="H35" s="60">
        <v>16.559999999999999</v>
      </c>
      <c r="I35" s="62" t="s">
        <v>80</v>
      </c>
      <c r="J35" s="63">
        <f>(75+61+62)/3</f>
        <v>66</v>
      </c>
      <c r="K35" s="60" t="s">
        <v>147</v>
      </c>
      <c r="L35" s="64" t="s">
        <v>141</v>
      </c>
      <c r="M35" s="64" t="s">
        <v>142</v>
      </c>
      <c r="N35" s="62" t="s">
        <v>135</v>
      </c>
      <c r="O35" s="62" t="s">
        <v>135</v>
      </c>
      <c r="P35" s="68"/>
    </row>
    <row r="36" spans="1:16" ht="15.75" customHeight="1" x14ac:dyDescent="0.3">
      <c r="A36" s="59">
        <v>32</v>
      </c>
      <c r="B36" s="58" t="s">
        <v>229</v>
      </c>
      <c r="C36" s="7" t="s">
        <v>132</v>
      </c>
      <c r="D36" s="60" t="s">
        <v>134</v>
      </c>
      <c r="E36" s="70">
        <v>40.4</v>
      </c>
      <c r="F36" s="70">
        <v>29.3</v>
      </c>
      <c r="G36" s="70">
        <v>43.6</v>
      </c>
      <c r="H36" s="72">
        <v>15.14</v>
      </c>
      <c r="I36" s="62" t="s">
        <v>80</v>
      </c>
      <c r="J36" s="63">
        <f>(60+75+66)/3</f>
        <v>67</v>
      </c>
      <c r="K36" s="60" t="s">
        <v>147</v>
      </c>
      <c r="L36" s="64" t="s">
        <v>141</v>
      </c>
      <c r="M36" s="64" t="s">
        <v>142</v>
      </c>
      <c r="N36" s="62" t="s">
        <v>135</v>
      </c>
      <c r="O36" s="62" t="s">
        <v>135</v>
      </c>
      <c r="P36" s="69"/>
    </row>
    <row r="37" spans="1:16" ht="15.75" customHeight="1" x14ac:dyDescent="0.3">
      <c r="A37" s="59">
        <v>33</v>
      </c>
      <c r="B37" s="58" t="s">
        <v>230</v>
      </c>
      <c r="C37" s="7" t="s">
        <v>132</v>
      </c>
      <c r="D37" s="60" t="s">
        <v>134</v>
      </c>
      <c r="E37" s="70">
        <v>39.4</v>
      </c>
      <c r="F37" s="70">
        <v>29.7</v>
      </c>
      <c r="G37" s="70">
        <v>40.5</v>
      </c>
      <c r="H37" s="72">
        <v>14.91</v>
      </c>
      <c r="I37" s="62" t="s">
        <v>80</v>
      </c>
      <c r="J37" s="63">
        <f>(61+78+73)/3</f>
        <v>70.666666666666671</v>
      </c>
      <c r="K37" s="60" t="s">
        <v>147</v>
      </c>
      <c r="L37" s="64" t="s">
        <v>141</v>
      </c>
      <c r="M37" s="64" t="s">
        <v>142</v>
      </c>
      <c r="N37" s="62" t="s">
        <v>135</v>
      </c>
      <c r="O37" s="62" t="s">
        <v>135</v>
      </c>
      <c r="P37" s="69"/>
    </row>
    <row r="38" spans="1:16" ht="15.75" customHeight="1" x14ac:dyDescent="0.3">
      <c r="A38" s="59">
        <v>34</v>
      </c>
      <c r="B38" s="58" t="s">
        <v>279</v>
      </c>
      <c r="C38" s="7" t="s">
        <v>132</v>
      </c>
      <c r="D38" s="60" t="s">
        <v>134</v>
      </c>
      <c r="E38" s="70">
        <v>42</v>
      </c>
      <c r="F38" s="70">
        <v>29.7</v>
      </c>
      <c r="G38" s="70">
        <v>40.5</v>
      </c>
      <c r="H38" s="72">
        <v>14.91</v>
      </c>
      <c r="I38" s="62" t="s">
        <v>80</v>
      </c>
      <c r="J38" s="63">
        <f>(54+63+67)/3</f>
        <v>61.333333333333336</v>
      </c>
      <c r="K38" s="60" t="s">
        <v>147</v>
      </c>
      <c r="L38" s="64" t="s">
        <v>141</v>
      </c>
      <c r="M38" s="64" t="s">
        <v>142</v>
      </c>
      <c r="N38" s="62" t="s">
        <v>135</v>
      </c>
      <c r="O38" s="62" t="s">
        <v>135</v>
      </c>
      <c r="P38" s="69"/>
    </row>
    <row r="39" spans="1:16" ht="15.75" customHeight="1" x14ac:dyDescent="0.3">
      <c r="A39" s="59">
        <v>35</v>
      </c>
      <c r="B39" s="60" t="s">
        <v>280</v>
      </c>
      <c r="C39" s="7" t="s">
        <v>132</v>
      </c>
      <c r="D39" s="60" t="s">
        <v>134</v>
      </c>
      <c r="E39" s="70">
        <v>41.3</v>
      </c>
      <c r="F39" s="70">
        <v>29.3</v>
      </c>
      <c r="G39" s="70">
        <v>40.299999999999997</v>
      </c>
      <c r="H39" s="72">
        <v>14.02</v>
      </c>
      <c r="I39" s="62" t="s">
        <v>80</v>
      </c>
      <c r="J39" s="63">
        <f>(68+57+66)/3</f>
        <v>63.666666666666664</v>
      </c>
      <c r="K39" s="60" t="s">
        <v>148</v>
      </c>
      <c r="L39" s="64" t="s">
        <v>141</v>
      </c>
      <c r="M39" s="64" t="s">
        <v>142</v>
      </c>
      <c r="N39" s="62" t="s">
        <v>135</v>
      </c>
      <c r="O39" s="62" t="s">
        <v>135</v>
      </c>
      <c r="P39" s="69"/>
    </row>
    <row r="40" spans="1:16" ht="15.75" customHeight="1" x14ac:dyDescent="0.3">
      <c r="A40" s="59">
        <v>36</v>
      </c>
      <c r="B40" s="60" t="s">
        <v>281</v>
      </c>
      <c r="C40" s="7" t="s">
        <v>132</v>
      </c>
      <c r="D40" s="60" t="s">
        <v>134</v>
      </c>
      <c r="E40" s="70">
        <v>41.1</v>
      </c>
      <c r="F40" s="70">
        <v>29</v>
      </c>
      <c r="G40" s="70">
        <v>40.6</v>
      </c>
      <c r="H40" s="72">
        <v>14.02</v>
      </c>
      <c r="I40" s="62" t="s">
        <v>80</v>
      </c>
      <c r="J40" s="63">
        <f>(75+68+74)/3</f>
        <v>72.333333333333329</v>
      </c>
      <c r="K40" s="60" t="s">
        <v>148</v>
      </c>
      <c r="L40" s="64" t="s">
        <v>141</v>
      </c>
      <c r="M40" s="64" t="s">
        <v>142</v>
      </c>
      <c r="N40" s="62" t="s">
        <v>135</v>
      </c>
      <c r="O40" s="62" t="s">
        <v>135</v>
      </c>
      <c r="P40" s="69"/>
    </row>
    <row r="41" spans="1:16" ht="15.75" customHeight="1" x14ac:dyDescent="0.3">
      <c r="A41" s="59">
        <v>37</v>
      </c>
      <c r="B41" s="60" t="s">
        <v>282</v>
      </c>
      <c r="C41" s="7" t="s">
        <v>132</v>
      </c>
      <c r="D41" s="60" t="s">
        <v>134</v>
      </c>
      <c r="E41" s="70">
        <v>38.200000000000003</v>
      </c>
      <c r="F41" s="70">
        <v>29.2</v>
      </c>
      <c r="G41" s="70">
        <v>40.9</v>
      </c>
      <c r="H41" s="72">
        <v>14.02</v>
      </c>
      <c r="I41" s="62" t="s">
        <v>80</v>
      </c>
      <c r="J41" s="63">
        <f>(59+60+68)/3</f>
        <v>62.333333333333336</v>
      </c>
      <c r="K41" s="60" t="s">
        <v>143</v>
      </c>
      <c r="L41" s="64" t="s">
        <v>141</v>
      </c>
      <c r="M41" s="64" t="s">
        <v>142</v>
      </c>
      <c r="N41" s="62" t="s">
        <v>135</v>
      </c>
      <c r="O41" s="62" t="s">
        <v>135</v>
      </c>
      <c r="P41" s="69"/>
    </row>
    <row r="42" spans="1:16" ht="15.75" customHeight="1" x14ac:dyDescent="0.3">
      <c r="A42" s="59">
        <v>38</v>
      </c>
      <c r="B42" s="60" t="s">
        <v>283</v>
      </c>
      <c r="C42" s="7" t="s">
        <v>132</v>
      </c>
      <c r="D42" s="60" t="s">
        <v>134</v>
      </c>
      <c r="E42" s="70">
        <v>38.700000000000003</v>
      </c>
      <c r="F42" s="70">
        <v>28.8</v>
      </c>
      <c r="G42" s="70">
        <v>41.5</v>
      </c>
      <c r="H42" s="72">
        <v>14.4</v>
      </c>
      <c r="I42" s="62" t="s">
        <v>80</v>
      </c>
      <c r="J42" s="63">
        <f>(72+83+71)/3</f>
        <v>75.333333333333329</v>
      </c>
      <c r="K42" s="60" t="s">
        <v>143</v>
      </c>
      <c r="L42" s="64" t="s">
        <v>141</v>
      </c>
      <c r="M42" s="64" t="s">
        <v>142</v>
      </c>
      <c r="N42" s="62" t="s">
        <v>135</v>
      </c>
      <c r="O42" s="62" t="s">
        <v>135</v>
      </c>
      <c r="P42" s="69"/>
    </row>
    <row r="43" spans="1:16" ht="15.75" customHeight="1" x14ac:dyDescent="0.3">
      <c r="A43" s="59">
        <v>39</v>
      </c>
      <c r="B43" s="60" t="s">
        <v>284</v>
      </c>
      <c r="C43" s="7" t="s">
        <v>132</v>
      </c>
      <c r="D43" s="60" t="s">
        <v>134</v>
      </c>
      <c r="E43" s="70">
        <v>38.700000000000003</v>
      </c>
      <c r="F43" s="70">
        <v>29.4</v>
      </c>
      <c r="G43" s="70">
        <v>40.6</v>
      </c>
      <c r="H43" s="72">
        <v>14.02</v>
      </c>
      <c r="I43" s="62" t="s">
        <v>80</v>
      </c>
      <c r="J43" s="63">
        <f>(73+62+73)/3</f>
        <v>69.333333333333329</v>
      </c>
      <c r="K43" s="60" t="s">
        <v>151</v>
      </c>
      <c r="L43" s="64" t="s">
        <v>141</v>
      </c>
      <c r="M43" s="64" t="s">
        <v>142</v>
      </c>
      <c r="N43" s="62" t="s">
        <v>135</v>
      </c>
      <c r="O43" s="62" t="s">
        <v>135</v>
      </c>
      <c r="P43" s="69"/>
    </row>
    <row r="44" spans="1:16" ht="15.75" customHeight="1" x14ac:dyDescent="0.3">
      <c r="A44" s="59">
        <v>40</v>
      </c>
      <c r="B44" s="60" t="s">
        <v>285</v>
      </c>
      <c r="C44" s="7" t="s">
        <v>132</v>
      </c>
      <c r="D44" s="60" t="s">
        <v>134</v>
      </c>
      <c r="E44" s="70">
        <v>38.200000000000003</v>
      </c>
      <c r="F44" s="70">
        <v>29.4</v>
      </c>
      <c r="G44" s="70">
        <v>40.6</v>
      </c>
      <c r="H44" s="72">
        <v>14.02</v>
      </c>
      <c r="I44" s="62" t="s">
        <v>80</v>
      </c>
      <c r="J44" s="63">
        <f>(74+82+81)/3</f>
        <v>79</v>
      </c>
      <c r="K44" s="60" t="s">
        <v>143</v>
      </c>
      <c r="L44" s="64" t="s">
        <v>141</v>
      </c>
      <c r="M44" s="64" t="s">
        <v>142</v>
      </c>
      <c r="N44" s="62" t="s">
        <v>135</v>
      </c>
      <c r="O44" s="62" t="s">
        <v>135</v>
      </c>
      <c r="P44" s="69"/>
    </row>
    <row r="45" spans="1:16" ht="15.75" customHeight="1" x14ac:dyDescent="0.3">
      <c r="A45" s="59">
        <v>41</v>
      </c>
      <c r="B45" s="60" t="s">
        <v>286</v>
      </c>
      <c r="C45" s="7" t="s">
        <v>132</v>
      </c>
      <c r="D45" s="60" t="s">
        <v>134</v>
      </c>
      <c r="E45" s="70">
        <v>38.299999999999997</v>
      </c>
      <c r="F45" s="70">
        <v>29.4</v>
      </c>
      <c r="G45" s="70">
        <v>40.4</v>
      </c>
      <c r="H45" s="72">
        <v>14.02</v>
      </c>
      <c r="I45" s="62" t="s">
        <v>80</v>
      </c>
      <c r="J45" s="63">
        <f>(69+73+69)/3</f>
        <v>70.333333333333329</v>
      </c>
      <c r="K45" s="60" t="s">
        <v>143</v>
      </c>
      <c r="L45" s="64" t="s">
        <v>141</v>
      </c>
      <c r="M45" s="64" t="s">
        <v>142</v>
      </c>
      <c r="N45" s="62" t="s">
        <v>135</v>
      </c>
      <c r="O45" s="62" t="s">
        <v>135</v>
      </c>
      <c r="P45" s="69"/>
    </row>
    <row r="46" spans="1:16" ht="15.75" customHeight="1" x14ac:dyDescent="0.3">
      <c r="A46" s="59">
        <v>42</v>
      </c>
      <c r="B46" s="60" t="s">
        <v>287</v>
      </c>
      <c r="C46" s="7" t="s">
        <v>132</v>
      </c>
      <c r="D46" s="60" t="s">
        <v>134</v>
      </c>
      <c r="E46" s="70">
        <v>37.9</v>
      </c>
      <c r="F46" s="70">
        <v>29.7</v>
      </c>
      <c r="G46" s="70">
        <v>39.9</v>
      </c>
      <c r="H46" s="72">
        <v>14.51</v>
      </c>
      <c r="I46" s="62" t="s">
        <v>80</v>
      </c>
      <c r="J46" s="63">
        <f>(85+68+57)/3</f>
        <v>70</v>
      </c>
      <c r="K46" s="60" t="s">
        <v>150</v>
      </c>
      <c r="L46" s="64" t="s">
        <v>141</v>
      </c>
      <c r="M46" s="64" t="s">
        <v>142</v>
      </c>
      <c r="N46" s="62" t="s">
        <v>135</v>
      </c>
      <c r="O46" s="62" t="s">
        <v>135</v>
      </c>
      <c r="P46" s="69"/>
    </row>
    <row r="47" spans="1:16" ht="15.75" customHeight="1" x14ac:dyDescent="0.3">
      <c r="A47" s="59">
        <v>43</v>
      </c>
      <c r="B47" s="60" t="s">
        <v>288</v>
      </c>
      <c r="C47" s="7" t="s">
        <v>132</v>
      </c>
      <c r="D47" s="60" t="s">
        <v>134</v>
      </c>
      <c r="E47" s="70">
        <v>37.6</v>
      </c>
      <c r="F47" s="70">
        <v>28.7</v>
      </c>
      <c r="G47" s="70">
        <v>41.8</v>
      </c>
      <c r="H47" s="72">
        <v>14.4</v>
      </c>
      <c r="I47" s="62" t="s">
        <v>80</v>
      </c>
      <c r="J47" s="63">
        <f>(68+65+82)/3</f>
        <v>71.666666666666671</v>
      </c>
      <c r="K47" s="60" t="s">
        <v>149</v>
      </c>
      <c r="L47" s="64" t="s">
        <v>141</v>
      </c>
      <c r="M47" s="64" t="s">
        <v>142</v>
      </c>
      <c r="N47" s="62" t="s">
        <v>135</v>
      </c>
      <c r="O47" s="62" t="s">
        <v>135</v>
      </c>
      <c r="P47" s="69"/>
    </row>
    <row r="48" spans="1:16" ht="15.75" customHeight="1" x14ac:dyDescent="0.3">
      <c r="E48" s="4"/>
      <c r="F48" s="4"/>
      <c r="G48" s="4"/>
      <c r="J48" s="4"/>
      <c r="K48" s="4"/>
      <c r="L48" s="4"/>
      <c r="M48" s="4"/>
    </row>
    <row r="49" spans="5:13" ht="15.75" customHeight="1" x14ac:dyDescent="0.3">
      <c r="E49" s="4"/>
      <c r="F49" s="4"/>
      <c r="G49" s="4"/>
      <c r="J49" s="4"/>
      <c r="K49" s="4"/>
      <c r="L49" s="4"/>
      <c r="M49" s="4"/>
    </row>
    <row r="50" spans="5:13" ht="15.75" customHeight="1" x14ac:dyDescent="0.3">
      <c r="E50" s="4"/>
      <c r="F50" s="4"/>
      <c r="G50" s="4"/>
      <c r="J50" s="4"/>
      <c r="K50" s="4"/>
      <c r="L50" s="4"/>
      <c r="M50" s="4"/>
    </row>
    <row r="51" spans="5:13" ht="15.75" customHeight="1" x14ac:dyDescent="0.3">
      <c r="E51" s="4"/>
      <c r="F51" s="4"/>
      <c r="G51" s="4"/>
      <c r="J51" s="4"/>
      <c r="K51" s="4"/>
      <c r="L51" s="4"/>
      <c r="M51" s="4"/>
    </row>
    <row r="52" spans="5:13" ht="15.75" customHeight="1" x14ac:dyDescent="0.3">
      <c r="E52" s="4"/>
      <c r="F52" s="4"/>
      <c r="G52" s="4"/>
      <c r="J52" s="4"/>
      <c r="K52" s="4"/>
      <c r="L52" s="4"/>
      <c r="M52" s="4"/>
    </row>
    <row r="53" spans="5:13" ht="15.75" customHeight="1" x14ac:dyDescent="0.3">
      <c r="E53" s="4"/>
      <c r="F53" s="4"/>
      <c r="G53" s="4"/>
      <c r="J53" s="4"/>
      <c r="K53" s="4"/>
      <c r="L53" s="4"/>
      <c r="M53" s="4"/>
    </row>
    <row r="54" spans="5:13" ht="15.75" customHeight="1" x14ac:dyDescent="0.3">
      <c r="E54" s="4"/>
      <c r="F54" s="4"/>
      <c r="G54" s="4"/>
      <c r="J54" s="4"/>
      <c r="K54" s="4"/>
      <c r="L54" s="4"/>
      <c r="M54" s="4"/>
    </row>
    <row r="55" spans="5:13" ht="15.75" customHeight="1" x14ac:dyDescent="0.3">
      <c r="E55" s="4"/>
      <c r="F55" s="4"/>
      <c r="G55" s="4"/>
      <c r="J55" s="4"/>
      <c r="K55" s="4"/>
      <c r="L55" s="4"/>
      <c r="M55" s="4"/>
    </row>
    <row r="56" spans="5:13" ht="15.75" customHeight="1" x14ac:dyDescent="0.3">
      <c r="E56" s="4"/>
      <c r="F56" s="4"/>
      <c r="G56" s="4"/>
      <c r="J56" s="4"/>
      <c r="K56" s="4"/>
      <c r="L56" s="4"/>
      <c r="M56" s="4"/>
    </row>
    <row r="57" spans="5:13" ht="15.75" customHeight="1" x14ac:dyDescent="0.3">
      <c r="E57" s="4"/>
      <c r="F57" s="4"/>
      <c r="G57" s="4"/>
      <c r="J57" s="4"/>
      <c r="K57" s="4"/>
      <c r="L57" s="4"/>
      <c r="M57" s="4"/>
    </row>
    <row r="58" spans="5:13" ht="15.75" customHeight="1" x14ac:dyDescent="0.3">
      <c r="E58" s="4"/>
      <c r="F58" s="4"/>
      <c r="G58" s="4"/>
      <c r="J58" s="4"/>
      <c r="K58" s="4"/>
      <c r="L58" s="4"/>
      <c r="M58" s="4"/>
    </row>
    <row r="59" spans="5:13" ht="15.75" customHeight="1" x14ac:dyDescent="0.3">
      <c r="E59" s="4"/>
      <c r="F59" s="4"/>
      <c r="G59" s="4"/>
      <c r="J59" s="4"/>
      <c r="K59" s="4"/>
      <c r="L59" s="4"/>
      <c r="M59" s="4"/>
    </row>
    <row r="60" spans="5:13" ht="15.75" customHeight="1" x14ac:dyDescent="0.3">
      <c r="E60" s="4"/>
      <c r="F60" s="4"/>
      <c r="G60" s="4"/>
      <c r="J60" s="4"/>
      <c r="K60" s="4"/>
      <c r="L60" s="4"/>
      <c r="M60" s="4"/>
    </row>
    <row r="61" spans="5:13" ht="15.75" customHeight="1" x14ac:dyDescent="0.3">
      <c r="E61" s="4"/>
      <c r="F61" s="4"/>
      <c r="G61" s="4"/>
      <c r="J61" s="4"/>
      <c r="K61" s="4"/>
      <c r="L61" s="4"/>
      <c r="M61" s="4"/>
    </row>
    <row r="62" spans="5:13" ht="15.75" customHeight="1" x14ac:dyDescent="0.3">
      <c r="E62" s="4"/>
      <c r="F62" s="4"/>
      <c r="G62" s="4"/>
      <c r="J62" s="4"/>
      <c r="K62" s="4"/>
      <c r="L62" s="4"/>
      <c r="M62" s="4"/>
    </row>
    <row r="63" spans="5:13" ht="15.75" customHeight="1" x14ac:dyDescent="0.3">
      <c r="E63" s="4"/>
      <c r="F63" s="4"/>
      <c r="G63" s="4"/>
      <c r="J63" s="4"/>
      <c r="K63" s="4"/>
      <c r="L63" s="4"/>
      <c r="M63" s="4"/>
    </row>
    <row r="64" spans="5:13" ht="15.75" customHeight="1" x14ac:dyDescent="0.3">
      <c r="E64" s="4"/>
      <c r="F64" s="4"/>
      <c r="G64" s="4"/>
      <c r="J64" s="4"/>
      <c r="K64" s="4"/>
      <c r="L64" s="4"/>
      <c r="M64" s="4"/>
    </row>
    <row r="65" spans="5:13" ht="15.75" customHeight="1" x14ac:dyDescent="0.3">
      <c r="E65" s="4"/>
      <c r="F65" s="4"/>
      <c r="G65" s="4"/>
      <c r="J65" s="4"/>
      <c r="K65" s="4"/>
      <c r="L65" s="4"/>
      <c r="M65" s="4"/>
    </row>
    <row r="66" spans="5:13" ht="15.75" customHeight="1" x14ac:dyDescent="0.3">
      <c r="E66" s="4"/>
      <c r="F66" s="4"/>
      <c r="G66" s="4"/>
      <c r="J66" s="4"/>
      <c r="K66" s="4"/>
      <c r="L66" s="4"/>
      <c r="M66" s="4"/>
    </row>
    <row r="67" spans="5:13" ht="15.75" customHeight="1" x14ac:dyDescent="0.3">
      <c r="E67" s="4"/>
      <c r="F67" s="4"/>
      <c r="G67" s="4"/>
      <c r="J67" s="4"/>
      <c r="K67" s="4"/>
      <c r="L67" s="4"/>
      <c r="M67" s="4"/>
    </row>
    <row r="68" spans="5:13" ht="15.75" customHeight="1" x14ac:dyDescent="0.3">
      <c r="E68" s="4"/>
      <c r="F68" s="4"/>
      <c r="G68" s="4"/>
      <c r="J68" s="4"/>
      <c r="K68" s="4"/>
      <c r="L68" s="4"/>
      <c r="M68" s="4"/>
    </row>
    <row r="69" spans="5:13" ht="15.75" customHeight="1" x14ac:dyDescent="0.3">
      <c r="E69" s="4"/>
      <c r="F69" s="4"/>
      <c r="G69" s="4"/>
      <c r="J69" s="4"/>
      <c r="K69" s="4"/>
      <c r="L69" s="4"/>
      <c r="M69" s="4"/>
    </row>
    <row r="70" spans="5:13" ht="15.75" customHeight="1" x14ac:dyDescent="0.3">
      <c r="E70" s="4"/>
      <c r="F70" s="4"/>
      <c r="G70" s="4"/>
      <c r="J70" s="4"/>
      <c r="K70" s="4"/>
      <c r="L70" s="4"/>
      <c r="M70" s="4"/>
    </row>
    <row r="71" spans="5:13" ht="15.75" customHeight="1" x14ac:dyDescent="0.3">
      <c r="E71" s="4"/>
      <c r="F71" s="4"/>
      <c r="G71" s="4"/>
      <c r="J71" s="4"/>
      <c r="K71" s="4"/>
      <c r="L71" s="4"/>
      <c r="M71" s="4"/>
    </row>
    <row r="72" spans="5:13" ht="15.75" customHeight="1" x14ac:dyDescent="0.3">
      <c r="E72" s="4"/>
      <c r="F72" s="4"/>
      <c r="G72" s="4"/>
      <c r="J72" s="4"/>
      <c r="K72" s="4"/>
      <c r="L72" s="4"/>
      <c r="M72" s="4"/>
    </row>
    <row r="73" spans="5:13" ht="15.75" customHeight="1" x14ac:dyDescent="0.3">
      <c r="E73" s="4"/>
      <c r="F73" s="4"/>
      <c r="G73" s="4"/>
      <c r="J73" s="4"/>
      <c r="K73" s="4"/>
      <c r="L73" s="4"/>
      <c r="M73" s="4"/>
    </row>
    <row r="74" spans="5:13" ht="15.75" customHeight="1" x14ac:dyDescent="0.3">
      <c r="E74" s="4"/>
      <c r="F74" s="4"/>
      <c r="G74" s="4"/>
      <c r="J74" s="4"/>
      <c r="K74" s="4"/>
      <c r="L74" s="4"/>
      <c r="M74" s="4"/>
    </row>
    <row r="75" spans="5:13" ht="15.75" customHeight="1" x14ac:dyDescent="0.3">
      <c r="E75" s="4"/>
      <c r="F75" s="4"/>
      <c r="G75" s="4"/>
      <c r="J75" s="4"/>
      <c r="K75" s="4"/>
      <c r="L75" s="4"/>
      <c r="M75" s="4"/>
    </row>
    <row r="76" spans="5:13" ht="15.75" customHeight="1" x14ac:dyDescent="0.3">
      <c r="E76" s="4"/>
      <c r="F76" s="4"/>
      <c r="G76" s="4"/>
      <c r="J76" s="4"/>
      <c r="K76" s="4"/>
      <c r="L76" s="4"/>
      <c r="M76" s="4"/>
    </row>
    <row r="77" spans="5:13" ht="15.75" customHeight="1" x14ac:dyDescent="0.3">
      <c r="E77" s="4"/>
      <c r="F77" s="4"/>
      <c r="G77" s="4"/>
      <c r="J77" s="4"/>
      <c r="K77" s="4"/>
      <c r="L77" s="4"/>
      <c r="M77" s="4"/>
    </row>
    <row r="78" spans="5:13" ht="15.75" customHeight="1" x14ac:dyDescent="0.3">
      <c r="E78" s="4"/>
      <c r="F78" s="4"/>
      <c r="G78" s="4"/>
      <c r="J78" s="4"/>
      <c r="K78" s="4"/>
      <c r="L78" s="4"/>
      <c r="M78" s="4"/>
    </row>
    <row r="79" spans="5:13" ht="15.75" customHeight="1" x14ac:dyDescent="0.3">
      <c r="E79" s="4"/>
      <c r="F79" s="4"/>
      <c r="G79" s="4"/>
      <c r="J79" s="4"/>
      <c r="K79" s="4"/>
      <c r="L79" s="4"/>
      <c r="M79" s="4"/>
    </row>
    <row r="80" spans="5:13" ht="15.75" customHeight="1" x14ac:dyDescent="0.3">
      <c r="E80" s="4"/>
      <c r="F80" s="4"/>
      <c r="G80" s="4"/>
      <c r="J80" s="4"/>
      <c r="K80" s="4"/>
      <c r="L80" s="4"/>
      <c r="M80" s="4"/>
    </row>
    <row r="81" spans="5:13" ht="15.75" customHeight="1" x14ac:dyDescent="0.3">
      <c r="E81" s="4"/>
      <c r="F81" s="4"/>
      <c r="G81" s="4"/>
      <c r="J81" s="4"/>
      <c r="K81" s="4"/>
      <c r="L81" s="4"/>
      <c r="M81" s="4"/>
    </row>
    <row r="82" spans="5:13" ht="15.75" customHeight="1" x14ac:dyDescent="0.3">
      <c r="E82" s="4"/>
      <c r="F82" s="4"/>
      <c r="G82" s="4"/>
      <c r="J82" s="4"/>
      <c r="K82" s="4"/>
      <c r="L82" s="4"/>
      <c r="M82" s="4"/>
    </row>
    <row r="83" spans="5:13" ht="15.75" customHeight="1" x14ac:dyDescent="0.3">
      <c r="E83" s="4"/>
      <c r="F83" s="4"/>
      <c r="G83" s="4"/>
      <c r="J83" s="4"/>
      <c r="K83" s="4"/>
      <c r="L83" s="4"/>
      <c r="M83" s="4"/>
    </row>
    <row r="84" spans="5:13" ht="15.75" customHeight="1" x14ac:dyDescent="0.3">
      <c r="E84" s="4"/>
      <c r="F84" s="4"/>
      <c r="G84" s="4"/>
      <c r="J84" s="4"/>
      <c r="K84" s="4"/>
      <c r="L84" s="4"/>
      <c r="M84" s="4"/>
    </row>
    <row r="85" spans="5:13" ht="15.75" customHeight="1" x14ac:dyDescent="0.3">
      <c r="E85" s="4"/>
      <c r="F85" s="4"/>
      <c r="G85" s="4"/>
      <c r="J85" s="4"/>
      <c r="K85" s="4"/>
      <c r="L85" s="4"/>
      <c r="M85" s="4"/>
    </row>
    <row r="86" spans="5:13" ht="15.75" customHeight="1" x14ac:dyDescent="0.3">
      <c r="E86" s="4"/>
      <c r="F86" s="4"/>
      <c r="G86" s="4"/>
      <c r="J86" s="4"/>
      <c r="K86" s="4"/>
      <c r="L86" s="4"/>
      <c r="M86" s="4"/>
    </row>
    <row r="87" spans="5:13" ht="15.75" customHeight="1" x14ac:dyDescent="0.3">
      <c r="E87" s="4"/>
      <c r="F87" s="4"/>
      <c r="G87" s="4"/>
      <c r="J87" s="4"/>
      <c r="K87" s="4"/>
      <c r="L87" s="4"/>
      <c r="M87" s="4"/>
    </row>
    <row r="88" spans="5:13" ht="15.75" customHeight="1" x14ac:dyDescent="0.3">
      <c r="E88" s="4"/>
      <c r="F88" s="4"/>
      <c r="G88" s="4"/>
      <c r="J88" s="4"/>
      <c r="K88" s="4"/>
      <c r="L88" s="4"/>
      <c r="M88" s="4"/>
    </row>
    <row r="89" spans="5:13" ht="15.75" customHeight="1" x14ac:dyDescent="0.3">
      <c r="E89" s="4"/>
      <c r="F89" s="4"/>
      <c r="G89" s="4"/>
      <c r="J89" s="4"/>
      <c r="K89" s="4"/>
      <c r="L89" s="4"/>
      <c r="M89" s="4"/>
    </row>
    <row r="90" spans="5:13" ht="15.75" customHeight="1" x14ac:dyDescent="0.3">
      <c r="E90" s="4"/>
      <c r="F90" s="4"/>
      <c r="G90" s="4"/>
      <c r="J90" s="4"/>
      <c r="K90" s="4"/>
      <c r="L90" s="4"/>
      <c r="M90" s="4"/>
    </row>
    <row r="91" spans="5:13" ht="15.75" customHeight="1" x14ac:dyDescent="0.3">
      <c r="E91" s="4"/>
      <c r="F91" s="4"/>
      <c r="G91" s="4"/>
      <c r="J91" s="4"/>
      <c r="K91" s="4"/>
      <c r="L91" s="4"/>
      <c r="M91" s="4"/>
    </row>
    <row r="92" spans="5:13" ht="15.75" customHeight="1" x14ac:dyDescent="0.3">
      <c r="E92" s="4"/>
      <c r="F92" s="4"/>
      <c r="G92" s="4"/>
      <c r="J92" s="4"/>
      <c r="K92" s="4"/>
      <c r="L92" s="4"/>
      <c r="M92" s="4"/>
    </row>
    <row r="93" spans="5:13" ht="15.75" customHeight="1" x14ac:dyDescent="0.3">
      <c r="E93" s="4"/>
      <c r="F93" s="4"/>
      <c r="G93" s="4"/>
      <c r="J93" s="4"/>
      <c r="K93" s="4"/>
      <c r="L93" s="4"/>
      <c r="M93" s="4"/>
    </row>
    <row r="94" spans="5:13" ht="15.75" customHeight="1" x14ac:dyDescent="0.3">
      <c r="E94" s="4"/>
      <c r="F94" s="4"/>
      <c r="G94" s="4"/>
      <c r="J94" s="4"/>
      <c r="K94" s="4"/>
      <c r="L94" s="4"/>
      <c r="M94" s="4"/>
    </row>
    <row r="95" spans="5:13" ht="15.75" customHeight="1" x14ac:dyDescent="0.3">
      <c r="E95" s="4"/>
      <c r="F95" s="4"/>
      <c r="G95" s="4"/>
      <c r="J95" s="4"/>
      <c r="K95" s="4"/>
      <c r="L95" s="4"/>
      <c r="M95" s="4"/>
    </row>
    <row r="96" spans="5:13" ht="15.75" customHeight="1" x14ac:dyDescent="0.3">
      <c r="E96" s="4"/>
      <c r="F96" s="4"/>
      <c r="G96" s="4"/>
      <c r="J96" s="4"/>
      <c r="K96" s="4"/>
      <c r="L96" s="4"/>
      <c r="M96" s="4"/>
    </row>
    <row r="97" spans="5:13" ht="15.75" customHeight="1" x14ac:dyDescent="0.3">
      <c r="E97" s="4"/>
      <c r="F97" s="4"/>
      <c r="G97" s="4"/>
      <c r="J97" s="4"/>
      <c r="K97" s="4"/>
      <c r="L97" s="4"/>
      <c r="M97" s="4"/>
    </row>
    <row r="98" spans="5:13" ht="15.75" customHeight="1" x14ac:dyDescent="0.3">
      <c r="E98" s="4"/>
      <c r="F98" s="4"/>
      <c r="G98" s="4"/>
      <c r="J98" s="4"/>
      <c r="K98" s="4"/>
      <c r="L98" s="4"/>
      <c r="M98" s="4"/>
    </row>
    <row r="99" spans="5:13" ht="15.75" customHeight="1" x14ac:dyDescent="0.3">
      <c r="E99" s="4"/>
      <c r="F99" s="4"/>
      <c r="G99" s="4"/>
      <c r="J99" s="4"/>
      <c r="K99" s="4"/>
      <c r="L99" s="4"/>
      <c r="M99" s="4"/>
    </row>
    <row r="100" spans="5:13" ht="15.75" customHeight="1" x14ac:dyDescent="0.3">
      <c r="E100" s="4"/>
      <c r="F100" s="4"/>
      <c r="G100" s="4"/>
      <c r="J100" s="4"/>
      <c r="K100" s="4"/>
      <c r="L100" s="4"/>
      <c r="M100" s="4"/>
    </row>
    <row r="101" spans="5:13" ht="15.75" customHeight="1" x14ac:dyDescent="0.3">
      <c r="E101" s="4"/>
      <c r="F101" s="4"/>
      <c r="G101" s="4"/>
      <c r="J101" s="4"/>
      <c r="K101" s="4"/>
      <c r="L101" s="4"/>
      <c r="M101" s="4"/>
    </row>
    <row r="102" spans="5:13" ht="15.75" customHeight="1" x14ac:dyDescent="0.3">
      <c r="E102" s="4"/>
      <c r="F102" s="4"/>
      <c r="G102" s="4"/>
      <c r="J102" s="4"/>
      <c r="K102" s="4"/>
      <c r="L102" s="4"/>
      <c r="M102" s="4"/>
    </row>
    <row r="103" spans="5:13" ht="15.75" customHeight="1" x14ac:dyDescent="0.3">
      <c r="E103" s="4"/>
      <c r="F103" s="4"/>
      <c r="G103" s="4"/>
      <c r="J103" s="4"/>
      <c r="K103" s="4"/>
      <c r="L103" s="4"/>
      <c r="M103" s="4"/>
    </row>
    <row r="104" spans="5:13" ht="15.75" customHeight="1" x14ac:dyDescent="0.3">
      <c r="E104" s="4"/>
      <c r="F104" s="4"/>
      <c r="G104" s="4"/>
      <c r="J104" s="4"/>
      <c r="K104" s="4"/>
      <c r="L104" s="4"/>
      <c r="M104" s="4"/>
    </row>
    <row r="105" spans="5:13" ht="15.75" customHeight="1" x14ac:dyDescent="0.3">
      <c r="E105" s="4"/>
      <c r="F105" s="4"/>
      <c r="G105" s="4"/>
      <c r="J105" s="4"/>
      <c r="K105" s="4"/>
      <c r="L105" s="4"/>
      <c r="M105" s="4"/>
    </row>
    <row r="106" spans="5:13" ht="15.75" customHeight="1" x14ac:dyDescent="0.3">
      <c r="E106" s="4"/>
      <c r="F106" s="4"/>
      <c r="G106" s="4"/>
      <c r="J106" s="4"/>
      <c r="K106" s="4"/>
      <c r="L106" s="4"/>
      <c r="M106" s="4"/>
    </row>
    <row r="107" spans="5:13" ht="15.75" customHeight="1" x14ac:dyDescent="0.3">
      <c r="E107" s="4"/>
      <c r="F107" s="4"/>
      <c r="G107" s="4"/>
      <c r="J107" s="4"/>
      <c r="K107" s="4"/>
      <c r="L107" s="4"/>
      <c r="M107" s="4"/>
    </row>
    <row r="108" spans="5:13" ht="15.75" customHeight="1" x14ac:dyDescent="0.3">
      <c r="E108" s="4"/>
      <c r="F108" s="4"/>
      <c r="G108" s="4"/>
      <c r="J108" s="4"/>
      <c r="K108" s="4"/>
      <c r="L108" s="4"/>
      <c r="M108" s="4"/>
    </row>
    <row r="109" spans="5:13" ht="15.75" customHeight="1" x14ac:dyDescent="0.3">
      <c r="E109" s="4"/>
      <c r="F109" s="4"/>
      <c r="G109" s="4"/>
      <c r="J109" s="4"/>
      <c r="K109" s="4"/>
      <c r="L109" s="4"/>
      <c r="M109" s="4"/>
    </row>
    <row r="110" spans="5:13" ht="15.75" customHeight="1" x14ac:dyDescent="0.3">
      <c r="E110" s="4"/>
      <c r="F110" s="4"/>
      <c r="G110" s="4"/>
      <c r="J110" s="4"/>
      <c r="K110" s="4"/>
      <c r="L110" s="4"/>
      <c r="M110" s="4"/>
    </row>
    <row r="111" spans="5:13" ht="15.75" customHeight="1" x14ac:dyDescent="0.3">
      <c r="E111" s="4"/>
      <c r="F111" s="4"/>
      <c r="G111" s="4"/>
      <c r="J111" s="4"/>
      <c r="K111" s="4"/>
      <c r="L111" s="4"/>
      <c r="M111" s="4"/>
    </row>
    <row r="112" spans="5:13" ht="15.75" customHeight="1" x14ac:dyDescent="0.3">
      <c r="E112" s="4"/>
      <c r="F112" s="4"/>
      <c r="G112" s="4"/>
      <c r="J112" s="4"/>
      <c r="K112" s="4"/>
      <c r="L112" s="4"/>
      <c r="M112" s="4"/>
    </row>
    <row r="113" spans="5:13" ht="15.75" customHeight="1" x14ac:dyDescent="0.3">
      <c r="E113" s="4"/>
      <c r="F113" s="4"/>
      <c r="G113" s="4"/>
      <c r="J113" s="4"/>
      <c r="K113" s="4"/>
      <c r="L113" s="4"/>
      <c r="M113" s="4"/>
    </row>
    <row r="114" spans="5:13" ht="15.75" customHeight="1" x14ac:dyDescent="0.3">
      <c r="E114" s="4"/>
      <c r="F114" s="4"/>
      <c r="G114" s="4"/>
      <c r="J114" s="4"/>
      <c r="K114" s="4"/>
      <c r="L114" s="4"/>
      <c r="M114" s="4"/>
    </row>
    <row r="115" spans="5:13" ht="15.75" customHeight="1" x14ac:dyDescent="0.3">
      <c r="E115" s="4"/>
      <c r="F115" s="4"/>
      <c r="G115" s="4"/>
      <c r="J115" s="4"/>
      <c r="K115" s="4"/>
      <c r="L115" s="4"/>
      <c r="M115" s="4"/>
    </row>
    <row r="116" spans="5:13" ht="15.75" customHeight="1" x14ac:dyDescent="0.3">
      <c r="E116" s="4"/>
      <c r="F116" s="4"/>
      <c r="G116" s="4"/>
      <c r="J116" s="4"/>
      <c r="K116" s="4"/>
      <c r="L116" s="4"/>
      <c r="M116" s="4"/>
    </row>
    <row r="117" spans="5:13" ht="15.75" customHeight="1" x14ac:dyDescent="0.3">
      <c r="E117" s="4"/>
      <c r="F117" s="4"/>
      <c r="G117" s="4"/>
      <c r="J117" s="4"/>
      <c r="K117" s="4"/>
      <c r="L117" s="4"/>
      <c r="M117" s="4"/>
    </row>
    <row r="118" spans="5:13" ht="15.75" customHeight="1" x14ac:dyDescent="0.3">
      <c r="E118" s="4"/>
      <c r="F118" s="4"/>
      <c r="G118" s="4"/>
      <c r="J118" s="4"/>
      <c r="K118" s="4"/>
      <c r="L118" s="4"/>
      <c r="M118" s="4"/>
    </row>
    <row r="119" spans="5:13" ht="15.75" customHeight="1" x14ac:dyDescent="0.3">
      <c r="E119" s="4"/>
      <c r="F119" s="4"/>
      <c r="G119" s="4"/>
      <c r="J119" s="4"/>
      <c r="K119" s="4"/>
      <c r="L119" s="4"/>
      <c r="M119" s="4"/>
    </row>
    <row r="120" spans="5:13" ht="15.75" customHeight="1" x14ac:dyDescent="0.3">
      <c r="E120" s="4"/>
      <c r="F120" s="4"/>
      <c r="G120" s="4"/>
      <c r="J120" s="4"/>
      <c r="K120" s="4"/>
      <c r="L120" s="4"/>
      <c r="M120" s="4"/>
    </row>
    <row r="121" spans="5:13" ht="15.75" customHeight="1" x14ac:dyDescent="0.3"/>
    <row r="122" spans="5:13" ht="15.75" customHeight="1" x14ac:dyDescent="0.3"/>
    <row r="123" spans="5:13" ht="15.75" customHeight="1" x14ac:dyDescent="0.3"/>
    <row r="124" spans="5:13" ht="15.75" customHeight="1" x14ac:dyDescent="0.3"/>
    <row r="125" spans="5:13" ht="15.75" customHeight="1" x14ac:dyDescent="0.3"/>
    <row r="126" spans="5:13" ht="15.75" customHeight="1" x14ac:dyDescent="0.3"/>
    <row r="127" spans="5:13" ht="15.75" customHeight="1" x14ac:dyDescent="0.3"/>
    <row r="128" spans="5:13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</sheetData>
  <autoFilter ref="B4:P16" xr:uid="{00000000-0009-0000-0000-000002000000}"/>
  <mergeCells count="14">
    <mergeCell ref="A2:A4"/>
    <mergeCell ref="L2:M2"/>
    <mergeCell ref="N2:O2"/>
    <mergeCell ref="P2:P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</mergeCells>
  <phoneticPr fontId="24" type="noConversion"/>
  <conditionalFormatting sqref="B1:B1048576">
    <cfRule type="duplicateValues" dxfId="879" priority="1"/>
    <cfRule type="duplicateValues" dxfId="878" priority="2"/>
  </conditionalFormatting>
  <pageMargins left="0.511811024" right="0.511811024" top="0.78740157499999996" bottom="0.78740157499999996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965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G21" sqref="G21"/>
    </sheetView>
  </sheetViews>
  <sheetFormatPr defaultColWidth="14.44140625" defaultRowHeight="15" customHeight="1" x14ac:dyDescent="0.3"/>
  <cols>
    <col min="1" max="1" width="4.5546875" customWidth="1"/>
    <col min="2" max="2" width="12.109375" customWidth="1"/>
    <col min="3" max="3" width="11.5546875" customWidth="1"/>
    <col min="4" max="4" width="13" customWidth="1"/>
    <col min="5" max="13" width="11.109375" customWidth="1"/>
    <col min="14" max="14" width="12.44140625" customWidth="1"/>
    <col min="15" max="15" width="20.44140625" customWidth="1"/>
  </cols>
  <sheetData>
    <row r="1" spans="1:18" ht="14.4" x14ac:dyDescent="0.3"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</row>
    <row r="2" spans="1:18" ht="30" customHeight="1" x14ac:dyDescent="0.3">
      <c r="B2" s="359"/>
      <c r="C2" s="359"/>
      <c r="D2" s="359"/>
      <c r="E2" s="359"/>
      <c r="F2" s="359"/>
      <c r="G2" s="359"/>
      <c r="H2" s="359"/>
      <c r="I2" s="359"/>
      <c r="J2" s="359"/>
      <c r="K2" s="359"/>
      <c r="L2" s="359"/>
      <c r="M2" s="359"/>
      <c r="N2" s="359"/>
      <c r="O2" s="359"/>
    </row>
    <row r="3" spans="1:18" ht="15" customHeight="1" x14ac:dyDescent="0.3">
      <c r="B3" s="337" t="s">
        <v>78</v>
      </c>
      <c r="C3" s="337" t="s">
        <v>10</v>
      </c>
      <c r="D3" s="343" t="s">
        <v>11</v>
      </c>
      <c r="E3" s="339" t="s">
        <v>19</v>
      </c>
      <c r="F3" s="340"/>
      <c r="G3" s="339" t="s">
        <v>2</v>
      </c>
      <c r="H3" s="341"/>
      <c r="I3" s="341"/>
      <c r="J3" s="341"/>
      <c r="K3" s="340"/>
      <c r="L3" s="34" t="s">
        <v>20</v>
      </c>
      <c r="M3" s="34" t="s">
        <v>21</v>
      </c>
      <c r="N3" s="358" t="s">
        <v>22</v>
      </c>
      <c r="O3" s="343" t="s">
        <v>14</v>
      </c>
    </row>
    <row r="4" spans="1:18" ht="30" customHeight="1" x14ac:dyDescent="0.3">
      <c r="B4" s="338"/>
      <c r="C4" s="338"/>
      <c r="D4" s="338"/>
      <c r="E4" s="44" t="s">
        <v>23</v>
      </c>
      <c r="F4" s="44" t="s">
        <v>24</v>
      </c>
      <c r="G4" s="29" t="s">
        <v>25</v>
      </c>
      <c r="H4" s="29" t="s">
        <v>104</v>
      </c>
      <c r="I4" s="29" t="s">
        <v>103</v>
      </c>
      <c r="J4" s="29" t="s">
        <v>26</v>
      </c>
      <c r="K4" s="29" t="s">
        <v>27</v>
      </c>
      <c r="L4" s="29" t="s">
        <v>28</v>
      </c>
      <c r="M4" s="29" t="s">
        <v>28</v>
      </c>
      <c r="N4" s="338"/>
      <c r="O4" s="338"/>
    </row>
    <row r="5" spans="1:18" ht="15" customHeight="1" x14ac:dyDescent="0.3">
      <c r="A5" s="47" t="s">
        <v>81</v>
      </c>
      <c r="B5" s="30" t="s">
        <v>133</v>
      </c>
      <c r="C5" s="30"/>
      <c r="D5" s="31"/>
      <c r="E5" s="32"/>
      <c r="F5" s="32"/>
      <c r="G5" s="32"/>
      <c r="H5" s="32"/>
      <c r="I5" s="32"/>
      <c r="J5" s="32"/>
      <c r="K5" s="32"/>
      <c r="L5" s="32"/>
      <c r="M5" s="32"/>
      <c r="N5" s="32"/>
      <c r="O5" s="30"/>
    </row>
    <row r="6" spans="1:18" ht="14.4" x14ac:dyDescent="0.3">
      <c r="A6" s="1">
        <v>1</v>
      </c>
      <c r="B6" s="60" t="s">
        <v>206</v>
      </c>
      <c r="C6" s="7" t="s">
        <v>132</v>
      </c>
      <c r="D6" s="60" t="s">
        <v>134</v>
      </c>
      <c r="E6" s="6">
        <v>137.19999999999999</v>
      </c>
      <c r="F6" s="17">
        <v>225.3</v>
      </c>
      <c r="G6" s="17">
        <v>227.6</v>
      </c>
      <c r="H6" s="17">
        <v>6.58</v>
      </c>
      <c r="I6" s="19">
        <v>6</v>
      </c>
      <c r="J6" s="17"/>
      <c r="K6" s="17">
        <v>3</v>
      </c>
      <c r="L6" s="17">
        <v>215.4</v>
      </c>
      <c r="M6" s="17">
        <v>242.2</v>
      </c>
      <c r="N6" s="18">
        <v>1.64</v>
      </c>
      <c r="O6" s="6"/>
      <c r="P6" s="3"/>
      <c r="Q6" s="3"/>
      <c r="R6" s="3"/>
    </row>
    <row r="7" spans="1:18" ht="14.4" x14ac:dyDescent="0.3">
      <c r="A7" s="1">
        <v>2</v>
      </c>
      <c r="B7" s="60" t="s">
        <v>213</v>
      </c>
      <c r="C7" s="7" t="s">
        <v>132</v>
      </c>
      <c r="D7" s="60" t="s">
        <v>134</v>
      </c>
      <c r="E7" s="6">
        <v>140.6</v>
      </c>
      <c r="F7" s="17">
        <v>228.8</v>
      </c>
      <c r="G7" s="17">
        <v>228.4</v>
      </c>
      <c r="H7" s="17" t="s">
        <v>135</v>
      </c>
      <c r="I7" s="19">
        <v>6</v>
      </c>
      <c r="J7" s="17"/>
      <c r="K7" s="17">
        <v>3</v>
      </c>
      <c r="L7" s="17">
        <v>216.8</v>
      </c>
      <c r="M7" s="17">
        <v>243.1</v>
      </c>
      <c r="N7" s="18">
        <v>1.65</v>
      </c>
      <c r="O7" s="6"/>
      <c r="P7" s="3"/>
      <c r="Q7" s="3"/>
      <c r="R7" s="3"/>
    </row>
    <row r="8" spans="1:18" ht="14.4" x14ac:dyDescent="0.3">
      <c r="A8" s="1">
        <v>3</v>
      </c>
      <c r="B8" s="60" t="s">
        <v>312</v>
      </c>
      <c r="C8" s="7" t="s">
        <v>132</v>
      </c>
      <c r="D8" s="71" t="s">
        <v>275</v>
      </c>
      <c r="E8" s="6">
        <v>134.4</v>
      </c>
      <c r="F8" s="17">
        <v>235</v>
      </c>
      <c r="G8" s="17">
        <v>229.8</v>
      </c>
      <c r="H8" s="17" t="s">
        <v>135</v>
      </c>
      <c r="I8" s="19">
        <v>6</v>
      </c>
      <c r="J8" s="17"/>
      <c r="K8" s="17">
        <v>3</v>
      </c>
      <c r="L8" s="17">
        <v>218.5</v>
      </c>
      <c r="M8" s="17">
        <v>230.1</v>
      </c>
      <c r="N8" s="18">
        <v>1.58</v>
      </c>
      <c r="O8" s="20" t="s">
        <v>158</v>
      </c>
      <c r="P8" s="3"/>
      <c r="Q8" s="3"/>
      <c r="R8" s="3"/>
    </row>
    <row r="9" spans="1:18" ht="14.4" x14ac:dyDescent="0.3">
      <c r="A9" s="1">
        <v>4</v>
      </c>
      <c r="B9" s="60" t="s">
        <v>246</v>
      </c>
      <c r="C9" s="7" t="s">
        <v>132</v>
      </c>
      <c r="D9" s="60" t="s">
        <v>134</v>
      </c>
      <c r="E9" s="73">
        <v>140.30000000000001</v>
      </c>
      <c r="F9" s="74">
        <v>238.1</v>
      </c>
      <c r="G9" s="74">
        <v>232.2</v>
      </c>
      <c r="H9" s="17" t="s">
        <v>135</v>
      </c>
      <c r="I9" s="19">
        <v>6</v>
      </c>
      <c r="J9" s="74"/>
      <c r="K9" s="17">
        <v>3</v>
      </c>
      <c r="L9" s="74">
        <v>218.3</v>
      </c>
      <c r="M9" s="74">
        <v>213.8</v>
      </c>
      <c r="N9" s="75">
        <v>1.45</v>
      </c>
      <c r="O9" s="73"/>
      <c r="P9" s="3"/>
      <c r="Q9" s="3"/>
      <c r="R9" s="3"/>
    </row>
    <row r="10" spans="1:18" ht="14.4" x14ac:dyDescent="0.3">
      <c r="A10" s="1">
        <v>5</v>
      </c>
      <c r="B10" s="60" t="s">
        <v>222</v>
      </c>
      <c r="C10" s="7" t="s">
        <v>132</v>
      </c>
      <c r="D10" s="60" t="s">
        <v>134</v>
      </c>
      <c r="E10" s="60">
        <v>144.4</v>
      </c>
      <c r="F10" s="62">
        <v>243.4</v>
      </c>
      <c r="G10" s="62">
        <v>236.5</v>
      </c>
      <c r="H10" s="17" t="s">
        <v>135</v>
      </c>
      <c r="I10" s="19">
        <v>6</v>
      </c>
      <c r="J10" s="62"/>
      <c r="K10" s="17">
        <v>3</v>
      </c>
      <c r="L10" s="62">
        <v>218.6</v>
      </c>
      <c r="M10" s="62">
        <v>244.8</v>
      </c>
      <c r="N10" s="63">
        <v>1.46</v>
      </c>
      <c r="O10" s="60"/>
      <c r="P10" s="3"/>
      <c r="Q10" s="3"/>
      <c r="R10" s="3"/>
    </row>
    <row r="11" spans="1:18" ht="14.4" x14ac:dyDescent="0.3">
      <c r="A11" s="1">
        <v>6</v>
      </c>
      <c r="B11" s="60" t="s">
        <v>229</v>
      </c>
      <c r="C11" s="7" t="s">
        <v>132</v>
      </c>
      <c r="D11" s="60" t="s">
        <v>134</v>
      </c>
      <c r="E11" s="60">
        <v>132.1</v>
      </c>
      <c r="F11" s="62">
        <v>233.5</v>
      </c>
      <c r="G11" s="62">
        <v>233.3</v>
      </c>
      <c r="H11" s="17" t="s">
        <v>135</v>
      </c>
      <c r="I11" s="19">
        <v>6</v>
      </c>
      <c r="J11" s="62"/>
      <c r="K11" s="17">
        <v>3</v>
      </c>
      <c r="L11" s="62">
        <v>217.1</v>
      </c>
      <c r="M11" s="62">
        <v>241.4</v>
      </c>
      <c r="N11" s="63">
        <v>1.61</v>
      </c>
      <c r="O11" s="60"/>
      <c r="P11" s="3"/>
      <c r="Q11" s="3"/>
      <c r="R11" s="3"/>
    </row>
    <row r="12" spans="1:18" ht="15.75" customHeight="1" x14ac:dyDescent="0.3">
      <c r="A12" s="1"/>
      <c r="B12" s="60"/>
      <c r="C12" s="7"/>
      <c r="D12" s="60"/>
      <c r="E12" s="70"/>
      <c r="F12" s="70"/>
      <c r="G12" s="70"/>
      <c r="H12" s="70"/>
      <c r="I12" s="70"/>
      <c r="J12" s="70"/>
      <c r="K12" s="70"/>
      <c r="L12" s="70"/>
      <c r="M12" s="70"/>
      <c r="N12" s="70"/>
      <c r="O12" s="69"/>
    </row>
    <row r="13" spans="1:18" ht="15.75" customHeight="1" x14ac:dyDescent="0.3"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8" ht="15.75" customHeight="1" x14ac:dyDescent="0.3">
      <c r="E14" s="4"/>
      <c r="F14" s="4"/>
      <c r="G14" s="4"/>
      <c r="H14" s="4"/>
      <c r="I14" s="4"/>
      <c r="J14" s="4"/>
      <c r="K14" s="4"/>
      <c r="L14" s="4"/>
      <c r="M14" s="4"/>
      <c r="N14" s="4"/>
    </row>
    <row r="15" spans="1:18" ht="15.75" customHeight="1" x14ac:dyDescent="0.3"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1:18" ht="15.75" customHeight="1" x14ac:dyDescent="0.3">
      <c r="E16" s="4"/>
      <c r="F16" s="4"/>
      <c r="G16" s="4"/>
      <c r="H16" s="4"/>
      <c r="I16" s="4"/>
      <c r="J16" s="4"/>
      <c r="K16" s="4"/>
      <c r="L16" s="4"/>
      <c r="M16" s="4"/>
      <c r="N16" s="4"/>
    </row>
    <row r="17" spans="5:14" ht="15.75" customHeight="1" x14ac:dyDescent="0.3">
      <c r="E17" s="4"/>
      <c r="F17" s="4"/>
      <c r="G17" s="4"/>
      <c r="H17" s="4"/>
      <c r="I17" s="4"/>
      <c r="J17" s="4"/>
      <c r="K17" s="4"/>
      <c r="L17" s="4"/>
      <c r="M17" s="4"/>
      <c r="N17" s="4"/>
    </row>
    <row r="18" spans="5:14" ht="15.75" customHeight="1" x14ac:dyDescent="0.3">
      <c r="E18" s="4"/>
      <c r="F18" s="4"/>
      <c r="G18" s="4"/>
      <c r="H18" s="4"/>
      <c r="I18" s="4"/>
      <c r="J18" s="4"/>
      <c r="K18" s="4"/>
      <c r="L18" s="4"/>
      <c r="M18" s="4"/>
      <c r="N18" s="4"/>
    </row>
    <row r="19" spans="5:14" ht="15.75" customHeight="1" x14ac:dyDescent="0.3">
      <c r="E19" s="4"/>
      <c r="F19" s="4"/>
      <c r="G19" s="4"/>
      <c r="H19" s="4"/>
      <c r="I19" s="4"/>
      <c r="J19" s="4"/>
      <c r="K19" s="4"/>
      <c r="L19" s="4"/>
      <c r="M19" s="4"/>
      <c r="N19" s="4"/>
    </row>
    <row r="20" spans="5:14" ht="15.75" customHeight="1" x14ac:dyDescent="0.3">
      <c r="E20" s="4"/>
      <c r="F20" s="4"/>
      <c r="G20" s="4"/>
      <c r="H20" s="4"/>
      <c r="I20" s="4"/>
      <c r="J20" s="4"/>
      <c r="K20" s="4"/>
      <c r="L20" s="4"/>
      <c r="M20" s="4"/>
      <c r="N20" s="4"/>
    </row>
    <row r="21" spans="5:14" ht="15.75" customHeight="1" x14ac:dyDescent="0.3">
      <c r="E21" s="4"/>
      <c r="F21" s="4"/>
      <c r="G21" s="4"/>
      <c r="H21" s="4"/>
      <c r="I21" s="4"/>
      <c r="J21" s="4"/>
      <c r="K21" s="4"/>
      <c r="L21" s="4"/>
      <c r="M21" s="4"/>
      <c r="N21" s="4"/>
    </row>
    <row r="22" spans="5:14" ht="15.75" customHeight="1" x14ac:dyDescent="0.3">
      <c r="E22" s="4"/>
      <c r="F22" s="4"/>
      <c r="G22" s="4"/>
      <c r="H22" s="4"/>
      <c r="I22" s="4"/>
      <c r="J22" s="4"/>
      <c r="K22" s="4"/>
      <c r="L22" s="4"/>
      <c r="M22" s="4"/>
      <c r="N22" s="4"/>
    </row>
    <row r="23" spans="5:14" ht="15.75" customHeight="1" x14ac:dyDescent="0.3">
      <c r="E23" s="4"/>
      <c r="F23" s="4"/>
      <c r="G23" s="4"/>
      <c r="H23" s="4"/>
      <c r="I23" s="4"/>
      <c r="J23" s="4"/>
      <c r="K23" s="4"/>
      <c r="L23" s="4"/>
      <c r="M23" s="4"/>
      <c r="N23" s="4"/>
    </row>
    <row r="24" spans="5:14" ht="15.75" customHeight="1" x14ac:dyDescent="0.3">
      <c r="E24" s="4"/>
      <c r="F24" s="4"/>
      <c r="G24" s="4"/>
      <c r="H24" s="4"/>
      <c r="I24" s="4"/>
      <c r="J24" s="4"/>
      <c r="K24" s="4"/>
      <c r="L24" s="4"/>
      <c r="M24" s="4"/>
      <c r="N24" s="4"/>
    </row>
    <row r="25" spans="5:14" ht="15.75" customHeight="1" x14ac:dyDescent="0.3">
      <c r="E25" s="4"/>
      <c r="F25" s="4"/>
      <c r="G25" s="4"/>
      <c r="H25" s="4"/>
      <c r="I25" s="4"/>
      <c r="J25" s="4"/>
      <c r="K25" s="4"/>
      <c r="L25" s="4"/>
      <c r="M25" s="4"/>
      <c r="N25" s="4"/>
    </row>
    <row r="26" spans="5:14" ht="15.75" customHeight="1" x14ac:dyDescent="0.3">
      <c r="E26" s="4"/>
      <c r="F26" s="4"/>
      <c r="G26" s="4"/>
      <c r="H26" s="4"/>
      <c r="I26" s="4"/>
      <c r="J26" s="4"/>
      <c r="K26" s="4"/>
      <c r="L26" s="4"/>
      <c r="M26" s="4"/>
      <c r="N26" s="4"/>
    </row>
    <row r="27" spans="5:14" ht="15.75" customHeight="1" x14ac:dyDescent="0.3">
      <c r="E27" s="4"/>
      <c r="F27" s="4"/>
      <c r="G27" s="4"/>
      <c r="H27" s="4"/>
      <c r="I27" s="4"/>
      <c r="J27" s="4"/>
      <c r="K27" s="4"/>
      <c r="L27" s="4"/>
      <c r="M27" s="4"/>
      <c r="N27" s="4"/>
    </row>
    <row r="28" spans="5:14" ht="15.75" customHeight="1" x14ac:dyDescent="0.3">
      <c r="E28" s="4"/>
      <c r="F28" s="4"/>
      <c r="G28" s="4"/>
      <c r="H28" s="4"/>
      <c r="I28" s="4"/>
      <c r="J28" s="4"/>
      <c r="K28" s="4"/>
      <c r="L28" s="4"/>
      <c r="M28" s="4"/>
      <c r="N28" s="4"/>
    </row>
    <row r="29" spans="5:14" ht="15.75" customHeight="1" x14ac:dyDescent="0.3">
      <c r="E29" s="4"/>
      <c r="F29" s="4"/>
      <c r="G29" s="4"/>
      <c r="H29" s="4"/>
      <c r="I29" s="4"/>
      <c r="J29" s="4"/>
      <c r="K29" s="4"/>
      <c r="L29" s="4"/>
      <c r="M29" s="4"/>
      <c r="N29" s="4"/>
    </row>
    <row r="30" spans="5:14" ht="15.75" customHeight="1" x14ac:dyDescent="0.3">
      <c r="E30" s="4"/>
      <c r="F30" s="4"/>
      <c r="G30" s="4"/>
      <c r="H30" s="4"/>
      <c r="I30" s="4"/>
      <c r="J30" s="4"/>
      <c r="K30" s="4"/>
      <c r="L30" s="4"/>
      <c r="M30" s="4"/>
      <c r="N30" s="4"/>
    </row>
    <row r="31" spans="5:14" ht="15.75" customHeight="1" x14ac:dyDescent="0.3">
      <c r="E31" s="4"/>
      <c r="F31" s="4"/>
      <c r="G31" s="4"/>
      <c r="H31" s="4"/>
      <c r="I31" s="4"/>
      <c r="J31" s="4"/>
      <c r="K31" s="4"/>
      <c r="L31" s="4"/>
      <c r="M31" s="4"/>
      <c r="N31" s="4"/>
    </row>
    <row r="32" spans="5:14" ht="15.75" customHeight="1" x14ac:dyDescent="0.3">
      <c r="E32" s="4"/>
      <c r="F32" s="4"/>
      <c r="G32" s="4"/>
      <c r="H32" s="4"/>
      <c r="I32" s="4"/>
      <c r="J32" s="4"/>
      <c r="K32" s="4"/>
      <c r="L32" s="4"/>
      <c r="M32" s="4"/>
      <c r="N32" s="4"/>
    </row>
    <row r="33" spans="5:14" ht="15.75" customHeight="1" x14ac:dyDescent="0.3">
      <c r="E33" s="4"/>
      <c r="F33" s="4"/>
      <c r="G33" s="4"/>
      <c r="H33" s="4"/>
      <c r="I33" s="4"/>
      <c r="J33" s="4"/>
      <c r="K33" s="4"/>
      <c r="L33" s="4"/>
      <c r="M33" s="4"/>
      <c r="N33" s="4"/>
    </row>
    <row r="34" spans="5:14" ht="15.75" customHeight="1" x14ac:dyDescent="0.3">
      <c r="E34" s="4"/>
      <c r="F34" s="4"/>
      <c r="G34" s="4"/>
      <c r="H34" s="4"/>
      <c r="I34" s="4"/>
      <c r="J34" s="4"/>
      <c r="K34" s="4"/>
      <c r="L34" s="4"/>
      <c r="M34" s="4"/>
      <c r="N34" s="4"/>
    </row>
    <row r="35" spans="5:14" ht="15.75" customHeight="1" x14ac:dyDescent="0.3">
      <c r="E35" s="4"/>
      <c r="F35" s="4"/>
      <c r="G35" s="4"/>
      <c r="H35" s="4"/>
      <c r="I35" s="4"/>
      <c r="J35" s="4"/>
      <c r="K35" s="4"/>
      <c r="L35" s="4"/>
      <c r="M35" s="4"/>
      <c r="N35" s="4"/>
    </row>
    <row r="36" spans="5:14" ht="15.75" customHeight="1" x14ac:dyDescent="0.3">
      <c r="E36" s="4"/>
      <c r="F36" s="4"/>
      <c r="G36" s="4"/>
      <c r="H36" s="4"/>
      <c r="I36" s="4"/>
      <c r="J36" s="4"/>
      <c r="K36" s="4"/>
      <c r="L36" s="4"/>
      <c r="M36" s="4"/>
      <c r="N36" s="4"/>
    </row>
    <row r="37" spans="5:14" ht="15.75" customHeight="1" x14ac:dyDescent="0.3">
      <c r="E37" s="4"/>
      <c r="F37" s="4"/>
      <c r="G37" s="4"/>
      <c r="H37" s="4"/>
      <c r="I37" s="4"/>
      <c r="J37" s="4"/>
      <c r="K37" s="4"/>
      <c r="L37" s="4"/>
      <c r="M37" s="4"/>
      <c r="N37" s="4"/>
    </row>
    <row r="38" spans="5:14" ht="15.75" customHeight="1" x14ac:dyDescent="0.3">
      <c r="E38" s="4"/>
      <c r="F38" s="4"/>
      <c r="G38" s="4"/>
      <c r="H38" s="4"/>
      <c r="I38" s="4"/>
      <c r="J38" s="4"/>
      <c r="K38" s="4"/>
      <c r="L38" s="4"/>
      <c r="M38" s="4"/>
      <c r="N38" s="4"/>
    </row>
    <row r="39" spans="5:14" ht="15.75" customHeight="1" x14ac:dyDescent="0.3">
      <c r="E39" s="4"/>
      <c r="F39" s="4"/>
      <c r="G39" s="4"/>
      <c r="H39" s="4"/>
      <c r="I39" s="4"/>
      <c r="J39" s="4"/>
      <c r="K39" s="4"/>
      <c r="L39" s="4"/>
      <c r="M39" s="4"/>
      <c r="N39" s="4"/>
    </row>
    <row r="40" spans="5:14" ht="15.75" customHeight="1" x14ac:dyDescent="0.3">
      <c r="E40" s="4"/>
      <c r="F40" s="4"/>
      <c r="G40" s="4"/>
      <c r="H40" s="4"/>
      <c r="I40" s="4"/>
      <c r="J40" s="4"/>
      <c r="K40" s="4"/>
      <c r="L40" s="4"/>
      <c r="M40" s="4"/>
      <c r="N40" s="4"/>
    </row>
    <row r="41" spans="5:14" ht="15.75" customHeight="1" x14ac:dyDescent="0.3">
      <c r="E41" s="4"/>
      <c r="F41" s="4"/>
      <c r="G41" s="4"/>
      <c r="H41" s="4"/>
      <c r="I41" s="4"/>
      <c r="J41" s="4"/>
      <c r="K41" s="4"/>
      <c r="L41" s="4"/>
      <c r="M41" s="4"/>
      <c r="N41" s="4"/>
    </row>
    <row r="42" spans="5:14" ht="15.75" customHeight="1" x14ac:dyDescent="0.3">
      <c r="E42" s="4"/>
      <c r="F42" s="4"/>
      <c r="G42" s="4"/>
      <c r="H42" s="4"/>
      <c r="I42" s="4"/>
      <c r="J42" s="4"/>
      <c r="K42" s="4"/>
      <c r="L42" s="4"/>
      <c r="M42" s="4"/>
      <c r="N42" s="4"/>
    </row>
    <row r="43" spans="5:14" ht="15.75" customHeight="1" x14ac:dyDescent="0.3">
      <c r="E43" s="4"/>
      <c r="F43" s="4"/>
      <c r="G43" s="4"/>
      <c r="H43" s="4"/>
      <c r="I43" s="4"/>
      <c r="J43" s="4"/>
      <c r="K43" s="4"/>
      <c r="L43" s="4"/>
      <c r="M43" s="4"/>
      <c r="N43" s="4"/>
    </row>
    <row r="44" spans="5:14" ht="15.75" customHeight="1" x14ac:dyDescent="0.3">
      <c r="E44" s="4"/>
      <c r="F44" s="4"/>
      <c r="G44" s="4"/>
      <c r="H44" s="4"/>
      <c r="I44" s="4"/>
      <c r="J44" s="4"/>
      <c r="K44" s="4"/>
      <c r="L44" s="4"/>
      <c r="M44" s="4"/>
      <c r="N44" s="4"/>
    </row>
    <row r="45" spans="5:14" ht="15.75" customHeight="1" x14ac:dyDescent="0.3">
      <c r="E45" s="4"/>
      <c r="F45" s="4"/>
      <c r="G45" s="4"/>
      <c r="H45" s="4"/>
      <c r="I45" s="4"/>
      <c r="J45" s="4"/>
      <c r="K45" s="4"/>
      <c r="L45" s="4"/>
      <c r="M45" s="4"/>
      <c r="N45" s="4"/>
    </row>
    <row r="46" spans="5:14" ht="15.75" customHeight="1" x14ac:dyDescent="0.3">
      <c r="E46" s="4"/>
      <c r="F46" s="4"/>
      <c r="G46" s="4"/>
      <c r="H46" s="4"/>
      <c r="I46" s="4"/>
      <c r="J46" s="4"/>
      <c r="K46" s="4"/>
      <c r="L46" s="4"/>
      <c r="M46" s="4"/>
      <c r="N46" s="4"/>
    </row>
    <row r="47" spans="5:14" ht="15.75" customHeight="1" x14ac:dyDescent="0.3">
      <c r="E47" s="4"/>
      <c r="F47" s="4"/>
      <c r="G47" s="4"/>
      <c r="H47" s="4"/>
      <c r="I47" s="4"/>
      <c r="J47" s="4"/>
      <c r="K47" s="4"/>
      <c r="L47" s="4"/>
      <c r="M47" s="4"/>
      <c r="N47" s="4"/>
    </row>
    <row r="48" spans="5:14" ht="15.75" customHeight="1" x14ac:dyDescent="0.3">
      <c r="E48" s="4"/>
      <c r="F48" s="4"/>
      <c r="G48" s="4"/>
      <c r="H48" s="4"/>
      <c r="I48" s="4"/>
      <c r="J48" s="4"/>
      <c r="K48" s="4"/>
      <c r="L48" s="4"/>
      <c r="M48" s="4"/>
      <c r="N48" s="4"/>
    </row>
    <row r="49" spans="5:14" ht="15.75" customHeight="1" x14ac:dyDescent="0.3">
      <c r="E49" s="4"/>
      <c r="F49" s="4"/>
      <c r="G49" s="4"/>
      <c r="H49" s="4"/>
      <c r="I49" s="4"/>
      <c r="J49" s="4"/>
      <c r="K49" s="4"/>
      <c r="L49" s="4"/>
      <c r="M49" s="4"/>
      <c r="N49" s="4"/>
    </row>
    <row r="50" spans="5:14" ht="15.75" customHeight="1" x14ac:dyDescent="0.3">
      <c r="E50" s="4"/>
      <c r="F50" s="4"/>
      <c r="G50" s="4"/>
      <c r="H50" s="4"/>
      <c r="I50" s="4"/>
      <c r="J50" s="4"/>
      <c r="K50" s="4"/>
      <c r="L50" s="4"/>
      <c r="M50" s="4"/>
      <c r="N50" s="4"/>
    </row>
    <row r="51" spans="5:14" ht="15.75" customHeight="1" x14ac:dyDescent="0.3">
      <c r="E51" s="4"/>
      <c r="F51" s="4"/>
      <c r="G51" s="4"/>
      <c r="H51" s="4"/>
      <c r="I51" s="4"/>
      <c r="J51" s="4"/>
      <c r="K51" s="4"/>
      <c r="L51" s="4"/>
      <c r="M51" s="4"/>
      <c r="N51" s="4"/>
    </row>
    <row r="52" spans="5:14" ht="15.75" customHeight="1" x14ac:dyDescent="0.3">
      <c r="E52" s="4"/>
      <c r="F52" s="4"/>
      <c r="G52" s="4"/>
      <c r="H52" s="4"/>
      <c r="I52" s="4"/>
      <c r="J52" s="4"/>
      <c r="K52" s="4"/>
      <c r="L52" s="4"/>
      <c r="M52" s="4"/>
      <c r="N52" s="4"/>
    </row>
    <row r="53" spans="5:14" ht="15.75" customHeight="1" x14ac:dyDescent="0.3">
      <c r="E53" s="4"/>
      <c r="F53" s="4"/>
      <c r="G53" s="4"/>
      <c r="H53" s="4"/>
      <c r="I53" s="4"/>
      <c r="J53" s="4"/>
      <c r="K53" s="4"/>
      <c r="L53" s="4"/>
      <c r="M53" s="4"/>
      <c r="N53" s="4"/>
    </row>
    <row r="54" spans="5:14" ht="15.75" customHeight="1" x14ac:dyDescent="0.3">
      <c r="E54" s="4"/>
      <c r="F54" s="4"/>
      <c r="G54" s="4"/>
      <c r="H54" s="4"/>
      <c r="I54" s="4"/>
      <c r="J54" s="4"/>
      <c r="K54" s="4"/>
      <c r="L54" s="4"/>
      <c r="M54" s="4"/>
      <c r="N54" s="4"/>
    </row>
    <row r="55" spans="5:14" ht="15.75" customHeight="1" x14ac:dyDescent="0.3">
      <c r="E55" s="4"/>
      <c r="F55" s="4"/>
      <c r="G55" s="4"/>
      <c r="H55" s="4"/>
      <c r="I55" s="4"/>
      <c r="J55" s="4"/>
      <c r="K55" s="4"/>
      <c r="L55" s="4"/>
      <c r="M55" s="4"/>
      <c r="N55" s="4"/>
    </row>
    <row r="56" spans="5:14" ht="15.75" customHeight="1" x14ac:dyDescent="0.3">
      <c r="E56" s="4"/>
      <c r="F56" s="4"/>
      <c r="G56" s="4"/>
      <c r="H56" s="4"/>
      <c r="I56" s="4"/>
      <c r="J56" s="4"/>
      <c r="K56" s="4"/>
      <c r="L56" s="4"/>
      <c r="M56" s="4"/>
      <c r="N56" s="4"/>
    </row>
    <row r="57" spans="5:14" ht="15.75" customHeight="1" x14ac:dyDescent="0.3">
      <c r="E57" s="4"/>
      <c r="F57" s="4"/>
      <c r="G57" s="4"/>
      <c r="H57" s="4"/>
      <c r="I57" s="4"/>
      <c r="J57" s="4"/>
      <c r="K57" s="4"/>
      <c r="L57" s="4"/>
      <c r="M57" s="4"/>
      <c r="N57" s="4"/>
    </row>
    <row r="58" spans="5:14" ht="15.75" customHeight="1" x14ac:dyDescent="0.3">
      <c r="E58" s="4"/>
      <c r="F58" s="4"/>
      <c r="G58" s="4"/>
      <c r="H58" s="4"/>
      <c r="I58" s="4"/>
      <c r="J58" s="4"/>
      <c r="K58" s="4"/>
      <c r="L58" s="4"/>
      <c r="M58" s="4"/>
      <c r="N58" s="4"/>
    </row>
    <row r="59" spans="5:14" ht="15.75" customHeight="1" x14ac:dyDescent="0.3">
      <c r="E59" s="4"/>
      <c r="F59" s="4"/>
      <c r="G59" s="4"/>
      <c r="H59" s="4"/>
      <c r="I59" s="4"/>
      <c r="J59" s="4"/>
      <c r="K59" s="4"/>
      <c r="L59" s="4"/>
      <c r="M59" s="4"/>
      <c r="N59" s="4"/>
    </row>
    <row r="60" spans="5:14" ht="15.75" customHeight="1" x14ac:dyDescent="0.3">
      <c r="E60" s="4"/>
      <c r="F60" s="4"/>
      <c r="G60" s="4"/>
      <c r="H60" s="4"/>
      <c r="I60" s="4"/>
      <c r="J60" s="4"/>
      <c r="K60" s="4"/>
      <c r="L60" s="4"/>
      <c r="M60" s="4"/>
      <c r="N60" s="4"/>
    </row>
    <row r="61" spans="5:14" ht="15.75" customHeight="1" x14ac:dyDescent="0.3">
      <c r="E61" s="4"/>
      <c r="F61" s="4"/>
      <c r="G61" s="4"/>
      <c r="H61" s="4"/>
      <c r="I61" s="4"/>
      <c r="J61" s="4"/>
      <c r="K61" s="4"/>
      <c r="L61" s="4"/>
      <c r="M61" s="4"/>
      <c r="N61" s="4"/>
    </row>
    <row r="62" spans="5:14" ht="15.75" customHeight="1" x14ac:dyDescent="0.3">
      <c r="E62" s="4"/>
      <c r="F62" s="4"/>
      <c r="G62" s="4"/>
      <c r="H62" s="4"/>
      <c r="I62" s="4"/>
      <c r="J62" s="4"/>
      <c r="K62" s="4"/>
      <c r="L62" s="4"/>
      <c r="M62" s="4"/>
      <c r="N62" s="4"/>
    </row>
    <row r="63" spans="5:14" ht="15.75" customHeight="1" x14ac:dyDescent="0.3">
      <c r="E63" s="4"/>
      <c r="F63" s="4"/>
      <c r="G63" s="4"/>
      <c r="H63" s="4"/>
      <c r="I63" s="4"/>
      <c r="J63" s="4"/>
      <c r="K63" s="4"/>
      <c r="L63" s="4"/>
      <c r="M63" s="4"/>
      <c r="N63" s="4"/>
    </row>
    <row r="64" spans="5:14" ht="15.75" customHeight="1" x14ac:dyDescent="0.3">
      <c r="E64" s="4"/>
      <c r="F64" s="4"/>
      <c r="G64" s="4"/>
      <c r="H64" s="4"/>
      <c r="I64" s="4"/>
      <c r="J64" s="4"/>
      <c r="K64" s="4"/>
      <c r="L64" s="4"/>
      <c r="M64" s="4"/>
      <c r="N64" s="4"/>
    </row>
    <row r="65" spans="5:14" ht="15.75" customHeight="1" x14ac:dyDescent="0.3">
      <c r="E65" s="4"/>
      <c r="F65" s="4"/>
      <c r="G65" s="4"/>
      <c r="H65" s="4"/>
      <c r="I65" s="4"/>
      <c r="J65" s="4"/>
      <c r="K65" s="4"/>
      <c r="L65" s="4"/>
      <c r="M65" s="4"/>
      <c r="N65" s="4"/>
    </row>
    <row r="66" spans="5:14" ht="15.75" customHeight="1" x14ac:dyDescent="0.3">
      <c r="E66" s="4"/>
      <c r="F66" s="4"/>
      <c r="G66" s="4"/>
      <c r="H66" s="4"/>
      <c r="I66" s="4"/>
      <c r="J66" s="4"/>
      <c r="K66" s="4"/>
      <c r="L66" s="4"/>
      <c r="M66" s="4"/>
      <c r="N66" s="4"/>
    </row>
    <row r="67" spans="5:14" ht="15.75" customHeight="1" x14ac:dyDescent="0.3">
      <c r="E67" s="4"/>
      <c r="F67" s="4"/>
      <c r="G67" s="4"/>
      <c r="H67" s="4"/>
      <c r="I67" s="4"/>
      <c r="J67" s="4"/>
      <c r="K67" s="4"/>
      <c r="L67" s="4"/>
      <c r="M67" s="4"/>
      <c r="N67" s="4"/>
    </row>
    <row r="68" spans="5:14" ht="15.75" customHeight="1" x14ac:dyDescent="0.3">
      <c r="E68" s="4"/>
      <c r="F68" s="4"/>
      <c r="G68" s="4"/>
      <c r="H68" s="4"/>
      <c r="I68" s="4"/>
      <c r="J68" s="4"/>
      <c r="K68" s="4"/>
      <c r="L68" s="4"/>
      <c r="M68" s="4"/>
      <c r="N68" s="4"/>
    </row>
    <row r="69" spans="5:14" ht="15.75" customHeight="1" x14ac:dyDescent="0.3">
      <c r="E69" s="4"/>
      <c r="F69" s="4"/>
      <c r="G69" s="4"/>
      <c r="H69" s="4"/>
      <c r="I69" s="4"/>
      <c r="J69" s="4"/>
      <c r="K69" s="4"/>
      <c r="L69" s="4"/>
      <c r="M69" s="4"/>
      <c r="N69" s="4"/>
    </row>
    <row r="70" spans="5:14" ht="15.75" customHeight="1" x14ac:dyDescent="0.3">
      <c r="E70" s="4"/>
      <c r="F70" s="4"/>
      <c r="G70" s="4"/>
      <c r="H70" s="4"/>
      <c r="I70" s="4"/>
      <c r="J70" s="4"/>
      <c r="K70" s="4"/>
      <c r="L70" s="4"/>
      <c r="M70" s="4"/>
      <c r="N70" s="4"/>
    </row>
    <row r="71" spans="5:14" ht="15.75" customHeight="1" x14ac:dyDescent="0.3">
      <c r="E71" s="4"/>
      <c r="F71" s="4"/>
      <c r="G71" s="4"/>
      <c r="H71" s="4"/>
      <c r="I71" s="4"/>
      <c r="J71" s="4"/>
      <c r="K71" s="4"/>
      <c r="L71" s="4"/>
      <c r="M71" s="4"/>
      <c r="N71" s="4"/>
    </row>
    <row r="72" spans="5:14" ht="15.75" customHeight="1" x14ac:dyDescent="0.3">
      <c r="E72" s="4"/>
      <c r="F72" s="4"/>
      <c r="G72" s="4"/>
      <c r="H72" s="4"/>
      <c r="I72" s="4"/>
      <c r="J72" s="4"/>
      <c r="K72" s="4"/>
      <c r="L72" s="4"/>
      <c r="M72" s="4"/>
      <c r="N72" s="4"/>
    </row>
    <row r="73" spans="5:14" ht="15.75" customHeight="1" x14ac:dyDescent="0.3">
      <c r="E73" s="4"/>
      <c r="F73" s="4"/>
      <c r="G73" s="4"/>
      <c r="H73" s="4"/>
      <c r="I73" s="4"/>
      <c r="J73" s="4"/>
      <c r="K73" s="4"/>
      <c r="L73" s="4"/>
      <c r="M73" s="4"/>
      <c r="N73" s="4"/>
    </row>
    <row r="74" spans="5:14" ht="15.75" customHeight="1" x14ac:dyDescent="0.3">
      <c r="E74" s="4"/>
      <c r="F74" s="4"/>
      <c r="G74" s="4"/>
      <c r="H74" s="4"/>
      <c r="I74" s="4"/>
      <c r="J74" s="4"/>
      <c r="K74" s="4"/>
      <c r="L74" s="4"/>
      <c r="M74" s="4"/>
      <c r="N74" s="4"/>
    </row>
    <row r="75" spans="5:14" ht="15.75" customHeight="1" x14ac:dyDescent="0.3"/>
    <row r="76" spans="5:14" ht="15.75" customHeight="1" x14ac:dyDescent="0.3"/>
    <row r="77" spans="5:14" ht="15.75" customHeight="1" x14ac:dyDescent="0.3"/>
    <row r="78" spans="5:14" ht="15.75" customHeight="1" x14ac:dyDescent="0.3"/>
    <row r="79" spans="5:14" ht="15.75" customHeight="1" x14ac:dyDescent="0.3"/>
    <row r="80" spans="5:14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</sheetData>
  <autoFilter ref="B5:O10" xr:uid="{00000000-0009-0000-0000-000003000000}"/>
  <mergeCells count="8">
    <mergeCell ref="N3:N4"/>
    <mergeCell ref="O3:O4"/>
    <mergeCell ref="B2:O2"/>
    <mergeCell ref="B3:B4"/>
    <mergeCell ref="C3:C4"/>
    <mergeCell ref="D3:D4"/>
    <mergeCell ref="E3:F3"/>
    <mergeCell ref="G3:K3"/>
  </mergeCells>
  <phoneticPr fontId="25" type="noConversion"/>
  <conditionalFormatting sqref="B6:B12">
    <cfRule type="duplicateValues" dxfId="877" priority="6"/>
  </conditionalFormatting>
  <pageMargins left="0.511811024" right="0.511811024" top="0.78740157499999996" bottom="0.78740157499999996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985"/>
  <sheetViews>
    <sheetView showGridLines="0" workbookViewId="0">
      <pane xSplit="1" ySplit="6" topLeftCell="B7" activePane="bottomRight" state="frozen"/>
      <selection pane="topRight" activeCell="E1" sqref="E1"/>
      <selection pane="bottomLeft" activeCell="A8" sqref="A8"/>
      <selection pane="bottomRight" activeCell="X25" sqref="X25"/>
    </sheetView>
  </sheetViews>
  <sheetFormatPr defaultColWidth="14.44140625" defaultRowHeight="15" customHeight="1" x14ac:dyDescent="0.3"/>
  <cols>
    <col min="1" max="1" width="6.6640625" customWidth="1"/>
    <col min="2" max="2" width="16.33203125" customWidth="1"/>
    <col min="3" max="3" width="11.44140625" hidden="1" customWidth="1"/>
    <col min="4" max="5" width="13" customWidth="1"/>
    <col min="6" max="6" width="8.5546875" hidden="1" customWidth="1"/>
    <col min="7" max="7" width="9.5546875" hidden="1" customWidth="1"/>
    <col min="8" max="9" width="7.5546875" style="54" customWidth="1"/>
    <col min="10" max="11" width="7.5546875" customWidth="1"/>
    <col min="12" max="12" width="9.6640625" hidden="1" customWidth="1"/>
    <col min="13" max="14" width="7.44140625" hidden="1" customWidth="1"/>
    <col min="15" max="15" width="9.6640625" hidden="1" customWidth="1"/>
    <col min="16" max="17" width="7.5546875" hidden="1" customWidth="1"/>
    <col min="18" max="18" width="9.6640625" hidden="1" customWidth="1"/>
    <col min="19" max="20" width="7.44140625" hidden="1" customWidth="1"/>
    <col min="21" max="22" width="9.6640625" hidden="1" customWidth="1"/>
    <col min="23" max="23" width="7.44140625" hidden="1" customWidth="1"/>
    <col min="24" max="24" width="95.109375" customWidth="1"/>
  </cols>
  <sheetData>
    <row r="1" spans="1:24" ht="14.4" x14ac:dyDescent="0.3">
      <c r="A1" s="4"/>
      <c r="C1" s="4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4" ht="30" customHeight="1" x14ac:dyDescent="0.3">
      <c r="A2" s="4"/>
      <c r="B2" s="360"/>
      <c r="C2" s="360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360"/>
      <c r="P2" s="360"/>
      <c r="Q2" s="360"/>
      <c r="R2" s="360"/>
      <c r="S2" s="360"/>
      <c r="T2" s="360"/>
      <c r="U2" s="360"/>
      <c r="V2" s="360"/>
      <c r="W2" s="360"/>
      <c r="X2" s="361"/>
    </row>
    <row r="3" spans="1:24" ht="15" customHeight="1" x14ac:dyDescent="0.3">
      <c r="A3" s="4"/>
      <c r="B3" s="337" t="s">
        <v>182</v>
      </c>
      <c r="C3" s="337" t="s">
        <v>10</v>
      </c>
      <c r="D3" s="337" t="s">
        <v>116</v>
      </c>
      <c r="E3" s="337" t="s">
        <v>11</v>
      </c>
      <c r="F3" s="339" t="s">
        <v>29</v>
      </c>
      <c r="G3" s="341"/>
      <c r="H3" s="341"/>
      <c r="I3" s="340"/>
      <c r="J3" s="369" t="s">
        <v>121</v>
      </c>
      <c r="K3" s="370"/>
      <c r="L3" s="339" t="s">
        <v>30</v>
      </c>
      <c r="M3" s="341"/>
      <c r="N3" s="341"/>
      <c r="O3" s="341"/>
      <c r="P3" s="341"/>
      <c r="Q3" s="341"/>
      <c r="R3" s="341"/>
      <c r="S3" s="341"/>
      <c r="T3" s="341"/>
      <c r="U3" s="341"/>
      <c r="V3" s="341"/>
      <c r="W3" s="341"/>
      <c r="X3" s="343" t="s">
        <v>14</v>
      </c>
    </row>
    <row r="4" spans="1:24" ht="45" customHeight="1" x14ac:dyDescent="0.3">
      <c r="A4" s="26"/>
      <c r="B4" s="367"/>
      <c r="C4" s="367"/>
      <c r="D4" s="367"/>
      <c r="E4" s="367"/>
      <c r="F4" s="363" t="s">
        <v>31</v>
      </c>
      <c r="G4" s="364"/>
      <c r="H4" s="363" t="s">
        <v>32</v>
      </c>
      <c r="I4" s="365"/>
      <c r="J4" s="371"/>
      <c r="K4" s="372"/>
      <c r="L4" s="363" t="s">
        <v>124</v>
      </c>
      <c r="M4" s="368"/>
      <c r="N4" s="368"/>
      <c r="O4" s="368"/>
      <c r="P4" s="368"/>
      <c r="Q4" s="368"/>
      <c r="R4" s="368"/>
      <c r="S4" s="368"/>
      <c r="T4" s="368"/>
      <c r="U4" s="368"/>
      <c r="V4" s="368"/>
      <c r="W4" s="364"/>
      <c r="X4" s="367"/>
    </row>
    <row r="5" spans="1:24" ht="15" customHeight="1" x14ac:dyDescent="0.3">
      <c r="A5" s="26"/>
      <c r="B5" s="367"/>
      <c r="C5" s="367"/>
      <c r="D5" s="367"/>
      <c r="E5" s="367"/>
      <c r="F5" s="337" t="s">
        <v>117</v>
      </c>
      <c r="G5" s="337" t="s">
        <v>118</v>
      </c>
      <c r="H5" s="337" t="s">
        <v>120</v>
      </c>
      <c r="I5" s="337" t="s">
        <v>119</v>
      </c>
      <c r="J5" s="337" t="s">
        <v>33</v>
      </c>
      <c r="K5" s="337" t="s">
        <v>34</v>
      </c>
      <c r="L5" s="339" t="s">
        <v>35</v>
      </c>
      <c r="M5" s="341"/>
      <c r="N5" s="341"/>
      <c r="O5" s="341"/>
      <c r="P5" s="341"/>
      <c r="Q5" s="340"/>
      <c r="R5" s="339" t="s">
        <v>36</v>
      </c>
      <c r="S5" s="341"/>
      <c r="T5" s="341"/>
      <c r="U5" s="341"/>
      <c r="V5" s="341"/>
      <c r="W5" s="340"/>
      <c r="X5" s="367"/>
    </row>
    <row r="6" spans="1:24" ht="15" customHeight="1" x14ac:dyDescent="0.3">
      <c r="A6" s="76" t="s">
        <v>81</v>
      </c>
      <c r="B6" s="362"/>
      <c r="C6" s="362"/>
      <c r="D6" s="362"/>
      <c r="E6" s="362"/>
      <c r="F6" s="362"/>
      <c r="G6" s="362"/>
      <c r="H6" s="366"/>
      <c r="I6" s="366"/>
      <c r="J6" s="362"/>
      <c r="K6" s="362"/>
      <c r="L6" s="53" t="s">
        <v>41</v>
      </c>
      <c r="M6" s="53" t="s">
        <v>42</v>
      </c>
      <c r="N6" s="53" t="s">
        <v>43</v>
      </c>
      <c r="O6" s="53" t="s">
        <v>41</v>
      </c>
      <c r="P6" s="53" t="s">
        <v>42</v>
      </c>
      <c r="Q6" s="53" t="s">
        <v>43</v>
      </c>
      <c r="R6" s="53" t="s">
        <v>41</v>
      </c>
      <c r="S6" s="53" t="s">
        <v>42</v>
      </c>
      <c r="T6" s="53" t="s">
        <v>43</v>
      </c>
      <c r="U6" s="53" t="s">
        <v>41</v>
      </c>
      <c r="V6" s="53" t="s">
        <v>42</v>
      </c>
      <c r="W6" s="53" t="s">
        <v>43</v>
      </c>
      <c r="X6" s="362"/>
    </row>
    <row r="7" spans="1:24" ht="14.4" x14ac:dyDescent="0.3">
      <c r="A7" s="121">
        <v>1</v>
      </c>
      <c r="B7" s="122" t="s">
        <v>206</v>
      </c>
      <c r="C7" s="77" t="s">
        <v>132</v>
      </c>
      <c r="D7" s="60">
        <v>39</v>
      </c>
      <c r="E7" s="60" t="s">
        <v>134</v>
      </c>
      <c r="F7" s="78" t="s">
        <v>135</v>
      </c>
      <c r="G7" s="78" t="s">
        <v>135</v>
      </c>
      <c r="H7" s="78">
        <v>4.8</v>
      </c>
      <c r="I7" s="78">
        <v>5.18</v>
      </c>
      <c r="J7" s="78">
        <v>2.5</v>
      </c>
      <c r="K7" s="78">
        <v>2.5</v>
      </c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59"/>
    </row>
    <row r="8" spans="1:24" ht="14.25" customHeight="1" x14ac:dyDescent="0.3">
      <c r="A8" s="121">
        <v>2</v>
      </c>
      <c r="B8" s="122" t="s">
        <v>212</v>
      </c>
      <c r="C8" s="77" t="s">
        <v>132</v>
      </c>
      <c r="D8" s="60">
        <v>38</v>
      </c>
      <c r="E8" s="60" t="s">
        <v>134</v>
      </c>
      <c r="F8" s="78" t="s">
        <v>135</v>
      </c>
      <c r="G8" s="78" t="s">
        <v>135</v>
      </c>
      <c r="H8" s="58">
        <v>5.2</v>
      </c>
      <c r="I8" s="58">
        <v>5.41</v>
      </c>
      <c r="J8" s="78">
        <v>2.5</v>
      </c>
      <c r="K8" s="78">
        <v>5</v>
      </c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58"/>
    </row>
    <row r="9" spans="1:24" ht="14.4" x14ac:dyDescent="0.3">
      <c r="A9" s="121">
        <v>3</v>
      </c>
      <c r="B9" s="122" t="s">
        <v>213</v>
      </c>
      <c r="C9" s="77" t="s">
        <v>132</v>
      </c>
      <c r="D9" s="60">
        <v>34</v>
      </c>
      <c r="E9" s="60" t="s">
        <v>134</v>
      </c>
      <c r="F9" s="78" t="s">
        <v>135</v>
      </c>
      <c r="G9" s="78" t="s">
        <v>135</v>
      </c>
      <c r="H9" s="58">
        <v>6</v>
      </c>
      <c r="I9" s="66">
        <v>5.51</v>
      </c>
      <c r="J9" s="78">
        <v>2.5</v>
      </c>
      <c r="K9" s="78">
        <v>2.5</v>
      </c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79"/>
    </row>
    <row r="10" spans="1:24" ht="14.4" x14ac:dyDescent="0.3">
      <c r="A10" s="121">
        <v>4</v>
      </c>
      <c r="B10" s="122" t="s">
        <v>214</v>
      </c>
      <c r="C10" s="77" t="s">
        <v>132</v>
      </c>
      <c r="D10" s="60">
        <v>36</v>
      </c>
      <c r="E10" s="60" t="s">
        <v>134</v>
      </c>
      <c r="F10" s="78" t="s">
        <v>135</v>
      </c>
      <c r="G10" s="78" t="s">
        <v>135</v>
      </c>
      <c r="H10" s="58">
        <v>6.1</v>
      </c>
      <c r="I10" s="66">
        <v>5.91</v>
      </c>
      <c r="J10" s="78">
        <v>2.5</v>
      </c>
      <c r="K10" s="78">
        <v>2.5</v>
      </c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79"/>
    </row>
    <row r="11" spans="1:24" ht="14.4" x14ac:dyDescent="0.3">
      <c r="A11" s="121">
        <v>5</v>
      </c>
      <c r="B11" s="122" t="s">
        <v>254</v>
      </c>
      <c r="C11" s="77" t="s">
        <v>132</v>
      </c>
      <c r="D11" s="60">
        <v>53</v>
      </c>
      <c r="E11" s="60" t="s">
        <v>134</v>
      </c>
      <c r="F11" s="78" t="s">
        <v>135</v>
      </c>
      <c r="G11" s="78" t="s">
        <v>135</v>
      </c>
      <c r="H11" s="58">
        <v>5.6</v>
      </c>
      <c r="I11" s="66">
        <v>5.78</v>
      </c>
      <c r="J11" s="78">
        <v>2.5</v>
      </c>
      <c r="K11" s="78">
        <v>2.5</v>
      </c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79"/>
    </row>
    <row r="12" spans="1:24" ht="14.4" x14ac:dyDescent="0.3">
      <c r="A12" s="121">
        <v>6</v>
      </c>
      <c r="B12" s="122" t="s">
        <v>256</v>
      </c>
      <c r="C12" s="77" t="s">
        <v>132</v>
      </c>
      <c r="D12" s="60">
        <v>48</v>
      </c>
      <c r="E12" s="60" t="s">
        <v>134</v>
      </c>
      <c r="F12" s="78" t="s">
        <v>135</v>
      </c>
      <c r="G12" s="78" t="s">
        <v>135</v>
      </c>
      <c r="H12" s="58">
        <v>5.7</v>
      </c>
      <c r="I12" s="66">
        <v>5.83</v>
      </c>
      <c r="J12" s="78">
        <v>5</v>
      </c>
      <c r="K12" s="78">
        <v>2.5</v>
      </c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79"/>
    </row>
    <row r="13" spans="1:24" ht="14.4" x14ac:dyDescent="0.3">
      <c r="A13" s="121">
        <v>7</v>
      </c>
      <c r="B13" s="122" t="s">
        <v>257</v>
      </c>
      <c r="C13" s="77" t="s">
        <v>132</v>
      </c>
      <c r="D13" s="60">
        <v>39</v>
      </c>
      <c r="E13" s="60" t="s">
        <v>134</v>
      </c>
      <c r="F13" s="78" t="s">
        <v>135</v>
      </c>
      <c r="G13" s="78" t="s">
        <v>135</v>
      </c>
      <c r="H13" s="58">
        <v>5</v>
      </c>
      <c r="I13" s="66">
        <v>5.12</v>
      </c>
      <c r="J13" s="78">
        <v>2.5</v>
      </c>
      <c r="K13" s="78">
        <v>2.5</v>
      </c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79"/>
    </row>
    <row r="14" spans="1:24" ht="14.4" x14ac:dyDescent="0.3">
      <c r="A14" s="121">
        <v>8</v>
      </c>
      <c r="B14" s="123" t="s">
        <v>270</v>
      </c>
      <c r="C14" s="77" t="s">
        <v>132</v>
      </c>
      <c r="D14" s="60">
        <v>42</v>
      </c>
      <c r="E14" s="60" t="s">
        <v>134</v>
      </c>
      <c r="F14" s="78" t="s">
        <v>135</v>
      </c>
      <c r="G14" s="78" t="s">
        <v>135</v>
      </c>
      <c r="H14" s="58">
        <v>5.2</v>
      </c>
      <c r="I14" s="66">
        <v>5.58</v>
      </c>
      <c r="J14" s="78">
        <v>5</v>
      </c>
      <c r="K14" s="78">
        <v>5</v>
      </c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80"/>
    </row>
    <row r="15" spans="1:24" ht="14.4" x14ac:dyDescent="0.3">
      <c r="A15" s="121">
        <v>9</v>
      </c>
      <c r="B15" s="122" t="s">
        <v>309</v>
      </c>
      <c r="C15" s="77" t="s">
        <v>132</v>
      </c>
      <c r="D15" s="60">
        <v>47</v>
      </c>
      <c r="E15" s="60" t="s">
        <v>134</v>
      </c>
      <c r="F15" s="78" t="s">
        <v>135</v>
      </c>
      <c r="G15" s="78" t="s">
        <v>135</v>
      </c>
      <c r="H15" s="58">
        <v>4.8</v>
      </c>
      <c r="I15" s="66">
        <v>5.29</v>
      </c>
      <c r="J15" s="78">
        <v>2.5</v>
      </c>
      <c r="K15" s="78">
        <v>2.5</v>
      </c>
      <c r="L15" s="66"/>
      <c r="M15" s="66"/>
      <c r="N15" s="66"/>
      <c r="O15" s="66"/>
      <c r="P15" s="66"/>
      <c r="Q15" s="66"/>
      <c r="R15" s="66"/>
      <c r="S15" s="66"/>
      <c r="T15" s="66"/>
      <c r="U15" s="81"/>
      <c r="V15" s="81"/>
      <c r="W15" s="81"/>
      <c r="X15" s="80"/>
    </row>
    <row r="16" spans="1:24" ht="14.4" x14ac:dyDescent="0.3">
      <c r="A16" s="121">
        <v>10</v>
      </c>
      <c r="B16" s="122" t="s">
        <v>310</v>
      </c>
      <c r="C16" s="77" t="s">
        <v>132</v>
      </c>
      <c r="D16" s="60">
        <v>44</v>
      </c>
      <c r="E16" s="60" t="s">
        <v>134</v>
      </c>
      <c r="F16" s="78" t="s">
        <v>135</v>
      </c>
      <c r="G16" s="78" t="s">
        <v>135</v>
      </c>
      <c r="H16" s="58">
        <v>5.0999999999999996</v>
      </c>
      <c r="I16" s="66">
        <v>5.52</v>
      </c>
      <c r="J16" s="78">
        <v>2.5</v>
      </c>
      <c r="K16" s="78">
        <v>5</v>
      </c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80"/>
    </row>
    <row r="17" spans="1:24" ht="14.4" x14ac:dyDescent="0.3">
      <c r="A17" s="121">
        <v>11</v>
      </c>
      <c r="B17" s="124" t="s">
        <v>311</v>
      </c>
      <c r="C17" s="77" t="s">
        <v>132</v>
      </c>
      <c r="D17" s="60" t="s">
        <v>135</v>
      </c>
      <c r="E17" s="167" t="s">
        <v>275</v>
      </c>
      <c r="F17" s="78" t="s">
        <v>135</v>
      </c>
      <c r="G17" s="78" t="s">
        <v>135</v>
      </c>
      <c r="H17" s="58" t="s">
        <v>135</v>
      </c>
      <c r="I17" s="58" t="s">
        <v>135</v>
      </c>
      <c r="J17" s="78">
        <v>2.5</v>
      </c>
      <c r="K17" s="78">
        <v>2.5</v>
      </c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80" t="s">
        <v>157</v>
      </c>
    </row>
    <row r="18" spans="1:24" ht="14.4" x14ac:dyDescent="0.3">
      <c r="A18" s="121">
        <v>12</v>
      </c>
      <c r="B18" s="124" t="s">
        <v>252</v>
      </c>
      <c r="C18" s="77" t="s">
        <v>132</v>
      </c>
      <c r="D18" s="60">
        <v>43</v>
      </c>
      <c r="E18" s="167" t="s">
        <v>275</v>
      </c>
      <c r="F18" s="78" t="s">
        <v>135</v>
      </c>
      <c r="G18" s="78" t="s">
        <v>135</v>
      </c>
      <c r="H18" s="58">
        <v>4.5999999999999996</v>
      </c>
      <c r="I18" s="58">
        <v>5.29</v>
      </c>
      <c r="J18" s="78">
        <v>7.5</v>
      </c>
      <c r="K18" s="78">
        <v>2.5</v>
      </c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80" t="s">
        <v>274</v>
      </c>
    </row>
    <row r="19" spans="1:24" ht="14.4" x14ac:dyDescent="0.3">
      <c r="A19" s="121">
        <v>13</v>
      </c>
      <c r="B19" s="124" t="s">
        <v>253</v>
      </c>
      <c r="C19" s="77" t="s">
        <v>132</v>
      </c>
      <c r="D19" s="60">
        <v>40</v>
      </c>
      <c r="E19" s="60" t="s">
        <v>134</v>
      </c>
      <c r="F19" s="78" t="s">
        <v>135</v>
      </c>
      <c r="G19" s="78" t="s">
        <v>135</v>
      </c>
      <c r="H19" s="58">
        <v>6</v>
      </c>
      <c r="I19" s="58">
        <v>5.46</v>
      </c>
      <c r="J19" s="78">
        <v>2.5</v>
      </c>
      <c r="K19" s="78">
        <v>2.5</v>
      </c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58"/>
    </row>
    <row r="20" spans="1:24" ht="15.75" customHeight="1" x14ac:dyDescent="0.3">
      <c r="A20" s="121">
        <v>14</v>
      </c>
      <c r="B20" s="124" t="s">
        <v>218</v>
      </c>
      <c r="C20" s="77" t="s">
        <v>132</v>
      </c>
      <c r="D20" s="60">
        <v>44</v>
      </c>
      <c r="E20" s="60" t="s">
        <v>134</v>
      </c>
      <c r="F20" s="78" t="s">
        <v>135</v>
      </c>
      <c r="G20" s="78" t="s">
        <v>135</v>
      </c>
      <c r="H20" s="58">
        <v>4.7</v>
      </c>
      <c r="I20" s="58">
        <v>5.37</v>
      </c>
      <c r="J20" s="78">
        <v>2.5</v>
      </c>
      <c r="K20" s="78">
        <v>2.5</v>
      </c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80"/>
    </row>
    <row r="21" spans="1:24" ht="15.75" customHeight="1" x14ac:dyDescent="0.3">
      <c r="A21" s="121">
        <v>15</v>
      </c>
      <c r="B21" s="124" t="s">
        <v>231</v>
      </c>
      <c r="C21" s="77" t="s">
        <v>132</v>
      </c>
      <c r="D21" s="60">
        <v>49</v>
      </c>
      <c r="E21" s="60" t="s">
        <v>134</v>
      </c>
      <c r="F21" s="78" t="s">
        <v>135</v>
      </c>
      <c r="G21" s="78" t="s">
        <v>135</v>
      </c>
      <c r="H21" s="58">
        <v>4.8</v>
      </c>
      <c r="I21" s="58">
        <v>5.2</v>
      </c>
      <c r="J21" s="78">
        <v>2.5</v>
      </c>
      <c r="K21" s="78">
        <v>2.5</v>
      </c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80"/>
    </row>
    <row r="22" spans="1:24" ht="15.75" customHeight="1" x14ac:dyDescent="0.3">
      <c r="A22" s="121">
        <v>16</v>
      </c>
      <c r="B22" s="124" t="s">
        <v>312</v>
      </c>
      <c r="C22" s="77" t="s">
        <v>132</v>
      </c>
      <c r="D22" s="60" t="s">
        <v>135</v>
      </c>
      <c r="E22" s="167" t="s">
        <v>275</v>
      </c>
      <c r="F22" s="78" t="s">
        <v>135</v>
      </c>
      <c r="G22" s="78" t="s">
        <v>135</v>
      </c>
      <c r="H22" s="58" t="s">
        <v>135</v>
      </c>
      <c r="I22" s="58" t="s">
        <v>135</v>
      </c>
      <c r="J22" s="78">
        <v>2.5</v>
      </c>
      <c r="K22" s="78">
        <v>2.5</v>
      </c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80" t="s">
        <v>158</v>
      </c>
    </row>
    <row r="23" spans="1:24" ht="15.75" customHeight="1" x14ac:dyDescent="0.3">
      <c r="A23" s="121">
        <v>17</v>
      </c>
      <c r="B23" s="124" t="s">
        <v>247</v>
      </c>
      <c r="C23" s="77" t="s">
        <v>132</v>
      </c>
      <c r="D23" s="60">
        <v>50</v>
      </c>
      <c r="E23" s="60" t="s">
        <v>134</v>
      </c>
      <c r="F23" s="78" t="s">
        <v>135</v>
      </c>
      <c r="G23" s="78" t="s">
        <v>135</v>
      </c>
      <c r="H23" s="65">
        <v>5.5</v>
      </c>
      <c r="I23" s="65">
        <v>5.39</v>
      </c>
      <c r="J23" s="78">
        <v>2.5</v>
      </c>
      <c r="K23" s="78">
        <v>2.5</v>
      </c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80"/>
    </row>
    <row r="24" spans="1:24" ht="15.75" customHeight="1" x14ac:dyDescent="0.3">
      <c r="A24" s="121">
        <v>18</v>
      </c>
      <c r="B24" s="124" t="s">
        <v>248</v>
      </c>
      <c r="C24" s="77" t="s">
        <v>132</v>
      </c>
      <c r="D24" s="60">
        <v>52</v>
      </c>
      <c r="E24" s="60" t="s">
        <v>134</v>
      </c>
      <c r="F24" s="78" t="s">
        <v>135</v>
      </c>
      <c r="G24" s="78" t="s">
        <v>135</v>
      </c>
      <c r="H24" s="72">
        <v>4.5</v>
      </c>
      <c r="I24" s="72">
        <v>5.47</v>
      </c>
      <c r="J24" s="78">
        <v>2.5</v>
      </c>
      <c r="K24" s="78">
        <v>2.5</v>
      </c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</row>
    <row r="25" spans="1:24" ht="15.75" customHeight="1" x14ac:dyDescent="0.3">
      <c r="A25" s="121">
        <v>19</v>
      </c>
      <c r="B25" s="124" t="s">
        <v>245</v>
      </c>
      <c r="C25" s="77" t="s">
        <v>132</v>
      </c>
      <c r="D25" s="60">
        <v>51</v>
      </c>
      <c r="E25" s="60" t="s">
        <v>134</v>
      </c>
      <c r="F25" s="78" t="s">
        <v>135</v>
      </c>
      <c r="G25" s="78" t="s">
        <v>135</v>
      </c>
      <c r="H25" s="72">
        <v>4.9000000000000004</v>
      </c>
      <c r="I25" s="72">
        <v>5.33</v>
      </c>
      <c r="J25" s="78">
        <v>2.5</v>
      </c>
      <c r="K25" s="78">
        <v>5</v>
      </c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</row>
    <row r="26" spans="1:24" ht="15.75" customHeight="1" x14ac:dyDescent="0.3">
      <c r="A26" s="121">
        <v>20</v>
      </c>
      <c r="B26" s="124" t="s">
        <v>246</v>
      </c>
      <c r="C26" s="77" t="s">
        <v>132</v>
      </c>
      <c r="D26" s="60">
        <v>52</v>
      </c>
      <c r="E26" s="60" t="s">
        <v>134</v>
      </c>
      <c r="F26" s="78" t="s">
        <v>135</v>
      </c>
      <c r="G26" s="78" t="s">
        <v>135</v>
      </c>
      <c r="H26" s="72">
        <v>4.9000000000000004</v>
      </c>
      <c r="I26" s="72">
        <v>5.19</v>
      </c>
      <c r="J26" s="78">
        <v>2.5</v>
      </c>
      <c r="K26" s="78">
        <v>2.5</v>
      </c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69"/>
      <c r="W26" s="69"/>
      <c r="X26" s="69"/>
    </row>
    <row r="27" spans="1:24" ht="15.75" customHeight="1" x14ac:dyDescent="0.3">
      <c r="A27" s="121">
        <v>21</v>
      </c>
      <c r="B27" s="124" t="s">
        <v>234</v>
      </c>
      <c r="C27" s="77" t="s">
        <v>132</v>
      </c>
      <c r="D27" s="60">
        <v>53</v>
      </c>
      <c r="E27" s="60" t="s">
        <v>134</v>
      </c>
      <c r="F27" s="78" t="s">
        <v>135</v>
      </c>
      <c r="G27" s="78" t="s">
        <v>135</v>
      </c>
      <c r="H27" s="72">
        <v>5.2</v>
      </c>
      <c r="I27" s="72">
        <v>5.51</v>
      </c>
      <c r="J27" s="78">
        <v>5</v>
      </c>
      <c r="K27" s="78">
        <v>2.5</v>
      </c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</row>
    <row r="28" spans="1:24" ht="15.75" customHeight="1" x14ac:dyDescent="0.3">
      <c r="A28" s="121">
        <v>22</v>
      </c>
      <c r="B28" s="124" t="s">
        <v>250</v>
      </c>
      <c r="C28" s="77" t="s">
        <v>132</v>
      </c>
      <c r="D28" s="60">
        <v>48</v>
      </c>
      <c r="E28" s="60" t="s">
        <v>134</v>
      </c>
      <c r="F28" s="78" t="s">
        <v>135</v>
      </c>
      <c r="G28" s="78" t="s">
        <v>135</v>
      </c>
      <c r="H28" s="72">
        <v>4.4000000000000004</v>
      </c>
      <c r="I28" s="72">
        <v>5.13</v>
      </c>
      <c r="J28" s="78">
        <v>2.5</v>
      </c>
      <c r="K28" s="78">
        <v>2.5</v>
      </c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</row>
    <row r="29" spans="1:24" ht="15.75" customHeight="1" x14ac:dyDescent="0.3">
      <c r="A29" s="121">
        <v>23</v>
      </c>
      <c r="B29" s="124" t="s">
        <v>215</v>
      </c>
      <c r="C29" s="77" t="s">
        <v>132</v>
      </c>
      <c r="D29" s="60">
        <v>51</v>
      </c>
      <c r="E29" s="60" t="s">
        <v>134</v>
      </c>
      <c r="F29" s="78" t="s">
        <v>135</v>
      </c>
      <c r="G29" s="78" t="s">
        <v>135</v>
      </c>
      <c r="H29" s="72">
        <v>4.5</v>
      </c>
      <c r="I29" s="72">
        <v>5.53</v>
      </c>
      <c r="J29" s="78">
        <v>2.5</v>
      </c>
      <c r="K29" s="78">
        <v>2.5</v>
      </c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</row>
    <row r="30" spans="1:24" ht="15.75" customHeight="1" x14ac:dyDescent="0.3">
      <c r="A30" s="121">
        <v>24</v>
      </c>
      <c r="B30" s="124" t="s">
        <v>216</v>
      </c>
      <c r="C30" s="77" t="s">
        <v>132</v>
      </c>
      <c r="D30" s="60">
        <v>52</v>
      </c>
      <c r="E30" s="60" t="s">
        <v>134</v>
      </c>
      <c r="F30" s="78" t="s">
        <v>135</v>
      </c>
      <c r="G30" s="78" t="s">
        <v>135</v>
      </c>
      <c r="H30" s="72">
        <v>5</v>
      </c>
      <c r="I30" s="82">
        <v>5.2</v>
      </c>
      <c r="J30" s="78">
        <v>2.5</v>
      </c>
      <c r="K30" s="78">
        <v>2.5</v>
      </c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</row>
    <row r="31" spans="1:24" ht="15.75" customHeight="1" x14ac:dyDescent="0.3">
      <c r="A31" s="121">
        <v>25</v>
      </c>
      <c r="B31" s="124" t="s">
        <v>313</v>
      </c>
      <c r="C31" s="77" t="s">
        <v>132</v>
      </c>
      <c r="D31" s="60" t="s">
        <v>135</v>
      </c>
      <c r="E31" s="71" t="s">
        <v>275</v>
      </c>
      <c r="F31" s="78" t="s">
        <v>135</v>
      </c>
      <c r="G31" s="78" t="s">
        <v>135</v>
      </c>
      <c r="H31" s="127" t="s">
        <v>135</v>
      </c>
      <c r="I31" s="82" t="s">
        <v>135</v>
      </c>
      <c r="J31" s="78">
        <v>2.5</v>
      </c>
      <c r="K31" s="78">
        <v>2.5</v>
      </c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80" t="s">
        <v>158</v>
      </c>
    </row>
    <row r="32" spans="1:24" ht="15.75" customHeight="1" x14ac:dyDescent="0.3">
      <c r="A32" s="121">
        <v>26</v>
      </c>
      <c r="B32" s="124" t="s">
        <v>222</v>
      </c>
      <c r="C32" s="77" t="s">
        <v>132</v>
      </c>
      <c r="D32" s="60">
        <v>48</v>
      </c>
      <c r="E32" s="60" t="s">
        <v>134</v>
      </c>
      <c r="F32" s="78" t="s">
        <v>135</v>
      </c>
      <c r="G32" s="78" t="s">
        <v>135</v>
      </c>
      <c r="H32" s="72">
        <v>4.8</v>
      </c>
      <c r="I32" s="72">
        <v>5.35</v>
      </c>
      <c r="J32" s="78">
        <v>2.5</v>
      </c>
      <c r="K32" s="78">
        <v>2.5</v>
      </c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</row>
    <row r="33" spans="1:24" ht="15.75" customHeight="1" x14ac:dyDescent="0.3">
      <c r="A33" s="121">
        <v>27</v>
      </c>
      <c r="B33" s="124" t="s">
        <v>225</v>
      </c>
      <c r="C33" s="77" t="s">
        <v>132</v>
      </c>
      <c r="D33" s="60">
        <v>50</v>
      </c>
      <c r="E33" s="60" t="s">
        <v>134</v>
      </c>
      <c r="F33" s="78" t="s">
        <v>135</v>
      </c>
      <c r="G33" s="78" t="s">
        <v>135</v>
      </c>
      <c r="H33" s="72">
        <v>4.5999999999999996</v>
      </c>
      <c r="I33" s="72">
        <v>5.12</v>
      </c>
      <c r="J33" s="78">
        <v>2.5</v>
      </c>
      <c r="K33" s="78">
        <v>2.5</v>
      </c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</row>
    <row r="34" spans="1:24" ht="15.75" customHeight="1" x14ac:dyDescent="0.3">
      <c r="A34" s="121">
        <v>28</v>
      </c>
      <c r="B34" s="124" t="s">
        <v>217</v>
      </c>
      <c r="C34" s="77" t="s">
        <v>132</v>
      </c>
      <c r="D34" s="60">
        <v>47</v>
      </c>
      <c r="E34" s="60" t="s">
        <v>134</v>
      </c>
      <c r="F34" s="78" t="s">
        <v>135</v>
      </c>
      <c r="G34" s="78" t="s">
        <v>135</v>
      </c>
      <c r="H34" s="72">
        <v>4.9000000000000004</v>
      </c>
      <c r="I34" s="72">
        <v>5.4</v>
      </c>
      <c r="J34" s="78">
        <v>2.5</v>
      </c>
      <c r="K34" s="78">
        <v>5</v>
      </c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</row>
    <row r="35" spans="1:24" ht="15.75" customHeight="1" x14ac:dyDescent="0.3">
      <c r="A35" s="121">
        <v>29</v>
      </c>
      <c r="B35" s="124" t="s">
        <v>244</v>
      </c>
      <c r="C35" s="77" t="s">
        <v>132</v>
      </c>
      <c r="D35" s="60">
        <v>49</v>
      </c>
      <c r="E35" s="60" t="s">
        <v>134</v>
      </c>
      <c r="F35" s="78" t="s">
        <v>135</v>
      </c>
      <c r="G35" s="78" t="s">
        <v>135</v>
      </c>
      <c r="H35" s="72">
        <v>5.5</v>
      </c>
      <c r="I35" s="72">
        <v>5.2</v>
      </c>
      <c r="J35" s="78">
        <v>2.5</v>
      </c>
      <c r="K35" s="78">
        <v>2.5</v>
      </c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</row>
    <row r="36" spans="1:24" ht="15.75" customHeight="1" x14ac:dyDescent="0.3">
      <c r="A36" s="121">
        <v>30</v>
      </c>
      <c r="B36" s="124" t="s">
        <v>232</v>
      </c>
      <c r="C36" s="77" t="s">
        <v>132</v>
      </c>
      <c r="D36" s="60">
        <v>50</v>
      </c>
      <c r="E36" s="60" t="s">
        <v>134</v>
      </c>
      <c r="F36" s="78" t="s">
        <v>135</v>
      </c>
      <c r="G36" s="78" t="s">
        <v>135</v>
      </c>
      <c r="H36" s="72">
        <v>4.5999999999999996</v>
      </c>
      <c r="I36" s="72">
        <v>5.3</v>
      </c>
      <c r="J36" s="78">
        <v>2.5</v>
      </c>
      <c r="K36" s="78">
        <v>2.5</v>
      </c>
      <c r="L36" s="69"/>
      <c r="M36" s="69"/>
      <c r="N36" s="69"/>
      <c r="O36" s="69"/>
      <c r="P36" s="69"/>
      <c r="Q36" s="69"/>
      <c r="R36" s="69"/>
      <c r="S36" s="69"/>
      <c r="T36" s="69"/>
      <c r="U36" s="69"/>
      <c r="V36" s="69"/>
      <c r="W36" s="69"/>
      <c r="X36" s="69"/>
    </row>
    <row r="37" spans="1:24" ht="15.75" customHeight="1" x14ac:dyDescent="0.3">
      <c r="A37" s="121">
        <v>31</v>
      </c>
      <c r="B37" s="124" t="s">
        <v>229</v>
      </c>
      <c r="C37" s="77" t="s">
        <v>132</v>
      </c>
      <c r="D37" s="60">
        <v>51</v>
      </c>
      <c r="E37" s="60" t="s">
        <v>134</v>
      </c>
      <c r="F37" s="78" t="s">
        <v>135</v>
      </c>
      <c r="G37" s="78" t="s">
        <v>135</v>
      </c>
      <c r="H37" s="72">
        <v>4.8</v>
      </c>
      <c r="I37" s="72">
        <v>5.14</v>
      </c>
      <c r="J37" s="78">
        <v>2.5</v>
      </c>
      <c r="K37" s="78">
        <v>2.5</v>
      </c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</row>
    <row r="38" spans="1:24" ht="15.75" customHeight="1" x14ac:dyDescent="0.3">
      <c r="A38" s="121">
        <v>32</v>
      </c>
      <c r="B38" s="124" t="s">
        <v>230</v>
      </c>
      <c r="C38" s="77" t="s">
        <v>132</v>
      </c>
      <c r="D38" s="60">
        <v>51</v>
      </c>
      <c r="E38" s="60" t="s">
        <v>134</v>
      </c>
      <c r="F38" s="78" t="s">
        <v>135</v>
      </c>
      <c r="G38" s="78" t="s">
        <v>135</v>
      </c>
      <c r="H38" s="72">
        <v>5.3</v>
      </c>
      <c r="I38" s="72">
        <v>5.37</v>
      </c>
      <c r="J38" s="78">
        <v>2.5</v>
      </c>
      <c r="K38" s="78">
        <v>2.5</v>
      </c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</row>
    <row r="39" spans="1:24" ht="15.75" hidden="1" customHeight="1" x14ac:dyDescent="0.3">
      <c r="A39" s="117">
        <v>33</v>
      </c>
      <c r="B39" s="118">
        <v>2236</v>
      </c>
      <c r="C39" s="77" t="s">
        <v>132</v>
      </c>
      <c r="D39" s="60">
        <v>48</v>
      </c>
      <c r="E39" s="60" t="s">
        <v>134</v>
      </c>
      <c r="F39" s="78" t="s">
        <v>135</v>
      </c>
      <c r="G39" s="78" t="s">
        <v>135</v>
      </c>
      <c r="H39" s="72">
        <v>4.8</v>
      </c>
      <c r="I39" s="72">
        <v>5.43</v>
      </c>
      <c r="J39" s="78">
        <v>5</v>
      </c>
      <c r="K39" s="78">
        <v>7.5</v>
      </c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120" t="s">
        <v>226</v>
      </c>
    </row>
    <row r="40" spans="1:24" ht="15.75" hidden="1" customHeight="1" x14ac:dyDescent="0.3">
      <c r="A40" s="117">
        <v>34</v>
      </c>
      <c r="B40" s="119">
        <v>2150</v>
      </c>
      <c r="C40" s="77" t="s">
        <v>132</v>
      </c>
      <c r="D40" s="60">
        <v>50</v>
      </c>
      <c r="E40" s="60" t="s">
        <v>134</v>
      </c>
      <c r="F40" s="78" t="s">
        <v>135</v>
      </c>
      <c r="G40" s="78" t="s">
        <v>135</v>
      </c>
      <c r="H40" s="72">
        <v>5.4</v>
      </c>
      <c r="I40" s="72">
        <v>5.3</v>
      </c>
      <c r="J40" s="78">
        <v>2.5</v>
      </c>
      <c r="K40" s="78">
        <v>2.5</v>
      </c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120" t="s">
        <v>226</v>
      </c>
    </row>
    <row r="41" spans="1:24" ht="15.75" hidden="1" customHeight="1" x14ac:dyDescent="0.3">
      <c r="A41" s="117">
        <v>35</v>
      </c>
      <c r="B41" s="119">
        <v>2109</v>
      </c>
      <c r="C41" s="77" t="s">
        <v>132</v>
      </c>
      <c r="D41" s="60">
        <v>53</v>
      </c>
      <c r="E41" s="60" t="s">
        <v>134</v>
      </c>
      <c r="F41" s="78" t="s">
        <v>135</v>
      </c>
      <c r="G41" s="78" t="s">
        <v>135</v>
      </c>
      <c r="H41" s="72">
        <v>6</v>
      </c>
      <c r="I41" s="72">
        <v>5.38</v>
      </c>
      <c r="J41" s="78">
        <v>2.5</v>
      </c>
      <c r="K41" s="78">
        <v>2.5</v>
      </c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120" t="s">
        <v>226</v>
      </c>
    </row>
    <row r="42" spans="1:24" ht="15.75" hidden="1" customHeight="1" x14ac:dyDescent="0.3">
      <c r="A42" s="117">
        <v>36</v>
      </c>
      <c r="B42" s="119">
        <v>2201</v>
      </c>
      <c r="C42" s="77" t="s">
        <v>132</v>
      </c>
      <c r="D42" s="60">
        <v>50</v>
      </c>
      <c r="E42" s="60" t="s">
        <v>134</v>
      </c>
      <c r="F42" s="78" t="s">
        <v>135</v>
      </c>
      <c r="G42" s="78" t="s">
        <v>135</v>
      </c>
      <c r="H42" s="72">
        <v>4.9000000000000004</v>
      </c>
      <c r="I42" s="72">
        <v>5.37</v>
      </c>
      <c r="J42" s="78">
        <v>5</v>
      </c>
      <c r="K42" s="78">
        <v>2.5</v>
      </c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120" t="s">
        <v>226</v>
      </c>
    </row>
    <row r="43" spans="1:24" ht="15.75" hidden="1" customHeight="1" x14ac:dyDescent="0.3">
      <c r="A43" s="117">
        <v>37</v>
      </c>
      <c r="B43" s="119">
        <v>2116</v>
      </c>
      <c r="C43" s="77" t="s">
        <v>132</v>
      </c>
      <c r="D43" s="60">
        <v>52</v>
      </c>
      <c r="E43" s="60" t="s">
        <v>134</v>
      </c>
      <c r="F43" s="78" t="s">
        <v>135</v>
      </c>
      <c r="G43" s="78" t="s">
        <v>135</v>
      </c>
      <c r="H43" s="72">
        <v>4.3</v>
      </c>
      <c r="I43" s="72">
        <v>5.07</v>
      </c>
      <c r="J43" s="78">
        <v>2.5</v>
      </c>
      <c r="K43" s="78">
        <v>2.5</v>
      </c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120" t="s">
        <v>226</v>
      </c>
    </row>
    <row r="44" spans="1:24" ht="15.75" hidden="1" customHeight="1" x14ac:dyDescent="0.3">
      <c r="A44" s="117">
        <v>38</v>
      </c>
      <c r="B44" s="119">
        <v>2146</v>
      </c>
      <c r="C44" s="77" t="s">
        <v>132</v>
      </c>
      <c r="D44" s="60">
        <v>48</v>
      </c>
      <c r="E44" s="60" t="s">
        <v>134</v>
      </c>
      <c r="F44" s="78" t="s">
        <v>135</v>
      </c>
      <c r="G44" s="78" t="s">
        <v>135</v>
      </c>
      <c r="H44" s="72">
        <v>4.5999999999999996</v>
      </c>
      <c r="I44" s="72">
        <v>5</v>
      </c>
      <c r="J44" s="78">
        <v>2.5</v>
      </c>
      <c r="K44" s="78">
        <v>2.5</v>
      </c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120" t="s">
        <v>226</v>
      </c>
    </row>
    <row r="45" spans="1:24" ht="15.75" hidden="1" customHeight="1" x14ac:dyDescent="0.3">
      <c r="A45" s="117">
        <v>39</v>
      </c>
      <c r="B45" s="119">
        <v>2187</v>
      </c>
      <c r="C45" s="77" t="s">
        <v>132</v>
      </c>
      <c r="D45" s="60">
        <v>50</v>
      </c>
      <c r="E45" s="60" t="s">
        <v>134</v>
      </c>
      <c r="F45" s="78" t="s">
        <v>135</v>
      </c>
      <c r="G45" s="78" t="s">
        <v>135</v>
      </c>
      <c r="H45" s="72">
        <v>4.7</v>
      </c>
      <c r="I45" s="72">
        <v>5.35</v>
      </c>
      <c r="J45" s="78">
        <v>5</v>
      </c>
      <c r="K45" s="78">
        <v>2.5</v>
      </c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120" t="s">
        <v>226</v>
      </c>
    </row>
    <row r="46" spans="1:24" ht="15.75" hidden="1" customHeight="1" x14ac:dyDescent="0.3">
      <c r="A46" s="117">
        <v>40</v>
      </c>
      <c r="B46" s="119">
        <v>2188</v>
      </c>
      <c r="C46" s="77" t="s">
        <v>132</v>
      </c>
      <c r="D46" s="60">
        <v>52</v>
      </c>
      <c r="E46" s="60" t="s">
        <v>134</v>
      </c>
      <c r="F46" s="78" t="s">
        <v>135</v>
      </c>
      <c r="G46" s="78" t="s">
        <v>135</v>
      </c>
      <c r="H46" s="72">
        <v>4.8</v>
      </c>
      <c r="I46" s="72">
        <v>5</v>
      </c>
      <c r="J46" s="78">
        <v>2.5</v>
      </c>
      <c r="K46" s="78">
        <v>2.5</v>
      </c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120" t="s">
        <v>226</v>
      </c>
    </row>
    <row r="47" spans="1:24" ht="15.75" hidden="1" customHeight="1" x14ac:dyDescent="0.3">
      <c r="A47" s="117">
        <v>41</v>
      </c>
      <c r="B47" s="119">
        <v>2163</v>
      </c>
      <c r="C47" s="77" t="s">
        <v>132</v>
      </c>
      <c r="D47" s="60">
        <v>48</v>
      </c>
      <c r="E47" s="60" t="s">
        <v>134</v>
      </c>
      <c r="F47" s="78" t="s">
        <v>135</v>
      </c>
      <c r="G47" s="78" t="s">
        <v>135</v>
      </c>
      <c r="H47" s="72">
        <v>5.7</v>
      </c>
      <c r="I47" s="72">
        <v>5.8</v>
      </c>
      <c r="J47" s="78">
        <v>2.5</v>
      </c>
      <c r="K47" s="78">
        <v>2.5</v>
      </c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120" t="s">
        <v>226</v>
      </c>
    </row>
    <row r="48" spans="1:24" ht="15.75" hidden="1" customHeight="1" x14ac:dyDescent="0.3">
      <c r="A48" s="117">
        <v>42</v>
      </c>
      <c r="B48" s="119">
        <v>2162</v>
      </c>
      <c r="C48" s="77" t="s">
        <v>132</v>
      </c>
      <c r="D48" s="60">
        <v>56</v>
      </c>
      <c r="E48" s="60" t="s">
        <v>134</v>
      </c>
      <c r="F48" s="78" t="s">
        <v>135</v>
      </c>
      <c r="G48" s="78" t="s">
        <v>135</v>
      </c>
      <c r="H48" s="72">
        <v>4.3</v>
      </c>
      <c r="I48" s="72">
        <v>5.5</v>
      </c>
      <c r="J48" s="78">
        <v>5</v>
      </c>
      <c r="K48" s="78">
        <v>5</v>
      </c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120" t="s">
        <v>226</v>
      </c>
    </row>
    <row r="49" spans="2:2" ht="15.75" customHeight="1" x14ac:dyDescent="0.3"/>
    <row r="50" spans="2:2" ht="15.75" customHeight="1" x14ac:dyDescent="0.3"/>
    <row r="51" spans="2:2" ht="15.75" customHeight="1" x14ac:dyDescent="0.3">
      <c r="B51" s="116"/>
    </row>
    <row r="52" spans="2:2" ht="15.75" customHeight="1" x14ac:dyDescent="0.3"/>
    <row r="53" spans="2:2" ht="15.75" customHeight="1" x14ac:dyDescent="0.3"/>
    <row r="54" spans="2:2" ht="15.75" customHeight="1" x14ac:dyDescent="0.3"/>
    <row r="55" spans="2:2" ht="15.75" customHeight="1" x14ac:dyDescent="0.3"/>
    <row r="56" spans="2:2" ht="15.75" customHeight="1" x14ac:dyDescent="0.3"/>
    <row r="57" spans="2:2" ht="15.75" customHeight="1" x14ac:dyDescent="0.3"/>
    <row r="58" spans="2:2" ht="15.75" customHeight="1" x14ac:dyDescent="0.3"/>
    <row r="59" spans="2:2" ht="15.75" customHeight="1" x14ac:dyDescent="0.3"/>
    <row r="60" spans="2:2" ht="15.75" customHeight="1" x14ac:dyDescent="0.3"/>
    <row r="61" spans="2:2" ht="15.75" customHeight="1" x14ac:dyDescent="0.3"/>
    <row r="62" spans="2:2" ht="15.75" customHeight="1" x14ac:dyDescent="0.3"/>
    <row r="63" spans="2:2" ht="15.75" customHeight="1" x14ac:dyDescent="0.3"/>
    <row r="64" spans="2:2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</sheetData>
  <autoFilter ref="A6:X48" xr:uid="{00000000-0009-0000-0000-000004000000}"/>
  <mergeCells count="20">
    <mergeCell ref="L3:W3"/>
    <mergeCell ref="J3:K4"/>
    <mergeCell ref="L5:Q5"/>
    <mergeCell ref="R5:W5"/>
    <mergeCell ref="B2:X2"/>
    <mergeCell ref="K5:K6"/>
    <mergeCell ref="F3:I3"/>
    <mergeCell ref="F4:G4"/>
    <mergeCell ref="H4:I4"/>
    <mergeCell ref="G5:G6"/>
    <mergeCell ref="H5:H6"/>
    <mergeCell ref="I5:I6"/>
    <mergeCell ref="J5:J6"/>
    <mergeCell ref="E3:E6"/>
    <mergeCell ref="F5:F6"/>
    <mergeCell ref="B3:B6"/>
    <mergeCell ref="C3:C6"/>
    <mergeCell ref="D3:D6"/>
    <mergeCell ref="X3:X6"/>
    <mergeCell ref="L4:W4"/>
  </mergeCells>
  <conditionalFormatting sqref="B1:B1048576">
    <cfRule type="duplicateValues" dxfId="876" priority="1"/>
  </conditionalFormatting>
  <conditionalFormatting sqref="B7:B48">
    <cfRule type="duplicateValues" dxfId="875" priority="325"/>
  </conditionalFormatting>
  <pageMargins left="0.511811024" right="0.511811024" top="0.78740157499999996" bottom="0.78740157499999996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1000"/>
  <sheetViews>
    <sheetView showGridLines="0" workbookViewId="0">
      <pane xSplit="1" ySplit="6" topLeftCell="B7" activePane="bottomRight" state="frozen"/>
      <selection pane="topRight" activeCell="C1" sqref="C1"/>
      <selection pane="bottomLeft" activeCell="A7" sqref="A7"/>
      <selection pane="bottomRight" activeCell="B13" sqref="B13"/>
    </sheetView>
  </sheetViews>
  <sheetFormatPr defaultColWidth="14.44140625" defaultRowHeight="15" customHeight="1" x14ac:dyDescent="0.3"/>
  <cols>
    <col min="1" max="1" width="3.44140625" customWidth="1"/>
    <col min="2" max="2" width="15" customWidth="1"/>
    <col min="3" max="5" width="11.6640625" customWidth="1"/>
    <col min="6" max="7" width="13" customWidth="1"/>
    <col min="8" max="8" width="8.5546875" customWidth="1"/>
    <col min="9" max="10" width="13" customWidth="1"/>
    <col min="11" max="11" width="8.5546875" customWidth="1"/>
    <col min="12" max="12" width="16.44140625" customWidth="1"/>
    <col min="13" max="13" width="32.109375" customWidth="1"/>
  </cols>
  <sheetData>
    <row r="1" spans="1:24" ht="14.4" x14ac:dyDescent="0.3">
      <c r="B1" s="4"/>
      <c r="C1" s="1"/>
    </row>
    <row r="2" spans="1:24" ht="30" customHeight="1" x14ac:dyDescent="0.3">
      <c r="B2" s="373" t="s">
        <v>46</v>
      </c>
      <c r="C2" s="341"/>
      <c r="D2" s="341"/>
      <c r="E2" s="341"/>
      <c r="F2" s="341"/>
      <c r="G2" s="341"/>
      <c r="H2" s="341"/>
      <c r="I2" s="341"/>
      <c r="J2" s="341"/>
      <c r="K2" s="341"/>
      <c r="L2" s="341"/>
      <c r="M2" s="340"/>
    </row>
    <row r="3" spans="1:24" ht="40.200000000000003" customHeight="1" x14ac:dyDescent="0.3">
      <c r="B3" s="337" t="s">
        <v>82</v>
      </c>
      <c r="C3" s="337" t="s">
        <v>10</v>
      </c>
      <c r="D3" s="339" t="s">
        <v>123</v>
      </c>
      <c r="E3" s="340"/>
      <c r="F3" s="374" t="s">
        <v>125</v>
      </c>
      <c r="G3" s="375"/>
      <c r="H3" s="375"/>
      <c r="I3" s="375"/>
      <c r="J3" s="375"/>
      <c r="K3" s="376"/>
      <c r="L3" s="337" t="s">
        <v>47</v>
      </c>
      <c r="M3" s="343" t="s">
        <v>14</v>
      </c>
    </row>
    <row r="4" spans="1:24" ht="15" customHeight="1" x14ac:dyDescent="0.3">
      <c r="B4" s="367"/>
      <c r="C4" s="367"/>
      <c r="D4" s="337" t="s">
        <v>26</v>
      </c>
      <c r="E4" s="337" t="s">
        <v>48</v>
      </c>
      <c r="F4" s="377" t="s">
        <v>35</v>
      </c>
      <c r="G4" s="341"/>
      <c r="H4" s="340"/>
      <c r="I4" s="377" t="s">
        <v>36</v>
      </c>
      <c r="J4" s="341"/>
      <c r="K4" s="340"/>
      <c r="L4" s="367"/>
      <c r="M4" s="367"/>
    </row>
    <row r="5" spans="1:24" ht="15" customHeight="1" x14ac:dyDescent="0.3">
      <c r="B5" s="338"/>
      <c r="C5" s="338"/>
      <c r="D5" s="362"/>
      <c r="E5" s="362"/>
      <c r="F5" s="29" t="s">
        <v>49</v>
      </c>
      <c r="G5" s="29" t="s">
        <v>50</v>
      </c>
      <c r="H5" s="29" t="s">
        <v>51</v>
      </c>
      <c r="I5" s="29" t="s">
        <v>49</v>
      </c>
      <c r="J5" s="29" t="s">
        <v>50</v>
      </c>
      <c r="K5" s="29" t="s">
        <v>51</v>
      </c>
      <c r="L5" s="338"/>
      <c r="M5" s="338"/>
    </row>
    <row r="6" spans="1:24" ht="15" customHeight="1" x14ac:dyDescent="0.3">
      <c r="B6" s="34" t="s">
        <v>133</v>
      </c>
      <c r="C6" s="48"/>
      <c r="D6" s="48"/>
      <c r="E6" s="48"/>
      <c r="F6" s="28"/>
      <c r="G6" s="28"/>
      <c r="H6" s="28"/>
      <c r="I6" s="28"/>
      <c r="J6" s="28"/>
      <c r="K6" s="28"/>
      <c r="L6" s="28"/>
      <c r="M6" s="46"/>
    </row>
    <row r="7" spans="1:24" ht="15" customHeight="1" x14ac:dyDescent="0.3">
      <c r="A7" s="168">
        <v>1</v>
      </c>
      <c r="B7" s="21" t="s">
        <v>279</v>
      </c>
      <c r="C7" s="5" t="s">
        <v>159</v>
      </c>
      <c r="D7" s="5">
        <v>25</v>
      </c>
      <c r="E7" s="5" t="s">
        <v>135</v>
      </c>
      <c r="F7" s="83">
        <v>174</v>
      </c>
      <c r="G7" s="83">
        <v>8</v>
      </c>
      <c r="H7" s="83">
        <v>22</v>
      </c>
      <c r="I7" s="83">
        <v>175</v>
      </c>
      <c r="J7" s="83">
        <v>7</v>
      </c>
      <c r="K7" s="83">
        <v>23</v>
      </c>
      <c r="L7" s="22" t="s">
        <v>160</v>
      </c>
      <c r="M7" s="169" t="s">
        <v>383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ht="14.4" x14ac:dyDescent="0.3">
      <c r="A8" s="168">
        <v>2</v>
      </c>
      <c r="B8" s="6" t="s">
        <v>280</v>
      </c>
      <c r="C8" s="5" t="s">
        <v>159</v>
      </c>
      <c r="D8" s="5">
        <v>25</v>
      </c>
      <c r="E8" s="18" t="s">
        <v>135</v>
      </c>
      <c r="F8" s="17" t="s">
        <v>135</v>
      </c>
      <c r="G8" s="17" t="s">
        <v>135</v>
      </c>
      <c r="H8" s="17" t="s">
        <v>135</v>
      </c>
      <c r="I8" s="17" t="s">
        <v>135</v>
      </c>
      <c r="J8" s="17" t="s">
        <v>135</v>
      </c>
      <c r="K8" s="17" t="s">
        <v>135</v>
      </c>
      <c r="L8" s="22" t="s">
        <v>160</v>
      </c>
      <c r="M8" s="169" t="s">
        <v>383</v>
      </c>
      <c r="N8" s="3"/>
      <c r="O8" s="3"/>
      <c r="P8" s="3"/>
      <c r="Q8" s="3"/>
      <c r="R8" s="3"/>
      <c r="S8" s="3"/>
      <c r="T8" s="3"/>
    </row>
    <row r="9" spans="1:24" ht="14.4" x14ac:dyDescent="0.3">
      <c r="A9" s="168">
        <v>3</v>
      </c>
      <c r="B9" s="6" t="s">
        <v>281</v>
      </c>
      <c r="C9" s="5" t="s">
        <v>159</v>
      </c>
      <c r="D9" s="5">
        <v>25</v>
      </c>
      <c r="E9" s="18" t="s">
        <v>135</v>
      </c>
      <c r="F9" s="17" t="s">
        <v>135</v>
      </c>
      <c r="G9" s="17" t="s">
        <v>135</v>
      </c>
      <c r="H9" s="17" t="s">
        <v>135</v>
      </c>
      <c r="I9" s="17" t="s">
        <v>135</v>
      </c>
      <c r="J9" s="17" t="s">
        <v>135</v>
      </c>
      <c r="K9" s="17" t="s">
        <v>135</v>
      </c>
      <c r="L9" s="22" t="s">
        <v>160</v>
      </c>
      <c r="M9" s="169" t="s">
        <v>383</v>
      </c>
      <c r="N9" s="3"/>
      <c r="O9" s="3"/>
      <c r="P9" s="3"/>
      <c r="Q9" s="3"/>
      <c r="R9" s="3"/>
      <c r="S9" s="3"/>
      <c r="T9" s="3"/>
    </row>
    <row r="10" spans="1:24" ht="14.4" x14ac:dyDescent="0.3">
      <c r="A10" s="168">
        <v>4</v>
      </c>
      <c r="B10" s="6" t="s">
        <v>282</v>
      </c>
      <c r="C10" s="5" t="s">
        <v>159</v>
      </c>
      <c r="D10" s="5">
        <v>25</v>
      </c>
      <c r="E10" s="5" t="s">
        <v>135</v>
      </c>
      <c r="F10" s="17" t="s">
        <v>135</v>
      </c>
      <c r="G10" s="17" t="s">
        <v>135</v>
      </c>
      <c r="H10" s="17" t="s">
        <v>135</v>
      </c>
      <c r="I10" s="17" t="s">
        <v>135</v>
      </c>
      <c r="J10" s="17" t="s">
        <v>135</v>
      </c>
      <c r="K10" s="17" t="s">
        <v>135</v>
      </c>
      <c r="L10" s="22" t="s">
        <v>160</v>
      </c>
      <c r="M10" s="169" t="s">
        <v>383</v>
      </c>
      <c r="N10" s="3"/>
      <c r="O10" s="3"/>
      <c r="P10" s="3"/>
      <c r="Q10" s="3"/>
      <c r="R10" s="3"/>
      <c r="S10" s="3"/>
      <c r="T10" s="3"/>
    </row>
    <row r="11" spans="1:24" ht="15.75" customHeight="1" x14ac:dyDescent="0.3">
      <c r="A11" s="168">
        <v>5</v>
      </c>
      <c r="B11" s="5" t="s">
        <v>283</v>
      </c>
      <c r="C11" s="5" t="s">
        <v>159</v>
      </c>
      <c r="D11" s="5">
        <v>25</v>
      </c>
      <c r="E11" s="18" t="s">
        <v>135</v>
      </c>
      <c r="F11" s="17" t="s">
        <v>135</v>
      </c>
      <c r="G11" s="17" t="s">
        <v>135</v>
      </c>
      <c r="H11" s="17" t="s">
        <v>135</v>
      </c>
      <c r="I11" s="17" t="s">
        <v>135</v>
      </c>
      <c r="J11" s="17" t="s">
        <v>135</v>
      </c>
      <c r="K11" s="17" t="s">
        <v>135</v>
      </c>
      <c r="L11" s="22" t="s">
        <v>160</v>
      </c>
      <c r="M11" s="169" t="s">
        <v>383</v>
      </c>
      <c r="N11" s="3"/>
      <c r="O11" s="3"/>
      <c r="P11" s="3"/>
      <c r="Q11" s="3"/>
      <c r="R11" s="3"/>
      <c r="S11" s="3"/>
      <c r="T11" s="3"/>
    </row>
    <row r="12" spans="1:24" ht="14.4" x14ac:dyDescent="0.3">
      <c r="A12" s="168">
        <v>6</v>
      </c>
      <c r="B12" s="5" t="s">
        <v>284</v>
      </c>
      <c r="C12" s="5" t="s">
        <v>159</v>
      </c>
      <c r="D12" s="5">
        <v>25</v>
      </c>
      <c r="E12" s="18" t="s">
        <v>135</v>
      </c>
      <c r="F12" s="17" t="s">
        <v>135</v>
      </c>
      <c r="G12" s="17" t="s">
        <v>135</v>
      </c>
      <c r="H12" s="17" t="s">
        <v>135</v>
      </c>
      <c r="I12" s="17" t="s">
        <v>135</v>
      </c>
      <c r="J12" s="17" t="s">
        <v>135</v>
      </c>
      <c r="K12" s="17" t="s">
        <v>135</v>
      </c>
      <c r="L12" s="22" t="s">
        <v>160</v>
      </c>
      <c r="M12" s="169" t="s">
        <v>383</v>
      </c>
      <c r="N12" s="3"/>
      <c r="O12" s="3"/>
      <c r="P12" s="3"/>
      <c r="Q12" s="3"/>
      <c r="R12" s="3"/>
      <c r="S12" s="3"/>
      <c r="T12" s="3"/>
    </row>
    <row r="13" spans="1:24" ht="14.4" x14ac:dyDescent="0.3">
      <c r="A13" s="168">
        <v>7</v>
      </c>
      <c r="B13" s="5" t="s">
        <v>285</v>
      </c>
      <c r="C13" s="5" t="s">
        <v>159</v>
      </c>
      <c r="D13" s="5">
        <v>25</v>
      </c>
      <c r="E13" s="5" t="s">
        <v>135</v>
      </c>
      <c r="F13" s="17" t="s">
        <v>135</v>
      </c>
      <c r="G13" s="17" t="s">
        <v>135</v>
      </c>
      <c r="H13" s="17" t="s">
        <v>135</v>
      </c>
      <c r="I13" s="17" t="s">
        <v>135</v>
      </c>
      <c r="J13" s="17" t="s">
        <v>135</v>
      </c>
      <c r="K13" s="17" t="s">
        <v>135</v>
      </c>
      <c r="L13" s="22" t="s">
        <v>160</v>
      </c>
      <c r="M13" s="169" t="s">
        <v>383</v>
      </c>
      <c r="N13" s="3"/>
      <c r="O13" s="3"/>
      <c r="P13" s="3"/>
      <c r="Q13" s="3"/>
      <c r="R13" s="3"/>
      <c r="S13" s="3"/>
      <c r="T13" s="3"/>
    </row>
    <row r="14" spans="1:24" ht="14.4" x14ac:dyDescent="0.3">
      <c r="A14" s="168">
        <v>8</v>
      </c>
      <c r="B14" s="5" t="s">
        <v>286</v>
      </c>
      <c r="C14" s="5" t="s">
        <v>159</v>
      </c>
      <c r="D14" s="5">
        <v>25</v>
      </c>
      <c r="E14" s="18" t="s">
        <v>135</v>
      </c>
      <c r="F14" s="17" t="s">
        <v>135</v>
      </c>
      <c r="G14" s="17" t="s">
        <v>135</v>
      </c>
      <c r="H14" s="17" t="s">
        <v>135</v>
      </c>
      <c r="I14" s="17" t="s">
        <v>135</v>
      </c>
      <c r="J14" s="17" t="s">
        <v>135</v>
      </c>
      <c r="K14" s="17" t="s">
        <v>135</v>
      </c>
      <c r="L14" s="22" t="s">
        <v>160</v>
      </c>
      <c r="M14" s="169" t="s">
        <v>383</v>
      </c>
      <c r="N14" s="3"/>
      <c r="O14" s="3"/>
      <c r="P14" s="3"/>
      <c r="Q14" s="3"/>
      <c r="R14" s="3"/>
      <c r="S14" s="3"/>
      <c r="T14" s="3"/>
    </row>
    <row r="15" spans="1:24" ht="14.4" x14ac:dyDescent="0.3">
      <c r="A15" s="168">
        <v>9</v>
      </c>
      <c r="B15" s="5" t="s">
        <v>287</v>
      </c>
      <c r="C15" s="5" t="s">
        <v>159</v>
      </c>
      <c r="D15" s="5">
        <v>25</v>
      </c>
      <c r="E15" s="18" t="s">
        <v>135</v>
      </c>
      <c r="F15" s="17">
        <v>177</v>
      </c>
      <c r="G15" s="17">
        <v>10</v>
      </c>
      <c r="H15" s="17">
        <v>23</v>
      </c>
      <c r="I15" s="17">
        <v>176</v>
      </c>
      <c r="J15" s="17">
        <v>9</v>
      </c>
      <c r="K15" s="17">
        <v>23</v>
      </c>
      <c r="L15" s="22" t="s">
        <v>160</v>
      </c>
      <c r="M15" s="169" t="s">
        <v>383</v>
      </c>
      <c r="N15" s="3"/>
      <c r="O15" s="3"/>
      <c r="P15" s="3"/>
      <c r="Q15" s="3"/>
      <c r="R15" s="3"/>
      <c r="S15" s="3"/>
      <c r="T15" s="3"/>
    </row>
    <row r="16" spans="1:24" ht="14.4" x14ac:dyDescent="0.3">
      <c r="A16" s="3">
        <v>1</v>
      </c>
      <c r="B16" s="6" t="s">
        <v>216</v>
      </c>
      <c r="C16" s="5" t="s">
        <v>240</v>
      </c>
      <c r="D16" s="5">
        <v>25</v>
      </c>
      <c r="E16" s="18" t="s">
        <v>135</v>
      </c>
      <c r="F16" s="17">
        <v>178</v>
      </c>
      <c r="G16" s="17">
        <v>8</v>
      </c>
      <c r="H16" s="17">
        <v>22</v>
      </c>
      <c r="I16" s="17">
        <v>175</v>
      </c>
      <c r="J16" s="17">
        <v>8</v>
      </c>
      <c r="K16" s="17">
        <v>25</v>
      </c>
      <c r="L16" s="6" t="s">
        <v>242</v>
      </c>
      <c r="M16" s="6" t="s">
        <v>241</v>
      </c>
      <c r="N16" s="3" t="s">
        <v>243</v>
      </c>
      <c r="O16" s="3"/>
      <c r="P16" s="3"/>
      <c r="Q16" s="3"/>
      <c r="R16" s="3"/>
      <c r="S16" s="3"/>
      <c r="T16" s="3"/>
    </row>
    <row r="17" spans="1:20" ht="14.4" x14ac:dyDescent="0.3">
      <c r="A17" s="3">
        <v>2</v>
      </c>
      <c r="B17" s="5" t="s">
        <v>215</v>
      </c>
      <c r="C17" s="5" t="s">
        <v>240</v>
      </c>
      <c r="D17" s="5">
        <v>25</v>
      </c>
      <c r="E17" s="18" t="s">
        <v>135</v>
      </c>
      <c r="F17" s="17" t="s">
        <v>135</v>
      </c>
      <c r="G17" s="17" t="s">
        <v>135</v>
      </c>
      <c r="H17" s="17" t="s">
        <v>135</v>
      </c>
      <c r="I17" s="17" t="s">
        <v>135</v>
      </c>
      <c r="J17" s="17" t="s">
        <v>135</v>
      </c>
      <c r="K17" s="17" t="s">
        <v>135</v>
      </c>
      <c r="L17" s="6" t="s">
        <v>242</v>
      </c>
      <c r="M17" s="6" t="s">
        <v>241</v>
      </c>
      <c r="N17" s="3" t="s">
        <v>243</v>
      </c>
      <c r="O17" s="3"/>
      <c r="P17" s="3"/>
      <c r="Q17" s="3"/>
      <c r="R17" s="3"/>
      <c r="S17" s="3"/>
      <c r="T17" s="3"/>
    </row>
    <row r="18" spans="1:20" ht="14.4" x14ac:dyDescent="0.3">
      <c r="A18" s="3">
        <v>3</v>
      </c>
      <c r="B18" s="5" t="s">
        <v>225</v>
      </c>
      <c r="C18" s="5" t="s">
        <v>240</v>
      </c>
      <c r="D18" s="5">
        <v>25</v>
      </c>
      <c r="E18" s="18" t="s">
        <v>135</v>
      </c>
      <c r="F18" s="17" t="s">
        <v>135</v>
      </c>
      <c r="G18" s="17" t="s">
        <v>135</v>
      </c>
      <c r="H18" s="17" t="s">
        <v>135</v>
      </c>
      <c r="I18" s="17" t="s">
        <v>135</v>
      </c>
      <c r="J18" s="17" t="s">
        <v>135</v>
      </c>
      <c r="K18" s="17" t="s">
        <v>135</v>
      </c>
      <c r="L18" s="6" t="s">
        <v>242</v>
      </c>
      <c r="M18" s="6" t="s">
        <v>241</v>
      </c>
      <c r="N18" s="3" t="s">
        <v>243</v>
      </c>
      <c r="O18" s="3"/>
      <c r="P18" s="3"/>
      <c r="Q18" s="3"/>
      <c r="R18" s="3"/>
      <c r="S18" s="3"/>
      <c r="T18" s="3"/>
    </row>
    <row r="19" spans="1:20" ht="14.4" x14ac:dyDescent="0.3">
      <c r="A19" s="3">
        <v>4</v>
      </c>
      <c r="B19" s="6" t="s">
        <v>222</v>
      </c>
      <c r="C19" s="5" t="s">
        <v>240</v>
      </c>
      <c r="D19" s="5">
        <v>25</v>
      </c>
      <c r="E19" s="18" t="s">
        <v>135</v>
      </c>
      <c r="F19" s="17" t="s">
        <v>135</v>
      </c>
      <c r="G19" s="17" t="s">
        <v>135</v>
      </c>
      <c r="H19" s="17" t="s">
        <v>135</v>
      </c>
      <c r="I19" s="17" t="s">
        <v>135</v>
      </c>
      <c r="J19" s="17" t="s">
        <v>135</v>
      </c>
      <c r="K19" s="17" t="s">
        <v>135</v>
      </c>
      <c r="L19" s="6" t="s">
        <v>242</v>
      </c>
      <c r="M19" s="6" t="s">
        <v>241</v>
      </c>
      <c r="N19" s="3" t="s">
        <v>243</v>
      </c>
      <c r="O19" s="3"/>
      <c r="P19" s="3"/>
      <c r="Q19" s="3"/>
      <c r="R19" s="3"/>
      <c r="S19" s="3"/>
      <c r="T19" s="3"/>
    </row>
    <row r="20" spans="1:20" ht="14.4" x14ac:dyDescent="0.3">
      <c r="A20" s="3">
        <v>5</v>
      </c>
      <c r="B20" s="6" t="s">
        <v>214</v>
      </c>
      <c r="C20" s="5" t="s">
        <v>240</v>
      </c>
      <c r="D20" s="5">
        <v>25</v>
      </c>
      <c r="E20" s="18" t="s">
        <v>135</v>
      </c>
      <c r="F20" s="17" t="s">
        <v>135</v>
      </c>
      <c r="G20" s="17" t="s">
        <v>135</v>
      </c>
      <c r="H20" s="17" t="s">
        <v>135</v>
      </c>
      <c r="I20" s="17" t="s">
        <v>135</v>
      </c>
      <c r="J20" s="17" t="s">
        <v>135</v>
      </c>
      <c r="K20" s="17" t="s">
        <v>135</v>
      </c>
      <c r="L20" s="6" t="s">
        <v>242</v>
      </c>
      <c r="M20" s="6" t="s">
        <v>241</v>
      </c>
      <c r="N20" s="3" t="s">
        <v>243</v>
      </c>
      <c r="O20" s="3"/>
      <c r="P20" s="3"/>
      <c r="Q20" s="3"/>
      <c r="R20" s="3"/>
      <c r="S20" s="3"/>
      <c r="T20" s="3"/>
    </row>
    <row r="21" spans="1:20" ht="15.75" customHeight="1" x14ac:dyDescent="0.3">
      <c r="A21" s="3">
        <v>6</v>
      </c>
      <c r="B21" s="6" t="s">
        <v>213</v>
      </c>
      <c r="C21" s="5" t="s">
        <v>240</v>
      </c>
      <c r="D21" s="5">
        <v>25</v>
      </c>
      <c r="E21" s="18" t="s">
        <v>135</v>
      </c>
      <c r="F21" s="17" t="s">
        <v>135</v>
      </c>
      <c r="G21" s="17" t="s">
        <v>135</v>
      </c>
      <c r="H21" s="17" t="s">
        <v>135</v>
      </c>
      <c r="I21" s="17" t="s">
        <v>135</v>
      </c>
      <c r="J21" s="17" t="s">
        <v>135</v>
      </c>
      <c r="K21" s="17" t="s">
        <v>135</v>
      </c>
      <c r="L21" s="6" t="s">
        <v>242</v>
      </c>
      <c r="M21" s="6" t="s">
        <v>241</v>
      </c>
      <c r="N21" s="3" t="s">
        <v>243</v>
      </c>
      <c r="O21" s="3"/>
      <c r="P21" s="3"/>
      <c r="Q21" s="3"/>
      <c r="R21" s="3"/>
      <c r="S21" s="3"/>
      <c r="T21" s="3"/>
    </row>
    <row r="22" spans="1:20" ht="15.75" customHeight="1" x14ac:dyDescent="0.3">
      <c r="A22" s="3">
        <v>7</v>
      </c>
      <c r="B22" s="6" t="s">
        <v>206</v>
      </c>
      <c r="C22" s="5" t="s">
        <v>240</v>
      </c>
      <c r="D22" s="5">
        <v>25</v>
      </c>
      <c r="E22" s="18" t="s">
        <v>135</v>
      </c>
      <c r="F22" s="17" t="s">
        <v>135</v>
      </c>
      <c r="G22" s="17" t="s">
        <v>135</v>
      </c>
      <c r="H22" s="17" t="s">
        <v>135</v>
      </c>
      <c r="I22" s="17" t="s">
        <v>135</v>
      </c>
      <c r="J22" s="17" t="s">
        <v>135</v>
      </c>
      <c r="K22" s="17" t="s">
        <v>135</v>
      </c>
      <c r="L22" s="6" t="s">
        <v>242</v>
      </c>
      <c r="M22" s="6" t="s">
        <v>241</v>
      </c>
      <c r="N22" s="3" t="s">
        <v>243</v>
      </c>
      <c r="O22" s="3"/>
      <c r="P22" s="3"/>
      <c r="Q22" s="3"/>
      <c r="R22" s="3"/>
      <c r="S22" s="3"/>
      <c r="T22" s="3"/>
    </row>
    <row r="23" spans="1:20" ht="15.75" customHeight="1" x14ac:dyDescent="0.3">
      <c r="A23" s="3">
        <v>8</v>
      </c>
      <c r="B23" s="6" t="s">
        <v>212</v>
      </c>
      <c r="C23" s="5" t="s">
        <v>240</v>
      </c>
      <c r="D23" s="5">
        <v>25</v>
      </c>
      <c r="E23" s="18" t="s">
        <v>135</v>
      </c>
      <c r="F23" s="17" t="s">
        <v>135</v>
      </c>
      <c r="G23" s="17" t="s">
        <v>135</v>
      </c>
      <c r="H23" s="17" t="s">
        <v>135</v>
      </c>
      <c r="I23" s="17" t="s">
        <v>135</v>
      </c>
      <c r="J23" s="17" t="s">
        <v>135</v>
      </c>
      <c r="K23" s="17" t="s">
        <v>135</v>
      </c>
      <c r="L23" s="6" t="s">
        <v>242</v>
      </c>
      <c r="M23" s="6" t="s">
        <v>241</v>
      </c>
      <c r="N23" s="3" t="s">
        <v>243</v>
      </c>
      <c r="O23" s="3"/>
      <c r="P23" s="3"/>
      <c r="Q23" s="3"/>
      <c r="R23" s="3"/>
      <c r="S23" s="3"/>
      <c r="T23" s="3"/>
    </row>
    <row r="24" spans="1:20" ht="15.75" customHeight="1" x14ac:dyDescent="0.3">
      <c r="A24" s="3">
        <v>9</v>
      </c>
      <c r="B24" s="6" t="s">
        <v>250</v>
      </c>
      <c r="C24" s="5" t="s">
        <v>249</v>
      </c>
      <c r="D24" s="5">
        <v>25</v>
      </c>
      <c r="E24" s="18" t="s">
        <v>135</v>
      </c>
      <c r="F24" s="6">
        <v>179</v>
      </c>
      <c r="G24" s="6">
        <v>7</v>
      </c>
      <c r="H24" s="6">
        <v>24</v>
      </c>
      <c r="I24" s="6">
        <v>178</v>
      </c>
      <c r="J24" s="6">
        <v>10</v>
      </c>
      <c r="K24" s="6">
        <v>24</v>
      </c>
      <c r="L24" s="6" t="s">
        <v>242</v>
      </c>
      <c r="M24" s="6" t="s">
        <v>241</v>
      </c>
      <c r="N24" s="3" t="s">
        <v>243</v>
      </c>
      <c r="O24" s="3"/>
      <c r="P24" s="3"/>
      <c r="Q24" s="3"/>
      <c r="R24" s="3"/>
      <c r="S24" s="3"/>
      <c r="T24" s="3"/>
    </row>
    <row r="25" spans="1:20" ht="15.75" customHeight="1" x14ac:dyDescent="0.3">
      <c r="A25" s="3">
        <v>10</v>
      </c>
      <c r="B25" s="6" t="s">
        <v>234</v>
      </c>
      <c r="C25" s="5" t="s">
        <v>249</v>
      </c>
      <c r="D25" s="5">
        <v>25</v>
      </c>
      <c r="E25" s="18" t="s">
        <v>135</v>
      </c>
      <c r="F25" s="18" t="s">
        <v>135</v>
      </c>
      <c r="G25" s="18" t="s">
        <v>135</v>
      </c>
      <c r="H25" s="18" t="s">
        <v>135</v>
      </c>
      <c r="I25" s="18" t="s">
        <v>135</v>
      </c>
      <c r="J25" s="18" t="s">
        <v>135</v>
      </c>
      <c r="K25" s="18" t="s">
        <v>135</v>
      </c>
      <c r="L25" s="6" t="s">
        <v>242</v>
      </c>
      <c r="M25" s="6" t="s">
        <v>241</v>
      </c>
      <c r="N25" s="3" t="s">
        <v>243</v>
      </c>
      <c r="O25" s="3"/>
      <c r="P25" s="3"/>
      <c r="Q25" s="3"/>
      <c r="R25" s="3"/>
      <c r="S25" s="3"/>
      <c r="T25" s="3"/>
    </row>
    <row r="26" spans="1:20" ht="15.75" customHeight="1" x14ac:dyDescent="0.3">
      <c r="A26" s="3">
        <v>11</v>
      </c>
      <c r="B26" s="6" t="s">
        <v>247</v>
      </c>
      <c r="C26" s="5" t="s">
        <v>249</v>
      </c>
      <c r="D26" s="5">
        <v>25</v>
      </c>
      <c r="E26" s="18" t="s">
        <v>135</v>
      </c>
      <c r="F26" s="18" t="s">
        <v>135</v>
      </c>
      <c r="G26" s="18" t="s">
        <v>135</v>
      </c>
      <c r="H26" s="18" t="s">
        <v>135</v>
      </c>
      <c r="I26" s="18" t="s">
        <v>135</v>
      </c>
      <c r="J26" s="18" t="s">
        <v>135</v>
      </c>
      <c r="K26" s="18" t="s">
        <v>135</v>
      </c>
      <c r="L26" s="6" t="s">
        <v>242</v>
      </c>
      <c r="M26" s="6" t="s">
        <v>241</v>
      </c>
      <c r="N26" s="3" t="s">
        <v>243</v>
      </c>
      <c r="O26" s="3"/>
      <c r="P26" s="3"/>
      <c r="Q26" s="3"/>
      <c r="R26" s="3"/>
      <c r="S26" s="3"/>
      <c r="T26" s="3"/>
    </row>
    <row r="27" spans="1:20" ht="15.75" customHeight="1" x14ac:dyDescent="0.3">
      <c r="A27" s="3">
        <v>12</v>
      </c>
      <c r="B27" s="6" t="s">
        <v>246</v>
      </c>
      <c r="C27" s="5" t="s">
        <v>249</v>
      </c>
      <c r="D27" s="5">
        <v>25</v>
      </c>
      <c r="E27" s="18" t="s">
        <v>135</v>
      </c>
      <c r="F27" s="18" t="s">
        <v>135</v>
      </c>
      <c r="G27" s="18" t="s">
        <v>135</v>
      </c>
      <c r="H27" s="18" t="s">
        <v>135</v>
      </c>
      <c r="I27" s="18" t="s">
        <v>135</v>
      </c>
      <c r="J27" s="18" t="s">
        <v>135</v>
      </c>
      <c r="K27" s="18" t="s">
        <v>135</v>
      </c>
      <c r="L27" s="6" t="s">
        <v>242</v>
      </c>
      <c r="M27" s="6" t="s">
        <v>241</v>
      </c>
      <c r="N27" s="3" t="s">
        <v>243</v>
      </c>
      <c r="O27" s="3"/>
      <c r="P27" s="3"/>
      <c r="Q27" s="3"/>
      <c r="R27" s="3"/>
      <c r="S27" s="3"/>
      <c r="T27" s="3"/>
    </row>
    <row r="28" spans="1:20" ht="15.75" customHeight="1" x14ac:dyDescent="0.3">
      <c r="A28" s="3">
        <v>13</v>
      </c>
      <c r="B28" s="6" t="s">
        <v>245</v>
      </c>
      <c r="C28" s="5" t="s">
        <v>249</v>
      </c>
      <c r="D28" s="5">
        <v>25</v>
      </c>
      <c r="E28" s="18" t="s">
        <v>135</v>
      </c>
      <c r="F28" s="18" t="s">
        <v>135</v>
      </c>
      <c r="G28" s="18" t="s">
        <v>135</v>
      </c>
      <c r="H28" s="18" t="s">
        <v>135</v>
      </c>
      <c r="I28" s="18" t="s">
        <v>135</v>
      </c>
      <c r="J28" s="18" t="s">
        <v>135</v>
      </c>
      <c r="K28" s="18" t="s">
        <v>135</v>
      </c>
      <c r="L28" s="6" t="s">
        <v>242</v>
      </c>
      <c r="M28" s="6" t="s">
        <v>241</v>
      </c>
      <c r="N28" s="3" t="s">
        <v>243</v>
      </c>
      <c r="O28" s="3"/>
      <c r="P28" s="3"/>
      <c r="Q28" s="3"/>
      <c r="R28" s="3"/>
      <c r="S28" s="3"/>
      <c r="T28" s="3"/>
    </row>
    <row r="29" spans="1:20" ht="15.75" customHeight="1" x14ac:dyDescent="0.3">
      <c r="A29" s="3">
        <v>14</v>
      </c>
      <c r="B29" s="6" t="s">
        <v>253</v>
      </c>
      <c r="C29" s="5" t="s">
        <v>272</v>
      </c>
      <c r="D29" s="5">
        <v>25</v>
      </c>
      <c r="E29" s="18" t="s">
        <v>135</v>
      </c>
      <c r="F29" s="18" t="s">
        <v>135</v>
      </c>
      <c r="G29" s="18" t="s">
        <v>135</v>
      </c>
      <c r="H29" s="18" t="s">
        <v>135</v>
      </c>
      <c r="I29" s="18" t="s">
        <v>135</v>
      </c>
      <c r="J29" s="18" t="s">
        <v>135</v>
      </c>
      <c r="K29" s="18" t="s">
        <v>135</v>
      </c>
      <c r="L29" s="6" t="s">
        <v>242</v>
      </c>
      <c r="M29" s="6" t="s">
        <v>241</v>
      </c>
      <c r="N29" s="3" t="s">
        <v>243</v>
      </c>
      <c r="O29" s="3"/>
      <c r="P29" s="3"/>
      <c r="Q29" s="3"/>
      <c r="R29" s="3"/>
      <c r="S29" s="3"/>
      <c r="T29" s="3"/>
    </row>
    <row r="30" spans="1:20" ht="15.75" customHeight="1" x14ac:dyDescent="0.3">
      <c r="A30" s="3">
        <v>15</v>
      </c>
      <c r="B30" s="6" t="s">
        <v>252</v>
      </c>
      <c r="C30" s="5" t="s">
        <v>272</v>
      </c>
      <c r="D30" s="5">
        <v>25</v>
      </c>
      <c r="E30" s="18" t="s">
        <v>135</v>
      </c>
      <c r="F30" s="18" t="s">
        <v>135</v>
      </c>
      <c r="G30" s="18" t="s">
        <v>135</v>
      </c>
      <c r="H30" s="18" t="s">
        <v>135</v>
      </c>
      <c r="I30" s="18" t="s">
        <v>135</v>
      </c>
      <c r="J30" s="18" t="s">
        <v>135</v>
      </c>
      <c r="K30" s="18" t="s">
        <v>135</v>
      </c>
      <c r="L30" s="167" t="s">
        <v>273</v>
      </c>
      <c r="M30" s="6" t="s">
        <v>241</v>
      </c>
      <c r="N30" s="3" t="s">
        <v>274</v>
      </c>
      <c r="O30" s="3"/>
      <c r="P30" s="3"/>
      <c r="Q30" s="3"/>
      <c r="R30" s="3"/>
      <c r="S30" s="3"/>
      <c r="T30" s="3"/>
    </row>
    <row r="31" spans="1:20" ht="15.75" customHeight="1" x14ac:dyDescent="0.3">
      <c r="A31" s="3">
        <v>16</v>
      </c>
      <c r="B31" s="6" t="s">
        <v>244</v>
      </c>
      <c r="C31" s="5" t="s">
        <v>272</v>
      </c>
      <c r="D31" s="5">
        <v>25</v>
      </c>
      <c r="E31" s="18" t="s">
        <v>135</v>
      </c>
      <c r="F31" s="6">
        <v>174</v>
      </c>
      <c r="G31" s="6">
        <v>6</v>
      </c>
      <c r="H31" s="6">
        <v>20</v>
      </c>
      <c r="I31" s="6">
        <v>175</v>
      </c>
      <c r="J31" s="6">
        <v>9</v>
      </c>
      <c r="K31" s="6">
        <v>28</v>
      </c>
      <c r="L31" s="6" t="s">
        <v>242</v>
      </c>
      <c r="M31" s="6" t="s">
        <v>241</v>
      </c>
      <c r="N31" s="3" t="s">
        <v>243</v>
      </c>
      <c r="O31" s="3"/>
      <c r="P31" s="3"/>
      <c r="Q31" s="3"/>
      <c r="R31" s="3"/>
      <c r="S31" s="3"/>
      <c r="T31" s="3"/>
    </row>
    <row r="32" spans="1:20" ht="15.75" customHeight="1" x14ac:dyDescent="0.3">
      <c r="A32" s="3">
        <v>17</v>
      </c>
      <c r="B32" s="6" t="s">
        <v>248</v>
      </c>
      <c r="C32" s="5" t="s">
        <v>272</v>
      </c>
      <c r="D32" s="5">
        <v>25</v>
      </c>
      <c r="E32" s="18" t="s">
        <v>135</v>
      </c>
      <c r="F32" s="18" t="s">
        <v>135</v>
      </c>
      <c r="G32" s="18" t="s">
        <v>135</v>
      </c>
      <c r="H32" s="18" t="s">
        <v>135</v>
      </c>
      <c r="I32" s="18" t="s">
        <v>135</v>
      </c>
      <c r="J32" s="18" t="s">
        <v>135</v>
      </c>
      <c r="K32" s="18" t="s">
        <v>135</v>
      </c>
      <c r="L32" s="6"/>
      <c r="M32" s="6" t="s">
        <v>241</v>
      </c>
      <c r="N32" s="3"/>
      <c r="O32" s="3"/>
      <c r="P32" s="3"/>
      <c r="Q32" s="3"/>
      <c r="R32" s="3"/>
      <c r="S32" s="3"/>
      <c r="T32" s="3"/>
    </row>
    <row r="33" spans="1:24" ht="15.75" customHeight="1" x14ac:dyDescent="0.3">
      <c r="A33" s="3">
        <v>1</v>
      </c>
      <c r="B33" s="6" t="s">
        <v>290</v>
      </c>
      <c r="C33" s="24">
        <v>46058</v>
      </c>
      <c r="D33" s="5">
        <v>25</v>
      </c>
      <c r="E33" s="18" t="s">
        <v>135</v>
      </c>
      <c r="F33" s="6">
        <v>172</v>
      </c>
      <c r="G33" s="6">
        <v>9</v>
      </c>
      <c r="H33" s="6">
        <v>25</v>
      </c>
      <c r="I33" s="6">
        <v>174</v>
      </c>
      <c r="J33" s="6">
        <v>8</v>
      </c>
      <c r="K33" s="6">
        <v>26</v>
      </c>
      <c r="L33" s="22" t="s">
        <v>160</v>
      </c>
      <c r="M33" s="199" t="s">
        <v>408</v>
      </c>
      <c r="N33" s="3"/>
      <c r="O33" s="3"/>
      <c r="P33" s="3"/>
      <c r="Q33" s="3"/>
      <c r="R33" s="3"/>
      <c r="S33" s="3"/>
      <c r="T33" s="3"/>
    </row>
    <row r="34" spans="1:24" ht="15.75" customHeight="1" x14ac:dyDescent="0.3">
      <c r="A34" s="3">
        <v>2</v>
      </c>
      <c r="B34" s="6" t="s">
        <v>295</v>
      </c>
      <c r="C34" s="24">
        <v>46058</v>
      </c>
      <c r="D34" s="5">
        <v>25</v>
      </c>
      <c r="E34" s="18" t="s">
        <v>135</v>
      </c>
      <c r="F34" s="18" t="s">
        <v>135</v>
      </c>
      <c r="G34" s="18" t="s">
        <v>135</v>
      </c>
      <c r="H34" s="18" t="s">
        <v>135</v>
      </c>
      <c r="I34" s="18" t="s">
        <v>135</v>
      </c>
      <c r="J34" s="18" t="s">
        <v>135</v>
      </c>
      <c r="K34" s="18" t="s">
        <v>135</v>
      </c>
      <c r="L34" s="22" t="s">
        <v>160</v>
      </c>
      <c r="M34" s="199" t="s">
        <v>397</v>
      </c>
      <c r="N34" s="3"/>
      <c r="O34" s="3"/>
      <c r="P34" s="3"/>
      <c r="Q34" s="3"/>
      <c r="R34" s="3"/>
      <c r="S34" s="3"/>
      <c r="T34" s="3"/>
    </row>
    <row r="35" spans="1:24" ht="15.75" customHeight="1" x14ac:dyDescent="0.3">
      <c r="A35" s="3">
        <v>3</v>
      </c>
      <c r="B35" s="23" t="s">
        <v>293</v>
      </c>
      <c r="C35" s="24">
        <v>46058</v>
      </c>
      <c r="D35" s="5">
        <v>25</v>
      </c>
      <c r="E35" s="18" t="s">
        <v>135</v>
      </c>
      <c r="F35" s="18" t="s">
        <v>135</v>
      </c>
      <c r="G35" s="18" t="s">
        <v>135</v>
      </c>
      <c r="H35" s="18" t="s">
        <v>135</v>
      </c>
      <c r="I35" s="18" t="s">
        <v>135</v>
      </c>
      <c r="J35" s="18" t="s">
        <v>135</v>
      </c>
      <c r="K35" s="18" t="s">
        <v>135</v>
      </c>
      <c r="L35" s="22" t="s">
        <v>160</v>
      </c>
      <c r="M35" s="199" t="s">
        <v>393</v>
      </c>
      <c r="N35" s="3"/>
      <c r="O35" s="3"/>
      <c r="P35" s="3"/>
      <c r="Q35" s="3"/>
      <c r="R35" s="3"/>
      <c r="S35" s="3"/>
      <c r="T35" s="3"/>
      <c r="U35" s="2"/>
      <c r="V35" s="2"/>
      <c r="W35" s="2"/>
      <c r="X35" s="2"/>
    </row>
    <row r="36" spans="1:24" ht="15.75" customHeight="1" x14ac:dyDescent="0.3">
      <c r="A36" s="3">
        <v>4</v>
      </c>
      <c r="B36" s="5" t="s">
        <v>308</v>
      </c>
      <c r="C36" s="24">
        <v>46058</v>
      </c>
      <c r="D36" s="5">
        <v>25</v>
      </c>
      <c r="E36" s="18" t="s">
        <v>135</v>
      </c>
      <c r="F36" s="18" t="s">
        <v>135</v>
      </c>
      <c r="G36" s="18" t="s">
        <v>135</v>
      </c>
      <c r="H36" s="18" t="s">
        <v>135</v>
      </c>
      <c r="I36" s="18" t="s">
        <v>135</v>
      </c>
      <c r="J36" s="18" t="s">
        <v>135</v>
      </c>
      <c r="K36" s="18" t="s">
        <v>135</v>
      </c>
      <c r="L36" s="22" t="s">
        <v>160</v>
      </c>
      <c r="M36" s="199" t="s">
        <v>400</v>
      </c>
      <c r="N36" s="3"/>
      <c r="O36" s="3"/>
      <c r="P36" s="3"/>
      <c r="Q36" s="3"/>
      <c r="R36" s="3"/>
      <c r="S36" s="3"/>
      <c r="T36" s="3"/>
    </row>
    <row r="37" spans="1:24" ht="15.75" customHeight="1" x14ac:dyDescent="0.3">
      <c r="A37" s="3">
        <v>5</v>
      </c>
      <c r="B37" s="6" t="s">
        <v>301</v>
      </c>
      <c r="C37" s="24">
        <v>46058</v>
      </c>
      <c r="D37" s="5">
        <v>25</v>
      </c>
      <c r="E37" s="18" t="s">
        <v>135</v>
      </c>
      <c r="F37" s="18" t="s">
        <v>135</v>
      </c>
      <c r="G37" s="18" t="s">
        <v>135</v>
      </c>
      <c r="H37" s="18" t="s">
        <v>135</v>
      </c>
      <c r="I37" s="18" t="s">
        <v>135</v>
      </c>
      <c r="J37" s="18" t="s">
        <v>135</v>
      </c>
      <c r="K37" s="18" t="s">
        <v>135</v>
      </c>
      <c r="L37" s="22" t="s">
        <v>160</v>
      </c>
      <c r="M37" s="199" t="s">
        <v>402</v>
      </c>
      <c r="N37" s="3"/>
      <c r="O37" s="3"/>
      <c r="P37" s="3"/>
      <c r="Q37" s="3"/>
      <c r="R37" s="3"/>
      <c r="S37" s="3"/>
      <c r="T37" s="3"/>
    </row>
    <row r="38" spans="1:24" ht="15.75" customHeight="1" x14ac:dyDescent="0.3">
      <c r="A38" s="3">
        <v>6</v>
      </c>
      <c r="B38" s="6" t="s">
        <v>294</v>
      </c>
      <c r="C38" s="24">
        <v>46058</v>
      </c>
      <c r="D38" s="5">
        <v>25</v>
      </c>
      <c r="E38" s="18" t="s">
        <v>135</v>
      </c>
      <c r="F38" s="18" t="s">
        <v>135</v>
      </c>
      <c r="G38" s="18" t="s">
        <v>135</v>
      </c>
      <c r="H38" s="18" t="s">
        <v>135</v>
      </c>
      <c r="I38" s="18" t="s">
        <v>135</v>
      </c>
      <c r="J38" s="18" t="s">
        <v>135</v>
      </c>
      <c r="K38" s="18" t="s">
        <v>135</v>
      </c>
      <c r="L38" s="22" t="s">
        <v>160</v>
      </c>
      <c r="M38" s="199" t="s">
        <v>411</v>
      </c>
      <c r="N38" s="3"/>
      <c r="O38" s="3"/>
      <c r="P38" s="3"/>
      <c r="Q38" s="3"/>
      <c r="R38" s="3"/>
      <c r="S38" s="3"/>
      <c r="T38" s="3"/>
    </row>
    <row r="39" spans="1:24" ht="15.75" customHeight="1" x14ac:dyDescent="0.3">
      <c r="A39" s="3">
        <v>7</v>
      </c>
      <c r="B39" s="6" t="s">
        <v>298</v>
      </c>
      <c r="C39" s="24">
        <v>46058</v>
      </c>
      <c r="D39" s="5">
        <v>25</v>
      </c>
      <c r="E39" s="18" t="s">
        <v>135</v>
      </c>
      <c r="F39" s="18" t="s">
        <v>135</v>
      </c>
      <c r="G39" s="18" t="s">
        <v>135</v>
      </c>
      <c r="H39" s="18" t="s">
        <v>135</v>
      </c>
      <c r="I39" s="18" t="s">
        <v>135</v>
      </c>
      <c r="J39" s="18" t="s">
        <v>135</v>
      </c>
      <c r="K39" s="18" t="s">
        <v>135</v>
      </c>
      <c r="L39" s="22" t="s">
        <v>160</v>
      </c>
      <c r="M39" s="199" t="s">
        <v>392</v>
      </c>
      <c r="N39" s="3"/>
      <c r="O39" s="3"/>
      <c r="P39" s="3"/>
      <c r="Q39" s="3"/>
      <c r="R39" s="3"/>
      <c r="S39" s="3"/>
      <c r="T39" s="3"/>
    </row>
    <row r="40" spans="1:24" ht="15.75" customHeight="1" x14ac:dyDescent="0.3">
      <c r="A40" s="3">
        <v>8</v>
      </c>
      <c r="B40" s="6" t="s">
        <v>296</v>
      </c>
      <c r="C40" s="24">
        <v>46058</v>
      </c>
      <c r="D40" s="5">
        <v>25</v>
      </c>
      <c r="E40" s="18" t="s">
        <v>135</v>
      </c>
      <c r="F40" s="18" t="s">
        <v>135</v>
      </c>
      <c r="G40" s="18" t="s">
        <v>135</v>
      </c>
      <c r="H40" s="18" t="s">
        <v>135</v>
      </c>
      <c r="I40" s="18" t="s">
        <v>135</v>
      </c>
      <c r="J40" s="18" t="s">
        <v>135</v>
      </c>
      <c r="K40" s="18" t="s">
        <v>135</v>
      </c>
      <c r="L40" s="225" t="s">
        <v>140</v>
      </c>
      <c r="M40" s="226" t="s">
        <v>390</v>
      </c>
      <c r="N40" s="3" t="s">
        <v>391</v>
      </c>
      <c r="O40" s="3"/>
      <c r="P40" s="3"/>
      <c r="Q40" s="3"/>
      <c r="R40" s="3"/>
      <c r="S40" s="3"/>
      <c r="T40" s="3"/>
    </row>
    <row r="41" spans="1:24" ht="15.75" customHeight="1" x14ac:dyDescent="0.3">
      <c r="A41" s="3">
        <v>9</v>
      </c>
      <c r="B41" s="6" t="s">
        <v>278</v>
      </c>
      <c r="C41" s="24">
        <v>46058</v>
      </c>
      <c r="D41" s="5">
        <v>25</v>
      </c>
      <c r="E41" s="18" t="s">
        <v>135</v>
      </c>
      <c r="F41" s="18" t="s">
        <v>135</v>
      </c>
      <c r="G41" s="18" t="s">
        <v>135</v>
      </c>
      <c r="H41" s="18" t="s">
        <v>135</v>
      </c>
      <c r="I41" s="18" t="s">
        <v>135</v>
      </c>
      <c r="J41" s="18" t="s">
        <v>135</v>
      </c>
      <c r="K41" s="18" t="s">
        <v>135</v>
      </c>
      <c r="L41" s="22" t="s">
        <v>160</v>
      </c>
      <c r="M41" s="199" t="s">
        <v>384</v>
      </c>
      <c r="N41" s="3"/>
      <c r="O41" s="3"/>
      <c r="P41" s="3"/>
      <c r="Q41" s="3"/>
      <c r="R41" s="3"/>
      <c r="S41" s="3"/>
      <c r="T41" s="3"/>
    </row>
    <row r="42" spans="1:24" ht="15.75" customHeight="1" x14ac:dyDescent="0.3">
      <c r="A42" s="3">
        <v>10</v>
      </c>
      <c r="B42" s="6" t="s">
        <v>297</v>
      </c>
      <c r="C42" s="24">
        <v>46058</v>
      </c>
      <c r="D42" s="5">
        <v>25</v>
      </c>
      <c r="E42" s="18" t="s">
        <v>135</v>
      </c>
      <c r="F42" s="18" t="s">
        <v>135</v>
      </c>
      <c r="G42" s="18" t="s">
        <v>135</v>
      </c>
      <c r="H42" s="18" t="s">
        <v>135</v>
      </c>
      <c r="I42" s="18" t="s">
        <v>135</v>
      </c>
      <c r="J42" s="18" t="s">
        <v>135</v>
      </c>
      <c r="K42" s="18" t="s">
        <v>135</v>
      </c>
      <c r="L42" s="22" t="s">
        <v>160</v>
      </c>
      <c r="M42" s="199" t="s">
        <v>384</v>
      </c>
      <c r="N42" s="3"/>
      <c r="O42" s="3"/>
      <c r="P42" s="3"/>
      <c r="Q42" s="3"/>
      <c r="R42" s="3"/>
      <c r="S42" s="3"/>
      <c r="T42" s="3"/>
    </row>
    <row r="43" spans="1:24" ht="15.75" customHeight="1" x14ac:dyDescent="0.3">
      <c r="A43" s="3">
        <v>11</v>
      </c>
      <c r="B43" s="6" t="s">
        <v>277</v>
      </c>
      <c r="C43" s="24">
        <v>46058</v>
      </c>
      <c r="D43" s="5">
        <v>25</v>
      </c>
      <c r="E43" s="18" t="s">
        <v>135</v>
      </c>
      <c r="F43" s="18" t="s">
        <v>135</v>
      </c>
      <c r="G43" s="18" t="s">
        <v>135</v>
      </c>
      <c r="H43" s="18" t="s">
        <v>135</v>
      </c>
      <c r="I43" s="18" t="s">
        <v>135</v>
      </c>
      <c r="J43" s="18" t="s">
        <v>135</v>
      </c>
      <c r="K43" s="18" t="s">
        <v>135</v>
      </c>
      <c r="L43" s="22" t="s">
        <v>160</v>
      </c>
      <c r="M43" s="199" t="s">
        <v>385</v>
      </c>
      <c r="N43" s="3"/>
      <c r="O43" s="3"/>
      <c r="P43" s="3"/>
      <c r="Q43" s="3"/>
      <c r="R43" s="3"/>
      <c r="S43" s="3"/>
      <c r="T43" s="3"/>
    </row>
    <row r="44" spans="1:24" ht="15.75" customHeight="1" x14ac:dyDescent="0.3">
      <c r="A44" s="3">
        <v>12</v>
      </c>
      <c r="B44" s="6" t="s">
        <v>306</v>
      </c>
      <c r="C44" s="5" t="s">
        <v>403</v>
      </c>
      <c r="D44" s="17">
        <v>25</v>
      </c>
      <c r="E44" s="18" t="s">
        <v>135</v>
      </c>
      <c r="F44" s="18">
        <v>176</v>
      </c>
      <c r="G44" s="18">
        <v>10</v>
      </c>
      <c r="H44" s="18">
        <v>26</v>
      </c>
      <c r="I44" s="18">
        <v>177</v>
      </c>
      <c r="J44" s="18">
        <v>8</v>
      </c>
      <c r="K44" s="18">
        <v>25</v>
      </c>
      <c r="L44" s="22"/>
      <c r="M44" s="199" t="s">
        <v>414</v>
      </c>
      <c r="N44" s="3"/>
      <c r="O44" s="3"/>
      <c r="P44" s="3"/>
      <c r="Q44" s="3"/>
      <c r="R44" s="3"/>
      <c r="S44" s="3"/>
      <c r="T44" s="3"/>
    </row>
    <row r="45" spans="1:24" ht="15.75" customHeight="1" x14ac:dyDescent="0.3">
      <c r="A45" s="3">
        <v>13</v>
      </c>
      <c r="B45" s="6" t="s">
        <v>300</v>
      </c>
      <c r="C45" s="5" t="s">
        <v>403</v>
      </c>
      <c r="D45" s="17">
        <v>25</v>
      </c>
      <c r="E45" s="18" t="s">
        <v>135</v>
      </c>
      <c r="F45" s="18">
        <v>175</v>
      </c>
      <c r="G45" s="18">
        <v>8</v>
      </c>
      <c r="H45" s="18">
        <v>24</v>
      </c>
      <c r="I45" s="18">
        <v>174</v>
      </c>
      <c r="J45" s="18">
        <v>9</v>
      </c>
      <c r="K45" s="18">
        <v>25</v>
      </c>
      <c r="L45" s="22"/>
      <c r="M45" s="199" t="s">
        <v>416</v>
      </c>
      <c r="N45" s="3"/>
      <c r="O45" s="3"/>
      <c r="P45" s="3"/>
      <c r="Q45" s="3"/>
      <c r="R45" s="3"/>
      <c r="S45" s="3"/>
      <c r="T45" s="3"/>
    </row>
    <row r="46" spans="1:24" ht="15.75" customHeight="1" x14ac:dyDescent="0.3">
      <c r="A46" s="3">
        <v>14</v>
      </c>
      <c r="B46" s="6" t="s">
        <v>299</v>
      </c>
      <c r="C46" s="5" t="s">
        <v>403</v>
      </c>
      <c r="D46" s="17">
        <v>25</v>
      </c>
      <c r="E46" s="18" t="s">
        <v>135</v>
      </c>
      <c r="F46" s="18">
        <v>172</v>
      </c>
      <c r="G46" s="18">
        <v>10</v>
      </c>
      <c r="H46" s="18">
        <v>27</v>
      </c>
      <c r="I46" s="18">
        <v>176</v>
      </c>
      <c r="J46" s="18">
        <v>8</v>
      </c>
      <c r="K46" s="18">
        <v>29</v>
      </c>
      <c r="L46" s="6"/>
      <c r="M46" s="199" t="s">
        <v>413</v>
      </c>
      <c r="N46" s="3"/>
      <c r="O46" s="3"/>
      <c r="P46" s="3"/>
      <c r="Q46" s="3"/>
      <c r="R46" s="3"/>
      <c r="S46" s="3"/>
      <c r="T46" s="3"/>
    </row>
    <row r="47" spans="1:24" ht="15.75" customHeight="1" x14ac:dyDescent="0.3">
      <c r="A47" s="3"/>
      <c r="B47" s="6"/>
      <c r="C47" s="5"/>
      <c r="D47" s="17"/>
      <c r="E47" s="18"/>
      <c r="F47" s="6"/>
      <c r="G47" s="6"/>
      <c r="H47" s="6"/>
      <c r="I47" s="6"/>
      <c r="J47" s="6"/>
      <c r="K47" s="6"/>
      <c r="L47" s="6"/>
      <c r="M47" s="6"/>
      <c r="N47" s="3"/>
      <c r="O47" s="3"/>
      <c r="P47" s="3"/>
      <c r="Q47" s="3"/>
      <c r="R47" s="3"/>
      <c r="S47" s="3"/>
      <c r="T47" s="3"/>
    </row>
    <row r="48" spans="1:24" ht="15.75" customHeight="1" x14ac:dyDescent="0.3">
      <c r="A48" s="3"/>
      <c r="B48" s="6"/>
      <c r="C48" s="5"/>
      <c r="D48" s="17"/>
      <c r="E48" s="18"/>
      <c r="F48" s="6"/>
      <c r="G48" s="6"/>
      <c r="H48" s="6"/>
      <c r="I48" s="6"/>
      <c r="J48" s="6"/>
      <c r="K48" s="6"/>
      <c r="L48" s="6"/>
      <c r="M48" s="6"/>
      <c r="N48" s="3"/>
      <c r="O48" s="3"/>
      <c r="P48" s="3"/>
      <c r="Q48" s="3"/>
      <c r="R48" s="3"/>
      <c r="S48" s="3"/>
      <c r="T48" s="3"/>
    </row>
    <row r="49" spans="1:20" ht="15.75" customHeight="1" x14ac:dyDescent="0.3">
      <c r="A49" s="3"/>
      <c r="B49" s="6"/>
      <c r="C49" s="5"/>
      <c r="D49" s="17"/>
      <c r="E49" s="18"/>
      <c r="F49" s="6"/>
      <c r="G49" s="6"/>
      <c r="H49" s="6"/>
      <c r="I49" s="6"/>
      <c r="J49" s="6"/>
      <c r="K49" s="6"/>
      <c r="L49" s="6"/>
      <c r="M49" s="6"/>
      <c r="N49" s="3"/>
      <c r="O49" s="3"/>
      <c r="P49" s="3"/>
      <c r="Q49" s="3"/>
      <c r="R49" s="3"/>
      <c r="S49" s="3"/>
      <c r="T49" s="3"/>
    </row>
    <row r="50" spans="1:20" ht="15.75" customHeight="1" x14ac:dyDescent="0.3">
      <c r="A50" s="3"/>
      <c r="B50" s="6"/>
      <c r="C50" s="5"/>
      <c r="D50" s="17"/>
      <c r="E50" s="18"/>
      <c r="F50" s="6"/>
      <c r="G50" s="6"/>
      <c r="H50" s="6"/>
      <c r="I50" s="6"/>
      <c r="J50" s="6"/>
      <c r="K50" s="6"/>
      <c r="L50" s="6"/>
      <c r="M50" s="6"/>
      <c r="N50" s="3"/>
      <c r="O50" s="3"/>
      <c r="P50" s="3"/>
      <c r="Q50" s="3"/>
      <c r="R50" s="3"/>
      <c r="S50" s="3"/>
      <c r="T50" s="3"/>
    </row>
    <row r="51" spans="1:20" ht="15.75" customHeight="1" x14ac:dyDescent="0.3">
      <c r="B51" s="4"/>
    </row>
    <row r="52" spans="1:20" ht="15.75" customHeight="1" x14ac:dyDescent="0.3">
      <c r="B52" s="4"/>
    </row>
    <row r="53" spans="1:20" ht="15.75" customHeight="1" x14ac:dyDescent="0.3">
      <c r="B53" s="4"/>
    </row>
    <row r="54" spans="1:20" ht="15.75" customHeight="1" x14ac:dyDescent="0.3">
      <c r="B54" s="4"/>
    </row>
    <row r="55" spans="1:20" ht="15.75" customHeight="1" x14ac:dyDescent="0.3">
      <c r="B55" s="4"/>
    </row>
    <row r="56" spans="1:20" ht="15.75" customHeight="1" x14ac:dyDescent="0.3">
      <c r="B56" s="4"/>
    </row>
    <row r="57" spans="1:20" ht="15.75" customHeight="1" x14ac:dyDescent="0.3">
      <c r="B57" s="4"/>
    </row>
    <row r="58" spans="1:20" ht="15.75" customHeight="1" x14ac:dyDescent="0.3">
      <c r="B58" s="4"/>
    </row>
    <row r="59" spans="1:20" ht="15.75" customHeight="1" x14ac:dyDescent="0.3">
      <c r="B59" s="4"/>
    </row>
    <row r="60" spans="1:20" ht="15.75" customHeight="1" x14ac:dyDescent="0.3">
      <c r="B60" s="4"/>
    </row>
    <row r="61" spans="1:20" ht="15.75" customHeight="1" x14ac:dyDescent="0.3">
      <c r="B61" s="4"/>
    </row>
    <row r="62" spans="1:20" ht="15.75" customHeight="1" x14ac:dyDescent="0.3">
      <c r="B62" s="4"/>
    </row>
    <row r="63" spans="1:20" ht="15.75" customHeight="1" x14ac:dyDescent="0.3">
      <c r="B63" s="4"/>
    </row>
    <row r="64" spans="1:20" ht="15.75" customHeight="1" x14ac:dyDescent="0.3">
      <c r="B64" s="4"/>
    </row>
    <row r="65" spans="2:2" ht="15.75" customHeight="1" x14ac:dyDescent="0.3">
      <c r="B65" s="4"/>
    </row>
    <row r="66" spans="2:2" ht="15.75" customHeight="1" x14ac:dyDescent="0.3">
      <c r="B66" s="4"/>
    </row>
    <row r="67" spans="2:2" ht="15.75" customHeight="1" x14ac:dyDescent="0.3">
      <c r="B67" s="4"/>
    </row>
    <row r="68" spans="2:2" ht="15.75" customHeight="1" x14ac:dyDescent="0.3">
      <c r="B68" s="4"/>
    </row>
    <row r="69" spans="2:2" ht="15.75" customHeight="1" x14ac:dyDescent="0.3">
      <c r="B69" s="4"/>
    </row>
    <row r="70" spans="2:2" ht="15.75" customHeight="1" x14ac:dyDescent="0.3">
      <c r="B70" s="4"/>
    </row>
    <row r="71" spans="2:2" ht="15.75" customHeight="1" x14ac:dyDescent="0.3">
      <c r="B71" s="4"/>
    </row>
    <row r="72" spans="2:2" ht="15.75" customHeight="1" x14ac:dyDescent="0.3">
      <c r="B72" s="4"/>
    </row>
    <row r="73" spans="2:2" ht="15.75" customHeight="1" x14ac:dyDescent="0.3">
      <c r="B73" s="4"/>
    </row>
    <row r="74" spans="2:2" ht="15.75" customHeight="1" x14ac:dyDescent="0.3">
      <c r="B74" s="4"/>
    </row>
    <row r="75" spans="2:2" ht="15.75" customHeight="1" x14ac:dyDescent="0.3">
      <c r="B75" s="4"/>
    </row>
    <row r="76" spans="2:2" ht="15.75" customHeight="1" x14ac:dyDescent="0.3">
      <c r="B76" s="4"/>
    </row>
    <row r="77" spans="2:2" ht="15.75" customHeight="1" x14ac:dyDescent="0.3">
      <c r="B77" s="4"/>
    </row>
    <row r="78" spans="2:2" ht="15.75" customHeight="1" x14ac:dyDescent="0.3">
      <c r="B78" s="4"/>
    </row>
    <row r="79" spans="2:2" ht="15.75" customHeight="1" x14ac:dyDescent="0.3">
      <c r="B79" s="4"/>
    </row>
    <row r="80" spans="2:2" ht="15.75" customHeight="1" x14ac:dyDescent="0.3">
      <c r="B80" s="4"/>
    </row>
    <row r="81" spans="2:2" ht="15.75" customHeight="1" x14ac:dyDescent="0.3">
      <c r="B81" s="4"/>
    </row>
    <row r="82" spans="2:2" ht="15.75" customHeight="1" x14ac:dyDescent="0.3">
      <c r="B82" s="4"/>
    </row>
    <row r="83" spans="2:2" ht="15.75" customHeight="1" x14ac:dyDescent="0.3">
      <c r="B83" s="4"/>
    </row>
    <row r="84" spans="2:2" ht="15.75" customHeight="1" x14ac:dyDescent="0.3">
      <c r="B84" s="4"/>
    </row>
    <row r="85" spans="2:2" ht="15.75" customHeight="1" x14ac:dyDescent="0.3">
      <c r="B85" s="4"/>
    </row>
    <row r="86" spans="2:2" ht="15.75" customHeight="1" x14ac:dyDescent="0.3">
      <c r="B86" s="4"/>
    </row>
    <row r="87" spans="2:2" ht="15.75" customHeight="1" x14ac:dyDescent="0.3">
      <c r="B87" s="4"/>
    </row>
    <row r="88" spans="2:2" ht="15.75" customHeight="1" x14ac:dyDescent="0.3">
      <c r="B88" s="4"/>
    </row>
    <row r="89" spans="2:2" ht="15.75" customHeight="1" x14ac:dyDescent="0.3">
      <c r="B89" s="4"/>
    </row>
    <row r="90" spans="2:2" ht="15.75" customHeight="1" x14ac:dyDescent="0.3">
      <c r="B90" s="4"/>
    </row>
    <row r="91" spans="2:2" ht="15.75" customHeight="1" x14ac:dyDescent="0.3">
      <c r="B91" s="4"/>
    </row>
    <row r="92" spans="2:2" ht="15.75" customHeight="1" x14ac:dyDescent="0.3">
      <c r="B92" s="4"/>
    </row>
    <row r="93" spans="2:2" ht="15.75" customHeight="1" x14ac:dyDescent="0.3">
      <c r="B93" s="4"/>
    </row>
    <row r="94" spans="2:2" ht="15.75" customHeight="1" x14ac:dyDescent="0.3">
      <c r="B94" s="4"/>
    </row>
    <row r="95" spans="2:2" ht="15.75" customHeight="1" x14ac:dyDescent="0.3">
      <c r="B95" s="4"/>
    </row>
    <row r="96" spans="2:2" ht="15.75" customHeight="1" x14ac:dyDescent="0.3">
      <c r="B96" s="4"/>
    </row>
    <row r="97" spans="2:2" ht="15.75" customHeight="1" x14ac:dyDescent="0.3">
      <c r="B97" s="4"/>
    </row>
    <row r="98" spans="2:2" ht="15.75" customHeight="1" x14ac:dyDescent="0.3">
      <c r="B98" s="4"/>
    </row>
    <row r="99" spans="2:2" ht="15.75" customHeight="1" x14ac:dyDescent="0.3">
      <c r="B99" s="4"/>
    </row>
    <row r="100" spans="2:2" ht="15.75" customHeight="1" x14ac:dyDescent="0.3">
      <c r="B100" s="4"/>
    </row>
    <row r="101" spans="2:2" ht="15.75" customHeight="1" x14ac:dyDescent="0.3">
      <c r="B101" s="4"/>
    </row>
    <row r="102" spans="2:2" ht="15.75" customHeight="1" x14ac:dyDescent="0.3">
      <c r="B102" s="4"/>
    </row>
    <row r="103" spans="2:2" ht="15.75" customHeight="1" x14ac:dyDescent="0.3">
      <c r="B103" s="4"/>
    </row>
    <row r="104" spans="2:2" ht="15.75" customHeight="1" x14ac:dyDescent="0.3">
      <c r="B104" s="4"/>
    </row>
    <row r="105" spans="2:2" ht="15.75" customHeight="1" x14ac:dyDescent="0.3">
      <c r="B105" s="4"/>
    </row>
    <row r="106" spans="2:2" ht="15.75" customHeight="1" x14ac:dyDescent="0.3">
      <c r="B106" s="4"/>
    </row>
    <row r="107" spans="2:2" ht="15.75" customHeight="1" x14ac:dyDescent="0.3">
      <c r="B107" s="4"/>
    </row>
    <row r="108" spans="2:2" ht="15.75" customHeight="1" x14ac:dyDescent="0.3">
      <c r="B108" s="4"/>
    </row>
    <row r="109" spans="2:2" ht="15.75" customHeight="1" x14ac:dyDescent="0.3">
      <c r="B109" s="4"/>
    </row>
    <row r="110" spans="2:2" ht="15.75" customHeight="1" x14ac:dyDescent="0.3">
      <c r="B110" s="4"/>
    </row>
    <row r="111" spans="2:2" ht="15.75" customHeight="1" x14ac:dyDescent="0.3">
      <c r="B111" s="4"/>
    </row>
    <row r="112" spans="2:2" ht="15.75" customHeight="1" x14ac:dyDescent="0.3">
      <c r="B112" s="4"/>
    </row>
    <row r="113" spans="2:2" ht="15.75" customHeight="1" x14ac:dyDescent="0.3">
      <c r="B113" s="4"/>
    </row>
    <row r="114" spans="2:2" ht="15.75" customHeight="1" x14ac:dyDescent="0.3">
      <c r="B114" s="4"/>
    </row>
    <row r="115" spans="2:2" ht="15.75" customHeight="1" x14ac:dyDescent="0.3">
      <c r="B115" s="4"/>
    </row>
    <row r="116" spans="2:2" ht="15.75" customHeight="1" x14ac:dyDescent="0.3">
      <c r="B116" s="4"/>
    </row>
    <row r="117" spans="2:2" ht="15.75" customHeight="1" x14ac:dyDescent="0.3">
      <c r="B117" s="4"/>
    </row>
    <row r="118" spans="2:2" ht="15.75" customHeight="1" x14ac:dyDescent="0.3">
      <c r="B118" s="4"/>
    </row>
    <row r="119" spans="2:2" ht="15.75" customHeight="1" x14ac:dyDescent="0.3">
      <c r="B119" s="4"/>
    </row>
    <row r="120" spans="2:2" ht="15.75" customHeight="1" x14ac:dyDescent="0.3">
      <c r="B120" s="4"/>
    </row>
    <row r="121" spans="2:2" ht="15.75" customHeight="1" x14ac:dyDescent="0.3">
      <c r="B121" s="4"/>
    </row>
    <row r="122" spans="2:2" ht="15.75" customHeight="1" x14ac:dyDescent="0.3">
      <c r="B122" s="4"/>
    </row>
    <row r="123" spans="2:2" ht="15.75" customHeight="1" x14ac:dyDescent="0.3">
      <c r="B123" s="4"/>
    </row>
    <row r="124" spans="2:2" ht="15.75" customHeight="1" x14ac:dyDescent="0.3">
      <c r="B124" s="4"/>
    </row>
    <row r="125" spans="2:2" ht="15.75" customHeight="1" x14ac:dyDescent="0.3">
      <c r="B125" s="4"/>
    </row>
    <row r="126" spans="2:2" ht="15.75" customHeight="1" x14ac:dyDescent="0.3">
      <c r="B126" s="4"/>
    </row>
    <row r="127" spans="2:2" ht="15.75" customHeight="1" x14ac:dyDescent="0.3">
      <c r="B127" s="4"/>
    </row>
    <row r="128" spans="2:2" ht="15.75" customHeight="1" x14ac:dyDescent="0.3">
      <c r="B128" s="4"/>
    </row>
    <row r="129" spans="2:2" ht="15.75" customHeight="1" x14ac:dyDescent="0.3">
      <c r="B129" s="4"/>
    </row>
    <row r="130" spans="2:2" ht="15.75" customHeight="1" x14ac:dyDescent="0.3">
      <c r="B130" s="4"/>
    </row>
    <row r="131" spans="2:2" ht="15.75" customHeight="1" x14ac:dyDescent="0.3">
      <c r="B131" s="4"/>
    </row>
    <row r="132" spans="2:2" ht="15.75" customHeight="1" x14ac:dyDescent="0.3">
      <c r="B132" s="4"/>
    </row>
    <row r="133" spans="2:2" ht="15.75" customHeight="1" x14ac:dyDescent="0.3">
      <c r="B133" s="4"/>
    </row>
    <row r="134" spans="2:2" ht="15.75" customHeight="1" x14ac:dyDescent="0.3">
      <c r="B134" s="4"/>
    </row>
    <row r="135" spans="2:2" ht="15.75" customHeight="1" x14ac:dyDescent="0.3">
      <c r="B135" s="4"/>
    </row>
    <row r="136" spans="2:2" ht="15.75" customHeight="1" x14ac:dyDescent="0.3">
      <c r="B136" s="4"/>
    </row>
    <row r="137" spans="2:2" ht="15.75" customHeight="1" x14ac:dyDescent="0.3">
      <c r="B137" s="4"/>
    </row>
    <row r="138" spans="2:2" ht="15.75" customHeight="1" x14ac:dyDescent="0.3">
      <c r="B138" s="4"/>
    </row>
    <row r="139" spans="2:2" ht="15.75" customHeight="1" x14ac:dyDescent="0.3">
      <c r="B139" s="4"/>
    </row>
    <row r="140" spans="2:2" ht="15.75" customHeight="1" x14ac:dyDescent="0.3">
      <c r="B140" s="4"/>
    </row>
    <row r="141" spans="2:2" ht="15.75" customHeight="1" x14ac:dyDescent="0.3">
      <c r="B141" s="4"/>
    </row>
    <row r="142" spans="2:2" ht="15.75" customHeight="1" x14ac:dyDescent="0.3">
      <c r="B142" s="4"/>
    </row>
    <row r="143" spans="2:2" ht="15.75" customHeight="1" x14ac:dyDescent="0.3">
      <c r="B143" s="4"/>
    </row>
    <row r="144" spans="2:2" ht="15.75" customHeight="1" x14ac:dyDescent="0.3">
      <c r="B144" s="4"/>
    </row>
    <row r="145" spans="2:2" ht="15.75" customHeight="1" x14ac:dyDescent="0.3">
      <c r="B145" s="4"/>
    </row>
    <row r="146" spans="2:2" ht="15.75" customHeight="1" x14ac:dyDescent="0.3">
      <c r="B146" s="4"/>
    </row>
    <row r="147" spans="2:2" ht="15.75" customHeight="1" x14ac:dyDescent="0.3">
      <c r="B147" s="4"/>
    </row>
    <row r="148" spans="2:2" ht="15.75" customHeight="1" x14ac:dyDescent="0.3">
      <c r="B148" s="4"/>
    </row>
    <row r="149" spans="2:2" ht="15.75" customHeight="1" x14ac:dyDescent="0.3">
      <c r="B149" s="4"/>
    </row>
    <row r="150" spans="2:2" ht="15.75" customHeight="1" x14ac:dyDescent="0.3">
      <c r="B150" s="4"/>
    </row>
    <row r="151" spans="2:2" ht="15.75" customHeight="1" x14ac:dyDescent="0.3">
      <c r="B151" s="4"/>
    </row>
    <row r="152" spans="2:2" ht="15.75" customHeight="1" x14ac:dyDescent="0.3">
      <c r="B152" s="4"/>
    </row>
    <row r="153" spans="2:2" ht="15.75" customHeight="1" x14ac:dyDescent="0.3">
      <c r="B153" s="4"/>
    </row>
    <row r="154" spans="2:2" ht="15.75" customHeight="1" x14ac:dyDescent="0.3">
      <c r="B154" s="4"/>
    </row>
    <row r="155" spans="2:2" ht="15.75" customHeight="1" x14ac:dyDescent="0.3">
      <c r="B155" s="4"/>
    </row>
    <row r="156" spans="2:2" ht="15.75" customHeight="1" x14ac:dyDescent="0.3">
      <c r="B156" s="4"/>
    </row>
    <row r="157" spans="2:2" ht="15.75" customHeight="1" x14ac:dyDescent="0.3"/>
    <row r="158" spans="2:2" ht="15.75" customHeight="1" x14ac:dyDescent="0.3"/>
    <row r="159" spans="2:2" ht="15.75" customHeight="1" x14ac:dyDescent="0.3"/>
    <row r="160" spans="2:2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B6:M34" xr:uid="{00000000-0009-0000-0000-000005000000}"/>
  <mergeCells count="11">
    <mergeCell ref="B2:M2"/>
    <mergeCell ref="B3:B5"/>
    <mergeCell ref="C3:C5"/>
    <mergeCell ref="D3:E3"/>
    <mergeCell ref="F3:K3"/>
    <mergeCell ref="L3:L5"/>
    <mergeCell ref="M3:M5"/>
    <mergeCell ref="D4:D5"/>
    <mergeCell ref="E4:E5"/>
    <mergeCell ref="F4:H4"/>
    <mergeCell ref="I4:K4"/>
  </mergeCells>
  <phoneticPr fontId="25" type="noConversion"/>
  <conditionalFormatting sqref="B1:B1048576">
    <cfRule type="duplicateValues" dxfId="874" priority="1"/>
  </conditionalFormatting>
  <pageMargins left="0.511811024" right="0.511811024" top="0.78740157499999996" bottom="0.78740157499999996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T990"/>
  <sheetViews>
    <sheetView workbookViewId="0">
      <pane xSplit="3" ySplit="5" topLeftCell="L6" activePane="bottomRight" state="frozen"/>
      <selection pane="topRight" activeCell="D1" sqref="D1"/>
      <selection pane="bottomLeft" activeCell="A8" sqref="A8"/>
      <selection pane="bottomRight" activeCell="AL6" sqref="AL6"/>
    </sheetView>
  </sheetViews>
  <sheetFormatPr defaultColWidth="14.44140625" defaultRowHeight="15" customHeight="1" x14ac:dyDescent="0.3"/>
  <cols>
    <col min="1" max="1" width="6.33203125" customWidth="1"/>
    <col min="2" max="2" width="15" style="54" bestFit="1" customWidth="1"/>
    <col min="3" max="3" width="14" style="54" customWidth="1"/>
    <col min="4" max="4" width="15" style="54" hidden="1" customWidth="1"/>
    <col min="5" max="5" width="10.33203125" customWidth="1"/>
    <col min="6" max="6" width="6.88671875" customWidth="1"/>
    <col min="7" max="8" width="7.5546875" customWidth="1"/>
    <col min="9" max="10" width="8" customWidth="1"/>
    <col min="11" max="11" width="7.6640625" customWidth="1"/>
    <col min="12" max="12" width="13.6640625" style="54" customWidth="1"/>
    <col min="13" max="13" width="12.44140625" customWidth="1"/>
    <col min="14" max="14" width="9.33203125" customWidth="1"/>
    <col min="15" max="15" width="9" customWidth="1"/>
    <col min="16" max="16" width="8" customWidth="1"/>
    <col min="17" max="17" width="8.33203125" customWidth="1"/>
    <col min="18" max="18" width="7.5546875" customWidth="1"/>
    <col min="19" max="19" width="8" customWidth="1"/>
    <col min="20" max="21" width="10.44140625" customWidth="1"/>
    <col min="22" max="22" width="11.5546875" customWidth="1"/>
    <col min="23" max="23" width="9.6640625" customWidth="1"/>
    <col min="24" max="24" width="11.44140625" customWidth="1"/>
    <col min="25" max="25" width="6.6640625" customWidth="1"/>
    <col min="26" max="26" width="5.6640625" customWidth="1"/>
    <col min="27" max="27" width="5.88671875" customWidth="1"/>
    <col min="28" max="32" width="8.5546875" customWidth="1"/>
    <col min="33" max="33" width="8.44140625" customWidth="1"/>
    <col min="34" max="36" width="8.5546875" customWidth="1"/>
    <col min="37" max="37" width="15" customWidth="1"/>
    <col min="38" max="38" width="11" customWidth="1"/>
    <col min="39" max="39" width="7.44140625" style="54" customWidth="1"/>
    <col min="40" max="43" width="6.88671875" style="54" customWidth="1"/>
    <col min="44" max="44" width="8.5546875" style="54" customWidth="1"/>
    <col min="45" max="46" width="16" customWidth="1"/>
  </cols>
  <sheetData>
    <row r="1" spans="1:46" ht="15" customHeight="1" x14ac:dyDescent="0.3">
      <c r="E1" s="1"/>
      <c r="F1" s="1"/>
      <c r="G1" s="1"/>
      <c r="H1" s="1"/>
      <c r="I1" s="1"/>
      <c r="J1" s="1"/>
      <c r="K1" s="1"/>
    </row>
    <row r="2" spans="1:46" ht="29.25" customHeight="1" x14ac:dyDescent="0.3">
      <c r="B2" s="402" t="s">
        <v>63</v>
      </c>
      <c r="C2" s="403"/>
      <c r="D2" s="404"/>
      <c r="E2" s="385" t="s">
        <v>328</v>
      </c>
      <c r="F2" s="378"/>
      <c r="G2" s="378"/>
      <c r="H2" s="378"/>
      <c r="I2" s="378"/>
      <c r="J2" s="378"/>
      <c r="K2" s="379"/>
      <c r="L2" s="232" t="s">
        <v>330</v>
      </c>
      <c r="M2" s="49" t="s">
        <v>84</v>
      </c>
      <c r="N2" s="384" t="s">
        <v>85</v>
      </c>
      <c r="O2" s="384"/>
      <c r="P2" s="384" t="s">
        <v>86</v>
      </c>
      <c r="Q2" s="384"/>
      <c r="R2" s="384"/>
      <c r="S2" s="384"/>
      <c r="T2" s="385" t="s">
        <v>91</v>
      </c>
      <c r="U2" s="379"/>
      <c r="V2" s="385" t="s">
        <v>91</v>
      </c>
      <c r="W2" s="379"/>
      <c r="X2" s="49" t="s">
        <v>92</v>
      </c>
      <c r="Y2" s="385">
        <v>14.7</v>
      </c>
      <c r="Z2" s="378"/>
      <c r="AA2" s="378"/>
      <c r="AB2" s="379"/>
      <c r="AC2" s="378">
        <v>14.8</v>
      </c>
      <c r="AD2" s="378"/>
      <c r="AE2" s="378"/>
      <c r="AF2" s="379"/>
      <c r="AG2" s="378">
        <v>14.9</v>
      </c>
      <c r="AH2" s="378"/>
      <c r="AI2" s="378"/>
      <c r="AJ2" s="379"/>
      <c r="AK2" s="49" t="s">
        <v>98</v>
      </c>
      <c r="AL2" s="49" t="s">
        <v>102</v>
      </c>
      <c r="AM2" s="384" t="s">
        <v>100</v>
      </c>
      <c r="AN2" s="384"/>
      <c r="AO2" s="384"/>
      <c r="AP2" s="385"/>
      <c r="AQ2" s="385"/>
      <c r="AR2" s="385"/>
      <c r="AS2" s="385" t="s">
        <v>99</v>
      </c>
      <c r="AT2" s="379"/>
    </row>
    <row r="3" spans="1:46" ht="42.75" customHeight="1" x14ac:dyDescent="0.3">
      <c r="B3" s="405" t="s">
        <v>83</v>
      </c>
      <c r="C3" s="406" t="s">
        <v>412</v>
      </c>
      <c r="D3" s="351" t="s">
        <v>386</v>
      </c>
      <c r="E3" s="405" t="s">
        <v>122</v>
      </c>
      <c r="F3" s="405"/>
      <c r="G3" s="405"/>
      <c r="H3" s="405"/>
      <c r="I3" s="405"/>
      <c r="J3" s="405"/>
      <c r="K3" s="405"/>
      <c r="L3" s="351" t="s">
        <v>405</v>
      </c>
      <c r="M3" s="351" t="s">
        <v>52</v>
      </c>
      <c r="N3" s="363" t="s">
        <v>53</v>
      </c>
      <c r="O3" s="364"/>
      <c r="P3" s="363" t="s">
        <v>93</v>
      </c>
      <c r="Q3" s="407"/>
      <c r="R3" s="407"/>
      <c r="S3" s="364"/>
      <c r="T3" s="380" t="s">
        <v>54</v>
      </c>
      <c r="U3" s="400"/>
      <c r="V3" s="380" t="s">
        <v>394</v>
      </c>
      <c r="W3" s="400"/>
      <c r="X3" s="383" t="s">
        <v>55</v>
      </c>
      <c r="Y3" s="380" t="s">
        <v>56</v>
      </c>
      <c r="Z3" s="399"/>
      <c r="AA3" s="399"/>
      <c r="AB3" s="400"/>
      <c r="AC3" s="380" t="s">
        <v>57</v>
      </c>
      <c r="AD3" s="381"/>
      <c r="AE3" s="381"/>
      <c r="AF3" s="382"/>
      <c r="AG3" s="380" t="s">
        <v>96</v>
      </c>
      <c r="AH3" s="399"/>
      <c r="AI3" s="399"/>
      <c r="AJ3" s="400"/>
      <c r="AK3" s="383" t="s">
        <v>268</v>
      </c>
      <c r="AL3" s="383" t="s">
        <v>267</v>
      </c>
      <c r="AM3" s="386" t="s">
        <v>101</v>
      </c>
      <c r="AN3" s="387"/>
      <c r="AO3" s="387"/>
      <c r="AP3" s="387"/>
      <c r="AQ3" s="387"/>
      <c r="AR3" s="387"/>
      <c r="AS3" s="344" t="s">
        <v>264</v>
      </c>
      <c r="AT3" s="397"/>
    </row>
    <row r="4" spans="1:46" ht="23.25" customHeight="1" x14ac:dyDescent="0.3">
      <c r="B4" s="405"/>
      <c r="C4" s="406"/>
      <c r="D4" s="383"/>
      <c r="E4" s="405" t="s">
        <v>37</v>
      </c>
      <c r="F4" s="405" t="s">
        <v>25</v>
      </c>
      <c r="G4" s="405" t="s">
        <v>38</v>
      </c>
      <c r="H4" s="405" t="s">
        <v>39</v>
      </c>
      <c r="I4" s="405" t="s">
        <v>40</v>
      </c>
      <c r="J4" s="405"/>
      <c r="K4" s="52" t="s">
        <v>410</v>
      </c>
      <c r="L4" s="383"/>
      <c r="M4" s="383"/>
      <c r="N4" s="337" t="s">
        <v>87</v>
      </c>
      <c r="O4" s="337" t="s">
        <v>88</v>
      </c>
      <c r="P4" s="337" t="s">
        <v>361</v>
      </c>
      <c r="Q4" s="337" t="s">
        <v>363</v>
      </c>
      <c r="R4" s="337" t="s">
        <v>362</v>
      </c>
      <c r="S4" s="337" t="s">
        <v>364</v>
      </c>
      <c r="T4" s="337" t="s">
        <v>89</v>
      </c>
      <c r="U4" s="337" t="s">
        <v>90</v>
      </c>
      <c r="V4" s="337" t="s">
        <v>89</v>
      </c>
      <c r="W4" s="337" t="s">
        <v>90</v>
      </c>
      <c r="X4" s="367"/>
      <c r="Y4" s="339" t="s">
        <v>94</v>
      </c>
      <c r="Z4" s="341"/>
      <c r="AA4" s="340"/>
      <c r="AB4" s="194"/>
      <c r="AC4" s="374" t="s">
        <v>95</v>
      </c>
      <c r="AD4" s="392"/>
      <c r="AE4" s="392"/>
      <c r="AF4" s="393"/>
      <c r="AG4" s="394" t="s">
        <v>97</v>
      </c>
      <c r="AH4" s="395"/>
      <c r="AI4" s="395"/>
      <c r="AJ4" s="396"/>
      <c r="AK4" s="367"/>
      <c r="AL4" s="367"/>
      <c r="AM4" s="388"/>
      <c r="AN4" s="389"/>
      <c r="AO4" s="389"/>
      <c r="AP4" s="390"/>
      <c r="AQ4" s="390"/>
      <c r="AR4" s="390"/>
      <c r="AS4" s="346"/>
      <c r="AT4" s="398"/>
    </row>
    <row r="5" spans="1:46" ht="50.25" customHeight="1" x14ac:dyDescent="0.3">
      <c r="B5" s="405"/>
      <c r="C5" s="406"/>
      <c r="D5" s="383"/>
      <c r="E5" s="405"/>
      <c r="F5" s="405"/>
      <c r="G5" s="405"/>
      <c r="H5" s="405"/>
      <c r="I5" s="52" t="s">
        <v>44</v>
      </c>
      <c r="J5" s="52" t="s">
        <v>45</v>
      </c>
      <c r="K5" s="52" t="s">
        <v>409</v>
      </c>
      <c r="L5" s="53" t="s">
        <v>406</v>
      </c>
      <c r="M5" s="177" t="s">
        <v>360</v>
      </c>
      <c r="N5" s="338"/>
      <c r="O5" s="338"/>
      <c r="P5" s="401"/>
      <c r="Q5" s="401"/>
      <c r="R5" s="401"/>
      <c r="S5" s="401"/>
      <c r="T5" s="401"/>
      <c r="U5" s="401"/>
      <c r="V5" s="401"/>
      <c r="W5" s="401"/>
      <c r="X5" s="338"/>
      <c r="Y5" s="34">
        <v>1</v>
      </c>
      <c r="Z5" s="34">
        <v>2</v>
      </c>
      <c r="AA5" s="34">
        <v>3</v>
      </c>
      <c r="AB5" s="52" t="s">
        <v>58</v>
      </c>
      <c r="AC5" s="34">
        <v>1</v>
      </c>
      <c r="AD5" s="34">
        <v>2</v>
      </c>
      <c r="AE5" s="51">
        <v>3</v>
      </c>
      <c r="AF5" s="52" t="s">
        <v>58</v>
      </c>
      <c r="AG5" s="33">
        <v>1</v>
      </c>
      <c r="AH5" s="33">
        <v>2</v>
      </c>
      <c r="AI5" s="45">
        <v>3</v>
      </c>
      <c r="AJ5" s="52" t="s">
        <v>58</v>
      </c>
      <c r="AK5" s="391"/>
      <c r="AL5" s="338"/>
      <c r="AM5" s="34" t="s">
        <v>59</v>
      </c>
      <c r="AN5" s="34" t="s">
        <v>60</v>
      </c>
      <c r="AO5" s="34" t="s">
        <v>61</v>
      </c>
      <c r="AP5" s="51" t="s">
        <v>314</v>
      </c>
      <c r="AQ5" s="51" t="s">
        <v>315</v>
      </c>
      <c r="AR5" s="149" t="s">
        <v>62</v>
      </c>
      <c r="AS5" s="154" t="s">
        <v>265</v>
      </c>
      <c r="AT5" s="154" t="s">
        <v>266</v>
      </c>
    </row>
    <row r="6" spans="1:46" ht="14.4" x14ac:dyDescent="0.3">
      <c r="A6" s="209" t="s">
        <v>241</v>
      </c>
      <c r="B6" s="210" t="s">
        <v>259</v>
      </c>
      <c r="C6" s="211" t="s">
        <v>132</v>
      </c>
      <c r="D6" s="204"/>
      <c r="E6" s="200" t="s">
        <v>269</v>
      </c>
      <c r="F6" s="200" t="s">
        <v>269</v>
      </c>
      <c r="G6" s="200" t="s">
        <v>269</v>
      </c>
      <c r="H6" s="200" t="s">
        <v>269</v>
      </c>
      <c r="I6" s="200" t="s">
        <v>269</v>
      </c>
      <c r="J6" s="200" t="s">
        <v>269</v>
      </c>
      <c r="K6" s="200" t="s">
        <v>269</v>
      </c>
      <c r="L6" s="150" t="s">
        <v>263</v>
      </c>
      <c r="M6" s="200" t="s">
        <v>269</v>
      </c>
      <c r="N6" s="153" t="s">
        <v>376</v>
      </c>
      <c r="O6" s="153" t="s">
        <v>377</v>
      </c>
      <c r="P6" s="50" t="s">
        <v>269</v>
      </c>
      <c r="Q6" s="50" t="s">
        <v>269</v>
      </c>
      <c r="R6" s="50" t="s">
        <v>269</v>
      </c>
      <c r="S6" s="50" t="s">
        <v>269</v>
      </c>
      <c r="T6" s="153">
        <v>694</v>
      </c>
      <c r="U6" s="153">
        <v>24.42</v>
      </c>
      <c r="V6" s="200" t="s">
        <v>269</v>
      </c>
      <c r="W6" s="258">
        <v>14.31</v>
      </c>
      <c r="X6" s="50" t="s">
        <v>269</v>
      </c>
      <c r="Y6" s="50" t="s">
        <v>269</v>
      </c>
      <c r="Z6" s="50" t="s">
        <v>269</v>
      </c>
      <c r="AA6" s="50" t="s">
        <v>269</v>
      </c>
      <c r="AB6" s="50" t="s">
        <v>269</v>
      </c>
      <c r="AC6" s="50" t="s">
        <v>269</v>
      </c>
      <c r="AD6" s="50" t="s">
        <v>269</v>
      </c>
      <c r="AE6" s="50" t="s">
        <v>269</v>
      </c>
      <c r="AF6" s="50" t="s">
        <v>269</v>
      </c>
      <c r="AG6" s="50" t="s">
        <v>269</v>
      </c>
      <c r="AH6" s="50" t="s">
        <v>269</v>
      </c>
      <c r="AI6" s="50" t="s">
        <v>269</v>
      </c>
      <c r="AJ6" s="50" t="s">
        <v>269</v>
      </c>
      <c r="AK6" s="50" t="s">
        <v>269</v>
      </c>
      <c r="AL6" s="153">
        <v>10.14</v>
      </c>
      <c r="AM6" s="50" t="s">
        <v>269</v>
      </c>
      <c r="AN6" s="50" t="s">
        <v>269</v>
      </c>
      <c r="AO6" s="50" t="s">
        <v>269</v>
      </c>
      <c r="AP6" s="50" t="s">
        <v>269</v>
      </c>
      <c r="AQ6" s="50" t="s">
        <v>269</v>
      </c>
      <c r="AR6" s="50" t="s">
        <v>269</v>
      </c>
      <c r="AS6" s="50" t="s">
        <v>269</v>
      </c>
      <c r="AT6" s="50" t="s">
        <v>269</v>
      </c>
    </row>
    <row r="7" spans="1:46" ht="14.4" x14ac:dyDescent="0.3">
      <c r="A7" s="209" t="s">
        <v>241</v>
      </c>
      <c r="B7" s="212" t="s">
        <v>260</v>
      </c>
      <c r="C7" s="211" t="s">
        <v>132</v>
      </c>
      <c r="D7" s="204"/>
      <c r="E7" s="253">
        <v>4.9000000000000004</v>
      </c>
      <c r="F7" s="253">
        <v>22</v>
      </c>
      <c r="G7" s="253">
        <v>5</v>
      </c>
      <c r="H7" s="253">
        <f>I7/J7</f>
        <v>0.9989806320081549</v>
      </c>
      <c r="I7" s="253">
        <f>10*E7</f>
        <v>49</v>
      </c>
      <c r="J7" s="253">
        <f>5*9.81</f>
        <v>49.050000000000004</v>
      </c>
      <c r="K7" s="253">
        <v>25</v>
      </c>
      <c r="L7" s="200" t="s">
        <v>269</v>
      </c>
      <c r="M7" s="202">
        <v>-0.42</v>
      </c>
      <c r="N7" s="50" t="s">
        <v>269</v>
      </c>
      <c r="O7" s="50" t="s">
        <v>269</v>
      </c>
      <c r="P7" s="50" t="s">
        <v>269</v>
      </c>
      <c r="Q7" s="50" t="s">
        <v>269</v>
      </c>
      <c r="R7" s="50" t="s">
        <v>269</v>
      </c>
      <c r="S7" s="50" t="s">
        <v>269</v>
      </c>
      <c r="T7" s="50" t="s">
        <v>269</v>
      </c>
      <c r="U7" s="50" t="s">
        <v>269</v>
      </c>
      <c r="V7" s="200" t="s">
        <v>269</v>
      </c>
      <c r="W7" s="200" t="s">
        <v>269</v>
      </c>
      <c r="X7" s="50" t="s">
        <v>269</v>
      </c>
      <c r="Y7" s="50" t="s">
        <v>269</v>
      </c>
      <c r="Z7" s="50" t="s">
        <v>269</v>
      </c>
      <c r="AA7" s="50" t="s">
        <v>269</v>
      </c>
      <c r="AB7" s="50" t="s">
        <v>269</v>
      </c>
      <c r="AC7" s="50" t="s">
        <v>269</v>
      </c>
      <c r="AD7" s="50" t="s">
        <v>269</v>
      </c>
      <c r="AE7" s="50" t="s">
        <v>269</v>
      </c>
      <c r="AF7" s="50" t="s">
        <v>269</v>
      </c>
      <c r="AG7" s="50" t="s">
        <v>269</v>
      </c>
      <c r="AH7" s="50" t="s">
        <v>269</v>
      </c>
      <c r="AI7" s="50" t="s">
        <v>269</v>
      </c>
      <c r="AJ7" s="50" t="s">
        <v>269</v>
      </c>
      <c r="AK7" s="50" t="s">
        <v>269</v>
      </c>
      <c r="AL7" s="50" t="s">
        <v>269</v>
      </c>
      <c r="AM7" s="50" t="s">
        <v>269</v>
      </c>
      <c r="AN7" s="50" t="s">
        <v>269</v>
      </c>
      <c r="AO7" s="50" t="s">
        <v>269</v>
      </c>
      <c r="AP7" s="50" t="s">
        <v>269</v>
      </c>
      <c r="AQ7" s="50" t="s">
        <v>269</v>
      </c>
      <c r="AR7" s="50" t="s">
        <v>269</v>
      </c>
      <c r="AS7" s="150" t="s">
        <v>263</v>
      </c>
      <c r="AT7" s="150" t="s">
        <v>263</v>
      </c>
    </row>
    <row r="8" spans="1:46" ht="14.4" x14ac:dyDescent="0.3">
      <c r="A8" s="209" t="s">
        <v>241</v>
      </c>
      <c r="B8" s="212" t="s">
        <v>261</v>
      </c>
      <c r="C8" s="211" t="s">
        <v>132</v>
      </c>
      <c r="D8" s="204"/>
      <c r="E8" s="254">
        <v>5.5</v>
      </c>
      <c r="F8" s="254">
        <v>22</v>
      </c>
      <c r="G8" s="254">
        <v>5</v>
      </c>
      <c r="H8" s="253">
        <f>I8/J8</f>
        <v>1.1213047910295615</v>
      </c>
      <c r="I8" s="253">
        <f>10*E8</f>
        <v>55</v>
      </c>
      <c r="J8" s="253">
        <f>5*9.81</f>
        <v>49.050000000000004</v>
      </c>
      <c r="K8" s="253">
        <v>25</v>
      </c>
      <c r="L8" s="200" t="s">
        <v>269</v>
      </c>
      <c r="M8" s="200" t="s">
        <v>269</v>
      </c>
      <c r="N8" s="50" t="s">
        <v>269</v>
      </c>
      <c r="O8" s="50" t="s">
        <v>269</v>
      </c>
      <c r="P8" s="153">
        <v>23</v>
      </c>
      <c r="Q8" s="196">
        <f>(0.034+0.034+0.031)/3</f>
        <v>3.3000000000000002E-2</v>
      </c>
      <c r="R8" s="153">
        <v>60</v>
      </c>
      <c r="S8" s="196">
        <f>(0.071+0.073+0.067)/3</f>
        <v>7.0333333333333331E-2</v>
      </c>
      <c r="T8" s="50" t="s">
        <v>269</v>
      </c>
      <c r="U8" s="50" t="s">
        <v>269</v>
      </c>
      <c r="V8" s="200" t="s">
        <v>269</v>
      </c>
      <c r="W8" s="200" t="s">
        <v>269</v>
      </c>
      <c r="X8" s="150" t="s">
        <v>263</v>
      </c>
      <c r="Y8" s="153">
        <v>2</v>
      </c>
      <c r="Z8" s="153">
        <v>2.2999999999999998</v>
      </c>
      <c r="AA8" s="153">
        <v>2.4</v>
      </c>
      <c r="AB8" s="153">
        <f>AVERAGE(Y8:AA8)</f>
        <v>2.2333333333333329</v>
      </c>
      <c r="AC8" s="206">
        <v>4.7300000000000004</v>
      </c>
      <c r="AD8" s="206">
        <v>4.07</v>
      </c>
      <c r="AE8" s="206">
        <v>3.84</v>
      </c>
      <c r="AF8" s="206">
        <f>AVERAGE(AC8:AE8)</f>
        <v>4.2133333333333338</v>
      </c>
      <c r="AG8" s="206">
        <v>5.43</v>
      </c>
      <c r="AH8" s="206">
        <v>4.8600000000000003</v>
      </c>
      <c r="AI8" s="206">
        <v>4.8499999999999996</v>
      </c>
      <c r="AJ8" s="206">
        <f>AVERAGE(AG8:AI8)</f>
        <v>5.046666666666666</v>
      </c>
      <c r="AK8" s="150" t="s">
        <v>263</v>
      </c>
      <c r="AL8" s="50" t="s">
        <v>269</v>
      </c>
      <c r="AM8" s="151">
        <v>62</v>
      </c>
      <c r="AN8" s="151">
        <v>63</v>
      </c>
      <c r="AO8" s="151">
        <v>62</v>
      </c>
      <c r="AP8" s="152">
        <v>62</v>
      </c>
      <c r="AQ8" s="152">
        <v>63</v>
      </c>
      <c r="AR8" s="152">
        <f>AVERAGE(AM8:AQ8)</f>
        <v>62.4</v>
      </c>
      <c r="AS8" s="150" t="s">
        <v>263</v>
      </c>
      <c r="AT8" s="150" t="s">
        <v>263</v>
      </c>
    </row>
    <row r="9" spans="1:46" ht="14.4" x14ac:dyDescent="0.3">
      <c r="A9" s="209" t="s">
        <v>241</v>
      </c>
      <c r="B9" s="212" t="s">
        <v>262</v>
      </c>
      <c r="C9" s="211" t="s">
        <v>132</v>
      </c>
      <c r="D9" s="200" t="s">
        <v>269</v>
      </c>
      <c r="E9" s="254">
        <v>6.4</v>
      </c>
      <c r="F9" s="254">
        <v>23</v>
      </c>
      <c r="G9" s="254">
        <v>5</v>
      </c>
      <c r="H9" s="253">
        <f>I9/J9</f>
        <v>1.3047910295616716</v>
      </c>
      <c r="I9" s="253">
        <f>10*E9</f>
        <v>64</v>
      </c>
      <c r="J9" s="253">
        <f>5*9.81</f>
        <v>49.050000000000004</v>
      </c>
      <c r="K9" s="253">
        <v>25</v>
      </c>
      <c r="L9" s="200" t="s">
        <v>269</v>
      </c>
      <c r="M9" s="200" t="s">
        <v>269</v>
      </c>
      <c r="N9" s="50" t="s">
        <v>269</v>
      </c>
      <c r="O9" s="50" t="s">
        <v>269</v>
      </c>
      <c r="P9" s="206">
        <v>23</v>
      </c>
      <c r="Q9" s="196">
        <f>(0.03+0.03+0.028)/3</f>
        <v>2.9333333333333333E-2</v>
      </c>
      <c r="R9" s="206">
        <v>60</v>
      </c>
      <c r="S9" s="196">
        <f>(0.07+0.082+0.074)/3</f>
        <v>7.5333333333333349E-2</v>
      </c>
      <c r="T9" s="50" t="s">
        <v>269</v>
      </c>
      <c r="U9" s="50" t="s">
        <v>269</v>
      </c>
      <c r="V9" s="200" t="s">
        <v>269</v>
      </c>
      <c r="W9" s="200" t="s">
        <v>269</v>
      </c>
      <c r="X9" s="150" t="s">
        <v>263</v>
      </c>
      <c r="Y9" s="153">
        <v>1.82</v>
      </c>
      <c r="Z9" s="153">
        <v>1.76</v>
      </c>
      <c r="AA9" s="153">
        <v>2.0499999999999998</v>
      </c>
      <c r="AB9" s="153">
        <f>AVERAGE(Y9:AA9)</f>
        <v>1.8766666666666667</v>
      </c>
      <c r="AC9" s="206">
        <v>3.71</v>
      </c>
      <c r="AD9" s="206">
        <v>4.5</v>
      </c>
      <c r="AE9" s="206">
        <v>3.78</v>
      </c>
      <c r="AF9" s="206">
        <f>AVERAGE(AC9:AE9)</f>
        <v>3.9966666666666666</v>
      </c>
      <c r="AG9" s="206">
        <v>5.0199999999999996</v>
      </c>
      <c r="AH9" s="206">
        <v>4.76</v>
      </c>
      <c r="AI9" s="206">
        <v>5.1100000000000003</v>
      </c>
      <c r="AJ9" s="206">
        <f>AVERAGE(AG9:AI9)</f>
        <v>4.9633333333333338</v>
      </c>
      <c r="AK9" s="150" t="s">
        <v>263</v>
      </c>
      <c r="AL9" s="50" t="s">
        <v>269</v>
      </c>
      <c r="AM9" s="50" t="s">
        <v>269</v>
      </c>
      <c r="AN9" s="50" t="s">
        <v>269</v>
      </c>
      <c r="AO9" s="50" t="s">
        <v>269</v>
      </c>
      <c r="AP9" s="50" t="s">
        <v>269</v>
      </c>
      <c r="AQ9" s="50" t="s">
        <v>269</v>
      </c>
      <c r="AR9" s="50" t="s">
        <v>269</v>
      </c>
      <c r="AS9" s="150" t="s">
        <v>263</v>
      </c>
      <c r="AT9" s="150" t="s">
        <v>263</v>
      </c>
    </row>
    <row r="10" spans="1:46" ht="14.4" x14ac:dyDescent="0.3">
      <c r="A10" s="148" t="s">
        <v>241</v>
      </c>
      <c r="B10" s="146" t="s">
        <v>234</v>
      </c>
      <c r="C10" s="201" t="s">
        <v>132</v>
      </c>
      <c r="D10" s="200" t="s">
        <v>269</v>
      </c>
      <c r="E10" s="200" t="s">
        <v>269</v>
      </c>
      <c r="F10" s="200" t="s">
        <v>269</v>
      </c>
      <c r="G10" s="200" t="s">
        <v>269</v>
      </c>
      <c r="H10" s="200" t="s">
        <v>269</v>
      </c>
      <c r="I10" s="200" t="s">
        <v>269</v>
      </c>
      <c r="J10" s="200" t="s">
        <v>269</v>
      </c>
      <c r="K10" s="200" t="s">
        <v>269</v>
      </c>
      <c r="L10" s="200" t="s">
        <v>269</v>
      </c>
      <c r="M10" s="200" t="s">
        <v>269</v>
      </c>
      <c r="N10" s="50" t="s">
        <v>269</v>
      </c>
      <c r="O10" s="50" t="s">
        <v>269</v>
      </c>
      <c r="P10" s="50" t="s">
        <v>269</v>
      </c>
      <c r="Q10" s="50" t="s">
        <v>269</v>
      </c>
      <c r="R10" s="50" t="s">
        <v>269</v>
      </c>
      <c r="S10" s="50" t="s">
        <v>269</v>
      </c>
      <c r="T10" s="50" t="s">
        <v>269</v>
      </c>
      <c r="U10" s="50" t="s">
        <v>269</v>
      </c>
      <c r="V10" s="200" t="s">
        <v>269</v>
      </c>
      <c r="W10" s="200" t="s">
        <v>269</v>
      </c>
      <c r="X10" s="50" t="s">
        <v>269</v>
      </c>
      <c r="Y10" s="50" t="s">
        <v>269</v>
      </c>
      <c r="Z10" s="50" t="s">
        <v>269</v>
      </c>
      <c r="AA10" s="50" t="s">
        <v>269</v>
      </c>
      <c r="AB10" s="50" t="s">
        <v>269</v>
      </c>
      <c r="AC10" s="50" t="s">
        <v>269</v>
      </c>
      <c r="AD10" s="50" t="s">
        <v>269</v>
      </c>
      <c r="AE10" s="50" t="s">
        <v>269</v>
      </c>
      <c r="AF10" s="50" t="s">
        <v>269</v>
      </c>
      <c r="AG10" s="50" t="s">
        <v>269</v>
      </c>
      <c r="AH10" s="50" t="s">
        <v>269</v>
      </c>
      <c r="AI10" s="50" t="s">
        <v>269</v>
      </c>
      <c r="AJ10" s="50" t="s">
        <v>269</v>
      </c>
      <c r="AK10" s="50" t="s">
        <v>269</v>
      </c>
      <c r="AL10" s="50" t="s">
        <v>269</v>
      </c>
      <c r="AM10" s="151">
        <v>67</v>
      </c>
      <c r="AN10" s="151">
        <v>67</v>
      </c>
      <c r="AO10" s="151">
        <v>68</v>
      </c>
      <c r="AP10" s="152">
        <v>68</v>
      </c>
      <c r="AQ10" s="152">
        <v>66</v>
      </c>
      <c r="AR10" s="152">
        <f>AVERAGE(AM10:AQ10)</f>
        <v>67.2</v>
      </c>
      <c r="AS10" s="50" t="s">
        <v>269</v>
      </c>
      <c r="AT10" s="50" t="s">
        <v>269</v>
      </c>
    </row>
    <row r="11" spans="1:46" ht="14.4" x14ac:dyDescent="0.3">
      <c r="A11" s="148" t="s">
        <v>241</v>
      </c>
      <c r="B11" s="146" t="s">
        <v>247</v>
      </c>
      <c r="C11" s="201" t="s">
        <v>132</v>
      </c>
      <c r="D11" s="200" t="s">
        <v>269</v>
      </c>
      <c r="E11" s="200" t="s">
        <v>269</v>
      </c>
      <c r="F11" s="200" t="s">
        <v>269</v>
      </c>
      <c r="G11" s="200" t="s">
        <v>269</v>
      </c>
      <c r="H11" s="200" t="s">
        <v>269</v>
      </c>
      <c r="I11" s="200" t="s">
        <v>269</v>
      </c>
      <c r="J11" s="200" t="s">
        <v>269</v>
      </c>
      <c r="K11" s="200" t="s">
        <v>269</v>
      </c>
      <c r="L11" s="200" t="s">
        <v>269</v>
      </c>
      <c r="M11" s="200" t="s">
        <v>269</v>
      </c>
      <c r="N11" s="50" t="s">
        <v>269</v>
      </c>
      <c r="O11" s="50" t="s">
        <v>269</v>
      </c>
      <c r="P11" s="50" t="s">
        <v>269</v>
      </c>
      <c r="Q11" s="50" t="s">
        <v>269</v>
      </c>
      <c r="R11" s="50" t="s">
        <v>269</v>
      </c>
      <c r="S11" s="50" t="s">
        <v>269</v>
      </c>
      <c r="T11" s="50" t="s">
        <v>269</v>
      </c>
      <c r="U11" s="50" t="s">
        <v>269</v>
      </c>
      <c r="V11" s="200" t="s">
        <v>269</v>
      </c>
      <c r="W11" s="200" t="s">
        <v>269</v>
      </c>
      <c r="X11" s="50" t="s">
        <v>269</v>
      </c>
      <c r="Y11" s="50" t="s">
        <v>269</v>
      </c>
      <c r="Z11" s="50" t="s">
        <v>269</v>
      </c>
      <c r="AA11" s="50" t="s">
        <v>269</v>
      </c>
      <c r="AB11" s="50" t="s">
        <v>269</v>
      </c>
      <c r="AC11" s="50" t="s">
        <v>269</v>
      </c>
      <c r="AD11" s="50" t="s">
        <v>269</v>
      </c>
      <c r="AE11" s="50" t="s">
        <v>269</v>
      </c>
      <c r="AF11" s="50" t="s">
        <v>269</v>
      </c>
      <c r="AG11" s="50" t="s">
        <v>269</v>
      </c>
      <c r="AH11" s="50" t="s">
        <v>269</v>
      </c>
      <c r="AI11" s="50" t="s">
        <v>269</v>
      </c>
      <c r="AJ11" s="50" t="s">
        <v>269</v>
      </c>
      <c r="AK11" s="50" t="s">
        <v>269</v>
      </c>
      <c r="AL11" s="50" t="s">
        <v>269</v>
      </c>
      <c r="AM11" s="151">
        <v>67</v>
      </c>
      <c r="AN11" s="151">
        <v>65</v>
      </c>
      <c r="AO11" s="151">
        <v>67</v>
      </c>
      <c r="AP11" s="152">
        <v>69</v>
      </c>
      <c r="AQ11" s="152">
        <v>67</v>
      </c>
      <c r="AR11" s="152">
        <f>AVERAGE(AM11:AQ11)</f>
        <v>67</v>
      </c>
      <c r="AS11" s="50" t="s">
        <v>269</v>
      </c>
      <c r="AT11" s="50" t="s">
        <v>269</v>
      </c>
    </row>
    <row r="12" spans="1:46" ht="14.4" x14ac:dyDescent="0.3">
      <c r="A12" s="148" t="s">
        <v>241</v>
      </c>
      <c r="B12" s="162" t="s">
        <v>246</v>
      </c>
      <c r="C12" s="201" t="s">
        <v>132</v>
      </c>
      <c r="D12" s="200" t="s">
        <v>269</v>
      </c>
      <c r="E12" s="200" t="s">
        <v>269</v>
      </c>
      <c r="F12" s="200" t="s">
        <v>269</v>
      </c>
      <c r="G12" s="200" t="s">
        <v>269</v>
      </c>
      <c r="H12" s="200" t="s">
        <v>269</v>
      </c>
      <c r="I12" s="200" t="s">
        <v>269</v>
      </c>
      <c r="J12" s="200" t="s">
        <v>269</v>
      </c>
      <c r="K12" s="200" t="s">
        <v>269</v>
      </c>
      <c r="L12" s="200" t="s">
        <v>269</v>
      </c>
      <c r="M12" s="200" t="s">
        <v>269</v>
      </c>
      <c r="N12" s="50" t="s">
        <v>269</v>
      </c>
      <c r="O12" s="50" t="s">
        <v>269</v>
      </c>
      <c r="P12" s="50" t="s">
        <v>269</v>
      </c>
      <c r="Q12" s="50" t="s">
        <v>269</v>
      </c>
      <c r="R12" s="50" t="s">
        <v>269</v>
      </c>
      <c r="S12" s="50" t="s">
        <v>269</v>
      </c>
      <c r="T12" s="50" t="s">
        <v>269</v>
      </c>
      <c r="U12" s="50" t="s">
        <v>269</v>
      </c>
      <c r="V12" s="200" t="s">
        <v>269</v>
      </c>
      <c r="W12" s="200" t="s">
        <v>269</v>
      </c>
      <c r="X12" s="50" t="s">
        <v>269</v>
      </c>
      <c r="Y12" s="50" t="s">
        <v>269</v>
      </c>
      <c r="Z12" s="50" t="s">
        <v>269</v>
      </c>
      <c r="AA12" s="50" t="s">
        <v>269</v>
      </c>
      <c r="AB12" s="50" t="s">
        <v>269</v>
      </c>
      <c r="AC12" s="50" t="s">
        <v>269</v>
      </c>
      <c r="AD12" s="50" t="s">
        <v>269</v>
      </c>
      <c r="AE12" s="50" t="s">
        <v>269</v>
      </c>
      <c r="AF12" s="50" t="s">
        <v>269</v>
      </c>
      <c r="AG12" s="50" t="s">
        <v>269</v>
      </c>
      <c r="AH12" s="50" t="s">
        <v>269</v>
      </c>
      <c r="AI12" s="50" t="s">
        <v>269</v>
      </c>
      <c r="AJ12" s="50" t="s">
        <v>269</v>
      </c>
      <c r="AK12" s="50" t="s">
        <v>269</v>
      </c>
      <c r="AL12" s="50" t="s">
        <v>269</v>
      </c>
      <c r="AM12" s="163">
        <v>67</v>
      </c>
      <c r="AN12" s="163">
        <v>68</v>
      </c>
      <c r="AO12" s="163">
        <v>66</v>
      </c>
      <c r="AP12" s="171">
        <v>67</v>
      </c>
      <c r="AQ12" s="171">
        <v>65</v>
      </c>
      <c r="AR12" s="152">
        <f t="shared" ref="AR12:AR27" si="0">AVERAGE(AM12:AQ12)</f>
        <v>66.599999999999994</v>
      </c>
      <c r="AS12" s="50" t="s">
        <v>269</v>
      </c>
      <c r="AT12" s="50" t="s">
        <v>269</v>
      </c>
    </row>
    <row r="13" spans="1:46" ht="14.4" x14ac:dyDescent="0.3">
      <c r="A13" s="148" t="s">
        <v>241</v>
      </c>
      <c r="B13" s="146" t="s">
        <v>245</v>
      </c>
      <c r="C13" s="201" t="s">
        <v>132</v>
      </c>
      <c r="D13" s="200" t="s">
        <v>269</v>
      </c>
      <c r="E13" s="200" t="s">
        <v>269</v>
      </c>
      <c r="F13" s="200" t="s">
        <v>269</v>
      </c>
      <c r="G13" s="200" t="s">
        <v>269</v>
      </c>
      <c r="H13" s="200" t="s">
        <v>269</v>
      </c>
      <c r="I13" s="200" t="s">
        <v>269</v>
      </c>
      <c r="J13" s="200" t="s">
        <v>269</v>
      </c>
      <c r="K13" s="200" t="s">
        <v>269</v>
      </c>
      <c r="L13" s="200" t="s">
        <v>269</v>
      </c>
      <c r="M13" s="200" t="s">
        <v>269</v>
      </c>
      <c r="N13" s="50" t="s">
        <v>269</v>
      </c>
      <c r="O13" s="50" t="s">
        <v>269</v>
      </c>
      <c r="P13" s="50" t="s">
        <v>269</v>
      </c>
      <c r="Q13" s="50" t="s">
        <v>269</v>
      </c>
      <c r="R13" s="50" t="s">
        <v>269</v>
      </c>
      <c r="S13" s="50" t="s">
        <v>269</v>
      </c>
      <c r="T13" s="50" t="s">
        <v>269</v>
      </c>
      <c r="U13" s="50" t="s">
        <v>269</v>
      </c>
      <c r="V13" s="200" t="s">
        <v>269</v>
      </c>
      <c r="W13" s="200" t="s">
        <v>269</v>
      </c>
      <c r="X13" s="50" t="s">
        <v>269</v>
      </c>
      <c r="Y13" s="50" t="s">
        <v>269</v>
      </c>
      <c r="Z13" s="50" t="s">
        <v>269</v>
      </c>
      <c r="AA13" s="50" t="s">
        <v>269</v>
      </c>
      <c r="AB13" s="50" t="s">
        <v>269</v>
      </c>
      <c r="AC13" s="50" t="s">
        <v>269</v>
      </c>
      <c r="AD13" s="50" t="s">
        <v>269</v>
      </c>
      <c r="AE13" s="50" t="s">
        <v>269</v>
      </c>
      <c r="AF13" s="50" t="s">
        <v>269</v>
      </c>
      <c r="AG13" s="50" t="s">
        <v>269</v>
      </c>
      <c r="AH13" s="50" t="s">
        <v>269</v>
      </c>
      <c r="AI13" s="50" t="s">
        <v>269</v>
      </c>
      <c r="AJ13" s="50" t="s">
        <v>269</v>
      </c>
      <c r="AK13" s="50" t="s">
        <v>269</v>
      </c>
      <c r="AL13" s="50" t="s">
        <v>269</v>
      </c>
      <c r="AM13" s="164">
        <v>65</v>
      </c>
      <c r="AN13" s="164">
        <v>63</v>
      </c>
      <c r="AO13" s="164">
        <v>66</v>
      </c>
      <c r="AP13" s="164">
        <v>64</v>
      </c>
      <c r="AQ13" s="164">
        <v>62</v>
      </c>
      <c r="AR13" s="152">
        <f>AVERAGE(AM13:AQ13)</f>
        <v>64</v>
      </c>
      <c r="AS13" s="50" t="s">
        <v>269</v>
      </c>
      <c r="AT13" s="50" t="s">
        <v>269</v>
      </c>
    </row>
    <row r="14" spans="1:46" ht="14.4" x14ac:dyDescent="0.3">
      <c r="A14" s="148" t="s">
        <v>241</v>
      </c>
      <c r="B14" s="166" t="s">
        <v>253</v>
      </c>
      <c r="C14" s="201" t="s">
        <v>132</v>
      </c>
      <c r="D14" s="200" t="s">
        <v>269</v>
      </c>
      <c r="E14" s="200" t="s">
        <v>269</v>
      </c>
      <c r="F14" s="200" t="s">
        <v>269</v>
      </c>
      <c r="G14" s="200" t="s">
        <v>269</v>
      </c>
      <c r="H14" s="200" t="s">
        <v>269</v>
      </c>
      <c r="I14" s="200" t="s">
        <v>269</v>
      </c>
      <c r="J14" s="200" t="s">
        <v>269</v>
      </c>
      <c r="K14" s="200" t="s">
        <v>269</v>
      </c>
      <c r="L14" s="200" t="s">
        <v>269</v>
      </c>
      <c r="M14" s="200" t="s">
        <v>269</v>
      </c>
      <c r="N14" s="50" t="s">
        <v>269</v>
      </c>
      <c r="O14" s="50" t="s">
        <v>269</v>
      </c>
      <c r="P14" s="50" t="s">
        <v>269</v>
      </c>
      <c r="Q14" s="50" t="s">
        <v>269</v>
      </c>
      <c r="R14" s="50" t="s">
        <v>269</v>
      </c>
      <c r="S14" s="50" t="s">
        <v>269</v>
      </c>
      <c r="T14" s="50" t="s">
        <v>269</v>
      </c>
      <c r="U14" s="50" t="s">
        <v>269</v>
      </c>
      <c r="V14" s="200" t="s">
        <v>269</v>
      </c>
      <c r="W14" s="200" t="s">
        <v>269</v>
      </c>
      <c r="X14" s="50" t="s">
        <v>269</v>
      </c>
      <c r="Y14" s="50" t="s">
        <v>269</v>
      </c>
      <c r="Z14" s="50" t="s">
        <v>269</v>
      </c>
      <c r="AA14" s="50" t="s">
        <v>269</v>
      </c>
      <c r="AB14" s="50" t="s">
        <v>269</v>
      </c>
      <c r="AC14" s="50" t="s">
        <v>269</v>
      </c>
      <c r="AD14" s="50" t="s">
        <v>269</v>
      </c>
      <c r="AE14" s="50" t="s">
        <v>269</v>
      </c>
      <c r="AF14" s="50" t="s">
        <v>269</v>
      </c>
      <c r="AG14" s="50" t="s">
        <v>269</v>
      </c>
      <c r="AH14" s="50" t="s">
        <v>269</v>
      </c>
      <c r="AI14" s="50" t="s">
        <v>269</v>
      </c>
      <c r="AJ14" s="50" t="s">
        <v>269</v>
      </c>
      <c r="AK14" s="50" t="s">
        <v>269</v>
      </c>
      <c r="AL14" s="50" t="s">
        <v>269</v>
      </c>
      <c r="AM14" s="170">
        <v>64</v>
      </c>
      <c r="AN14" s="170">
        <v>64</v>
      </c>
      <c r="AO14" s="170">
        <v>66</v>
      </c>
      <c r="AP14" s="170">
        <v>63</v>
      </c>
      <c r="AQ14" s="170">
        <v>64</v>
      </c>
      <c r="AR14" s="152">
        <f t="shared" si="0"/>
        <v>64.2</v>
      </c>
      <c r="AS14" s="50" t="s">
        <v>269</v>
      </c>
      <c r="AT14" s="50" t="s">
        <v>269</v>
      </c>
    </row>
    <row r="15" spans="1:46" ht="14.4" x14ac:dyDescent="0.3">
      <c r="A15" s="148" t="s">
        <v>241</v>
      </c>
      <c r="B15" s="166" t="s">
        <v>252</v>
      </c>
      <c r="C15" s="201" t="s">
        <v>132</v>
      </c>
      <c r="D15" s="200" t="s">
        <v>269</v>
      </c>
      <c r="E15" s="200" t="s">
        <v>269</v>
      </c>
      <c r="F15" s="200" t="s">
        <v>269</v>
      </c>
      <c r="G15" s="200" t="s">
        <v>269</v>
      </c>
      <c r="H15" s="200" t="s">
        <v>269</v>
      </c>
      <c r="I15" s="200" t="s">
        <v>269</v>
      </c>
      <c r="J15" s="200" t="s">
        <v>269</v>
      </c>
      <c r="K15" s="200" t="s">
        <v>269</v>
      </c>
      <c r="L15" s="200" t="s">
        <v>269</v>
      </c>
      <c r="M15" s="200" t="s">
        <v>269</v>
      </c>
      <c r="N15" s="50" t="s">
        <v>269</v>
      </c>
      <c r="O15" s="50" t="s">
        <v>269</v>
      </c>
      <c r="P15" s="50" t="s">
        <v>269</v>
      </c>
      <c r="Q15" s="50" t="s">
        <v>269</v>
      </c>
      <c r="R15" s="50" t="s">
        <v>269</v>
      </c>
      <c r="S15" s="50" t="s">
        <v>269</v>
      </c>
      <c r="T15" s="50" t="s">
        <v>269</v>
      </c>
      <c r="U15" s="50" t="s">
        <v>269</v>
      </c>
      <c r="V15" s="200" t="s">
        <v>269</v>
      </c>
      <c r="W15" s="200" t="s">
        <v>269</v>
      </c>
      <c r="X15" s="50" t="s">
        <v>269</v>
      </c>
      <c r="Y15" s="50" t="s">
        <v>269</v>
      </c>
      <c r="Z15" s="50" t="s">
        <v>269</v>
      </c>
      <c r="AA15" s="50" t="s">
        <v>269</v>
      </c>
      <c r="AB15" s="50" t="s">
        <v>269</v>
      </c>
      <c r="AC15" s="50" t="s">
        <v>269</v>
      </c>
      <c r="AD15" s="50" t="s">
        <v>269</v>
      </c>
      <c r="AE15" s="50" t="s">
        <v>269</v>
      </c>
      <c r="AF15" s="50" t="s">
        <v>269</v>
      </c>
      <c r="AG15" s="50" t="s">
        <v>269</v>
      </c>
      <c r="AH15" s="50" t="s">
        <v>269</v>
      </c>
      <c r="AI15" s="50" t="s">
        <v>269</v>
      </c>
      <c r="AJ15" s="50" t="s">
        <v>269</v>
      </c>
      <c r="AK15" s="50" t="s">
        <v>269</v>
      </c>
      <c r="AL15" s="50" t="s">
        <v>269</v>
      </c>
      <c r="AM15" s="170"/>
      <c r="AN15" s="170"/>
      <c r="AO15" s="170"/>
      <c r="AP15" s="170"/>
      <c r="AQ15" s="170"/>
      <c r="AR15" s="152" t="e">
        <f>AVERAGE(AM15:AQ15)</f>
        <v>#DIV/0!</v>
      </c>
      <c r="AS15" s="50" t="s">
        <v>269</v>
      </c>
      <c r="AT15" s="50" t="s">
        <v>269</v>
      </c>
    </row>
    <row r="16" spans="1:46" ht="15.75" customHeight="1" x14ac:dyDescent="0.3">
      <c r="A16" s="148" t="s">
        <v>241</v>
      </c>
      <c r="B16" s="166" t="s">
        <v>248</v>
      </c>
      <c r="C16" s="201" t="s">
        <v>132</v>
      </c>
      <c r="D16" s="200" t="s">
        <v>269</v>
      </c>
      <c r="E16" s="200" t="s">
        <v>269</v>
      </c>
      <c r="F16" s="200" t="s">
        <v>269</v>
      </c>
      <c r="G16" s="200" t="s">
        <v>269</v>
      </c>
      <c r="H16" s="200" t="s">
        <v>269</v>
      </c>
      <c r="I16" s="200" t="s">
        <v>269</v>
      </c>
      <c r="J16" s="200" t="s">
        <v>269</v>
      </c>
      <c r="K16" s="200" t="s">
        <v>269</v>
      </c>
      <c r="L16" s="200" t="s">
        <v>269</v>
      </c>
      <c r="M16" s="200" t="s">
        <v>269</v>
      </c>
      <c r="N16" s="50" t="s">
        <v>269</v>
      </c>
      <c r="O16" s="50" t="s">
        <v>269</v>
      </c>
      <c r="P16" s="50" t="s">
        <v>269</v>
      </c>
      <c r="Q16" s="50" t="s">
        <v>269</v>
      </c>
      <c r="R16" s="50" t="s">
        <v>269</v>
      </c>
      <c r="S16" s="50" t="s">
        <v>269</v>
      </c>
      <c r="T16" s="50" t="s">
        <v>269</v>
      </c>
      <c r="U16" s="50" t="s">
        <v>269</v>
      </c>
      <c r="V16" s="200" t="s">
        <v>269</v>
      </c>
      <c r="W16" s="200" t="s">
        <v>269</v>
      </c>
      <c r="X16" s="50" t="s">
        <v>269</v>
      </c>
      <c r="Y16" s="50" t="s">
        <v>269</v>
      </c>
      <c r="Z16" s="50" t="s">
        <v>269</v>
      </c>
      <c r="AA16" s="50" t="s">
        <v>269</v>
      </c>
      <c r="AB16" s="50" t="s">
        <v>269</v>
      </c>
      <c r="AC16" s="50" t="s">
        <v>269</v>
      </c>
      <c r="AD16" s="50" t="s">
        <v>269</v>
      </c>
      <c r="AE16" s="50" t="s">
        <v>269</v>
      </c>
      <c r="AF16" s="50" t="s">
        <v>269</v>
      </c>
      <c r="AG16" s="50" t="s">
        <v>269</v>
      </c>
      <c r="AH16" s="50" t="s">
        <v>269</v>
      </c>
      <c r="AI16" s="50" t="s">
        <v>269</v>
      </c>
      <c r="AJ16" s="50" t="s">
        <v>269</v>
      </c>
      <c r="AK16" s="50" t="s">
        <v>269</v>
      </c>
      <c r="AL16" s="50" t="s">
        <v>269</v>
      </c>
      <c r="AM16" s="170">
        <v>66</v>
      </c>
      <c r="AN16" s="170">
        <v>65</v>
      </c>
      <c r="AO16" s="170">
        <v>62</v>
      </c>
      <c r="AP16" s="170">
        <v>66</v>
      </c>
      <c r="AQ16" s="170">
        <v>63</v>
      </c>
      <c r="AR16" s="152">
        <f t="shared" si="0"/>
        <v>64.400000000000006</v>
      </c>
      <c r="AS16" s="50" t="s">
        <v>269</v>
      </c>
      <c r="AT16" s="50" t="s">
        <v>269</v>
      </c>
    </row>
    <row r="17" spans="1:46" ht="15.75" customHeight="1" x14ac:dyDescent="0.3">
      <c r="A17" s="148" t="s">
        <v>241</v>
      </c>
      <c r="B17" s="72" t="s">
        <v>270</v>
      </c>
      <c r="C17" s="201" t="s">
        <v>132</v>
      </c>
      <c r="D17" s="200" t="s">
        <v>269</v>
      </c>
      <c r="E17" s="200" t="s">
        <v>269</v>
      </c>
      <c r="F17" s="200" t="s">
        <v>269</v>
      </c>
      <c r="G17" s="200" t="s">
        <v>269</v>
      </c>
      <c r="H17" s="200" t="s">
        <v>269</v>
      </c>
      <c r="I17" s="200" t="s">
        <v>269</v>
      </c>
      <c r="J17" s="200" t="s">
        <v>269</v>
      </c>
      <c r="K17" s="200" t="s">
        <v>269</v>
      </c>
      <c r="L17" s="200" t="s">
        <v>269</v>
      </c>
      <c r="M17" s="200" t="s">
        <v>269</v>
      </c>
      <c r="N17" s="50" t="s">
        <v>269</v>
      </c>
      <c r="O17" s="50" t="s">
        <v>269</v>
      </c>
      <c r="P17" s="50" t="s">
        <v>269</v>
      </c>
      <c r="Q17" s="50" t="s">
        <v>269</v>
      </c>
      <c r="R17" s="50" t="s">
        <v>269</v>
      </c>
      <c r="S17" s="50" t="s">
        <v>269</v>
      </c>
      <c r="T17" s="50" t="s">
        <v>269</v>
      </c>
      <c r="U17" s="50" t="s">
        <v>269</v>
      </c>
      <c r="V17" s="200" t="s">
        <v>269</v>
      </c>
      <c r="W17" s="200" t="s">
        <v>269</v>
      </c>
      <c r="X17" s="50" t="s">
        <v>269</v>
      </c>
      <c r="Y17" s="50" t="s">
        <v>269</v>
      </c>
      <c r="Z17" s="50" t="s">
        <v>269</v>
      </c>
      <c r="AA17" s="50" t="s">
        <v>269</v>
      </c>
      <c r="AB17" s="50" t="s">
        <v>269</v>
      </c>
      <c r="AC17" s="50" t="s">
        <v>269</v>
      </c>
      <c r="AD17" s="50" t="s">
        <v>269</v>
      </c>
      <c r="AE17" s="50" t="s">
        <v>269</v>
      </c>
      <c r="AF17" s="50" t="s">
        <v>269</v>
      </c>
      <c r="AG17" s="50" t="s">
        <v>269</v>
      </c>
      <c r="AH17" s="50" t="s">
        <v>269</v>
      </c>
      <c r="AI17" s="50" t="s">
        <v>269</v>
      </c>
      <c r="AJ17" s="50" t="s">
        <v>269</v>
      </c>
      <c r="AK17" s="50" t="s">
        <v>269</v>
      </c>
      <c r="AL17" s="50" t="s">
        <v>269</v>
      </c>
      <c r="AM17" s="170">
        <v>63</v>
      </c>
      <c r="AN17" s="170">
        <v>62</v>
      </c>
      <c r="AO17" s="170">
        <v>64</v>
      </c>
      <c r="AP17" s="170">
        <v>65</v>
      </c>
      <c r="AQ17" s="170">
        <v>64</v>
      </c>
      <c r="AR17" s="152">
        <f t="shared" si="0"/>
        <v>63.6</v>
      </c>
      <c r="AS17" s="50" t="s">
        <v>269</v>
      </c>
      <c r="AT17" s="50" t="s">
        <v>269</v>
      </c>
    </row>
    <row r="18" spans="1:46" ht="15.75" customHeight="1" x14ac:dyDescent="0.3">
      <c r="A18" s="148" t="s">
        <v>241</v>
      </c>
      <c r="B18" s="72" t="s">
        <v>257</v>
      </c>
      <c r="C18" s="201" t="s">
        <v>132</v>
      </c>
      <c r="D18" s="200" t="s">
        <v>269</v>
      </c>
      <c r="E18" s="200" t="s">
        <v>269</v>
      </c>
      <c r="F18" s="200" t="s">
        <v>269</v>
      </c>
      <c r="G18" s="200" t="s">
        <v>269</v>
      </c>
      <c r="H18" s="200" t="s">
        <v>269</v>
      </c>
      <c r="I18" s="200" t="s">
        <v>269</v>
      </c>
      <c r="J18" s="200" t="s">
        <v>269</v>
      </c>
      <c r="K18" s="200" t="s">
        <v>269</v>
      </c>
      <c r="L18" s="200" t="s">
        <v>269</v>
      </c>
      <c r="M18" s="200" t="s">
        <v>269</v>
      </c>
      <c r="N18" s="50" t="s">
        <v>269</v>
      </c>
      <c r="O18" s="50" t="s">
        <v>269</v>
      </c>
      <c r="P18" s="50" t="s">
        <v>269</v>
      </c>
      <c r="Q18" s="50" t="s">
        <v>269</v>
      </c>
      <c r="R18" s="50" t="s">
        <v>269</v>
      </c>
      <c r="S18" s="50" t="s">
        <v>269</v>
      </c>
      <c r="T18" s="50" t="s">
        <v>269</v>
      </c>
      <c r="U18" s="50" t="s">
        <v>269</v>
      </c>
      <c r="V18" s="200" t="s">
        <v>269</v>
      </c>
      <c r="W18" s="200" t="s">
        <v>269</v>
      </c>
      <c r="X18" s="50" t="s">
        <v>269</v>
      </c>
      <c r="Y18" s="50" t="s">
        <v>269</v>
      </c>
      <c r="Z18" s="50" t="s">
        <v>269</v>
      </c>
      <c r="AA18" s="50" t="s">
        <v>269</v>
      </c>
      <c r="AB18" s="50" t="s">
        <v>269</v>
      </c>
      <c r="AC18" s="50" t="s">
        <v>269</v>
      </c>
      <c r="AD18" s="50" t="s">
        <v>269</v>
      </c>
      <c r="AE18" s="50" t="s">
        <v>269</v>
      </c>
      <c r="AF18" s="50" t="s">
        <v>269</v>
      </c>
      <c r="AG18" s="50" t="s">
        <v>269</v>
      </c>
      <c r="AH18" s="50" t="s">
        <v>269</v>
      </c>
      <c r="AI18" s="50" t="s">
        <v>269</v>
      </c>
      <c r="AJ18" s="50" t="s">
        <v>269</v>
      </c>
      <c r="AK18" s="50" t="s">
        <v>269</v>
      </c>
      <c r="AL18" s="50" t="s">
        <v>269</v>
      </c>
      <c r="AM18" s="170">
        <v>63</v>
      </c>
      <c r="AN18" s="170">
        <v>62</v>
      </c>
      <c r="AO18" s="170">
        <v>64</v>
      </c>
      <c r="AP18" s="170">
        <v>64</v>
      </c>
      <c r="AQ18" s="170">
        <v>66</v>
      </c>
      <c r="AR18" s="152">
        <f t="shared" si="0"/>
        <v>63.8</v>
      </c>
      <c r="AS18" s="50" t="s">
        <v>269</v>
      </c>
      <c r="AT18" s="50" t="s">
        <v>269</v>
      </c>
    </row>
    <row r="19" spans="1:46" ht="15.75" customHeight="1" x14ac:dyDescent="0.3">
      <c r="A19" s="148" t="s">
        <v>241</v>
      </c>
      <c r="B19" s="72" t="s">
        <v>256</v>
      </c>
      <c r="C19" s="201" t="s">
        <v>132</v>
      </c>
      <c r="D19" s="200" t="s">
        <v>269</v>
      </c>
      <c r="E19" s="200" t="s">
        <v>269</v>
      </c>
      <c r="F19" s="200" t="s">
        <v>269</v>
      </c>
      <c r="G19" s="200" t="s">
        <v>269</v>
      </c>
      <c r="H19" s="200" t="s">
        <v>269</v>
      </c>
      <c r="I19" s="200" t="s">
        <v>269</v>
      </c>
      <c r="J19" s="200" t="s">
        <v>269</v>
      </c>
      <c r="K19" s="200" t="s">
        <v>269</v>
      </c>
      <c r="L19" s="200" t="s">
        <v>269</v>
      </c>
      <c r="M19" s="200" t="s">
        <v>269</v>
      </c>
      <c r="N19" s="50" t="s">
        <v>269</v>
      </c>
      <c r="O19" s="50" t="s">
        <v>269</v>
      </c>
      <c r="P19" s="50" t="s">
        <v>269</v>
      </c>
      <c r="Q19" s="50" t="s">
        <v>269</v>
      </c>
      <c r="R19" s="50" t="s">
        <v>269</v>
      </c>
      <c r="S19" s="50" t="s">
        <v>269</v>
      </c>
      <c r="T19" s="50" t="s">
        <v>269</v>
      </c>
      <c r="U19" s="50" t="s">
        <v>269</v>
      </c>
      <c r="V19" s="200" t="s">
        <v>269</v>
      </c>
      <c r="W19" s="200" t="s">
        <v>269</v>
      </c>
      <c r="X19" s="50" t="s">
        <v>269</v>
      </c>
      <c r="Y19" s="50" t="s">
        <v>269</v>
      </c>
      <c r="Z19" s="50" t="s">
        <v>269</v>
      </c>
      <c r="AA19" s="50" t="s">
        <v>269</v>
      </c>
      <c r="AB19" s="50" t="s">
        <v>269</v>
      </c>
      <c r="AC19" s="50" t="s">
        <v>269</v>
      </c>
      <c r="AD19" s="50" t="s">
        <v>269</v>
      </c>
      <c r="AE19" s="50" t="s">
        <v>269</v>
      </c>
      <c r="AF19" s="50" t="s">
        <v>269</v>
      </c>
      <c r="AG19" s="50" t="s">
        <v>269</v>
      </c>
      <c r="AH19" s="50" t="s">
        <v>269</v>
      </c>
      <c r="AI19" s="50" t="s">
        <v>269</v>
      </c>
      <c r="AJ19" s="50" t="s">
        <v>269</v>
      </c>
      <c r="AK19" s="50" t="s">
        <v>269</v>
      </c>
      <c r="AL19" s="50" t="s">
        <v>269</v>
      </c>
      <c r="AM19" s="170">
        <v>61</v>
      </c>
      <c r="AN19" s="170">
        <v>65</v>
      </c>
      <c r="AO19" s="170">
        <v>62</v>
      </c>
      <c r="AP19" s="170">
        <v>63</v>
      </c>
      <c r="AQ19" s="170">
        <v>65</v>
      </c>
      <c r="AR19" s="152">
        <f t="shared" si="0"/>
        <v>63.2</v>
      </c>
      <c r="AS19" s="50" t="s">
        <v>269</v>
      </c>
      <c r="AT19" s="50" t="s">
        <v>269</v>
      </c>
    </row>
    <row r="20" spans="1:46" ht="15.75" customHeight="1" x14ac:dyDescent="0.3">
      <c r="A20" s="148" t="s">
        <v>241</v>
      </c>
      <c r="B20" s="72" t="s">
        <v>254</v>
      </c>
      <c r="C20" s="201" t="s">
        <v>132</v>
      </c>
      <c r="D20" s="200" t="s">
        <v>269</v>
      </c>
      <c r="E20" s="200" t="s">
        <v>269</v>
      </c>
      <c r="F20" s="200" t="s">
        <v>269</v>
      </c>
      <c r="G20" s="200" t="s">
        <v>269</v>
      </c>
      <c r="H20" s="200" t="s">
        <v>269</v>
      </c>
      <c r="I20" s="200" t="s">
        <v>269</v>
      </c>
      <c r="J20" s="200" t="s">
        <v>269</v>
      </c>
      <c r="K20" s="200" t="s">
        <v>269</v>
      </c>
      <c r="L20" s="200" t="s">
        <v>269</v>
      </c>
      <c r="M20" s="200" t="s">
        <v>269</v>
      </c>
      <c r="N20" s="50" t="s">
        <v>269</v>
      </c>
      <c r="O20" s="50" t="s">
        <v>269</v>
      </c>
      <c r="P20" s="50" t="s">
        <v>269</v>
      </c>
      <c r="Q20" s="50" t="s">
        <v>269</v>
      </c>
      <c r="R20" s="50" t="s">
        <v>269</v>
      </c>
      <c r="S20" s="50" t="s">
        <v>269</v>
      </c>
      <c r="T20" s="50" t="s">
        <v>269</v>
      </c>
      <c r="U20" s="50" t="s">
        <v>269</v>
      </c>
      <c r="V20" s="200" t="s">
        <v>269</v>
      </c>
      <c r="W20" s="200" t="s">
        <v>269</v>
      </c>
      <c r="X20" s="50" t="s">
        <v>269</v>
      </c>
      <c r="Y20" s="50" t="s">
        <v>269</v>
      </c>
      <c r="Z20" s="50" t="s">
        <v>269</v>
      </c>
      <c r="AA20" s="50" t="s">
        <v>269</v>
      </c>
      <c r="AB20" s="50" t="s">
        <v>269</v>
      </c>
      <c r="AC20" s="50" t="s">
        <v>269</v>
      </c>
      <c r="AD20" s="50" t="s">
        <v>269</v>
      </c>
      <c r="AE20" s="50" t="s">
        <v>269</v>
      </c>
      <c r="AF20" s="50" t="s">
        <v>269</v>
      </c>
      <c r="AG20" s="50" t="s">
        <v>269</v>
      </c>
      <c r="AH20" s="50" t="s">
        <v>269</v>
      </c>
      <c r="AI20" s="50" t="s">
        <v>269</v>
      </c>
      <c r="AJ20" s="50" t="s">
        <v>269</v>
      </c>
      <c r="AK20" s="50" t="s">
        <v>269</v>
      </c>
      <c r="AL20" s="50" t="s">
        <v>269</v>
      </c>
      <c r="AM20" s="170">
        <v>60</v>
      </c>
      <c r="AN20" s="170">
        <v>60</v>
      </c>
      <c r="AO20" s="170">
        <v>61</v>
      </c>
      <c r="AP20" s="170">
        <v>63</v>
      </c>
      <c r="AQ20" s="170">
        <v>64</v>
      </c>
      <c r="AR20" s="152">
        <f t="shared" si="0"/>
        <v>61.6</v>
      </c>
      <c r="AS20" s="50" t="s">
        <v>269</v>
      </c>
      <c r="AT20" s="50" t="s">
        <v>269</v>
      </c>
    </row>
    <row r="21" spans="1:46" ht="15.75" customHeight="1" x14ac:dyDescent="0.3">
      <c r="A21" s="148" t="s">
        <v>241</v>
      </c>
      <c r="B21" s="72" t="s">
        <v>212</v>
      </c>
      <c r="C21" s="201" t="s">
        <v>132</v>
      </c>
      <c r="D21" s="200" t="s">
        <v>269</v>
      </c>
      <c r="E21" s="200" t="s">
        <v>269</v>
      </c>
      <c r="F21" s="200" t="s">
        <v>269</v>
      </c>
      <c r="G21" s="200" t="s">
        <v>269</v>
      </c>
      <c r="H21" s="200" t="s">
        <v>269</v>
      </c>
      <c r="I21" s="200" t="s">
        <v>269</v>
      </c>
      <c r="J21" s="200" t="s">
        <v>269</v>
      </c>
      <c r="K21" s="200" t="s">
        <v>269</v>
      </c>
      <c r="L21" s="200" t="s">
        <v>269</v>
      </c>
      <c r="M21" s="200" t="s">
        <v>269</v>
      </c>
      <c r="N21" s="50" t="s">
        <v>269</v>
      </c>
      <c r="O21" s="50" t="s">
        <v>269</v>
      </c>
      <c r="P21" s="50" t="s">
        <v>269</v>
      </c>
      <c r="Q21" s="50" t="s">
        <v>269</v>
      </c>
      <c r="R21" s="50" t="s">
        <v>269</v>
      </c>
      <c r="S21" s="50" t="s">
        <v>269</v>
      </c>
      <c r="T21" s="50" t="s">
        <v>269</v>
      </c>
      <c r="U21" s="50" t="s">
        <v>269</v>
      </c>
      <c r="V21" s="200" t="s">
        <v>269</v>
      </c>
      <c r="W21" s="200" t="s">
        <v>269</v>
      </c>
      <c r="X21" s="50" t="s">
        <v>269</v>
      </c>
      <c r="Y21" s="50" t="s">
        <v>269</v>
      </c>
      <c r="Z21" s="50" t="s">
        <v>269</v>
      </c>
      <c r="AA21" s="50" t="s">
        <v>269</v>
      </c>
      <c r="AB21" s="50" t="s">
        <v>269</v>
      </c>
      <c r="AC21" s="50" t="s">
        <v>269</v>
      </c>
      <c r="AD21" s="50" t="s">
        <v>269</v>
      </c>
      <c r="AE21" s="50" t="s">
        <v>269</v>
      </c>
      <c r="AF21" s="50" t="s">
        <v>269</v>
      </c>
      <c r="AG21" s="50" t="s">
        <v>269</v>
      </c>
      <c r="AH21" s="50" t="s">
        <v>269</v>
      </c>
      <c r="AI21" s="50" t="s">
        <v>269</v>
      </c>
      <c r="AJ21" s="50" t="s">
        <v>269</v>
      </c>
      <c r="AK21" s="50" t="s">
        <v>269</v>
      </c>
      <c r="AL21" s="50" t="s">
        <v>269</v>
      </c>
      <c r="AM21" s="170">
        <v>62</v>
      </c>
      <c r="AN21" s="170">
        <v>63</v>
      </c>
      <c r="AO21" s="170">
        <v>64</v>
      </c>
      <c r="AP21" s="170">
        <v>65</v>
      </c>
      <c r="AQ21" s="170">
        <v>63</v>
      </c>
      <c r="AR21" s="152">
        <f t="shared" si="0"/>
        <v>63.4</v>
      </c>
      <c r="AS21" s="50" t="s">
        <v>269</v>
      </c>
      <c r="AT21" s="50" t="s">
        <v>269</v>
      </c>
    </row>
    <row r="22" spans="1:46" ht="15.75" customHeight="1" x14ac:dyDescent="0.3">
      <c r="A22" s="148" t="s">
        <v>241</v>
      </c>
      <c r="B22" s="72" t="s">
        <v>206</v>
      </c>
      <c r="C22" s="201" t="s">
        <v>132</v>
      </c>
      <c r="D22" s="200" t="s">
        <v>269</v>
      </c>
      <c r="E22" s="200" t="s">
        <v>269</v>
      </c>
      <c r="F22" s="200" t="s">
        <v>269</v>
      </c>
      <c r="G22" s="200" t="s">
        <v>269</v>
      </c>
      <c r="H22" s="200" t="s">
        <v>269</v>
      </c>
      <c r="I22" s="200" t="s">
        <v>269</v>
      </c>
      <c r="J22" s="200" t="s">
        <v>269</v>
      </c>
      <c r="K22" s="200" t="s">
        <v>269</v>
      </c>
      <c r="L22" s="200" t="s">
        <v>269</v>
      </c>
      <c r="M22" s="200" t="s">
        <v>269</v>
      </c>
      <c r="N22" s="50" t="s">
        <v>269</v>
      </c>
      <c r="O22" s="50" t="s">
        <v>269</v>
      </c>
      <c r="P22" s="50" t="s">
        <v>269</v>
      </c>
      <c r="Q22" s="50" t="s">
        <v>269</v>
      </c>
      <c r="R22" s="50" t="s">
        <v>269</v>
      </c>
      <c r="S22" s="50" t="s">
        <v>269</v>
      </c>
      <c r="T22" s="50" t="s">
        <v>269</v>
      </c>
      <c r="U22" s="50" t="s">
        <v>269</v>
      </c>
      <c r="V22" s="200" t="s">
        <v>269</v>
      </c>
      <c r="W22" s="200" t="s">
        <v>269</v>
      </c>
      <c r="X22" s="50" t="s">
        <v>269</v>
      </c>
      <c r="Y22" s="50" t="s">
        <v>269</v>
      </c>
      <c r="Z22" s="50" t="s">
        <v>269</v>
      </c>
      <c r="AA22" s="50" t="s">
        <v>269</v>
      </c>
      <c r="AB22" s="50" t="s">
        <v>269</v>
      </c>
      <c r="AC22" s="50" t="s">
        <v>269</v>
      </c>
      <c r="AD22" s="50" t="s">
        <v>269</v>
      </c>
      <c r="AE22" s="50" t="s">
        <v>269</v>
      </c>
      <c r="AF22" s="50" t="s">
        <v>269</v>
      </c>
      <c r="AG22" s="50" t="s">
        <v>269</v>
      </c>
      <c r="AH22" s="50" t="s">
        <v>269</v>
      </c>
      <c r="AI22" s="50" t="s">
        <v>269</v>
      </c>
      <c r="AJ22" s="50" t="s">
        <v>269</v>
      </c>
      <c r="AK22" s="50" t="s">
        <v>269</v>
      </c>
      <c r="AL22" s="50" t="s">
        <v>269</v>
      </c>
      <c r="AM22" s="170">
        <v>63</v>
      </c>
      <c r="AN22" s="170">
        <v>64</v>
      </c>
      <c r="AO22" s="170">
        <v>64</v>
      </c>
      <c r="AP22" s="170">
        <v>65</v>
      </c>
      <c r="AQ22" s="170">
        <v>65</v>
      </c>
      <c r="AR22" s="152">
        <f t="shared" si="0"/>
        <v>64.2</v>
      </c>
      <c r="AS22" s="50" t="s">
        <v>269</v>
      </c>
      <c r="AT22" s="50" t="s">
        <v>269</v>
      </c>
    </row>
    <row r="23" spans="1:46" ht="15.75" customHeight="1" x14ac:dyDescent="0.3">
      <c r="A23" s="148" t="s">
        <v>241</v>
      </c>
      <c r="B23" s="72" t="s">
        <v>213</v>
      </c>
      <c r="C23" s="201" t="s">
        <v>132</v>
      </c>
      <c r="D23" s="200" t="s">
        <v>269</v>
      </c>
      <c r="E23" s="200" t="s">
        <v>269</v>
      </c>
      <c r="F23" s="200" t="s">
        <v>269</v>
      </c>
      <c r="G23" s="200" t="s">
        <v>269</v>
      </c>
      <c r="H23" s="200" t="s">
        <v>269</v>
      </c>
      <c r="I23" s="200" t="s">
        <v>269</v>
      </c>
      <c r="J23" s="200" t="s">
        <v>269</v>
      </c>
      <c r="K23" s="200" t="s">
        <v>269</v>
      </c>
      <c r="L23" s="200" t="s">
        <v>269</v>
      </c>
      <c r="M23" s="200" t="s">
        <v>269</v>
      </c>
      <c r="N23" s="50" t="s">
        <v>269</v>
      </c>
      <c r="O23" s="50" t="s">
        <v>269</v>
      </c>
      <c r="P23" s="50" t="s">
        <v>269</v>
      </c>
      <c r="Q23" s="50" t="s">
        <v>269</v>
      </c>
      <c r="R23" s="50" t="s">
        <v>269</v>
      </c>
      <c r="S23" s="50" t="s">
        <v>269</v>
      </c>
      <c r="T23" s="50" t="s">
        <v>269</v>
      </c>
      <c r="U23" s="50" t="s">
        <v>269</v>
      </c>
      <c r="V23" s="200" t="s">
        <v>269</v>
      </c>
      <c r="W23" s="200" t="s">
        <v>269</v>
      </c>
      <c r="X23" s="50" t="s">
        <v>269</v>
      </c>
      <c r="Y23" s="50" t="s">
        <v>269</v>
      </c>
      <c r="Z23" s="50" t="s">
        <v>269</v>
      </c>
      <c r="AA23" s="50" t="s">
        <v>269</v>
      </c>
      <c r="AB23" s="50" t="s">
        <v>269</v>
      </c>
      <c r="AC23" s="50" t="s">
        <v>269</v>
      </c>
      <c r="AD23" s="50" t="s">
        <v>269</v>
      </c>
      <c r="AE23" s="50" t="s">
        <v>269</v>
      </c>
      <c r="AF23" s="50" t="s">
        <v>269</v>
      </c>
      <c r="AG23" s="50" t="s">
        <v>269</v>
      </c>
      <c r="AH23" s="50" t="s">
        <v>269</v>
      </c>
      <c r="AI23" s="50" t="s">
        <v>269</v>
      </c>
      <c r="AJ23" s="50" t="s">
        <v>269</v>
      </c>
      <c r="AK23" s="50" t="s">
        <v>269</v>
      </c>
      <c r="AL23" s="50" t="s">
        <v>269</v>
      </c>
      <c r="AM23" s="170">
        <v>63</v>
      </c>
      <c r="AN23" s="170">
        <v>62</v>
      </c>
      <c r="AO23" s="170">
        <v>63</v>
      </c>
      <c r="AP23" s="170">
        <v>62</v>
      </c>
      <c r="AQ23" s="170">
        <v>66</v>
      </c>
      <c r="AR23" s="152">
        <f t="shared" si="0"/>
        <v>63.2</v>
      </c>
      <c r="AS23" s="50" t="s">
        <v>269</v>
      </c>
      <c r="AT23" s="50" t="s">
        <v>269</v>
      </c>
    </row>
    <row r="24" spans="1:46" ht="15.75" customHeight="1" x14ac:dyDescent="0.3">
      <c r="A24" s="148" t="s">
        <v>241</v>
      </c>
      <c r="B24" s="72" t="s">
        <v>214</v>
      </c>
      <c r="C24" s="201" t="s">
        <v>132</v>
      </c>
      <c r="D24" s="200" t="s">
        <v>269</v>
      </c>
      <c r="E24" s="200" t="s">
        <v>269</v>
      </c>
      <c r="F24" s="200" t="s">
        <v>269</v>
      </c>
      <c r="G24" s="200" t="s">
        <v>269</v>
      </c>
      <c r="H24" s="200" t="s">
        <v>269</v>
      </c>
      <c r="I24" s="200" t="s">
        <v>269</v>
      </c>
      <c r="J24" s="200" t="s">
        <v>269</v>
      </c>
      <c r="K24" s="200" t="s">
        <v>269</v>
      </c>
      <c r="L24" s="200" t="s">
        <v>269</v>
      </c>
      <c r="M24" s="200" t="s">
        <v>269</v>
      </c>
      <c r="N24" s="50" t="s">
        <v>269</v>
      </c>
      <c r="O24" s="50" t="s">
        <v>269</v>
      </c>
      <c r="P24" s="50" t="s">
        <v>269</v>
      </c>
      <c r="Q24" s="50" t="s">
        <v>269</v>
      </c>
      <c r="R24" s="50" t="s">
        <v>269</v>
      </c>
      <c r="S24" s="50" t="s">
        <v>269</v>
      </c>
      <c r="T24" s="50" t="s">
        <v>269</v>
      </c>
      <c r="U24" s="50" t="s">
        <v>269</v>
      </c>
      <c r="V24" s="200" t="s">
        <v>269</v>
      </c>
      <c r="W24" s="200" t="s">
        <v>269</v>
      </c>
      <c r="X24" s="50" t="s">
        <v>269</v>
      </c>
      <c r="Y24" s="50" t="s">
        <v>269</v>
      </c>
      <c r="Z24" s="50" t="s">
        <v>269</v>
      </c>
      <c r="AA24" s="50" t="s">
        <v>269</v>
      </c>
      <c r="AB24" s="50" t="s">
        <v>269</v>
      </c>
      <c r="AC24" s="50" t="s">
        <v>269</v>
      </c>
      <c r="AD24" s="50" t="s">
        <v>269</v>
      </c>
      <c r="AE24" s="50" t="s">
        <v>269</v>
      </c>
      <c r="AF24" s="50" t="s">
        <v>269</v>
      </c>
      <c r="AG24" s="50" t="s">
        <v>269</v>
      </c>
      <c r="AH24" s="50" t="s">
        <v>269</v>
      </c>
      <c r="AI24" s="50" t="s">
        <v>269</v>
      </c>
      <c r="AJ24" s="50" t="s">
        <v>269</v>
      </c>
      <c r="AK24" s="50" t="s">
        <v>269</v>
      </c>
      <c r="AL24" s="50" t="s">
        <v>269</v>
      </c>
      <c r="AM24" s="170">
        <v>66</v>
      </c>
      <c r="AN24" s="170">
        <v>63</v>
      </c>
      <c r="AO24" s="170">
        <v>66</v>
      </c>
      <c r="AP24" s="170">
        <v>64</v>
      </c>
      <c r="AQ24" s="170">
        <v>62</v>
      </c>
      <c r="AR24" s="152">
        <f t="shared" si="0"/>
        <v>64.2</v>
      </c>
      <c r="AS24" s="50" t="s">
        <v>269</v>
      </c>
      <c r="AT24" s="50" t="s">
        <v>269</v>
      </c>
    </row>
    <row r="25" spans="1:46" ht="15.75" customHeight="1" x14ac:dyDescent="0.3">
      <c r="A25" s="148" t="s">
        <v>241</v>
      </c>
      <c r="B25" s="72" t="s">
        <v>231</v>
      </c>
      <c r="C25" s="201" t="s">
        <v>132</v>
      </c>
      <c r="D25" s="200" t="s">
        <v>269</v>
      </c>
      <c r="E25" s="200" t="s">
        <v>269</v>
      </c>
      <c r="F25" s="200" t="s">
        <v>269</v>
      </c>
      <c r="G25" s="200" t="s">
        <v>269</v>
      </c>
      <c r="H25" s="200" t="s">
        <v>269</v>
      </c>
      <c r="I25" s="200" t="s">
        <v>269</v>
      </c>
      <c r="J25" s="200" t="s">
        <v>269</v>
      </c>
      <c r="K25" s="200" t="s">
        <v>269</v>
      </c>
      <c r="L25" s="200" t="s">
        <v>269</v>
      </c>
      <c r="M25" s="200" t="s">
        <v>269</v>
      </c>
      <c r="N25" s="50" t="s">
        <v>269</v>
      </c>
      <c r="O25" s="50" t="s">
        <v>269</v>
      </c>
      <c r="P25" s="50" t="s">
        <v>269</v>
      </c>
      <c r="Q25" s="50" t="s">
        <v>269</v>
      </c>
      <c r="R25" s="50" t="s">
        <v>269</v>
      </c>
      <c r="S25" s="50" t="s">
        <v>269</v>
      </c>
      <c r="T25" s="50" t="s">
        <v>269</v>
      </c>
      <c r="U25" s="50" t="s">
        <v>269</v>
      </c>
      <c r="V25" s="200" t="s">
        <v>269</v>
      </c>
      <c r="W25" s="200" t="s">
        <v>269</v>
      </c>
      <c r="X25" s="50" t="s">
        <v>269</v>
      </c>
      <c r="Y25" s="50" t="s">
        <v>269</v>
      </c>
      <c r="Z25" s="50" t="s">
        <v>269</v>
      </c>
      <c r="AA25" s="50" t="s">
        <v>269</v>
      </c>
      <c r="AB25" s="50" t="s">
        <v>269</v>
      </c>
      <c r="AC25" s="50" t="s">
        <v>269</v>
      </c>
      <c r="AD25" s="50" t="s">
        <v>269</v>
      </c>
      <c r="AE25" s="50" t="s">
        <v>269</v>
      </c>
      <c r="AF25" s="50" t="s">
        <v>269</v>
      </c>
      <c r="AG25" s="50" t="s">
        <v>269</v>
      </c>
      <c r="AH25" s="50" t="s">
        <v>269</v>
      </c>
      <c r="AI25" s="50" t="s">
        <v>269</v>
      </c>
      <c r="AJ25" s="50" t="s">
        <v>269</v>
      </c>
      <c r="AK25" s="50" t="s">
        <v>269</v>
      </c>
      <c r="AL25" s="50" t="s">
        <v>269</v>
      </c>
      <c r="AM25" s="170">
        <v>64</v>
      </c>
      <c r="AN25" s="170">
        <v>63</v>
      </c>
      <c r="AO25" s="170">
        <v>65</v>
      </c>
      <c r="AP25" s="170">
        <v>64</v>
      </c>
      <c r="AQ25" s="170">
        <v>65</v>
      </c>
      <c r="AR25" s="152">
        <f t="shared" si="0"/>
        <v>64.2</v>
      </c>
      <c r="AS25" s="50" t="s">
        <v>269</v>
      </c>
      <c r="AT25" s="50" t="s">
        <v>269</v>
      </c>
    </row>
    <row r="26" spans="1:46" ht="15.75" customHeight="1" x14ac:dyDescent="0.3">
      <c r="A26" s="148" t="s">
        <v>241</v>
      </c>
      <c r="B26" s="72" t="s">
        <v>310</v>
      </c>
      <c r="C26" s="201" t="s">
        <v>132</v>
      </c>
      <c r="D26" s="200" t="s">
        <v>269</v>
      </c>
      <c r="E26" s="200" t="s">
        <v>269</v>
      </c>
      <c r="F26" s="200" t="s">
        <v>269</v>
      </c>
      <c r="G26" s="200" t="s">
        <v>269</v>
      </c>
      <c r="H26" s="200" t="s">
        <v>269</v>
      </c>
      <c r="I26" s="200" t="s">
        <v>269</v>
      </c>
      <c r="J26" s="200" t="s">
        <v>269</v>
      </c>
      <c r="K26" s="200" t="s">
        <v>269</v>
      </c>
      <c r="L26" s="200" t="s">
        <v>269</v>
      </c>
      <c r="M26" s="200" t="s">
        <v>269</v>
      </c>
      <c r="N26" s="50" t="s">
        <v>269</v>
      </c>
      <c r="O26" s="50" t="s">
        <v>269</v>
      </c>
      <c r="P26" s="50" t="s">
        <v>269</v>
      </c>
      <c r="Q26" s="50" t="s">
        <v>269</v>
      </c>
      <c r="R26" s="50" t="s">
        <v>269</v>
      </c>
      <c r="S26" s="50" t="s">
        <v>269</v>
      </c>
      <c r="T26" s="50" t="s">
        <v>269</v>
      </c>
      <c r="U26" s="50" t="s">
        <v>269</v>
      </c>
      <c r="V26" s="200" t="s">
        <v>269</v>
      </c>
      <c r="W26" s="200" t="s">
        <v>269</v>
      </c>
      <c r="X26" s="50" t="s">
        <v>269</v>
      </c>
      <c r="Y26" s="50" t="s">
        <v>269</v>
      </c>
      <c r="Z26" s="50" t="s">
        <v>269</v>
      </c>
      <c r="AA26" s="50" t="s">
        <v>269</v>
      </c>
      <c r="AB26" s="50" t="s">
        <v>269</v>
      </c>
      <c r="AC26" s="50" t="s">
        <v>269</v>
      </c>
      <c r="AD26" s="50" t="s">
        <v>269</v>
      </c>
      <c r="AE26" s="50" t="s">
        <v>269</v>
      </c>
      <c r="AF26" s="50" t="s">
        <v>269</v>
      </c>
      <c r="AG26" s="50" t="s">
        <v>269</v>
      </c>
      <c r="AH26" s="50" t="s">
        <v>269</v>
      </c>
      <c r="AI26" s="50" t="s">
        <v>269</v>
      </c>
      <c r="AJ26" s="50" t="s">
        <v>269</v>
      </c>
      <c r="AK26" s="50" t="s">
        <v>269</v>
      </c>
      <c r="AL26" s="50" t="s">
        <v>269</v>
      </c>
      <c r="AM26" s="170">
        <v>67</v>
      </c>
      <c r="AN26" s="170">
        <v>62</v>
      </c>
      <c r="AO26" s="170">
        <v>63</v>
      </c>
      <c r="AP26" s="170">
        <v>64</v>
      </c>
      <c r="AQ26" s="170">
        <v>65</v>
      </c>
      <c r="AR26" s="152">
        <f>AVERAGE(AM26:AQ26)</f>
        <v>64.2</v>
      </c>
      <c r="AS26" s="50" t="s">
        <v>269</v>
      </c>
      <c r="AT26" s="50" t="s">
        <v>269</v>
      </c>
    </row>
    <row r="27" spans="1:46" ht="15.75" customHeight="1" x14ac:dyDescent="0.3">
      <c r="A27" s="148" t="s">
        <v>241</v>
      </c>
      <c r="B27" s="72" t="s">
        <v>309</v>
      </c>
      <c r="C27" s="201" t="s">
        <v>132</v>
      </c>
      <c r="D27" s="200" t="s">
        <v>269</v>
      </c>
      <c r="E27" s="200" t="s">
        <v>269</v>
      </c>
      <c r="F27" s="200" t="s">
        <v>269</v>
      </c>
      <c r="G27" s="200" t="s">
        <v>269</v>
      </c>
      <c r="H27" s="200" t="s">
        <v>269</v>
      </c>
      <c r="I27" s="200" t="s">
        <v>269</v>
      </c>
      <c r="J27" s="200" t="s">
        <v>269</v>
      </c>
      <c r="K27" s="200" t="s">
        <v>269</v>
      </c>
      <c r="L27" s="200" t="s">
        <v>269</v>
      </c>
      <c r="M27" s="200" t="s">
        <v>269</v>
      </c>
      <c r="N27" s="50" t="s">
        <v>269</v>
      </c>
      <c r="O27" s="50" t="s">
        <v>269</v>
      </c>
      <c r="P27" s="50" t="s">
        <v>269</v>
      </c>
      <c r="Q27" s="50" t="s">
        <v>269</v>
      </c>
      <c r="R27" s="50" t="s">
        <v>269</v>
      </c>
      <c r="S27" s="50" t="s">
        <v>269</v>
      </c>
      <c r="T27" s="50" t="s">
        <v>269</v>
      </c>
      <c r="U27" s="50" t="s">
        <v>269</v>
      </c>
      <c r="V27" s="200" t="s">
        <v>269</v>
      </c>
      <c r="W27" s="200" t="s">
        <v>269</v>
      </c>
      <c r="X27" s="50" t="s">
        <v>269</v>
      </c>
      <c r="Y27" s="50" t="s">
        <v>269</v>
      </c>
      <c r="Z27" s="50" t="s">
        <v>269</v>
      </c>
      <c r="AA27" s="50" t="s">
        <v>269</v>
      </c>
      <c r="AB27" s="50" t="s">
        <v>269</v>
      </c>
      <c r="AC27" s="50" t="s">
        <v>269</v>
      </c>
      <c r="AD27" s="50" t="s">
        <v>269</v>
      </c>
      <c r="AE27" s="50" t="s">
        <v>269</v>
      </c>
      <c r="AF27" s="50" t="s">
        <v>269</v>
      </c>
      <c r="AG27" s="50" t="s">
        <v>269</v>
      </c>
      <c r="AH27" s="50" t="s">
        <v>269</v>
      </c>
      <c r="AI27" s="50" t="s">
        <v>269</v>
      </c>
      <c r="AJ27" s="50" t="s">
        <v>269</v>
      </c>
      <c r="AK27" s="50" t="s">
        <v>269</v>
      </c>
      <c r="AL27" s="50" t="s">
        <v>269</v>
      </c>
      <c r="AM27" s="170">
        <v>65</v>
      </c>
      <c r="AN27" s="170">
        <v>62</v>
      </c>
      <c r="AO27" s="170">
        <v>60</v>
      </c>
      <c r="AP27" s="170">
        <v>63</v>
      </c>
      <c r="AQ27" s="170">
        <v>66</v>
      </c>
      <c r="AR27" s="152">
        <f t="shared" si="0"/>
        <v>63.2</v>
      </c>
      <c r="AS27" s="50" t="s">
        <v>269</v>
      </c>
      <c r="AT27" s="50" t="s">
        <v>269</v>
      </c>
    </row>
    <row r="28" spans="1:46" ht="15.75" customHeight="1" x14ac:dyDescent="0.3">
      <c r="A28" s="148" t="s">
        <v>241</v>
      </c>
      <c r="B28" s="72" t="s">
        <v>215</v>
      </c>
      <c r="C28" s="201" t="s">
        <v>132</v>
      </c>
      <c r="D28" s="200" t="s">
        <v>269</v>
      </c>
      <c r="E28" s="200" t="s">
        <v>269</v>
      </c>
      <c r="F28" s="200" t="s">
        <v>269</v>
      </c>
      <c r="G28" s="200" t="s">
        <v>269</v>
      </c>
      <c r="H28" s="200" t="s">
        <v>269</v>
      </c>
      <c r="I28" s="200" t="s">
        <v>269</v>
      </c>
      <c r="J28" s="200" t="s">
        <v>269</v>
      </c>
      <c r="K28" s="200" t="s">
        <v>269</v>
      </c>
      <c r="L28" s="200" t="s">
        <v>269</v>
      </c>
      <c r="M28" s="200" t="s">
        <v>269</v>
      </c>
      <c r="N28" s="200" t="s">
        <v>269</v>
      </c>
      <c r="O28" s="200" t="s">
        <v>269</v>
      </c>
      <c r="P28" s="200" t="s">
        <v>269</v>
      </c>
      <c r="Q28" s="200" t="s">
        <v>269</v>
      </c>
      <c r="R28" s="200" t="s">
        <v>269</v>
      </c>
      <c r="S28" s="200" t="s">
        <v>269</v>
      </c>
      <c r="T28" s="200" t="s">
        <v>269</v>
      </c>
      <c r="U28" s="200" t="s">
        <v>269</v>
      </c>
      <c r="V28" s="200" t="s">
        <v>269</v>
      </c>
      <c r="W28" s="200" t="s">
        <v>269</v>
      </c>
      <c r="X28" s="200" t="s">
        <v>269</v>
      </c>
      <c r="Y28" s="200" t="s">
        <v>269</v>
      </c>
      <c r="Z28" s="200" t="s">
        <v>269</v>
      </c>
      <c r="AA28" s="200" t="s">
        <v>269</v>
      </c>
      <c r="AB28" s="200" t="s">
        <v>269</v>
      </c>
      <c r="AC28" s="200" t="s">
        <v>269</v>
      </c>
      <c r="AD28" s="200" t="s">
        <v>269</v>
      </c>
      <c r="AE28" s="200" t="s">
        <v>269</v>
      </c>
      <c r="AF28" s="200" t="s">
        <v>269</v>
      </c>
      <c r="AG28" s="200" t="s">
        <v>269</v>
      </c>
      <c r="AH28" s="200" t="s">
        <v>269</v>
      </c>
      <c r="AI28" s="200" t="s">
        <v>269</v>
      </c>
      <c r="AJ28" s="200" t="s">
        <v>269</v>
      </c>
      <c r="AK28" s="200" t="s">
        <v>269</v>
      </c>
      <c r="AL28" s="200" t="s">
        <v>269</v>
      </c>
      <c r="AM28" s="170">
        <v>68</v>
      </c>
      <c r="AN28" s="170">
        <v>68</v>
      </c>
      <c r="AO28" s="170">
        <v>67</v>
      </c>
      <c r="AP28" s="170">
        <v>69</v>
      </c>
      <c r="AQ28" s="170">
        <v>67</v>
      </c>
      <c r="AR28" s="165">
        <f t="shared" ref="AR28:AR36" si="1">AVERAGE(AM28:AQ28)</f>
        <v>67.8</v>
      </c>
      <c r="AS28" s="50" t="s">
        <v>269</v>
      </c>
      <c r="AT28" s="50" t="s">
        <v>269</v>
      </c>
    </row>
    <row r="29" spans="1:46" ht="15.75" customHeight="1" x14ac:dyDescent="0.3">
      <c r="A29" s="148" t="s">
        <v>241</v>
      </c>
      <c r="B29" s="72" t="s">
        <v>250</v>
      </c>
      <c r="C29" s="201" t="s">
        <v>132</v>
      </c>
      <c r="D29" s="200" t="s">
        <v>269</v>
      </c>
      <c r="E29" s="200" t="s">
        <v>269</v>
      </c>
      <c r="F29" s="200" t="s">
        <v>269</v>
      </c>
      <c r="G29" s="200" t="s">
        <v>269</v>
      </c>
      <c r="H29" s="200" t="s">
        <v>269</v>
      </c>
      <c r="I29" s="200" t="s">
        <v>269</v>
      </c>
      <c r="J29" s="200" t="s">
        <v>269</v>
      </c>
      <c r="K29" s="200" t="s">
        <v>269</v>
      </c>
      <c r="L29" s="200" t="s">
        <v>269</v>
      </c>
      <c r="M29" s="200" t="s">
        <v>269</v>
      </c>
      <c r="N29" s="200" t="s">
        <v>269</v>
      </c>
      <c r="O29" s="200" t="s">
        <v>269</v>
      </c>
      <c r="P29" s="200" t="s">
        <v>269</v>
      </c>
      <c r="Q29" s="200" t="s">
        <v>269</v>
      </c>
      <c r="R29" s="200" t="s">
        <v>269</v>
      </c>
      <c r="S29" s="200" t="s">
        <v>269</v>
      </c>
      <c r="T29" s="200" t="s">
        <v>269</v>
      </c>
      <c r="U29" s="200" t="s">
        <v>269</v>
      </c>
      <c r="V29" s="200" t="s">
        <v>269</v>
      </c>
      <c r="W29" s="200" t="s">
        <v>269</v>
      </c>
      <c r="X29" s="200" t="s">
        <v>269</v>
      </c>
      <c r="Y29" s="200" t="s">
        <v>269</v>
      </c>
      <c r="Z29" s="200" t="s">
        <v>269</v>
      </c>
      <c r="AA29" s="200" t="s">
        <v>269</v>
      </c>
      <c r="AB29" s="200" t="s">
        <v>269</v>
      </c>
      <c r="AC29" s="200" t="s">
        <v>269</v>
      </c>
      <c r="AD29" s="200" t="s">
        <v>269</v>
      </c>
      <c r="AE29" s="200" t="s">
        <v>269</v>
      </c>
      <c r="AF29" s="200" t="s">
        <v>269</v>
      </c>
      <c r="AG29" s="200" t="s">
        <v>269</v>
      </c>
      <c r="AH29" s="200" t="s">
        <v>269</v>
      </c>
      <c r="AI29" s="200" t="s">
        <v>269</v>
      </c>
      <c r="AJ29" s="200" t="s">
        <v>269</v>
      </c>
      <c r="AK29" s="200" t="s">
        <v>269</v>
      </c>
      <c r="AL29" s="200" t="s">
        <v>269</v>
      </c>
      <c r="AM29" s="170">
        <v>69</v>
      </c>
      <c r="AN29" s="170">
        <v>68</v>
      </c>
      <c r="AO29" s="170">
        <v>66</v>
      </c>
      <c r="AP29" s="170">
        <v>68</v>
      </c>
      <c r="AQ29" s="170">
        <v>67</v>
      </c>
      <c r="AR29" s="165">
        <f t="shared" si="1"/>
        <v>67.599999999999994</v>
      </c>
      <c r="AS29" s="50" t="s">
        <v>269</v>
      </c>
      <c r="AT29" s="50" t="s">
        <v>269</v>
      </c>
    </row>
    <row r="30" spans="1:46" ht="15.75" customHeight="1" x14ac:dyDescent="0.3">
      <c r="A30" s="148" t="s">
        <v>241</v>
      </c>
      <c r="B30" s="72" t="s">
        <v>225</v>
      </c>
      <c r="C30" s="201" t="s">
        <v>132</v>
      </c>
      <c r="D30" s="200" t="s">
        <v>269</v>
      </c>
      <c r="E30" s="200" t="s">
        <v>269</v>
      </c>
      <c r="F30" s="200" t="s">
        <v>269</v>
      </c>
      <c r="G30" s="200" t="s">
        <v>269</v>
      </c>
      <c r="H30" s="200" t="s">
        <v>269</v>
      </c>
      <c r="I30" s="200" t="s">
        <v>269</v>
      </c>
      <c r="J30" s="200" t="s">
        <v>269</v>
      </c>
      <c r="K30" s="200" t="s">
        <v>269</v>
      </c>
      <c r="L30" s="200" t="s">
        <v>269</v>
      </c>
      <c r="M30" s="200" t="s">
        <v>269</v>
      </c>
      <c r="N30" s="200" t="s">
        <v>269</v>
      </c>
      <c r="O30" s="200" t="s">
        <v>269</v>
      </c>
      <c r="P30" s="200" t="s">
        <v>269</v>
      </c>
      <c r="Q30" s="200" t="s">
        <v>269</v>
      </c>
      <c r="R30" s="200" t="s">
        <v>269</v>
      </c>
      <c r="S30" s="200" t="s">
        <v>269</v>
      </c>
      <c r="T30" s="200" t="s">
        <v>269</v>
      </c>
      <c r="U30" s="200" t="s">
        <v>269</v>
      </c>
      <c r="V30" s="200" t="s">
        <v>269</v>
      </c>
      <c r="W30" s="200" t="s">
        <v>269</v>
      </c>
      <c r="X30" s="200" t="s">
        <v>269</v>
      </c>
      <c r="Y30" s="200" t="s">
        <v>269</v>
      </c>
      <c r="Z30" s="200" t="s">
        <v>269</v>
      </c>
      <c r="AA30" s="200" t="s">
        <v>269</v>
      </c>
      <c r="AB30" s="200" t="s">
        <v>269</v>
      </c>
      <c r="AC30" s="200" t="s">
        <v>269</v>
      </c>
      <c r="AD30" s="200" t="s">
        <v>269</v>
      </c>
      <c r="AE30" s="200" t="s">
        <v>269</v>
      </c>
      <c r="AF30" s="200" t="s">
        <v>269</v>
      </c>
      <c r="AG30" s="200" t="s">
        <v>269</v>
      </c>
      <c r="AH30" s="200" t="s">
        <v>269</v>
      </c>
      <c r="AI30" s="200" t="s">
        <v>269</v>
      </c>
      <c r="AJ30" s="200" t="s">
        <v>269</v>
      </c>
      <c r="AK30" s="200" t="s">
        <v>269</v>
      </c>
      <c r="AL30" s="200" t="s">
        <v>269</v>
      </c>
      <c r="AM30" s="170">
        <v>66</v>
      </c>
      <c r="AN30" s="170">
        <v>67</v>
      </c>
      <c r="AO30" s="170">
        <v>67</v>
      </c>
      <c r="AP30" s="170">
        <v>68</v>
      </c>
      <c r="AQ30" s="170">
        <v>66</v>
      </c>
      <c r="AR30" s="165">
        <f t="shared" si="1"/>
        <v>66.8</v>
      </c>
      <c r="AS30" s="50" t="s">
        <v>269</v>
      </c>
      <c r="AT30" s="50" t="s">
        <v>269</v>
      </c>
    </row>
    <row r="31" spans="1:46" ht="15.75" customHeight="1" x14ac:dyDescent="0.3">
      <c r="A31" s="148" t="s">
        <v>241</v>
      </c>
      <c r="B31" s="72" t="s">
        <v>222</v>
      </c>
      <c r="C31" s="201" t="s">
        <v>132</v>
      </c>
      <c r="D31" s="200" t="s">
        <v>269</v>
      </c>
      <c r="E31" s="200" t="s">
        <v>269</v>
      </c>
      <c r="F31" s="200" t="s">
        <v>269</v>
      </c>
      <c r="G31" s="200" t="s">
        <v>269</v>
      </c>
      <c r="H31" s="200" t="s">
        <v>269</v>
      </c>
      <c r="I31" s="200" t="s">
        <v>269</v>
      </c>
      <c r="J31" s="200" t="s">
        <v>269</v>
      </c>
      <c r="K31" s="200" t="s">
        <v>269</v>
      </c>
      <c r="L31" s="200" t="s">
        <v>269</v>
      </c>
      <c r="M31" s="200" t="s">
        <v>269</v>
      </c>
      <c r="N31" s="200" t="s">
        <v>269</v>
      </c>
      <c r="O31" s="200" t="s">
        <v>269</v>
      </c>
      <c r="P31" s="200" t="s">
        <v>269</v>
      </c>
      <c r="Q31" s="200" t="s">
        <v>269</v>
      </c>
      <c r="R31" s="200" t="s">
        <v>269</v>
      </c>
      <c r="S31" s="200" t="s">
        <v>269</v>
      </c>
      <c r="T31" s="200" t="s">
        <v>269</v>
      </c>
      <c r="U31" s="200" t="s">
        <v>269</v>
      </c>
      <c r="V31" s="200" t="s">
        <v>269</v>
      </c>
      <c r="W31" s="200" t="s">
        <v>269</v>
      </c>
      <c r="X31" s="200" t="s">
        <v>269</v>
      </c>
      <c r="Y31" s="200" t="s">
        <v>269</v>
      </c>
      <c r="Z31" s="200" t="s">
        <v>269</v>
      </c>
      <c r="AA31" s="200" t="s">
        <v>269</v>
      </c>
      <c r="AB31" s="200" t="s">
        <v>269</v>
      </c>
      <c r="AC31" s="200" t="s">
        <v>269</v>
      </c>
      <c r="AD31" s="200" t="s">
        <v>269</v>
      </c>
      <c r="AE31" s="200" t="s">
        <v>269</v>
      </c>
      <c r="AF31" s="200" t="s">
        <v>269</v>
      </c>
      <c r="AG31" s="200" t="s">
        <v>269</v>
      </c>
      <c r="AH31" s="200" t="s">
        <v>269</v>
      </c>
      <c r="AI31" s="200" t="s">
        <v>269</v>
      </c>
      <c r="AJ31" s="200" t="s">
        <v>269</v>
      </c>
      <c r="AK31" s="200" t="s">
        <v>269</v>
      </c>
      <c r="AL31" s="200" t="s">
        <v>269</v>
      </c>
      <c r="AM31" s="170">
        <v>68</v>
      </c>
      <c r="AN31" s="170">
        <v>67</v>
      </c>
      <c r="AO31" s="170">
        <v>66</v>
      </c>
      <c r="AP31" s="170">
        <v>65</v>
      </c>
      <c r="AQ31" s="170">
        <v>66</v>
      </c>
      <c r="AR31" s="165">
        <f t="shared" si="1"/>
        <v>66.400000000000006</v>
      </c>
      <c r="AS31" s="50" t="s">
        <v>269</v>
      </c>
      <c r="AT31" s="50" t="s">
        <v>269</v>
      </c>
    </row>
    <row r="32" spans="1:46" ht="15.75" customHeight="1" x14ac:dyDescent="0.3">
      <c r="A32" s="148" t="s">
        <v>241</v>
      </c>
      <c r="B32" s="72" t="s">
        <v>216</v>
      </c>
      <c r="C32" s="201" t="s">
        <v>132</v>
      </c>
      <c r="D32" s="200" t="s">
        <v>269</v>
      </c>
      <c r="E32" s="200" t="s">
        <v>269</v>
      </c>
      <c r="F32" s="200" t="s">
        <v>269</v>
      </c>
      <c r="G32" s="200" t="s">
        <v>269</v>
      </c>
      <c r="H32" s="200" t="s">
        <v>269</v>
      </c>
      <c r="I32" s="200" t="s">
        <v>269</v>
      </c>
      <c r="J32" s="200" t="s">
        <v>269</v>
      </c>
      <c r="K32" s="200" t="s">
        <v>269</v>
      </c>
      <c r="L32" s="200" t="s">
        <v>269</v>
      </c>
      <c r="M32" s="200" t="s">
        <v>269</v>
      </c>
      <c r="N32" s="200" t="s">
        <v>269</v>
      </c>
      <c r="O32" s="200" t="s">
        <v>269</v>
      </c>
      <c r="P32" s="200" t="s">
        <v>269</v>
      </c>
      <c r="Q32" s="200" t="s">
        <v>269</v>
      </c>
      <c r="R32" s="200" t="s">
        <v>269</v>
      </c>
      <c r="S32" s="200" t="s">
        <v>269</v>
      </c>
      <c r="T32" s="200" t="s">
        <v>269</v>
      </c>
      <c r="U32" s="200" t="s">
        <v>269</v>
      </c>
      <c r="V32" s="200" t="s">
        <v>269</v>
      </c>
      <c r="W32" s="200" t="s">
        <v>269</v>
      </c>
      <c r="X32" s="200" t="s">
        <v>269</v>
      </c>
      <c r="Y32" s="200" t="s">
        <v>269</v>
      </c>
      <c r="Z32" s="200" t="s">
        <v>269</v>
      </c>
      <c r="AA32" s="200" t="s">
        <v>269</v>
      </c>
      <c r="AB32" s="200" t="s">
        <v>269</v>
      </c>
      <c r="AC32" s="200" t="s">
        <v>269</v>
      </c>
      <c r="AD32" s="200" t="s">
        <v>269</v>
      </c>
      <c r="AE32" s="200" t="s">
        <v>269</v>
      </c>
      <c r="AF32" s="200" t="s">
        <v>269</v>
      </c>
      <c r="AG32" s="200" t="s">
        <v>269</v>
      </c>
      <c r="AH32" s="200" t="s">
        <v>269</v>
      </c>
      <c r="AI32" s="200" t="s">
        <v>269</v>
      </c>
      <c r="AJ32" s="200" t="s">
        <v>269</v>
      </c>
      <c r="AK32" s="200" t="s">
        <v>269</v>
      </c>
      <c r="AL32" s="200" t="s">
        <v>269</v>
      </c>
      <c r="AM32" s="170">
        <v>66</v>
      </c>
      <c r="AN32" s="170">
        <v>67</v>
      </c>
      <c r="AO32" s="170">
        <v>68</v>
      </c>
      <c r="AP32" s="170">
        <v>68</v>
      </c>
      <c r="AQ32" s="170">
        <v>66</v>
      </c>
      <c r="AR32" s="165">
        <f t="shared" si="1"/>
        <v>67</v>
      </c>
      <c r="AS32" s="50" t="s">
        <v>269</v>
      </c>
      <c r="AT32" s="50" t="s">
        <v>269</v>
      </c>
    </row>
    <row r="33" spans="1:46" ht="15.75" customHeight="1" x14ac:dyDescent="0.3">
      <c r="A33" s="148" t="s">
        <v>241</v>
      </c>
      <c r="B33" s="72" t="s">
        <v>244</v>
      </c>
      <c r="C33" s="201" t="s">
        <v>132</v>
      </c>
      <c r="D33" s="200" t="s">
        <v>269</v>
      </c>
      <c r="E33" s="200" t="s">
        <v>269</v>
      </c>
      <c r="F33" s="200" t="s">
        <v>269</v>
      </c>
      <c r="G33" s="200" t="s">
        <v>269</v>
      </c>
      <c r="H33" s="200" t="s">
        <v>269</v>
      </c>
      <c r="I33" s="200" t="s">
        <v>269</v>
      </c>
      <c r="J33" s="200" t="s">
        <v>269</v>
      </c>
      <c r="K33" s="200" t="s">
        <v>269</v>
      </c>
      <c r="L33" s="200" t="s">
        <v>269</v>
      </c>
      <c r="M33" s="200" t="s">
        <v>269</v>
      </c>
      <c r="N33" s="200" t="s">
        <v>269</v>
      </c>
      <c r="O33" s="200" t="s">
        <v>269</v>
      </c>
      <c r="P33" s="200" t="s">
        <v>269</v>
      </c>
      <c r="Q33" s="200" t="s">
        <v>269</v>
      </c>
      <c r="R33" s="200" t="s">
        <v>269</v>
      </c>
      <c r="S33" s="200" t="s">
        <v>269</v>
      </c>
      <c r="T33" s="200" t="s">
        <v>269</v>
      </c>
      <c r="U33" s="200" t="s">
        <v>269</v>
      </c>
      <c r="V33" s="200" t="s">
        <v>269</v>
      </c>
      <c r="W33" s="200" t="s">
        <v>269</v>
      </c>
      <c r="X33" s="200" t="s">
        <v>269</v>
      </c>
      <c r="Y33" s="200" t="s">
        <v>269</v>
      </c>
      <c r="Z33" s="200" t="s">
        <v>269</v>
      </c>
      <c r="AA33" s="200" t="s">
        <v>269</v>
      </c>
      <c r="AB33" s="200" t="s">
        <v>269</v>
      </c>
      <c r="AC33" s="200" t="s">
        <v>269</v>
      </c>
      <c r="AD33" s="200" t="s">
        <v>269</v>
      </c>
      <c r="AE33" s="200" t="s">
        <v>269</v>
      </c>
      <c r="AF33" s="200" t="s">
        <v>269</v>
      </c>
      <c r="AG33" s="200" t="s">
        <v>269</v>
      </c>
      <c r="AH33" s="200" t="s">
        <v>269</v>
      </c>
      <c r="AI33" s="200" t="s">
        <v>269</v>
      </c>
      <c r="AJ33" s="200" t="s">
        <v>269</v>
      </c>
      <c r="AK33" s="200" t="s">
        <v>269</v>
      </c>
      <c r="AL33" s="200" t="s">
        <v>269</v>
      </c>
      <c r="AM33" s="170">
        <v>65</v>
      </c>
      <c r="AN33" s="170">
        <v>64</v>
      </c>
      <c r="AO33" s="170">
        <v>66</v>
      </c>
      <c r="AP33" s="170">
        <v>66</v>
      </c>
      <c r="AQ33" s="170">
        <v>67</v>
      </c>
      <c r="AR33" s="165">
        <f t="shared" si="1"/>
        <v>65.599999999999994</v>
      </c>
      <c r="AS33" s="50" t="s">
        <v>269</v>
      </c>
      <c r="AT33" s="50" t="s">
        <v>269</v>
      </c>
    </row>
    <row r="34" spans="1:46" ht="15.75" customHeight="1" x14ac:dyDescent="0.3">
      <c r="A34" s="148" t="s">
        <v>241</v>
      </c>
      <c r="B34" s="72" t="s">
        <v>230</v>
      </c>
      <c r="C34" s="201" t="s">
        <v>132</v>
      </c>
      <c r="D34" s="72"/>
      <c r="E34" s="200" t="s">
        <v>269</v>
      </c>
      <c r="F34" s="200" t="s">
        <v>269</v>
      </c>
      <c r="G34" s="200" t="s">
        <v>269</v>
      </c>
      <c r="H34" s="200" t="s">
        <v>269</v>
      </c>
      <c r="I34" s="200" t="s">
        <v>269</v>
      </c>
      <c r="J34" s="200" t="s">
        <v>269</v>
      </c>
      <c r="K34" s="200" t="s">
        <v>269</v>
      </c>
      <c r="L34" s="200" t="s">
        <v>269</v>
      </c>
      <c r="M34" s="200" t="s">
        <v>269</v>
      </c>
      <c r="N34" s="200" t="s">
        <v>269</v>
      </c>
      <c r="O34" s="200" t="s">
        <v>269</v>
      </c>
      <c r="P34" s="200" t="s">
        <v>269</v>
      </c>
      <c r="Q34" s="200" t="s">
        <v>269</v>
      </c>
      <c r="R34" s="200" t="s">
        <v>269</v>
      </c>
      <c r="S34" s="200" t="s">
        <v>269</v>
      </c>
      <c r="T34" s="200" t="s">
        <v>269</v>
      </c>
      <c r="U34" s="200" t="s">
        <v>269</v>
      </c>
      <c r="V34" s="200" t="s">
        <v>269</v>
      </c>
      <c r="W34" s="256">
        <v>17.809999999999999</v>
      </c>
      <c r="X34" s="200" t="s">
        <v>269</v>
      </c>
      <c r="Y34" s="200" t="s">
        <v>269</v>
      </c>
      <c r="Z34" s="200" t="s">
        <v>269</v>
      </c>
      <c r="AA34" s="200" t="s">
        <v>269</v>
      </c>
      <c r="AB34" s="200" t="s">
        <v>269</v>
      </c>
      <c r="AC34" s="200" t="s">
        <v>269</v>
      </c>
      <c r="AD34" s="200" t="s">
        <v>269</v>
      </c>
      <c r="AE34" s="200" t="s">
        <v>269</v>
      </c>
      <c r="AF34" s="200" t="s">
        <v>269</v>
      </c>
      <c r="AG34" s="200" t="s">
        <v>269</v>
      </c>
      <c r="AH34" s="200" t="s">
        <v>269</v>
      </c>
      <c r="AI34" s="200" t="s">
        <v>269</v>
      </c>
      <c r="AJ34" s="200" t="s">
        <v>269</v>
      </c>
      <c r="AK34" s="200" t="s">
        <v>269</v>
      </c>
      <c r="AL34" s="200" t="s">
        <v>269</v>
      </c>
      <c r="AM34" s="170">
        <v>61</v>
      </c>
      <c r="AN34" s="170">
        <v>63</v>
      </c>
      <c r="AO34" s="170">
        <v>64</v>
      </c>
      <c r="AP34" s="170">
        <v>66</v>
      </c>
      <c r="AQ34" s="170">
        <v>67</v>
      </c>
      <c r="AR34" s="165">
        <f t="shared" si="1"/>
        <v>64.2</v>
      </c>
      <c r="AS34" s="50" t="s">
        <v>269</v>
      </c>
      <c r="AT34" s="50" t="s">
        <v>269</v>
      </c>
    </row>
    <row r="35" spans="1:46" ht="15.75" customHeight="1" x14ac:dyDescent="0.3">
      <c r="A35" s="148" t="s">
        <v>241</v>
      </c>
      <c r="B35" s="72" t="s">
        <v>232</v>
      </c>
      <c r="C35" s="201" t="s">
        <v>132</v>
      </c>
      <c r="D35" s="72"/>
      <c r="E35" s="200" t="s">
        <v>269</v>
      </c>
      <c r="F35" s="200" t="s">
        <v>269</v>
      </c>
      <c r="G35" s="200" t="s">
        <v>269</v>
      </c>
      <c r="H35" s="200" t="s">
        <v>269</v>
      </c>
      <c r="I35" s="200" t="s">
        <v>269</v>
      </c>
      <c r="J35" s="200" t="s">
        <v>269</v>
      </c>
      <c r="K35" s="200" t="s">
        <v>269</v>
      </c>
      <c r="L35" s="200" t="s">
        <v>269</v>
      </c>
      <c r="M35" s="200" t="s">
        <v>269</v>
      </c>
      <c r="N35" s="200" t="s">
        <v>269</v>
      </c>
      <c r="O35" s="200" t="s">
        <v>269</v>
      </c>
      <c r="P35" s="200" t="s">
        <v>269</v>
      </c>
      <c r="Q35" s="200" t="s">
        <v>269</v>
      </c>
      <c r="R35" s="200" t="s">
        <v>269</v>
      </c>
      <c r="S35" s="200" t="s">
        <v>269</v>
      </c>
      <c r="T35" s="200" t="s">
        <v>269</v>
      </c>
      <c r="U35" s="200" t="s">
        <v>269</v>
      </c>
      <c r="V35" s="200" t="s">
        <v>269</v>
      </c>
      <c r="W35" s="200" t="s">
        <v>269</v>
      </c>
      <c r="X35" s="200" t="s">
        <v>269</v>
      </c>
      <c r="Y35" s="200" t="s">
        <v>269</v>
      </c>
      <c r="Z35" s="200" t="s">
        <v>269</v>
      </c>
      <c r="AA35" s="200" t="s">
        <v>269</v>
      </c>
      <c r="AB35" s="200" t="s">
        <v>269</v>
      </c>
      <c r="AC35" s="200" t="s">
        <v>269</v>
      </c>
      <c r="AD35" s="200" t="s">
        <v>269</v>
      </c>
      <c r="AE35" s="200" t="s">
        <v>269</v>
      </c>
      <c r="AF35" s="200" t="s">
        <v>269</v>
      </c>
      <c r="AG35" s="200" t="s">
        <v>269</v>
      </c>
      <c r="AH35" s="200" t="s">
        <v>269</v>
      </c>
      <c r="AI35" s="200" t="s">
        <v>269</v>
      </c>
      <c r="AJ35" s="200" t="s">
        <v>269</v>
      </c>
      <c r="AK35" s="200" t="s">
        <v>269</v>
      </c>
      <c r="AL35" s="200" t="s">
        <v>269</v>
      </c>
      <c r="AM35" s="170">
        <v>64</v>
      </c>
      <c r="AN35" s="170">
        <v>63</v>
      </c>
      <c r="AO35" s="170">
        <v>66</v>
      </c>
      <c r="AP35" s="170">
        <v>65</v>
      </c>
      <c r="AQ35" s="170">
        <v>64</v>
      </c>
      <c r="AR35" s="165">
        <f t="shared" si="1"/>
        <v>64.400000000000006</v>
      </c>
      <c r="AS35" s="50" t="s">
        <v>269</v>
      </c>
      <c r="AT35" s="50" t="s">
        <v>269</v>
      </c>
    </row>
    <row r="36" spans="1:46" ht="15.75" customHeight="1" x14ac:dyDescent="0.3">
      <c r="A36" s="148" t="s">
        <v>241</v>
      </c>
      <c r="B36" s="72" t="s">
        <v>229</v>
      </c>
      <c r="C36" s="201" t="s">
        <v>132</v>
      </c>
      <c r="D36" s="72"/>
      <c r="E36" s="200" t="s">
        <v>269</v>
      </c>
      <c r="F36" s="200" t="s">
        <v>269</v>
      </c>
      <c r="G36" s="200" t="s">
        <v>269</v>
      </c>
      <c r="H36" s="200" t="s">
        <v>269</v>
      </c>
      <c r="I36" s="200" t="s">
        <v>269</v>
      </c>
      <c r="J36" s="200" t="s">
        <v>269</v>
      </c>
      <c r="K36" s="200" t="s">
        <v>269</v>
      </c>
      <c r="L36" s="200" t="s">
        <v>269</v>
      </c>
      <c r="M36" s="200" t="s">
        <v>269</v>
      </c>
      <c r="N36" s="200" t="s">
        <v>269</v>
      </c>
      <c r="O36" s="200" t="s">
        <v>269</v>
      </c>
      <c r="P36" s="200" t="s">
        <v>269</v>
      </c>
      <c r="Q36" s="200" t="s">
        <v>269</v>
      </c>
      <c r="R36" s="200" t="s">
        <v>269</v>
      </c>
      <c r="S36" s="200" t="s">
        <v>269</v>
      </c>
      <c r="T36" s="200" t="s">
        <v>269</v>
      </c>
      <c r="U36" s="200" t="s">
        <v>269</v>
      </c>
      <c r="V36" s="200" t="s">
        <v>269</v>
      </c>
      <c r="W36" s="200" t="s">
        <v>269</v>
      </c>
      <c r="X36" s="200" t="s">
        <v>269</v>
      </c>
      <c r="Y36" s="200" t="s">
        <v>269</v>
      </c>
      <c r="Z36" s="200" t="s">
        <v>269</v>
      </c>
      <c r="AA36" s="200" t="s">
        <v>269</v>
      </c>
      <c r="AB36" s="200" t="s">
        <v>269</v>
      </c>
      <c r="AC36" s="200" t="s">
        <v>269</v>
      </c>
      <c r="AD36" s="200" t="s">
        <v>269</v>
      </c>
      <c r="AE36" s="200" t="s">
        <v>269</v>
      </c>
      <c r="AF36" s="200" t="s">
        <v>269</v>
      </c>
      <c r="AG36" s="200" t="s">
        <v>269</v>
      </c>
      <c r="AH36" s="200" t="s">
        <v>269</v>
      </c>
      <c r="AI36" s="200" t="s">
        <v>269</v>
      </c>
      <c r="AJ36" s="200" t="s">
        <v>269</v>
      </c>
      <c r="AK36" s="200" t="s">
        <v>269</v>
      </c>
      <c r="AL36" s="200" t="s">
        <v>269</v>
      </c>
      <c r="AM36" s="170">
        <v>67</v>
      </c>
      <c r="AN36" s="170">
        <v>66</v>
      </c>
      <c r="AO36" s="170">
        <v>65</v>
      </c>
      <c r="AP36" s="170">
        <v>64</v>
      </c>
      <c r="AQ36" s="170">
        <v>64</v>
      </c>
      <c r="AR36" s="165">
        <f t="shared" si="1"/>
        <v>65.2</v>
      </c>
      <c r="AS36" s="50" t="s">
        <v>269</v>
      </c>
      <c r="AT36" s="50" t="s">
        <v>269</v>
      </c>
    </row>
    <row r="37" spans="1:46" ht="15.75" customHeight="1" x14ac:dyDescent="0.3">
      <c r="B37" s="60"/>
      <c r="C37" s="72"/>
      <c r="D37" s="72"/>
      <c r="E37" s="69"/>
      <c r="F37" s="69"/>
      <c r="G37" s="69"/>
      <c r="H37" s="69"/>
      <c r="I37" s="69"/>
      <c r="J37" s="69"/>
      <c r="K37" s="69"/>
      <c r="L37" s="72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  <c r="AA37" s="69"/>
      <c r="AB37" s="69"/>
      <c r="AC37" s="69"/>
      <c r="AD37" s="69"/>
      <c r="AE37" s="69"/>
      <c r="AF37" s="69"/>
      <c r="AG37" s="69"/>
      <c r="AH37" s="69"/>
      <c r="AI37" s="69"/>
      <c r="AJ37" s="69"/>
      <c r="AK37" s="69"/>
      <c r="AL37" s="69"/>
      <c r="AM37" s="205"/>
      <c r="AN37" s="205"/>
      <c r="AO37" s="205"/>
      <c r="AP37" s="205"/>
      <c r="AQ37" s="205"/>
      <c r="AR37" s="205"/>
      <c r="AS37" s="69"/>
      <c r="AT37" s="69"/>
    </row>
    <row r="38" spans="1:46" ht="15.75" customHeight="1" x14ac:dyDescent="0.3">
      <c r="B38" s="60"/>
      <c r="C38" s="72"/>
      <c r="D38" s="72"/>
      <c r="E38" s="69"/>
      <c r="F38" s="69"/>
      <c r="G38" s="69"/>
      <c r="H38" s="69"/>
      <c r="I38" s="69"/>
      <c r="J38" s="69"/>
      <c r="K38" s="69"/>
      <c r="L38" s="72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  <c r="AA38" s="69"/>
      <c r="AB38" s="69"/>
      <c r="AC38" s="69"/>
      <c r="AD38" s="69"/>
      <c r="AE38" s="69"/>
      <c r="AF38" s="69"/>
      <c r="AG38" s="69"/>
      <c r="AH38" s="69"/>
      <c r="AI38" s="69"/>
      <c r="AJ38" s="69"/>
      <c r="AK38" s="69"/>
      <c r="AL38" s="69"/>
      <c r="AM38" s="72"/>
      <c r="AN38" s="72"/>
      <c r="AO38" s="72"/>
      <c r="AP38" s="72"/>
      <c r="AQ38" s="72"/>
      <c r="AR38" s="72"/>
      <c r="AS38" s="69"/>
      <c r="AT38" s="69"/>
    </row>
    <row r="39" spans="1:46" ht="15.75" customHeight="1" x14ac:dyDescent="0.3">
      <c r="B39" s="60"/>
      <c r="C39" s="72"/>
      <c r="D39" s="72"/>
      <c r="E39" s="69"/>
      <c r="F39" s="69"/>
      <c r="G39" s="69"/>
      <c r="H39" s="69"/>
      <c r="I39" s="69"/>
      <c r="J39" s="69"/>
      <c r="K39" s="69"/>
      <c r="L39" s="72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  <c r="AA39" s="69"/>
      <c r="AB39" s="69"/>
      <c r="AC39" s="69"/>
      <c r="AD39" s="69"/>
      <c r="AE39" s="69"/>
      <c r="AF39" s="69"/>
      <c r="AG39" s="69"/>
      <c r="AH39" s="69"/>
      <c r="AI39" s="69"/>
      <c r="AJ39" s="69"/>
      <c r="AK39" s="69"/>
      <c r="AL39" s="69"/>
      <c r="AM39" s="72"/>
      <c r="AN39" s="72"/>
      <c r="AO39" s="72"/>
      <c r="AP39" s="72"/>
      <c r="AQ39" s="72"/>
      <c r="AR39" s="72"/>
      <c r="AS39" s="69"/>
      <c r="AT39" s="69"/>
    </row>
    <row r="40" spans="1:46" ht="15.75" customHeight="1" x14ac:dyDescent="0.3">
      <c r="B40" s="60"/>
      <c r="C40" s="72"/>
      <c r="D40" s="72"/>
      <c r="E40" s="69"/>
      <c r="F40" s="69"/>
      <c r="G40" s="69"/>
      <c r="H40" s="69"/>
      <c r="I40" s="69"/>
      <c r="J40" s="69"/>
      <c r="K40" s="69"/>
      <c r="L40" s="72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  <c r="AB40" s="69"/>
      <c r="AC40" s="69"/>
      <c r="AD40" s="69"/>
      <c r="AE40" s="69"/>
      <c r="AF40" s="69"/>
      <c r="AG40" s="69"/>
      <c r="AH40" s="69"/>
      <c r="AI40" s="69"/>
      <c r="AJ40" s="69"/>
      <c r="AK40" s="69"/>
      <c r="AL40" s="69"/>
      <c r="AM40" s="72"/>
      <c r="AN40" s="72"/>
      <c r="AO40" s="72"/>
      <c r="AP40" s="72"/>
      <c r="AQ40" s="72"/>
      <c r="AR40" s="72"/>
      <c r="AS40" s="69"/>
      <c r="AT40" s="69"/>
    </row>
    <row r="41" spans="1:46" ht="15.75" customHeight="1" x14ac:dyDescent="0.3">
      <c r="B41" s="60"/>
      <c r="C41" s="72"/>
      <c r="D41" s="72"/>
      <c r="E41" s="69"/>
      <c r="F41" s="69"/>
      <c r="G41" s="69"/>
      <c r="H41" s="69"/>
      <c r="I41" s="69"/>
      <c r="J41" s="69"/>
      <c r="K41" s="69"/>
      <c r="L41" s="72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69"/>
      <c r="AA41" s="69"/>
      <c r="AB41" s="69"/>
      <c r="AC41" s="69"/>
      <c r="AD41" s="69"/>
      <c r="AE41" s="69"/>
      <c r="AF41" s="69"/>
      <c r="AG41" s="69"/>
      <c r="AH41" s="69"/>
      <c r="AI41" s="69"/>
      <c r="AJ41" s="69"/>
      <c r="AK41" s="69"/>
      <c r="AL41" s="69"/>
      <c r="AM41" s="72"/>
      <c r="AN41" s="72"/>
      <c r="AO41" s="72"/>
      <c r="AP41" s="72"/>
      <c r="AQ41" s="72"/>
      <c r="AR41" s="72"/>
      <c r="AS41" s="69"/>
      <c r="AT41" s="69"/>
    </row>
    <row r="42" spans="1:46" ht="15.75" customHeight="1" x14ac:dyDescent="0.3">
      <c r="B42" s="60"/>
      <c r="C42" s="72"/>
      <c r="D42" s="72"/>
      <c r="E42" s="69"/>
      <c r="F42" s="69"/>
      <c r="G42" s="69"/>
      <c r="H42" s="69"/>
      <c r="I42" s="69"/>
      <c r="J42" s="69"/>
      <c r="K42" s="69"/>
      <c r="L42" s="72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69"/>
      <c r="Z42" s="69"/>
      <c r="AA42" s="69"/>
      <c r="AB42" s="69"/>
      <c r="AC42" s="69"/>
      <c r="AD42" s="69"/>
      <c r="AE42" s="69"/>
      <c r="AF42" s="69"/>
      <c r="AG42" s="69"/>
      <c r="AH42" s="69"/>
      <c r="AI42" s="69"/>
      <c r="AJ42" s="69"/>
      <c r="AK42" s="69"/>
      <c r="AL42" s="69"/>
      <c r="AM42" s="72"/>
      <c r="AN42" s="72"/>
      <c r="AO42" s="72"/>
      <c r="AP42" s="72"/>
      <c r="AQ42" s="72"/>
      <c r="AR42" s="72"/>
      <c r="AS42" s="69"/>
      <c r="AT42" s="69"/>
    </row>
    <row r="43" spans="1:46" ht="15.75" customHeight="1" x14ac:dyDescent="0.3">
      <c r="B43" s="60"/>
      <c r="C43" s="72"/>
      <c r="D43" s="72"/>
      <c r="E43" s="69"/>
      <c r="F43" s="69"/>
      <c r="G43" s="69"/>
      <c r="H43" s="69"/>
      <c r="I43" s="69"/>
      <c r="J43" s="69"/>
      <c r="K43" s="69"/>
      <c r="L43" s="72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  <c r="AA43" s="69"/>
      <c r="AB43" s="69"/>
      <c r="AC43" s="69"/>
      <c r="AD43" s="69"/>
      <c r="AE43" s="69"/>
      <c r="AF43" s="69"/>
      <c r="AG43" s="69"/>
      <c r="AH43" s="69"/>
      <c r="AI43" s="69"/>
      <c r="AJ43" s="69"/>
      <c r="AK43" s="69"/>
      <c r="AL43" s="69"/>
      <c r="AM43" s="72"/>
      <c r="AN43" s="72"/>
      <c r="AO43" s="72"/>
      <c r="AP43" s="72"/>
      <c r="AQ43" s="72"/>
      <c r="AR43" s="72"/>
      <c r="AS43" s="69"/>
      <c r="AT43" s="69"/>
    </row>
    <row r="44" spans="1:46" ht="15.75" customHeight="1" x14ac:dyDescent="0.3">
      <c r="B44" s="61"/>
      <c r="C44" s="72"/>
      <c r="D44" s="72"/>
      <c r="E44" s="69"/>
      <c r="F44" s="69"/>
      <c r="G44" s="69"/>
      <c r="H44" s="69"/>
      <c r="I44" s="69"/>
      <c r="J44" s="69"/>
      <c r="K44" s="69"/>
      <c r="L44" s="72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  <c r="AA44" s="69"/>
      <c r="AB44" s="69"/>
      <c r="AC44" s="69"/>
      <c r="AD44" s="69"/>
      <c r="AE44" s="69"/>
      <c r="AF44" s="69"/>
      <c r="AG44" s="69"/>
      <c r="AH44" s="69"/>
      <c r="AI44" s="69"/>
      <c r="AJ44" s="69"/>
      <c r="AK44" s="69"/>
      <c r="AL44" s="69"/>
      <c r="AM44" s="72"/>
      <c r="AN44" s="72"/>
      <c r="AO44" s="72"/>
      <c r="AP44" s="72"/>
      <c r="AQ44" s="72"/>
      <c r="AR44" s="72"/>
      <c r="AS44" s="69"/>
      <c r="AT44" s="69"/>
    </row>
    <row r="45" spans="1:46" ht="15.75" customHeight="1" x14ac:dyDescent="0.3">
      <c r="B45" s="60"/>
      <c r="C45" s="72"/>
      <c r="D45" s="72"/>
      <c r="E45" s="69"/>
      <c r="F45" s="69"/>
      <c r="G45" s="69"/>
      <c r="H45" s="69"/>
      <c r="I45" s="69"/>
      <c r="J45" s="69"/>
      <c r="K45" s="69"/>
      <c r="L45" s="72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  <c r="AA45" s="69"/>
      <c r="AB45" s="69"/>
      <c r="AC45" s="69"/>
      <c r="AD45" s="69"/>
      <c r="AE45" s="69"/>
      <c r="AF45" s="69"/>
      <c r="AG45" s="69"/>
      <c r="AH45" s="69"/>
      <c r="AI45" s="69"/>
      <c r="AJ45" s="69"/>
      <c r="AK45" s="69"/>
      <c r="AL45" s="69"/>
      <c r="AM45" s="72"/>
      <c r="AN45" s="72"/>
      <c r="AO45" s="72"/>
      <c r="AP45" s="72"/>
      <c r="AQ45" s="72"/>
      <c r="AR45" s="72"/>
      <c r="AS45" s="69"/>
      <c r="AT45" s="69"/>
    </row>
    <row r="46" spans="1:46" ht="15.75" customHeight="1" x14ac:dyDescent="0.3">
      <c r="B46" s="60"/>
      <c r="C46" s="72"/>
      <c r="D46" s="72"/>
      <c r="E46" s="69"/>
      <c r="F46" s="69"/>
      <c r="G46" s="69"/>
      <c r="H46" s="69"/>
      <c r="I46" s="69"/>
      <c r="J46" s="69"/>
      <c r="K46" s="69"/>
      <c r="L46" s="72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69"/>
      <c r="AA46" s="69"/>
      <c r="AB46" s="69"/>
      <c r="AC46" s="69"/>
      <c r="AD46" s="69"/>
      <c r="AE46" s="69"/>
      <c r="AF46" s="69"/>
      <c r="AG46" s="69"/>
      <c r="AH46" s="69"/>
      <c r="AI46" s="69"/>
      <c r="AJ46" s="69"/>
      <c r="AK46" s="69"/>
      <c r="AL46" s="69"/>
      <c r="AM46" s="72"/>
      <c r="AN46" s="72"/>
      <c r="AO46" s="72"/>
      <c r="AP46" s="72"/>
      <c r="AQ46" s="72"/>
      <c r="AR46" s="72"/>
      <c r="AS46" s="69"/>
      <c r="AT46" s="69"/>
    </row>
    <row r="47" spans="1:46" ht="15.75" customHeight="1" x14ac:dyDescent="0.3">
      <c r="B47" s="58"/>
      <c r="C47" s="72"/>
      <c r="D47" s="72"/>
      <c r="E47" s="69"/>
      <c r="F47" s="69"/>
      <c r="G47" s="69"/>
      <c r="H47" s="69"/>
      <c r="I47" s="69"/>
      <c r="J47" s="69"/>
      <c r="K47" s="69"/>
      <c r="L47" s="72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  <c r="AA47" s="69"/>
      <c r="AB47" s="69"/>
      <c r="AC47" s="69"/>
      <c r="AD47" s="69"/>
      <c r="AE47" s="69"/>
      <c r="AF47" s="69"/>
      <c r="AG47" s="69"/>
      <c r="AH47" s="69"/>
      <c r="AI47" s="69"/>
      <c r="AJ47" s="69"/>
      <c r="AK47" s="69"/>
      <c r="AL47" s="69"/>
      <c r="AM47" s="72"/>
      <c r="AN47" s="72"/>
      <c r="AO47" s="72"/>
      <c r="AP47" s="72"/>
      <c r="AQ47" s="72"/>
      <c r="AR47" s="72"/>
      <c r="AS47" s="69"/>
      <c r="AT47" s="69"/>
    </row>
    <row r="48" spans="1:46" ht="15.75" customHeight="1" x14ac:dyDescent="0.3">
      <c r="B48" s="58"/>
      <c r="C48" s="72"/>
      <c r="D48" s="72"/>
      <c r="E48" s="69"/>
      <c r="F48" s="69"/>
      <c r="G48" s="69"/>
      <c r="H48" s="69"/>
      <c r="I48" s="69"/>
      <c r="J48" s="69"/>
      <c r="K48" s="69"/>
      <c r="L48" s="72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  <c r="AA48" s="69"/>
      <c r="AB48" s="69"/>
      <c r="AC48" s="69"/>
      <c r="AD48" s="69"/>
      <c r="AE48" s="69"/>
      <c r="AF48" s="69"/>
      <c r="AG48" s="69"/>
      <c r="AH48" s="69"/>
      <c r="AI48" s="69"/>
      <c r="AJ48" s="69"/>
      <c r="AK48" s="69"/>
      <c r="AL48" s="69"/>
      <c r="AM48" s="72"/>
      <c r="AN48" s="72"/>
      <c r="AO48" s="72"/>
      <c r="AP48" s="72"/>
      <c r="AQ48" s="72"/>
      <c r="AR48" s="72"/>
      <c r="AS48" s="69"/>
      <c r="AT48" s="69"/>
    </row>
    <row r="49" spans="2:46" ht="15.75" customHeight="1" x14ac:dyDescent="0.3">
      <c r="B49" s="58"/>
      <c r="C49" s="72"/>
      <c r="D49" s="72"/>
      <c r="E49" s="69"/>
      <c r="F49" s="69"/>
      <c r="G49" s="69"/>
      <c r="H49" s="69"/>
      <c r="I49" s="69"/>
      <c r="J49" s="69"/>
      <c r="K49" s="69"/>
      <c r="L49" s="72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  <c r="AA49" s="69"/>
      <c r="AB49" s="69"/>
      <c r="AC49" s="69"/>
      <c r="AD49" s="69"/>
      <c r="AE49" s="69"/>
      <c r="AF49" s="69"/>
      <c r="AG49" s="69"/>
      <c r="AH49" s="69"/>
      <c r="AI49" s="69"/>
      <c r="AJ49" s="69"/>
      <c r="AK49" s="69"/>
      <c r="AL49" s="69"/>
      <c r="AM49" s="72"/>
      <c r="AN49" s="72"/>
      <c r="AO49" s="72"/>
      <c r="AP49" s="72"/>
      <c r="AQ49" s="72"/>
      <c r="AR49" s="72"/>
      <c r="AS49" s="69"/>
      <c r="AT49" s="69"/>
    </row>
    <row r="50" spans="2:46" ht="15.75" customHeight="1" x14ac:dyDescent="0.3">
      <c r="B50" s="58"/>
      <c r="C50" s="72"/>
      <c r="D50" s="72"/>
      <c r="E50" s="69"/>
      <c r="F50" s="69"/>
      <c r="G50" s="69"/>
      <c r="H50" s="69"/>
      <c r="I50" s="69"/>
      <c r="J50" s="69"/>
      <c r="K50" s="69"/>
      <c r="L50" s="72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  <c r="AA50" s="69"/>
      <c r="AB50" s="69"/>
      <c r="AC50" s="69"/>
      <c r="AD50" s="69"/>
      <c r="AE50" s="69"/>
      <c r="AF50" s="69"/>
      <c r="AG50" s="69"/>
      <c r="AH50" s="69"/>
      <c r="AI50" s="69"/>
      <c r="AJ50" s="69"/>
      <c r="AK50" s="69"/>
      <c r="AL50" s="69"/>
      <c r="AM50" s="72"/>
      <c r="AN50" s="72"/>
      <c r="AO50" s="72"/>
      <c r="AP50" s="72"/>
      <c r="AQ50" s="72"/>
      <c r="AR50" s="72"/>
      <c r="AS50" s="69"/>
      <c r="AT50" s="69"/>
    </row>
    <row r="51" spans="2:46" ht="15.75" customHeight="1" x14ac:dyDescent="0.3">
      <c r="B51" s="58"/>
      <c r="C51" s="72"/>
      <c r="D51" s="72"/>
      <c r="E51" s="69"/>
      <c r="F51" s="69"/>
      <c r="G51" s="69"/>
      <c r="H51" s="69"/>
      <c r="I51" s="69"/>
      <c r="J51" s="69"/>
      <c r="K51" s="69"/>
      <c r="L51" s="72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  <c r="AA51" s="69"/>
      <c r="AB51" s="69"/>
      <c r="AC51" s="69"/>
      <c r="AD51" s="69"/>
      <c r="AE51" s="69"/>
      <c r="AF51" s="69"/>
      <c r="AG51" s="69"/>
      <c r="AH51" s="69"/>
      <c r="AI51" s="69"/>
      <c r="AJ51" s="69"/>
      <c r="AK51" s="69"/>
      <c r="AL51" s="69"/>
      <c r="AM51" s="72"/>
      <c r="AN51" s="72"/>
      <c r="AO51" s="72"/>
      <c r="AP51" s="72"/>
      <c r="AQ51" s="72"/>
      <c r="AR51" s="72"/>
      <c r="AS51" s="69"/>
      <c r="AT51" s="69"/>
    </row>
    <row r="52" spans="2:46" ht="15.75" customHeight="1" x14ac:dyDescent="0.3">
      <c r="B52" s="58"/>
      <c r="C52" s="72"/>
      <c r="D52" s="72"/>
      <c r="E52" s="69"/>
      <c r="F52" s="69"/>
      <c r="G52" s="69"/>
      <c r="H52" s="69"/>
      <c r="I52" s="69"/>
      <c r="J52" s="69"/>
      <c r="K52" s="69"/>
      <c r="L52" s="72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  <c r="AA52" s="69"/>
      <c r="AB52" s="69"/>
      <c r="AC52" s="69"/>
      <c r="AD52" s="69"/>
      <c r="AE52" s="69"/>
      <c r="AF52" s="69"/>
      <c r="AG52" s="69"/>
      <c r="AH52" s="69"/>
      <c r="AI52" s="69"/>
      <c r="AJ52" s="69"/>
      <c r="AK52" s="69"/>
      <c r="AL52" s="69"/>
      <c r="AM52" s="72"/>
      <c r="AN52" s="72"/>
      <c r="AO52" s="72"/>
      <c r="AP52" s="72"/>
      <c r="AQ52" s="72"/>
      <c r="AR52" s="72"/>
      <c r="AS52" s="69"/>
      <c r="AT52" s="69"/>
    </row>
    <row r="53" spans="2:46" ht="15.75" customHeight="1" x14ac:dyDescent="0.3">
      <c r="B53" s="58"/>
      <c r="C53" s="72"/>
      <c r="D53" s="72"/>
      <c r="E53" s="69"/>
      <c r="F53" s="69"/>
      <c r="G53" s="69"/>
      <c r="H53" s="69"/>
      <c r="I53" s="69"/>
      <c r="J53" s="69"/>
      <c r="K53" s="69"/>
      <c r="L53" s="72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9"/>
      <c r="AE53" s="69"/>
      <c r="AF53" s="69"/>
      <c r="AG53" s="69"/>
      <c r="AH53" s="69"/>
      <c r="AI53" s="69"/>
      <c r="AJ53" s="69"/>
      <c r="AK53" s="69"/>
      <c r="AL53" s="69"/>
      <c r="AM53" s="72"/>
      <c r="AN53" s="72"/>
      <c r="AO53" s="72"/>
      <c r="AP53" s="72"/>
      <c r="AQ53" s="72"/>
      <c r="AR53" s="72"/>
      <c r="AS53" s="69"/>
      <c r="AT53" s="69"/>
    </row>
    <row r="54" spans="2:46" ht="15.75" customHeight="1" x14ac:dyDescent="0.3">
      <c r="B54" s="58"/>
      <c r="C54" s="72"/>
      <c r="D54" s="72"/>
      <c r="E54" s="69"/>
      <c r="F54" s="69"/>
      <c r="G54" s="69"/>
      <c r="H54" s="69"/>
      <c r="I54" s="69"/>
      <c r="J54" s="69"/>
      <c r="K54" s="69"/>
      <c r="L54" s="72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  <c r="AE54" s="69"/>
      <c r="AF54" s="69"/>
      <c r="AG54" s="69"/>
      <c r="AH54" s="69"/>
      <c r="AI54" s="69"/>
      <c r="AJ54" s="69"/>
      <c r="AK54" s="69"/>
      <c r="AL54" s="69"/>
      <c r="AM54" s="72"/>
      <c r="AN54" s="72"/>
      <c r="AO54" s="72"/>
      <c r="AP54" s="72"/>
      <c r="AQ54" s="72"/>
      <c r="AR54" s="72"/>
      <c r="AS54" s="69"/>
      <c r="AT54" s="69"/>
    </row>
    <row r="55" spans="2:46" ht="15.75" customHeight="1" x14ac:dyDescent="0.3">
      <c r="B55" s="58"/>
      <c r="C55" s="72"/>
      <c r="D55" s="72"/>
      <c r="E55" s="69"/>
      <c r="F55" s="69"/>
      <c r="G55" s="69"/>
      <c r="H55" s="69"/>
      <c r="I55" s="69"/>
      <c r="J55" s="69"/>
      <c r="K55" s="69"/>
      <c r="L55" s="72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69"/>
      <c r="AI55" s="69"/>
      <c r="AJ55" s="69"/>
      <c r="AK55" s="69"/>
      <c r="AL55" s="69"/>
      <c r="AM55" s="72"/>
      <c r="AN55" s="72"/>
      <c r="AO55" s="72"/>
      <c r="AP55" s="72"/>
      <c r="AQ55" s="72"/>
      <c r="AR55" s="72"/>
      <c r="AS55" s="69"/>
      <c r="AT55" s="69"/>
    </row>
    <row r="56" spans="2:46" ht="15.75" customHeight="1" x14ac:dyDescent="0.3">
      <c r="B56" s="58"/>
      <c r="C56" s="72"/>
      <c r="D56" s="72"/>
      <c r="E56" s="69"/>
      <c r="F56" s="69"/>
      <c r="G56" s="69"/>
      <c r="H56" s="69"/>
      <c r="I56" s="69"/>
      <c r="J56" s="69"/>
      <c r="K56" s="69"/>
      <c r="L56" s="72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9"/>
      <c r="AF56" s="69"/>
      <c r="AG56" s="69"/>
      <c r="AH56" s="69"/>
      <c r="AI56" s="69"/>
      <c r="AJ56" s="69"/>
      <c r="AK56" s="69"/>
      <c r="AL56" s="69"/>
      <c r="AM56" s="72"/>
      <c r="AN56" s="72"/>
      <c r="AO56" s="72"/>
      <c r="AP56" s="72"/>
      <c r="AQ56" s="72"/>
      <c r="AR56" s="72"/>
      <c r="AS56" s="69"/>
      <c r="AT56" s="69"/>
    </row>
    <row r="57" spans="2:46" ht="15.75" customHeight="1" x14ac:dyDescent="0.3">
      <c r="B57" s="58"/>
      <c r="C57" s="72"/>
      <c r="D57" s="72"/>
      <c r="E57" s="69"/>
      <c r="F57" s="69"/>
      <c r="G57" s="69"/>
      <c r="H57" s="69"/>
      <c r="I57" s="69"/>
      <c r="J57" s="69"/>
      <c r="K57" s="69"/>
      <c r="L57" s="72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  <c r="AA57" s="69"/>
      <c r="AB57" s="69"/>
      <c r="AC57" s="69"/>
      <c r="AD57" s="69"/>
      <c r="AE57" s="69"/>
      <c r="AF57" s="69"/>
      <c r="AG57" s="69"/>
      <c r="AH57" s="69"/>
      <c r="AI57" s="69"/>
      <c r="AJ57" s="69"/>
      <c r="AK57" s="69"/>
      <c r="AL57" s="69"/>
      <c r="AM57" s="72"/>
      <c r="AN57" s="72"/>
      <c r="AO57" s="72"/>
      <c r="AP57" s="72"/>
      <c r="AQ57" s="72"/>
      <c r="AR57" s="72"/>
      <c r="AS57" s="69"/>
      <c r="AT57" s="69"/>
    </row>
    <row r="58" spans="2:46" ht="15.75" customHeight="1" x14ac:dyDescent="0.3">
      <c r="B58" s="58"/>
      <c r="C58" s="72"/>
      <c r="D58" s="72"/>
      <c r="E58" s="69"/>
      <c r="F58" s="69"/>
      <c r="G58" s="69"/>
      <c r="H58" s="69"/>
      <c r="I58" s="69"/>
      <c r="J58" s="69"/>
      <c r="K58" s="69"/>
      <c r="L58" s="72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  <c r="AA58" s="69"/>
      <c r="AB58" s="69"/>
      <c r="AC58" s="69"/>
      <c r="AD58" s="69"/>
      <c r="AE58" s="69"/>
      <c r="AF58" s="69"/>
      <c r="AG58" s="69"/>
      <c r="AH58" s="69"/>
      <c r="AI58" s="69"/>
      <c r="AJ58" s="69"/>
      <c r="AK58" s="69"/>
      <c r="AL58" s="69"/>
      <c r="AM58" s="72"/>
      <c r="AN58" s="72"/>
      <c r="AO58" s="72"/>
      <c r="AP58" s="72"/>
      <c r="AQ58" s="72"/>
      <c r="AR58" s="72"/>
      <c r="AS58" s="69"/>
      <c r="AT58" s="69"/>
    </row>
    <row r="59" spans="2:46" ht="15.75" customHeight="1" x14ac:dyDescent="0.3">
      <c r="B59" s="58"/>
      <c r="C59" s="72"/>
      <c r="D59" s="72"/>
      <c r="E59" s="69"/>
      <c r="F59" s="69"/>
      <c r="G59" s="69"/>
      <c r="H59" s="69"/>
      <c r="I59" s="69"/>
      <c r="J59" s="69"/>
      <c r="K59" s="69"/>
      <c r="L59" s="72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  <c r="AA59" s="69"/>
      <c r="AB59" s="69"/>
      <c r="AC59" s="69"/>
      <c r="AD59" s="69"/>
      <c r="AE59" s="69"/>
      <c r="AF59" s="69"/>
      <c r="AG59" s="69"/>
      <c r="AH59" s="69"/>
      <c r="AI59" s="69"/>
      <c r="AJ59" s="69"/>
      <c r="AK59" s="69"/>
      <c r="AL59" s="69"/>
      <c r="AM59" s="72"/>
      <c r="AN59" s="72"/>
      <c r="AO59" s="72"/>
      <c r="AP59" s="72"/>
      <c r="AQ59" s="72"/>
      <c r="AR59" s="72"/>
      <c r="AS59" s="69"/>
      <c r="AT59" s="69"/>
    </row>
    <row r="60" spans="2:46" ht="15.75" customHeight="1" x14ac:dyDescent="0.3">
      <c r="B60" s="58"/>
      <c r="C60" s="72"/>
      <c r="D60" s="72"/>
      <c r="E60" s="69"/>
      <c r="F60" s="69"/>
      <c r="G60" s="69"/>
      <c r="H60" s="69"/>
      <c r="I60" s="69"/>
      <c r="J60" s="69"/>
      <c r="K60" s="69"/>
      <c r="L60" s="72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  <c r="AA60" s="69"/>
      <c r="AB60" s="69"/>
      <c r="AC60" s="69"/>
      <c r="AD60" s="69"/>
      <c r="AE60" s="69"/>
      <c r="AF60" s="69"/>
      <c r="AG60" s="69"/>
      <c r="AH60" s="69"/>
      <c r="AI60" s="69"/>
      <c r="AJ60" s="69"/>
      <c r="AK60" s="69"/>
      <c r="AL60" s="69"/>
      <c r="AM60" s="72"/>
      <c r="AN60" s="72"/>
      <c r="AO60" s="72"/>
      <c r="AP60" s="72"/>
      <c r="AQ60" s="72"/>
      <c r="AR60" s="72"/>
      <c r="AS60" s="69"/>
      <c r="AT60" s="69"/>
    </row>
    <row r="61" spans="2:46" ht="15.75" customHeight="1" x14ac:dyDescent="0.3">
      <c r="B61" s="58"/>
      <c r="C61" s="72"/>
      <c r="D61" s="72"/>
      <c r="E61" s="69"/>
      <c r="F61" s="69"/>
      <c r="G61" s="69"/>
      <c r="H61" s="69"/>
      <c r="I61" s="69"/>
      <c r="J61" s="69"/>
      <c r="K61" s="69"/>
      <c r="L61" s="72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  <c r="AA61" s="69"/>
      <c r="AB61" s="69"/>
      <c r="AC61" s="69"/>
      <c r="AD61" s="69"/>
      <c r="AE61" s="69"/>
      <c r="AF61" s="69"/>
      <c r="AG61" s="69"/>
      <c r="AH61" s="69"/>
      <c r="AI61" s="69"/>
      <c r="AJ61" s="69"/>
      <c r="AK61" s="69"/>
      <c r="AL61" s="69"/>
      <c r="AM61" s="72"/>
      <c r="AN61" s="72"/>
      <c r="AO61" s="72"/>
      <c r="AP61" s="72"/>
      <c r="AQ61" s="72"/>
      <c r="AR61" s="72"/>
      <c r="AS61" s="69"/>
      <c r="AT61" s="69"/>
    </row>
    <row r="62" spans="2:46" ht="15.75" customHeight="1" x14ac:dyDescent="0.3">
      <c r="B62" s="58"/>
      <c r="C62" s="72"/>
      <c r="D62" s="72"/>
      <c r="E62" s="69"/>
      <c r="F62" s="69"/>
      <c r="G62" s="69"/>
      <c r="H62" s="69"/>
      <c r="I62" s="69"/>
      <c r="J62" s="69"/>
      <c r="K62" s="69"/>
      <c r="L62" s="72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  <c r="AA62" s="69"/>
      <c r="AB62" s="69"/>
      <c r="AC62" s="69"/>
      <c r="AD62" s="69"/>
      <c r="AE62" s="69"/>
      <c r="AF62" s="69"/>
      <c r="AG62" s="69"/>
      <c r="AH62" s="69"/>
      <c r="AI62" s="69"/>
      <c r="AJ62" s="69"/>
      <c r="AK62" s="69"/>
      <c r="AL62" s="69"/>
      <c r="AM62" s="72"/>
      <c r="AN62" s="72"/>
      <c r="AO62" s="72"/>
      <c r="AP62" s="72"/>
      <c r="AQ62" s="72"/>
      <c r="AR62" s="72"/>
      <c r="AS62" s="69"/>
      <c r="AT62" s="69"/>
    </row>
    <row r="63" spans="2:46" ht="15.75" customHeight="1" x14ac:dyDescent="0.3">
      <c r="B63" s="58"/>
      <c r="C63" s="72"/>
      <c r="D63" s="72"/>
      <c r="E63" s="69"/>
      <c r="F63" s="69"/>
      <c r="G63" s="69"/>
      <c r="H63" s="69"/>
      <c r="I63" s="69"/>
      <c r="J63" s="69"/>
      <c r="K63" s="69"/>
      <c r="L63" s="72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  <c r="AE63" s="69"/>
      <c r="AF63" s="69"/>
      <c r="AG63" s="69"/>
      <c r="AH63" s="69"/>
      <c r="AI63" s="69"/>
      <c r="AJ63" s="69"/>
      <c r="AK63" s="69"/>
      <c r="AL63" s="69"/>
      <c r="AM63" s="72"/>
      <c r="AN63" s="72"/>
      <c r="AO63" s="72"/>
      <c r="AP63" s="72"/>
      <c r="AQ63" s="72"/>
      <c r="AR63" s="72"/>
      <c r="AS63" s="69"/>
      <c r="AT63" s="69"/>
    </row>
    <row r="64" spans="2:46" ht="15.75" customHeight="1" x14ac:dyDescent="0.3">
      <c r="B64" s="58"/>
      <c r="C64" s="72"/>
      <c r="D64" s="72"/>
      <c r="E64" s="69"/>
      <c r="F64" s="69"/>
      <c r="G64" s="69"/>
      <c r="H64" s="69"/>
      <c r="I64" s="69"/>
      <c r="J64" s="69"/>
      <c r="K64" s="69"/>
      <c r="L64" s="72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  <c r="AE64" s="69"/>
      <c r="AF64" s="69"/>
      <c r="AG64" s="69"/>
      <c r="AH64" s="69"/>
      <c r="AI64" s="69"/>
      <c r="AJ64" s="69"/>
      <c r="AK64" s="69"/>
      <c r="AL64" s="69"/>
      <c r="AM64" s="72"/>
      <c r="AN64" s="72"/>
      <c r="AO64" s="72"/>
      <c r="AP64" s="72"/>
      <c r="AQ64" s="72"/>
      <c r="AR64" s="72"/>
      <c r="AS64" s="69"/>
      <c r="AT64" s="69"/>
    </row>
    <row r="65" spans="2:46" ht="15.75" customHeight="1" x14ac:dyDescent="0.3">
      <c r="B65" s="58"/>
      <c r="C65" s="72"/>
      <c r="D65" s="72"/>
      <c r="E65" s="69"/>
      <c r="F65" s="69"/>
      <c r="G65" s="69"/>
      <c r="H65" s="69"/>
      <c r="I65" s="69"/>
      <c r="J65" s="69"/>
      <c r="K65" s="69"/>
      <c r="L65" s="72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  <c r="AE65" s="69"/>
      <c r="AF65" s="69"/>
      <c r="AG65" s="69"/>
      <c r="AH65" s="69"/>
      <c r="AI65" s="69"/>
      <c r="AJ65" s="69"/>
      <c r="AK65" s="69"/>
      <c r="AL65" s="69"/>
      <c r="AM65" s="72"/>
      <c r="AN65" s="72"/>
      <c r="AO65" s="72"/>
      <c r="AP65" s="72"/>
      <c r="AQ65" s="72"/>
      <c r="AR65" s="72"/>
      <c r="AS65" s="69"/>
      <c r="AT65" s="69"/>
    </row>
    <row r="66" spans="2:46" ht="15.75" customHeight="1" x14ac:dyDescent="0.3">
      <c r="B66" s="58"/>
      <c r="C66" s="72"/>
      <c r="D66" s="72"/>
      <c r="E66" s="69"/>
      <c r="F66" s="69"/>
      <c r="G66" s="69"/>
      <c r="H66" s="69"/>
      <c r="I66" s="69"/>
      <c r="J66" s="69"/>
      <c r="K66" s="69"/>
      <c r="L66" s="72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69"/>
      <c r="AF66" s="69"/>
      <c r="AG66" s="69"/>
      <c r="AH66" s="69"/>
      <c r="AI66" s="69"/>
      <c r="AJ66" s="69"/>
      <c r="AK66" s="69"/>
      <c r="AL66" s="69"/>
      <c r="AM66" s="72"/>
      <c r="AN66" s="72"/>
      <c r="AO66" s="72"/>
      <c r="AP66" s="72"/>
      <c r="AQ66" s="72"/>
      <c r="AR66" s="72"/>
      <c r="AS66" s="69"/>
      <c r="AT66" s="69"/>
    </row>
    <row r="67" spans="2:46" ht="15.75" customHeight="1" x14ac:dyDescent="0.3">
      <c r="B67" s="58"/>
      <c r="C67" s="72"/>
      <c r="D67" s="72"/>
      <c r="E67" s="69"/>
      <c r="F67" s="69"/>
      <c r="G67" s="69"/>
      <c r="H67" s="69"/>
      <c r="I67" s="69"/>
      <c r="J67" s="69"/>
      <c r="K67" s="69"/>
      <c r="L67" s="72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  <c r="AE67" s="69"/>
      <c r="AF67" s="69"/>
      <c r="AG67" s="69"/>
      <c r="AH67" s="69"/>
      <c r="AI67" s="69"/>
      <c r="AJ67" s="69"/>
      <c r="AK67" s="69"/>
      <c r="AL67" s="69"/>
      <c r="AM67" s="72"/>
      <c r="AN67" s="72"/>
      <c r="AO67" s="72"/>
      <c r="AP67" s="72"/>
      <c r="AQ67" s="72"/>
      <c r="AR67" s="72"/>
      <c r="AS67" s="69"/>
      <c r="AT67" s="69"/>
    </row>
    <row r="68" spans="2:46" ht="15.75" customHeight="1" x14ac:dyDescent="0.3">
      <c r="B68" s="58"/>
      <c r="C68" s="72"/>
      <c r="D68" s="72"/>
      <c r="E68" s="69"/>
      <c r="F68" s="69"/>
      <c r="G68" s="69"/>
      <c r="H68" s="69"/>
      <c r="I68" s="69"/>
      <c r="J68" s="69"/>
      <c r="K68" s="69"/>
      <c r="L68" s="72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69"/>
      <c r="AI68" s="69"/>
      <c r="AJ68" s="69"/>
      <c r="AK68" s="69"/>
      <c r="AL68" s="69"/>
      <c r="AM68" s="72"/>
      <c r="AN68" s="72"/>
      <c r="AO68" s="72"/>
      <c r="AP68" s="72"/>
      <c r="AQ68" s="72"/>
      <c r="AR68" s="72"/>
      <c r="AS68" s="69"/>
      <c r="AT68" s="69"/>
    </row>
    <row r="69" spans="2:46" ht="15.75" customHeight="1" x14ac:dyDescent="0.3">
      <c r="B69" s="72"/>
      <c r="C69" s="72"/>
      <c r="D69" s="72"/>
      <c r="E69" s="69"/>
      <c r="F69" s="69"/>
      <c r="G69" s="69"/>
      <c r="H69" s="69"/>
      <c r="I69" s="69"/>
      <c r="J69" s="69"/>
      <c r="K69" s="69"/>
      <c r="L69" s="72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  <c r="AE69" s="69"/>
      <c r="AF69" s="69"/>
      <c r="AG69" s="69"/>
      <c r="AH69" s="69"/>
      <c r="AI69" s="69"/>
      <c r="AJ69" s="69"/>
      <c r="AK69" s="69"/>
      <c r="AL69" s="69"/>
      <c r="AM69" s="72"/>
      <c r="AN69" s="72"/>
      <c r="AO69" s="72"/>
      <c r="AP69" s="72"/>
      <c r="AQ69" s="72"/>
      <c r="AR69" s="72"/>
      <c r="AS69" s="69"/>
      <c r="AT69" s="69"/>
    </row>
    <row r="70" spans="2:46" ht="15.75" customHeight="1" x14ac:dyDescent="0.3">
      <c r="B70" s="72"/>
      <c r="C70" s="72"/>
      <c r="D70" s="72"/>
      <c r="E70" s="69"/>
      <c r="F70" s="69"/>
      <c r="G70" s="69"/>
      <c r="H70" s="69"/>
      <c r="I70" s="69"/>
      <c r="J70" s="69"/>
      <c r="K70" s="69"/>
      <c r="L70" s="72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  <c r="AE70" s="69"/>
      <c r="AF70" s="69"/>
      <c r="AG70" s="69"/>
      <c r="AH70" s="69"/>
      <c r="AI70" s="69"/>
      <c r="AJ70" s="69"/>
      <c r="AK70" s="69"/>
      <c r="AL70" s="69"/>
      <c r="AM70" s="72"/>
      <c r="AN70" s="72"/>
      <c r="AO70" s="72"/>
      <c r="AP70" s="72"/>
      <c r="AQ70" s="72"/>
      <c r="AR70" s="72"/>
      <c r="AS70" s="69"/>
      <c r="AT70" s="69"/>
    </row>
    <row r="71" spans="2:46" ht="15.75" customHeight="1" x14ac:dyDescent="0.3">
      <c r="B71" s="72"/>
      <c r="C71" s="72"/>
      <c r="D71" s="72"/>
      <c r="E71" s="69"/>
      <c r="F71" s="69"/>
      <c r="G71" s="69"/>
      <c r="H71" s="69"/>
      <c r="I71" s="69"/>
      <c r="J71" s="69"/>
      <c r="K71" s="69"/>
      <c r="L71" s="72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  <c r="AA71" s="69"/>
      <c r="AB71" s="69"/>
      <c r="AC71" s="69"/>
      <c r="AD71" s="69"/>
      <c r="AE71" s="69"/>
      <c r="AF71" s="69"/>
      <c r="AG71" s="69"/>
      <c r="AH71" s="69"/>
      <c r="AI71" s="69"/>
      <c r="AJ71" s="69"/>
      <c r="AK71" s="69"/>
      <c r="AL71" s="69"/>
      <c r="AM71" s="72"/>
      <c r="AN71" s="72"/>
      <c r="AO71" s="72"/>
      <c r="AP71" s="72"/>
      <c r="AQ71" s="72"/>
      <c r="AR71" s="72"/>
      <c r="AS71" s="69"/>
      <c r="AT71" s="69"/>
    </row>
    <row r="72" spans="2:46" ht="15.75" customHeight="1" x14ac:dyDescent="0.3">
      <c r="B72" s="72"/>
      <c r="C72" s="72"/>
      <c r="D72" s="72"/>
      <c r="E72" s="69"/>
      <c r="F72" s="69"/>
      <c r="G72" s="69"/>
      <c r="H72" s="69"/>
      <c r="I72" s="69"/>
      <c r="J72" s="69"/>
      <c r="K72" s="69"/>
      <c r="L72" s="72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  <c r="AA72" s="69"/>
      <c r="AB72" s="69"/>
      <c r="AC72" s="69"/>
      <c r="AD72" s="69"/>
      <c r="AE72" s="69"/>
      <c r="AF72" s="69"/>
      <c r="AG72" s="69"/>
      <c r="AH72" s="69"/>
      <c r="AI72" s="69"/>
      <c r="AJ72" s="69"/>
      <c r="AK72" s="69"/>
      <c r="AL72" s="69"/>
      <c r="AM72" s="72"/>
      <c r="AN72" s="72"/>
      <c r="AO72" s="72"/>
      <c r="AP72" s="72"/>
      <c r="AQ72" s="72"/>
      <c r="AR72" s="72"/>
      <c r="AS72" s="69"/>
      <c r="AT72" s="69"/>
    </row>
    <row r="73" spans="2:46" ht="15.75" customHeight="1" x14ac:dyDescent="0.3">
      <c r="B73" s="72"/>
      <c r="C73" s="72"/>
      <c r="D73" s="72"/>
      <c r="E73" s="69"/>
      <c r="F73" s="69"/>
      <c r="G73" s="69"/>
      <c r="H73" s="69"/>
      <c r="I73" s="69"/>
      <c r="J73" s="69"/>
      <c r="K73" s="69"/>
      <c r="L73" s="72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  <c r="AA73" s="69"/>
      <c r="AB73" s="69"/>
      <c r="AC73" s="69"/>
      <c r="AD73" s="69"/>
      <c r="AE73" s="69"/>
      <c r="AF73" s="69"/>
      <c r="AG73" s="69"/>
      <c r="AH73" s="69"/>
      <c r="AI73" s="69"/>
      <c r="AJ73" s="69"/>
      <c r="AK73" s="69"/>
      <c r="AL73" s="69"/>
      <c r="AM73" s="72"/>
      <c r="AN73" s="72"/>
      <c r="AO73" s="72"/>
      <c r="AP73" s="72"/>
      <c r="AQ73" s="72"/>
      <c r="AR73" s="72"/>
      <c r="AS73" s="69"/>
      <c r="AT73" s="69"/>
    </row>
    <row r="74" spans="2:46" ht="15.75" customHeight="1" x14ac:dyDescent="0.3">
      <c r="B74" s="72"/>
      <c r="C74" s="72"/>
      <c r="D74" s="72"/>
      <c r="E74" s="69"/>
      <c r="F74" s="69"/>
      <c r="G74" s="69"/>
      <c r="H74" s="69"/>
      <c r="I74" s="69"/>
      <c r="J74" s="69"/>
      <c r="K74" s="69"/>
      <c r="L74" s="72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  <c r="AA74" s="69"/>
      <c r="AB74" s="69"/>
      <c r="AC74" s="69"/>
      <c r="AD74" s="69"/>
      <c r="AE74" s="69"/>
      <c r="AF74" s="69"/>
      <c r="AG74" s="69"/>
      <c r="AH74" s="69"/>
      <c r="AI74" s="69"/>
      <c r="AJ74" s="69"/>
      <c r="AK74" s="69"/>
      <c r="AL74" s="69"/>
      <c r="AM74" s="72"/>
      <c r="AN74" s="72"/>
      <c r="AO74" s="72"/>
      <c r="AP74" s="72"/>
      <c r="AQ74" s="72"/>
      <c r="AR74" s="72"/>
      <c r="AS74" s="69"/>
      <c r="AT74" s="69"/>
    </row>
    <row r="75" spans="2:46" ht="15.75" customHeight="1" x14ac:dyDescent="0.3">
      <c r="B75" s="72"/>
      <c r="C75" s="72"/>
      <c r="D75" s="72"/>
      <c r="E75" s="69"/>
      <c r="F75" s="69"/>
      <c r="G75" s="69"/>
      <c r="H75" s="69"/>
      <c r="I75" s="69"/>
      <c r="J75" s="69"/>
      <c r="K75" s="69"/>
      <c r="L75" s="72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  <c r="AA75" s="69"/>
      <c r="AB75" s="69"/>
      <c r="AC75" s="69"/>
      <c r="AD75" s="69"/>
      <c r="AE75" s="69"/>
      <c r="AF75" s="69"/>
      <c r="AG75" s="69"/>
      <c r="AH75" s="69"/>
      <c r="AI75" s="69"/>
      <c r="AJ75" s="69"/>
      <c r="AK75" s="69"/>
      <c r="AL75" s="69"/>
      <c r="AM75" s="72"/>
      <c r="AN75" s="72"/>
      <c r="AO75" s="72"/>
      <c r="AP75" s="72"/>
      <c r="AQ75" s="72"/>
      <c r="AR75" s="72"/>
      <c r="AS75" s="69"/>
      <c r="AT75" s="69"/>
    </row>
    <row r="76" spans="2:46" ht="15.75" customHeight="1" x14ac:dyDescent="0.3">
      <c r="B76" s="72"/>
      <c r="C76" s="72"/>
      <c r="D76" s="72"/>
      <c r="E76" s="69"/>
      <c r="F76" s="69"/>
      <c r="G76" s="69"/>
      <c r="H76" s="69"/>
      <c r="I76" s="69"/>
      <c r="J76" s="69"/>
      <c r="K76" s="69"/>
      <c r="L76" s="72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69"/>
      <c r="AA76" s="69"/>
      <c r="AB76" s="69"/>
      <c r="AC76" s="69"/>
      <c r="AD76" s="69"/>
      <c r="AE76" s="69"/>
      <c r="AF76" s="69"/>
      <c r="AG76" s="69"/>
      <c r="AH76" s="69"/>
      <c r="AI76" s="69"/>
      <c r="AJ76" s="69"/>
      <c r="AK76" s="69"/>
      <c r="AL76" s="69"/>
      <c r="AM76" s="72"/>
      <c r="AN76" s="72"/>
      <c r="AO76" s="72"/>
      <c r="AP76" s="72"/>
      <c r="AQ76" s="72"/>
      <c r="AR76" s="72"/>
      <c r="AS76" s="69"/>
      <c r="AT76" s="69"/>
    </row>
    <row r="77" spans="2:46" ht="15.75" customHeight="1" x14ac:dyDescent="0.3"/>
    <row r="78" spans="2:46" ht="15.75" customHeight="1" x14ac:dyDescent="0.3"/>
    <row r="79" spans="2:46" ht="15.75" customHeight="1" x14ac:dyDescent="0.3"/>
    <row r="80" spans="2:46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</sheetData>
  <mergeCells count="47">
    <mergeCell ref="E2:K2"/>
    <mergeCell ref="E3:K3"/>
    <mergeCell ref="E4:E5"/>
    <mergeCell ref="F4:F5"/>
    <mergeCell ref="G4:G5"/>
    <mergeCell ref="H4:H5"/>
    <mergeCell ref="I4:J4"/>
    <mergeCell ref="B2:D2"/>
    <mergeCell ref="D3:D5"/>
    <mergeCell ref="N2:O2"/>
    <mergeCell ref="P2:S2"/>
    <mergeCell ref="B3:B5"/>
    <mergeCell ref="C3:C5"/>
    <mergeCell ref="M3:M4"/>
    <mergeCell ref="S4:S5"/>
    <mergeCell ref="P3:S3"/>
    <mergeCell ref="P4:P5"/>
    <mergeCell ref="Q4:Q5"/>
    <mergeCell ref="N4:N5"/>
    <mergeCell ref="O4:O5"/>
    <mergeCell ref="N3:O3"/>
    <mergeCell ref="R4:R5"/>
    <mergeCell ref="L3:L4"/>
    <mergeCell ref="AS3:AT4"/>
    <mergeCell ref="AS2:AT2"/>
    <mergeCell ref="AG3:AJ3"/>
    <mergeCell ref="T3:U3"/>
    <mergeCell ref="T2:U2"/>
    <mergeCell ref="Y3:AB3"/>
    <mergeCell ref="Y2:AB2"/>
    <mergeCell ref="X3:X5"/>
    <mergeCell ref="T4:T5"/>
    <mergeCell ref="U4:U5"/>
    <mergeCell ref="Y4:AA4"/>
    <mergeCell ref="V2:W2"/>
    <mergeCell ref="V3:W3"/>
    <mergeCell ref="V4:V5"/>
    <mergeCell ref="W4:W5"/>
    <mergeCell ref="AC2:AF2"/>
    <mergeCell ref="AG2:AJ2"/>
    <mergeCell ref="AC3:AF3"/>
    <mergeCell ref="AL3:AL5"/>
    <mergeCell ref="AM2:AR2"/>
    <mergeCell ref="AM3:AR4"/>
    <mergeCell ref="AK3:AK5"/>
    <mergeCell ref="AC4:AF4"/>
    <mergeCell ref="AG4:AJ4"/>
  </mergeCells>
  <phoneticPr fontId="24" type="noConversion"/>
  <conditionalFormatting sqref="B1:B1048576">
    <cfRule type="duplicateValues" dxfId="873" priority="1"/>
  </conditionalFormatting>
  <conditionalFormatting sqref="B30:B36">
    <cfRule type="duplicateValues" dxfId="872" priority="924"/>
    <cfRule type="duplicateValues" dxfId="871" priority="925"/>
    <cfRule type="duplicateValues" dxfId="870" priority="926"/>
    <cfRule type="duplicateValues" dxfId="869" priority="930"/>
  </conditionalFormatting>
  <conditionalFormatting sqref="B37:B68">
    <cfRule type="duplicateValues" dxfId="868" priority="2"/>
    <cfRule type="duplicateValues" dxfId="867" priority="3"/>
  </conditionalFormatting>
  <conditionalFormatting sqref="B69:B1048576 B1:B36">
    <cfRule type="duplicateValues" dxfId="866" priority="9"/>
    <cfRule type="duplicateValues" dxfId="865" priority="10"/>
    <cfRule type="duplicateValues" dxfId="864" priority="16"/>
  </conditionalFormatting>
  <pageMargins left="0.511811024" right="0.511811024" top="0.78740157499999996" bottom="0.78740157499999996" header="0" footer="0"/>
  <pageSetup orientation="landscape" r:id="rId1"/>
  <ignoredErrors>
    <ignoredError sqref="AS2" numberStoredAsText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T980"/>
  <sheetViews>
    <sheetView tabSelected="1" workbookViewId="0">
      <pane xSplit="3" ySplit="5" topLeftCell="N6" activePane="bottomRight" state="frozen"/>
      <selection pane="topRight" activeCell="D1" sqref="D1"/>
      <selection pane="bottomLeft" activeCell="A8" sqref="A8"/>
      <selection pane="bottomRight" activeCell="W8" sqref="W8"/>
    </sheetView>
  </sheetViews>
  <sheetFormatPr defaultColWidth="14.44140625" defaultRowHeight="15" customHeight="1" x14ac:dyDescent="0.3"/>
  <cols>
    <col min="1" max="1" width="8.33203125" bestFit="1" customWidth="1"/>
    <col min="2" max="2" width="15" style="54" bestFit="1" customWidth="1"/>
    <col min="3" max="3" width="15" style="54" customWidth="1"/>
    <col min="4" max="4" width="15" style="54" hidden="1" customWidth="1"/>
    <col min="5" max="5" width="11.6640625" customWidth="1"/>
    <col min="6" max="6" width="6.88671875" customWidth="1"/>
    <col min="7" max="8" width="7.5546875" customWidth="1"/>
    <col min="9" max="9" width="8" customWidth="1"/>
    <col min="10" max="10" width="8.5546875" customWidth="1"/>
    <col min="11" max="11" width="8.44140625" customWidth="1"/>
    <col min="12" max="12" width="15" style="54" customWidth="1"/>
    <col min="13" max="13" width="12.88671875" customWidth="1"/>
    <col min="14" max="14" width="8.33203125" customWidth="1"/>
    <col min="15" max="15" width="9.33203125" customWidth="1"/>
    <col min="16" max="19" width="8.5546875" customWidth="1"/>
    <col min="20" max="20" width="11.88671875" customWidth="1"/>
    <col min="21" max="21" width="10.44140625" customWidth="1"/>
    <col min="22" max="23" width="11.44140625" customWidth="1"/>
    <col min="24" max="24" width="11" customWidth="1"/>
    <col min="25" max="25" width="6.6640625" customWidth="1"/>
    <col min="26" max="26" width="6.33203125" customWidth="1"/>
    <col min="27" max="27" width="5.5546875" customWidth="1"/>
    <col min="28" max="36" width="8.5546875" customWidth="1"/>
    <col min="37" max="37" width="17" customWidth="1"/>
    <col min="38" max="38" width="11.6640625" customWidth="1"/>
    <col min="39" max="39" width="7.44140625" style="54" customWidth="1"/>
    <col min="40" max="43" width="6.88671875" style="54" customWidth="1"/>
    <col min="44" max="44" width="8.5546875" style="54" customWidth="1"/>
    <col min="45" max="46" width="16" customWidth="1"/>
  </cols>
  <sheetData>
    <row r="1" spans="1:46" ht="15" customHeight="1" x14ac:dyDescent="0.3">
      <c r="E1" s="1"/>
      <c r="F1" s="1"/>
      <c r="G1" s="1"/>
      <c r="H1" s="1"/>
      <c r="I1" s="1"/>
      <c r="J1" s="1"/>
      <c r="K1" s="1"/>
    </row>
    <row r="2" spans="1:46" ht="29.25" customHeight="1" x14ac:dyDescent="0.3">
      <c r="B2" s="402" t="s">
        <v>63</v>
      </c>
      <c r="C2" s="403"/>
      <c r="D2" s="404"/>
      <c r="E2" s="385" t="s">
        <v>328</v>
      </c>
      <c r="F2" s="378"/>
      <c r="G2" s="378"/>
      <c r="H2" s="378"/>
      <c r="I2" s="378"/>
      <c r="J2" s="378"/>
      <c r="K2" s="379"/>
      <c r="L2" s="232" t="s">
        <v>330</v>
      </c>
      <c r="M2" s="49" t="s">
        <v>84</v>
      </c>
      <c r="N2" s="384" t="s">
        <v>85</v>
      </c>
      <c r="O2" s="384"/>
      <c r="P2" s="384" t="s">
        <v>86</v>
      </c>
      <c r="Q2" s="384"/>
      <c r="R2" s="384"/>
      <c r="S2" s="384"/>
      <c r="T2" s="385" t="s">
        <v>91</v>
      </c>
      <c r="U2" s="379"/>
      <c r="V2" s="385" t="s">
        <v>91</v>
      </c>
      <c r="W2" s="379"/>
      <c r="X2" s="49" t="s">
        <v>92</v>
      </c>
      <c r="Y2" s="385">
        <v>14.7</v>
      </c>
      <c r="Z2" s="378"/>
      <c r="AA2" s="378"/>
      <c r="AB2" s="379"/>
      <c r="AC2" s="378">
        <v>14.8</v>
      </c>
      <c r="AD2" s="378"/>
      <c r="AE2" s="378"/>
      <c r="AF2" s="379"/>
      <c r="AG2" s="378">
        <v>14.9</v>
      </c>
      <c r="AH2" s="378"/>
      <c r="AI2" s="378"/>
      <c r="AJ2" s="379"/>
      <c r="AK2" s="49" t="s">
        <v>98</v>
      </c>
      <c r="AL2" s="49" t="s">
        <v>102</v>
      </c>
      <c r="AM2" s="384" t="s">
        <v>100</v>
      </c>
      <c r="AN2" s="384"/>
      <c r="AO2" s="384"/>
      <c r="AP2" s="385"/>
      <c r="AQ2" s="385"/>
      <c r="AR2" s="385"/>
      <c r="AS2" s="385" t="s">
        <v>99</v>
      </c>
      <c r="AT2" s="379"/>
    </row>
    <row r="3" spans="1:46" ht="42.75" customHeight="1" x14ac:dyDescent="0.3">
      <c r="B3" s="405" t="s">
        <v>83</v>
      </c>
      <c r="C3" s="406" t="s">
        <v>412</v>
      </c>
      <c r="D3" s="413" t="s">
        <v>386</v>
      </c>
      <c r="E3" s="405" t="s">
        <v>122</v>
      </c>
      <c r="F3" s="405"/>
      <c r="G3" s="405"/>
      <c r="H3" s="405"/>
      <c r="I3" s="405"/>
      <c r="J3" s="405"/>
      <c r="K3" s="405"/>
      <c r="L3" s="412" t="s">
        <v>405</v>
      </c>
      <c r="M3" s="351" t="s">
        <v>52</v>
      </c>
      <c r="N3" s="363" t="s">
        <v>53</v>
      </c>
      <c r="O3" s="364"/>
      <c r="P3" s="363" t="s">
        <v>93</v>
      </c>
      <c r="Q3" s="407"/>
      <c r="R3" s="407"/>
      <c r="S3" s="364"/>
      <c r="T3" s="380" t="s">
        <v>54</v>
      </c>
      <c r="U3" s="400"/>
      <c r="V3" s="380" t="s">
        <v>394</v>
      </c>
      <c r="W3" s="400"/>
      <c r="X3" s="383" t="s">
        <v>55</v>
      </c>
      <c r="Y3" s="380" t="s">
        <v>56</v>
      </c>
      <c r="Z3" s="399"/>
      <c r="AA3" s="399"/>
      <c r="AB3" s="400"/>
      <c r="AC3" s="380" t="s">
        <v>57</v>
      </c>
      <c r="AD3" s="381"/>
      <c r="AE3" s="381"/>
      <c r="AF3" s="382"/>
      <c r="AG3" s="380" t="s">
        <v>96</v>
      </c>
      <c r="AH3" s="399"/>
      <c r="AI3" s="399"/>
      <c r="AJ3" s="400"/>
      <c r="AK3" s="383" t="s">
        <v>268</v>
      </c>
      <c r="AL3" s="383" t="s">
        <v>267</v>
      </c>
      <c r="AM3" s="386" t="s">
        <v>101</v>
      </c>
      <c r="AN3" s="387"/>
      <c r="AO3" s="387"/>
      <c r="AP3" s="387"/>
      <c r="AQ3" s="387"/>
      <c r="AR3" s="387"/>
      <c r="AS3" s="344" t="s">
        <v>264</v>
      </c>
      <c r="AT3" s="397"/>
    </row>
    <row r="4" spans="1:46" ht="23.25" customHeight="1" x14ac:dyDescent="0.3">
      <c r="B4" s="405"/>
      <c r="C4" s="406"/>
      <c r="D4" s="386"/>
      <c r="E4" s="405" t="s">
        <v>37</v>
      </c>
      <c r="F4" s="405" t="s">
        <v>25</v>
      </c>
      <c r="G4" s="405" t="s">
        <v>38</v>
      </c>
      <c r="H4" s="405" t="s">
        <v>39</v>
      </c>
      <c r="I4" s="405" t="s">
        <v>40</v>
      </c>
      <c r="J4" s="405"/>
      <c r="K4" s="52" t="s">
        <v>410</v>
      </c>
      <c r="L4" s="406"/>
      <c r="M4" s="383"/>
      <c r="N4" s="337" t="s">
        <v>87</v>
      </c>
      <c r="O4" s="337" t="s">
        <v>88</v>
      </c>
      <c r="P4" s="337" t="s">
        <v>361</v>
      </c>
      <c r="Q4" s="337" t="s">
        <v>363</v>
      </c>
      <c r="R4" s="337" t="s">
        <v>362</v>
      </c>
      <c r="S4" s="337" t="s">
        <v>364</v>
      </c>
      <c r="T4" s="337" t="s">
        <v>89</v>
      </c>
      <c r="U4" s="337" t="s">
        <v>90</v>
      </c>
      <c r="V4" s="337"/>
      <c r="W4" s="337" t="s">
        <v>90</v>
      </c>
      <c r="X4" s="367"/>
      <c r="Y4" s="339" t="s">
        <v>94</v>
      </c>
      <c r="Z4" s="341"/>
      <c r="AA4" s="340"/>
      <c r="AB4" s="194"/>
      <c r="AC4" s="374" t="s">
        <v>95</v>
      </c>
      <c r="AD4" s="392"/>
      <c r="AE4" s="392"/>
      <c r="AF4" s="393"/>
      <c r="AG4" s="394" t="s">
        <v>97</v>
      </c>
      <c r="AH4" s="395"/>
      <c r="AI4" s="395"/>
      <c r="AJ4" s="396"/>
      <c r="AK4" s="367"/>
      <c r="AL4" s="367"/>
      <c r="AM4" s="388"/>
      <c r="AN4" s="389"/>
      <c r="AO4" s="389"/>
      <c r="AP4" s="390"/>
      <c r="AQ4" s="390"/>
      <c r="AR4" s="390"/>
      <c r="AS4" s="346"/>
      <c r="AT4" s="398"/>
    </row>
    <row r="5" spans="1:46" ht="50.25" customHeight="1" x14ac:dyDescent="0.3">
      <c r="B5" s="405"/>
      <c r="C5" s="406"/>
      <c r="D5" s="386"/>
      <c r="E5" s="405"/>
      <c r="F5" s="405"/>
      <c r="G5" s="405"/>
      <c r="H5" s="405"/>
      <c r="I5" s="52" t="s">
        <v>44</v>
      </c>
      <c r="J5" s="52" t="s">
        <v>45</v>
      </c>
      <c r="K5" s="52" t="s">
        <v>409</v>
      </c>
      <c r="L5" s="252" t="s">
        <v>406</v>
      </c>
      <c r="M5" s="177" t="s">
        <v>360</v>
      </c>
      <c r="N5" s="338"/>
      <c r="O5" s="338"/>
      <c r="P5" s="401"/>
      <c r="Q5" s="401"/>
      <c r="R5" s="401"/>
      <c r="S5" s="401"/>
      <c r="T5" s="401"/>
      <c r="U5" s="401"/>
      <c r="V5" s="401"/>
      <c r="W5" s="401"/>
      <c r="X5" s="338"/>
      <c r="Y5" s="34">
        <v>1</v>
      </c>
      <c r="Z5" s="34">
        <v>2</v>
      </c>
      <c r="AA5" s="34">
        <v>3</v>
      </c>
      <c r="AB5" s="52" t="s">
        <v>58</v>
      </c>
      <c r="AC5" s="34">
        <v>1</v>
      </c>
      <c r="AD5" s="34">
        <v>2</v>
      </c>
      <c r="AE5" s="51">
        <v>3</v>
      </c>
      <c r="AF5" s="52" t="s">
        <v>58</v>
      </c>
      <c r="AG5" s="33">
        <v>1</v>
      </c>
      <c r="AH5" s="33">
        <v>2</v>
      </c>
      <c r="AI5" s="45">
        <v>3</v>
      </c>
      <c r="AJ5" s="52" t="s">
        <v>58</v>
      </c>
      <c r="AK5" s="391"/>
      <c r="AL5" s="338"/>
      <c r="AM5" s="34" t="s">
        <v>59</v>
      </c>
      <c r="AN5" s="34" t="s">
        <v>60</v>
      </c>
      <c r="AO5" s="34" t="s">
        <v>61</v>
      </c>
      <c r="AP5" s="51" t="s">
        <v>314</v>
      </c>
      <c r="AQ5" s="51" t="s">
        <v>315</v>
      </c>
      <c r="AR5" s="149" t="s">
        <v>62</v>
      </c>
      <c r="AS5" s="154" t="s">
        <v>265</v>
      </c>
      <c r="AT5" s="154" t="s">
        <v>266</v>
      </c>
    </row>
    <row r="6" spans="1:46" ht="14.4" x14ac:dyDescent="0.3">
      <c r="A6" s="207"/>
      <c r="B6" s="147" t="s">
        <v>375</v>
      </c>
      <c r="C6" s="201" t="s">
        <v>271</v>
      </c>
      <c r="D6" s="205"/>
      <c r="E6" s="200" t="s">
        <v>269</v>
      </c>
      <c r="F6" s="200" t="s">
        <v>269</v>
      </c>
      <c r="G6" s="200" t="s">
        <v>269</v>
      </c>
      <c r="H6" s="200" t="s">
        <v>269</v>
      </c>
      <c r="I6" s="200" t="s">
        <v>269</v>
      </c>
      <c r="J6" s="200" t="s">
        <v>269</v>
      </c>
      <c r="K6" s="200" t="s">
        <v>269</v>
      </c>
      <c r="L6" s="200" t="s">
        <v>269</v>
      </c>
      <c r="M6" s="203">
        <v>0.3</v>
      </c>
      <c r="N6" s="50" t="s">
        <v>269</v>
      </c>
      <c r="O6" s="50" t="s">
        <v>269</v>
      </c>
      <c r="P6" s="50" t="s">
        <v>269</v>
      </c>
      <c r="Q6" s="50" t="s">
        <v>269</v>
      </c>
      <c r="R6" s="50" t="s">
        <v>269</v>
      </c>
      <c r="S6" s="50" t="s">
        <v>269</v>
      </c>
      <c r="T6" s="195">
        <v>330</v>
      </c>
      <c r="U6" s="151">
        <v>24</v>
      </c>
      <c r="V6" s="50" t="s">
        <v>269</v>
      </c>
      <c r="W6" s="50" t="s">
        <v>269</v>
      </c>
      <c r="X6" s="50" t="s">
        <v>269</v>
      </c>
      <c r="Y6" s="50" t="s">
        <v>269</v>
      </c>
      <c r="Z6" s="50" t="s">
        <v>269</v>
      </c>
      <c r="AA6" s="50" t="s">
        <v>269</v>
      </c>
      <c r="AB6" s="50" t="s">
        <v>269</v>
      </c>
      <c r="AC6" s="50" t="s">
        <v>269</v>
      </c>
      <c r="AD6" s="50" t="s">
        <v>269</v>
      </c>
      <c r="AE6" s="50" t="s">
        <v>269</v>
      </c>
      <c r="AF6" s="50" t="s">
        <v>269</v>
      </c>
      <c r="AG6" s="50" t="s">
        <v>269</v>
      </c>
      <c r="AH6" s="50" t="s">
        <v>269</v>
      </c>
      <c r="AI6" s="50" t="s">
        <v>269</v>
      </c>
      <c r="AJ6" s="50" t="s">
        <v>269</v>
      </c>
      <c r="AK6" s="50" t="s">
        <v>269</v>
      </c>
      <c r="AL6" s="151" t="s">
        <v>389</v>
      </c>
      <c r="AM6" s="50" t="s">
        <v>269</v>
      </c>
      <c r="AN6" s="50" t="s">
        <v>269</v>
      </c>
      <c r="AO6" s="50" t="s">
        <v>269</v>
      </c>
      <c r="AP6" s="50" t="s">
        <v>269</v>
      </c>
      <c r="AQ6" s="50" t="s">
        <v>269</v>
      </c>
      <c r="AR6" s="50" t="s">
        <v>269</v>
      </c>
      <c r="AS6" s="215" t="s">
        <v>269</v>
      </c>
      <c r="AT6" s="215" t="s">
        <v>269</v>
      </c>
    </row>
    <row r="7" spans="1:46" ht="14.4" x14ac:dyDescent="0.3">
      <c r="B7" s="408" t="s">
        <v>388</v>
      </c>
      <c r="C7" s="410" t="s">
        <v>271</v>
      </c>
      <c r="D7" s="205"/>
      <c r="E7" s="253">
        <v>5.8</v>
      </c>
      <c r="F7" s="253">
        <v>22.4</v>
      </c>
      <c r="G7" s="253">
        <v>5</v>
      </c>
      <c r="H7" s="253">
        <f>I7/J7</f>
        <v>1.182466870540265</v>
      </c>
      <c r="I7" s="255">
        <f>10*E7</f>
        <v>58</v>
      </c>
      <c r="J7" s="253">
        <f>5*9.81</f>
        <v>49.050000000000004</v>
      </c>
      <c r="K7" s="253">
        <v>25</v>
      </c>
      <c r="L7" s="150" t="s">
        <v>263</v>
      </c>
      <c r="M7" s="200" t="s">
        <v>269</v>
      </c>
      <c r="N7" s="153" t="s">
        <v>376</v>
      </c>
      <c r="O7" s="153" t="s">
        <v>377</v>
      </c>
      <c r="P7" s="206">
        <v>23</v>
      </c>
      <c r="Q7" s="206">
        <v>0.03</v>
      </c>
      <c r="R7" s="206">
        <v>60</v>
      </c>
      <c r="S7" s="206">
        <v>7.0000000000000007E-2</v>
      </c>
      <c r="T7" s="195">
        <v>366</v>
      </c>
      <c r="U7" s="151">
        <v>26.4</v>
      </c>
      <c r="V7" s="50" t="s">
        <v>269</v>
      </c>
      <c r="W7" s="50" t="s">
        <v>269</v>
      </c>
      <c r="X7" s="150" t="s">
        <v>263</v>
      </c>
      <c r="Y7" s="213">
        <v>1.53</v>
      </c>
      <c r="Z7" s="213">
        <v>1.67</v>
      </c>
      <c r="AA7" s="213">
        <v>1.58</v>
      </c>
      <c r="AB7" s="213">
        <f>AVERAGE(Y7:AA7)</f>
        <v>1.5933333333333335</v>
      </c>
      <c r="AC7" s="206">
        <v>3.89</v>
      </c>
      <c r="AD7" s="206">
        <v>3.53</v>
      </c>
      <c r="AE7" s="206">
        <v>3.7</v>
      </c>
      <c r="AF7" s="206">
        <f>AVERAGE(AC7:AE7)</f>
        <v>3.706666666666667</v>
      </c>
      <c r="AG7" s="206">
        <v>4.47</v>
      </c>
      <c r="AH7" s="206">
        <v>4.6100000000000003</v>
      </c>
      <c r="AI7" s="206">
        <v>4.59</v>
      </c>
      <c r="AJ7" s="206">
        <f>AVERAGE(AG7:AI7)</f>
        <v>4.5566666666666666</v>
      </c>
      <c r="AK7" s="150" t="s">
        <v>263</v>
      </c>
      <c r="AL7" s="50" t="s">
        <v>269</v>
      </c>
      <c r="AM7" s="170">
        <v>65</v>
      </c>
      <c r="AN7" s="170">
        <v>67</v>
      </c>
      <c r="AO7" s="170">
        <v>65</v>
      </c>
      <c r="AP7" s="170">
        <v>67</v>
      </c>
      <c r="AQ7" s="170">
        <v>66</v>
      </c>
      <c r="AR7" s="165">
        <f>AVERAGE(AM7:AQ7)</f>
        <v>66</v>
      </c>
      <c r="AS7" s="150" t="s">
        <v>263</v>
      </c>
      <c r="AT7" s="150" t="s">
        <v>263</v>
      </c>
    </row>
    <row r="8" spans="1:46" ht="14.4" x14ac:dyDescent="0.3">
      <c r="B8" s="409"/>
      <c r="C8" s="411"/>
      <c r="D8" s="205"/>
      <c r="E8" s="50" t="s">
        <v>269</v>
      </c>
      <c r="F8" s="50" t="s">
        <v>269</v>
      </c>
      <c r="G8" s="50" t="s">
        <v>269</v>
      </c>
      <c r="H8" s="50" t="s">
        <v>269</v>
      </c>
      <c r="I8" s="50" t="s">
        <v>269</v>
      </c>
      <c r="J8" s="50" t="s">
        <v>269</v>
      </c>
      <c r="K8" s="50" t="s">
        <v>269</v>
      </c>
      <c r="L8" s="50" t="s">
        <v>269</v>
      </c>
      <c r="M8" s="50" t="s">
        <v>269</v>
      </c>
      <c r="N8" s="50" t="s">
        <v>269</v>
      </c>
      <c r="O8" s="50" t="s">
        <v>269</v>
      </c>
      <c r="P8" s="50" t="s">
        <v>269</v>
      </c>
      <c r="Q8" s="50" t="s">
        <v>269</v>
      </c>
      <c r="R8" s="50" t="s">
        <v>269</v>
      </c>
      <c r="S8" s="50" t="s">
        <v>269</v>
      </c>
      <c r="T8" s="260">
        <f>(254+473+873+784+870)/5</f>
        <v>650.79999999999995</v>
      </c>
      <c r="U8" s="151">
        <f>(25.43+25.18+25.12+24.62+25.25)/5</f>
        <v>25.12</v>
      </c>
      <c r="V8" s="50" t="s">
        <v>269</v>
      </c>
      <c r="W8" s="50" t="s">
        <v>269</v>
      </c>
      <c r="X8" s="50" t="s">
        <v>269</v>
      </c>
      <c r="Y8" s="50" t="s">
        <v>269</v>
      </c>
      <c r="Z8" s="50" t="s">
        <v>269</v>
      </c>
      <c r="AA8" s="50" t="s">
        <v>269</v>
      </c>
      <c r="AB8" s="50" t="s">
        <v>269</v>
      </c>
      <c r="AC8" s="50" t="s">
        <v>269</v>
      </c>
      <c r="AD8" s="50" t="s">
        <v>269</v>
      </c>
      <c r="AE8" s="50" t="s">
        <v>269</v>
      </c>
      <c r="AF8" s="50" t="s">
        <v>269</v>
      </c>
      <c r="AG8" s="50" t="s">
        <v>269</v>
      </c>
      <c r="AH8" s="50" t="s">
        <v>269</v>
      </c>
      <c r="AI8" s="50" t="s">
        <v>269</v>
      </c>
      <c r="AJ8" s="50" t="s">
        <v>269</v>
      </c>
      <c r="AK8" s="50" t="s">
        <v>269</v>
      </c>
      <c r="AL8" s="50" t="s">
        <v>269</v>
      </c>
      <c r="AM8" s="50" t="s">
        <v>269</v>
      </c>
      <c r="AN8" s="50" t="s">
        <v>269</v>
      </c>
      <c r="AO8" s="50" t="s">
        <v>269</v>
      </c>
      <c r="AP8" s="50" t="s">
        <v>269</v>
      </c>
      <c r="AQ8" s="50" t="s">
        <v>269</v>
      </c>
      <c r="AR8" s="50" t="s">
        <v>269</v>
      </c>
      <c r="AS8" s="50" t="s">
        <v>269</v>
      </c>
      <c r="AT8" s="50" t="s">
        <v>269</v>
      </c>
    </row>
    <row r="9" spans="1:46" ht="15.75" customHeight="1" x14ac:dyDescent="0.3">
      <c r="B9" s="208" t="s">
        <v>230</v>
      </c>
      <c r="C9" s="251" t="s">
        <v>271</v>
      </c>
      <c r="D9" s="205"/>
      <c r="E9" s="200" t="s">
        <v>269</v>
      </c>
      <c r="F9" s="200" t="s">
        <v>269</v>
      </c>
      <c r="G9" s="200" t="s">
        <v>269</v>
      </c>
      <c r="H9" s="200" t="s">
        <v>269</v>
      </c>
      <c r="I9" s="200" t="s">
        <v>269</v>
      </c>
      <c r="J9" s="200" t="s">
        <v>269</v>
      </c>
      <c r="K9" s="200" t="s">
        <v>269</v>
      </c>
      <c r="L9" s="200" t="s">
        <v>269</v>
      </c>
      <c r="M9" s="200" t="s">
        <v>269</v>
      </c>
      <c r="N9" s="50" t="s">
        <v>269</v>
      </c>
      <c r="O9" s="50" t="s">
        <v>269</v>
      </c>
      <c r="P9" s="50" t="s">
        <v>269</v>
      </c>
      <c r="Q9" s="50" t="s">
        <v>269</v>
      </c>
      <c r="R9" s="50" t="s">
        <v>269</v>
      </c>
      <c r="S9" s="50" t="s">
        <v>269</v>
      </c>
      <c r="T9" s="216">
        <f>(666+802+481+636+636)/5</f>
        <v>644.20000000000005</v>
      </c>
      <c r="U9" s="216">
        <f>(25.3+25.3+26.1+27.3+27.5)/5</f>
        <v>26.3</v>
      </c>
      <c r="V9" s="50" t="s">
        <v>269</v>
      </c>
      <c r="W9" s="257">
        <f>(15.35+16.81+17.98+18.73+16.81)/5</f>
        <v>17.136000000000003</v>
      </c>
      <c r="X9" s="50" t="s">
        <v>269</v>
      </c>
      <c r="Y9" s="50" t="s">
        <v>269</v>
      </c>
      <c r="Z9" s="50" t="s">
        <v>269</v>
      </c>
      <c r="AA9" s="50" t="s">
        <v>269</v>
      </c>
      <c r="AB9" s="50" t="s">
        <v>269</v>
      </c>
      <c r="AC9" s="50" t="s">
        <v>269</v>
      </c>
      <c r="AD9" s="50" t="s">
        <v>269</v>
      </c>
      <c r="AE9" s="50" t="s">
        <v>269</v>
      </c>
      <c r="AF9" s="50" t="s">
        <v>269</v>
      </c>
      <c r="AG9" s="50" t="s">
        <v>269</v>
      </c>
      <c r="AH9" s="50" t="s">
        <v>269</v>
      </c>
      <c r="AI9" s="50" t="s">
        <v>269</v>
      </c>
      <c r="AJ9" s="50" t="s">
        <v>269</v>
      </c>
      <c r="AK9" s="50" t="s">
        <v>269</v>
      </c>
      <c r="AL9" s="50" t="s">
        <v>269</v>
      </c>
      <c r="AM9" s="50" t="s">
        <v>269</v>
      </c>
      <c r="AN9" s="50" t="s">
        <v>269</v>
      </c>
      <c r="AO9" s="50" t="s">
        <v>269</v>
      </c>
      <c r="AP9" s="50" t="s">
        <v>269</v>
      </c>
      <c r="AQ9" s="50" t="s">
        <v>269</v>
      </c>
      <c r="AR9" s="50" t="s">
        <v>269</v>
      </c>
      <c r="AS9" s="215" t="s">
        <v>269</v>
      </c>
      <c r="AT9" s="215" t="s">
        <v>269</v>
      </c>
    </row>
    <row r="10" spans="1:46" ht="15.75" customHeight="1" x14ac:dyDescent="0.3">
      <c r="B10" s="231" t="s">
        <v>302</v>
      </c>
      <c r="C10" s="251" t="s">
        <v>271</v>
      </c>
      <c r="D10" s="205"/>
      <c r="E10" s="253">
        <v>5.5</v>
      </c>
      <c r="F10" s="253">
        <v>22.4</v>
      </c>
      <c r="G10" s="253">
        <v>5</v>
      </c>
      <c r="H10" s="253">
        <f>I10/J10</f>
        <v>1.1213047910295615</v>
      </c>
      <c r="I10" s="255">
        <f>10*E10</f>
        <v>55</v>
      </c>
      <c r="J10" s="253">
        <f>5*9.81</f>
        <v>49.050000000000004</v>
      </c>
      <c r="K10" s="253">
        <v>25</v>
      </c>
      <c r="L10" s="200" t="s">
        <v>269</v>
      </c>
      <c r="M10" s="200" t="s">
        <v>269</v>
      </c>
      <c r="N10" s="50" t="s">
        <v>269</v>
      </c>
      <c r="O10" s="50" t="s">
        <v>269</v>
      </c>
      <c r="P10" s="50" t="s">
        <v>269</v>
      </c>
      <c r="Q10" s="50" t="s">
        <v>269</v>
      </c>
      <c r="R10" s="50" t="s">
        <v>269</v>
      </c>
      <c r="S10" s="50" t="s">
        <v>269</v>
      </c>
      <c r="T10" s="50" t="s">
        <v>269</v>
      </c>
      <c r="U10" s="50" t="s">
        <v>269</v>
      </c>
      <c r="V10" s="50" t="s">
        <v>269</v>
      </c>
      <c r="W10" s="50" t="s">
        <v>269</v>
      </c>
      <c r="X10" s="50" t="s">
        <v>269</v>
      </c>
      <c r="Y10" s="50" t="s">
        <v>269</v>
      </c>
      <c r="Z10" s="50" t="s">
        <v>269</v>
      </c>
      <c r="AA10" s="50" t="s">
        <v>269</v>
      </c>
      <c r="AB10" s="50" t="s">
        <v>269</v>
      </c>
      <c r="AC10" s="50" t="s">
        <v>269</v>
      </c>
      <c r="AD10" s="50" t="s">
        <v>269</v>
      </c>
      <c r="AE10" s="50" t="s">
        <v>269</v>
      </c>
      <c r="AF10" s="50" t="s">
        <v>269</v>
      </c>
      <c r="AG10" s="50" t="s">
        <v>269</v>
      </c>
      <c r="AH10" s="50" t="s">
        <v>269</v>
      </c>
      <c r="AI10" s="50" t="s">
        <v>269</v>
      </c>
      <c r="AJ10" s="50" t="s">
        <v>269</v>
      </c>
      <c r="AK10" s="50" t="s">
        <v>269</v>
      </c>
      <c r="AL10" s="50" t="s">
        <v>269</v>
      </c>
      <c r="AM10" s="170">
        <v>64</v>
      </c>
      <c r="AN10" s="170">
        <v>64</v>
      </c>
      <c r="AO10" s="170">
        <v>62</v>
      </c>
      <c r="AP10" s="170">
        <v>62</v>
      </c>
      <c r="AQ10" s="170">
        <v>61</v>
      </c>
      <c r="AR10" s="165">
        <f>AVERAGE(AM10:AQ10)</f>
        <v>62.6</v>
      </c>
      <c r="AS10" s="150" t="s">
        <v>263</v>
      </c>
      <c r="AT10" s="150" t="s">
        <v>263</v>
      </c>
    </row>
    <row r="11" spans="1:46" ht="15.75" customHeight="1" x14ac:dyDescent="0.3">
      <c r="B11" s="72" t="s">
        <v>278</v>
      </c>
      <c r="C11" s="251" t="s">
        <v>271</v>
      </c>
      <c r="D11" s="205"/>
      <c r="E11" s="200" t="s">
        <v>269</v>
      </c>
      <c r="F11" s="200" t="s">
        <v>269</v>
      </c>
      <c r="G11" s="200" t="s">
        <v>269</v>
      </c>
      <c r="H11" s="200" t="s">
        <v>269</v>
      </c>
      <c r="I11" s="200" t="s">
        <v>269</v>
      </c>
      <c r="J11" s="200" t="s">
        <v>269</v>
      </c>
      <c r="K11" s="200" t="s">
        <v>269</v>
      </c>
      <c r="L11" s="200" t="s">
        <v>269</v>
      </c>
      <c r="M11" s="200" t="s">
        <v>269</v>
      </c>
      <c r="N11" s="50" t="s">
        <v>269</v>
      </c>
      <c r="O11" s="50" t="s">
        <v>269</v>
      </c>
      <c r="P11" s="50" t="s">
        <v>269</v>
      </c>
      <c r="Q11" s="50" t="s">
        <v>269</v>
      </c>
      <c r="R11" s="50" t="s">
        <v>269</v>
      </c>
      <c r="S11" s="50" t="s">
        <v>269</v>
      </c>
      <c r="T11" s="50" t="s">
        <v>269</v>
      </c>
      <c r="U11" s="50" t="s">
        <v>269</v>
      </c>
      <c r="V11" s="50" t="s">
        <v>269</v>
      </c>
      <c r="W11" s="50" t="s">
        <v>269</v>
      </c>
      <c r="X11" s="50" t="s">
        <v>269</v>
      </c>
      <c r="Y11" s="50" t="s">
        <v>269</v>
      </c>
      <c r="Z11" s="50" t="s">
        <v>269</v>
      </c>
      <c r="AA11" s="50" t="s">
        <v>269</v>
      </c>
      <c r="AB11" s="50" t="s">
        <v>269</v>
      </c>
      <c r="AC11" s="50" t="s">
        <v>269</v>
      </c>
      <c r="AD11" s="50" t="s">
        <v>269</v>
      </c>
      <c r="AE11" s="50" t="s">
        <v>269</v>
      </c>
      <c r="AF11" s="50" t="s">
        <v>269</v>
      </c>
      <c r="AG11" s="50" t="s">
        <v>269</v>
      </c>
      <c r="AH11" s="50" t="s">
        <v>269</v>
      </c>
      <c r="AI11" s="50" t="s">
        <v>269</v>
      </c>
      <c r="AJ11" s="50" t="s">
        <v>269</v>
      </c>
      <c r="AK11" s="50" t="s">
        <v>269</v>
      </c>
      <c r="AL11" s="50" t="s">
        <v>269</v>
      </c>
      <c r="AM11" s="170">
        <v>62.7</v>
      </c>
      <c r="AN11" s="170">
        <v>65.099999999999994</v>
      </c>
      <c r="AO11" s="170">
        <v>63.5</v>
      </c>
      <c r="AP11" s="170">
        <v>64.3</v>
      </c>
      <c r="AQ11" s="170">
        <v>61.4</v>
      </c>
      <c r="AR11" s="165">
        <f>AVERAGE(AM11:AQ11)</f>
        <v>63.4</v>
      </c>
      <c r="AS11" s="50" t="s">
        <v>269</v>
      </c>
      <c r="AT11" s="50" t="s">
        <v>269</v>
      </c>
    </row>
    <row r="12" spans="1:46" ht="15.75" customHeight="1" x14ac:dyDescent="0.3">
      <c r="B12" s="72" t="s">
        <v>277</v>
      </c>
      <c r="C12" s="251" t="s">
        <v>271</v>
      </c>
      <c r="D12" s="205"/>
      <c r="E12" s="200" t="s">
        <v>269</v>
      </c>
      <c r="F12" s="200" t="s">
        <v>269</v>
      </c>
      <c r="G12" s="200" t="s">
        <v>269</v>
      </c>
      <c r="H12" s="200" t="s">
        <v>269</v>
      </c>
      <c r="I12" s="200" t="s">
        <v>269</v>
      </c>
      <c r="J12" s="200" t="s">
        <v>269</v>
      </c>
      <c r="K12" s="200" t="s">
        <v>269</v>
      </c>
      <c r="L12" s="200" t="s">
        <v>269</v>
      </c>
      <c r="M12" s="200" t="s">
        <v>269</v>
      </c>
      <c r="N12" s="50" t="s">
        <v>269</v>
      </c>
      <c r="O12" s="50" t="s">
        <v>269</v>
      </c>
      <c r="P12" s="50" t="s">
        <v>269</v>
      </c>
      <c r="Q12" s="50" t="s">
        <v>269</v>
      </c>
      <c r="R12" s="50" t="s">
        <v>269</v>
      </c>
      <c r="S12" s="50" t="s">
        <v>269</v>
      </c>
      <c r="T12" s="50" t="s">
        <v>269</v>
      </c>
      <c r="U12" s="50" t="s">
        <v>269</v>
      </c>
      <c r="V12" s="50" t="s">
        <v>269</v>
      </c>
      <c r="W12" s="50" t="s">
        <v>269</v>
      </c>
      <c r="X12" s="50" t="s">
        <v>269</v>
      </c>
      <c r="Y12" s="50" t="s">
        <v>269</v>
      </c>
      <c r="Z12" s="50" t="s">
        <v>269</v>
      </c>
      <c r="AA12" s="50" t="s">
        <v>269</v>
      </c>
      <c r="AB12" s="50" t="s">
        <v>269</v>
      </c>
      <c r="AC12" s="50" t="s">
        <v>269</v>
      </c>
      <c r="AD12" s="50" t="s">
        <v>269</v>
      </c>
      <c r="AE12" s="50" t="s">
        <v>269</v>
      </c>
      <c r="AF12" s="50" t="s">
        <v>269</v>
      </c>
      <c r="AG12" s="50" t="s">
        <v>269</v>
      </c>
      <c r="AH12" s="50" t="s">
        <v>269</v>
      </c>
      <c r="AI12" s="50" t="s">
        <v>269</v>
      </c>
      <c r="AJ12" s="50" t="s">
        <v>269</v>
      </c>
      <c r="AK12" s="50" t="s">
        <v>269</v>
      </c>
      <c r="AL12" s="50" t="s">
        <v>269</v>
      </c>
      <c r="AM12" s="170">
        <v>60.1</v>
      </c>
      <c r="AN12" s="170">
        <v>61.2</v>
      </c>
      <c r="AO12" s="170">
        <v>63.6</v>
      </c>
      <c r="AP12" s="170">
        <v>62.1</v>
      </c>
      <c r="AQ12" s="170">
        <v>62.4</v>
      </c>
      <c r="AR12" s="165">
        <f>AVERAGE(AM12:AQ12)</f>
        <v>61.879999999999995</v>
      </c>
      <c r="AS12" s="50" t="s">
        <v>269</v>
      </c>
      <c r="AT12" s="214" t="s">
        <v>269</v>
      </c>
    </row>
    <row r="13" spans="1:46" ht="15.75" customHeight="1" x14ac:dyDescent="0.3">
      <c r="B13" s="72" t="s">
        <v>280</v>
      </c>
      <c r="C13" s="251" t="s">
        <v>132</v>
      </c>
      <c r="D13" s="205"/>
      <c r="E13" s="200" t="s">
        <v>269</v>
      </c>
      <c r="F13" s="200" t="s">
        <v>269</v>
      </c>
      <c r="G13" s="200" t="s">
        <v>269</v>
      </c>
      <c r="H13" s="200" t="s">
        <v>269</v>
      </c>
      <c r="I13" s="200" t="s">
        <v>269</v>
      </c>
      <c r="J13" s="200" t="s">
        <v>269</v>
      </c>
      <c r="K13" s="200" t="s">
        <v>269</v>
      </c>
      <c r="L13" s="200" t="s">
        <v>269</v>
      </c>
      <c r="M13" s="200" t="s">
        <v>269</v>
      </c>
      <c r="N13" s="50" t="s">
        <v>269</v>
      </c>
      <c r="O13" s="50" t="s">
        <v>269</v>
      </c>
      <c r="P13" s="50" t="s">
        <v>269</v>
      </c>
      <c r="Q13" s="50" t="s">
        <v>269</v>
      </c>
      <c r="R13" s="50" t="s">
        <v>269</v>
      </c>
      <c r="S13" s="50" t="s">
        <v>269</v>
      </c>
      <c r="T13" s="50" t="s">
        <v>269</v>
      </c>
      <c r="U13" s="50" t="s">
        <v>269</v>
      </c>
      <c r="V13" s="50" t="s">
        <v>269</v>
      </c>
      <c r="W13" s="50" t="s">
        <v>269</v>
      </c>
      <c r="X13" s="50" t="s">
        <v>269</v>
      </c>
      <c r="Y13" s="50" t="s">
        <v>269</v>
      </c>
      <c r="Z13" s="200" t="s">
        <v>269</v>
      </c>
      <c r="AA13" s="200" t="s">
        <v>269</v>
      </c>
      <c r="AB13" s="50" t="s">
        <v>269</v>
      </c>
      <c r="AC13" s="50" t="s">
        <v>269</v>
      </c>
      <c r="AD13" s="50" t="s">
        <v>269</v>
      </c>
      <c r="AE13" s="50" t="s">
        <v>269</v>
      </c>
      <c r="AF13" s="50" t="s">
        <v>269</v>
      </c>
      <c r="AG13" s="50" t="s">
        <v>269</v>
      </c>
      <c r="AH13" s="50" t="s">
        <v>269</v>
      </c>
      <c r="AI13" s="50" t="s">
        <v>269</v>
      </c>
      <c r="AJ13" s="50" t="s">
        <v>269</v>
      </c>
      <c r="AK13" s="50" t="s">
        <v>269</v>
      </c>
      <c r="AL13" s="50" t="s">
        <v>269</v>
      </c>
      <c r="AM13" s="170">
        <v>65</v>
      </c>
      <c r="AN13" s="170">
        <v>63</v>
      </c>
      <c r="AO13" s="170">
        <v>66</v>
      </c>
      <c r="AP13" s="170">
        <v>62</v>
      </c>
      <c r="AQ13" s="170">
        <v>64</v>
      </c>
      <c r="AR13" s="165">
        <f t="shared" ref="AR13:AR21" si="0">AVERAGE(AM13:AQ13)</f>
        <v>64</v>
      </c>
      <c r="AS13" s="50" t="s">
        <v>269</v>
      </c>
      <c r="AT13" s="214" t="s">
        <v>269</v>
      </c>
    </row>
    <row r="14" spans="1:46" ht="15.75" customHeight="1" x14ac:dyDescent="0.3">
      <c r="B14" s="72" t="s">
        <v>303</v>
      </c>
      <c r="C14" s="251" t="s">
        <v>271</v>
      </c>
      <c r="D14" s="205"/>
      <c r="E14" s="200" t="s">
        <v>269</v>
      </c>
      <c r="F14" s="200" t="s">
        <v>269</v>
      </c>
      <c r="G14" s="200" t="s">
        <v>269</v>
      </c>
      <c r="H14" s="200" t="s">
        <v>269</v>
      </c>
      <c r="I14" s="200" t="s">
        <v>269</v>
      </c>
      <c r="J14" s="200" t="s">
        <v>269</v>
      </c>
      <c r="K14" s="200" t="s">
        <v>269</v>
      </c>
      <c r="L14" s="200" t="s">
        <v>269</v>
      </c>
      <c r="M14" s="200" t="s">
        <v>269</v>
      </c>
      <c r="N14" s="50" t="s">
        <v>269</v>
      </c>
      <c r="O14" s="50" t="s">
        <v>269</v>
      </c>
      <c r="P14" s="50" t="s">
        <v>269</v>
      </c>
      <c r="Q14" s="50" t="s">
        <v>269</v>
      </c>
      <c r="R14" s="50" t="s">
        <v>269</v>
      </c>
      <c r="S14" s="50" t="s">
        <v>269</v>
      </c>
      <c r="T14" s="50" t="s">
        <v>269</v>
      </c>
      <c r="U14" s="50" t="s">
        <v>269</v>
      </c>
      <c r="V14" s="50" t="s">
        <v>269</v>
      </c>
      <c r="W14" s="50" t="s">
        <v>269</v>
      </c>
      <c r="X14" s="50" t="s">
        <v>269</v>
      </c>
      <c r="Y14" s="50" t="s">
        <v>269</v>
      </c>
      <c r="Z14" s="200" t="s">
        <v>269</v>
      </c>
      <c r="AA14" s="200" t="s">
        <v>269</v>
      </c>
      <c r="AB14" s="50" t="s">
        <v>269</v>
      </c>
      <c r="AC14" s="50" t="s">
        <v>269</v>
      </c>
      <c r="AD14" s="50" t="s">
        <v>269</v>
      </c>
      <c r="AE14" s="50" t="s">
        <v>269</v>
      </c>
      <c r="AF14" s="50" t="s">
        <v>269</v>
      </c>
      <c r="AG14" s="50" t="s">
        <v>269</v>
      </c>
      <c r="AH14" s="50" t="s">
        <v>269</v>
      </c>
      <c r="AI14" s="50" t="s">
        <v>269</v>
      </c>
      <c r="AJ14" s="50" t="s">
        <v>269</v>
      </c>
      <c r="AK14" s="50" t="s">
        <v>269</v>
      </c>
      <c r="AL14" s="50" t="s">
        <v>269</v>
      </c>
      <c r="AM14" s="170">
        <v>64</v>
      </c>
      <c r="AN14" s="170">
        <v>63</v>
      </c>
      <c r="AO14" s="170">
        <v>64</v>
      </c>
      <c r="AP14" s="170">
        <v>62</v>
      </c>
      <c r="AQ14" s="170">
        <v>64</v>
      </c>
      <c r="AR14" s="165">
        <f t="shared" si="0"/>
        <v>63.4</v>
      </c>
      <c r="AS14" s="50" t="s">
        <v>269</v>
      </c>
      <c r="AT14" s="214" t="s">
        <v>269</v>
      </c>
    </row>
    <row r="15" spans="1:46" ht="15.75" customHeight="1" x14ac:dyDescent="0.3">
      <c r="B15" s="205" t="s">
        <v>307</v>
      </c>
      <c r="C15" s="251" t="s">
        <v>271</v>
      </c>
      <c r="D15" s="205"/>
      <c r="E15" s="253">
        <v>5.4</v>
      </c>
      <c r="F15" s="253">
        <v>22.4</v>
      </c>
      <c r="G15" s="253">
        <v>5</v>
      </c>
      <c r="H15" s="253">
        <f>I15/J15</f>
        <v>1.1009174311926604</v>
      </c>
      <c r="I15" s="255">
        <f>10*E15</f>
        <v>54</v>
      </c>
      <c r="J15" s="253">
        <f>5*9.81</f>
        <v>49.050000000000004</v>
      </c>
      <c r="K15" s="253">
        <v>25</v>
      </c>
      <c r="L15" s="200" t="s">
        <v>269</v>
      </c>
      <c r="M15" s="200" t="s">
        <v>269</v>
      </c>
      <c r="N15" s="50" t="s">
        <v>269</v>
      </c>
      <c r="O15" s="50" t="s">
        <v>269</v>
      </c>
      <c r="P15" s="50" t="s">
        <v>269</v>
      </c>
      <c r="Q15" s="50" t="s">
        <v>269</v>
      </c>
      <c r="R15" s="50" t="s">
        <v>269</v>
      </c>
      <c r="S15" s="50" t="s">
        <v>269</v>
      </c>
      <c r="T15" s="50" t="s">
        <v>269</v>
      </c>
      <c r="U15" s="50" t="s">
        <v>269</v>
      </c>
      <c r="V15" s="50" t="s">
        <v>269</v>
      </c>
      <c r="W15" s="50" t="s">
        <v>269</v>
      </c>
      <c r="X15" s="50" t="s">
        <v>269</v>
      </c>
      <c r="Y15" s="50" t="s">
        <v>269</v>
      </c>
      <c r="Z15" s="200" t="s">
        <v>269</v>
      </c>
      <c r="AA15" s="200" t="s">
        <v>269</v>
      </c>
      <c r="AB15" s="50" t="s">
        <v>269</v>
      </c>
      <c r="AC15" s="50" t="s">
        <v>269</v>
      </c>
      <c r="AD15" s="50" t="s">
        <v>269</v>
      </c>
      <c r="AE15" s="50" t="s">
        <v>269</v>
      </c>
      <c r="AF15" s="50" t="s">
        <v>269</v>
      </c>
      <c r="AG15" s="50" t="s">
        <v>269</v>
      </c>
      <c r="AH15" s="50" t="s">
        <v>269</v>
      </c>
      <c r="AI15" s="50" t="s">
        <v>269</v>
      </c>
      <c r="AJ15" s="50" t="s">
        <v>269</v>
      </c>
      <c r="AK15" s="50" t="s">
        <v>269</v>
      </c>
      <c r="AL15" s="50" t="s">
        <v>269</v>
      </c>
      <c r="AM15" s="170">
        <v>61</v>
      </c>
      <c r="AN15" s="170">
        <v>62</v>
      </c>
      <c r="AO15" s="170">
        <v>65</v>
      </c>
      <c r="AP15" s="170">
        <v>63</v>
      </c>
      <c r="AQ15" s="170">
        <v>61</v>
      </c>
      <c r="AR15" s="165">
        <f t="shared" si="0"/>
        <v>62.4</v>
      </c>
      <c r="AS15" s="150" t="s">
        <v>263</v>
      </c>
      <c r="AT15" s="150" t="s">
        <v>263</v>
      </c>
    </row>
    <row r="16" spans="1:46" ht="15.75" customHeight="1" x14ac:dyDescent="0.3">
      <c r="B16" s="72" t="s">
        <v>284</v>
      </c>
      <c r="C16" s="251" t="s">
        <v>132</v>
      </c>
      <c r="D16" s="72"/>
      <c r="E16" s="200" t="s">
        <v>269</v>
      </c>
      <c r="F16" s="200" t="s">
        <v>269</v>
      </c>
      <c r="G16" s="200" t="s">
        <v>269</v>
      </c>
      <c r="H16" s="200" t="s">
        <v>269</v>
      </c>
      <c r="I16" s="200" t="s">
        <v>269</v>
      </c>
      <c r="J16" s="200" t="s">
        <v>269</v>
      </c>
      <c r="K16" s="200" t="s">
        <v>269</v>
      </c>
      <c r="L16" s="200" t="s">
        <v>269</v>
      </c>
      <c r="M16" s="200" t="s">
        <v>269</v>
      </c>
      <c r="N16" s="50" t="s">
        <v>269</v>
      </c>
      <c r="O16" s="50" t="s">
        <v>269</v>
      </c>
      <c r="P16" s="50" t="s">
        <v>269</v>
      </c>
      <c r="Q16" s="50" t="s">
        <v>269</v>
      </c>
      <c r="R16" s="50" t="s">
        <v>269</v>
      </c>
      <c r="S16" s="50" t="s">
        <v>269</v>
      </c>
      <c r="T16" s="50" t="s">
        <v>269</v>
      </c>
      <c r="U16" s="50" t="s">
        <v>269</v>
      </c>
      <c r="V16" s="50" t="s">
        <v>269</v>
      </c>
      <c r="W16" s="50" t="s">
        <v>269</v>
      </c>
      <c r="X16" s="50" t="s">
        <v>269</v>
      </c>
      <c r="Y16" s="50" t="s">
        <v>269</v>
      </c>
      <c r="Z16" s="200" t="s">
        <v>269</v>
      </c>
      <c r="AA16" s="200" t="s">
        <v>269</v>
      </c>
      <c r="AB16" s="50" t="s">
        <v>269</v>
      </c>
      <c r="AC16" s="50" t="s">
        <v>269</v>
      </c>
      <c r="AD16" s="50" t="s">
        <v>269</v>
      </c>
      <c r="AE16" s="50" t="s">
        <v>269</v>
      </c>
      <c r="AF16" s="50" t="s">
        <v>269</v>
      </c>
      <c r="AG16" s="50" t="s">
        <v>269</v>
      </c>
      <c r="AH16" s="50" t="s">
        <v>269</v>
      </c>
      <c r="AI16" s="50" t="s">
        <v>269</v>
      </c>
      <c r="AJ16" s="50" t="s">
        <v>269</v>
      </c>
      <c r="AK16" s="50" t="s">
        <v>269</v>
      </c>
      <c r="AL16" s="50" t="s">
        <v>269</v>
      </c>
      <c r="AM16" s="170">
        <v>62</v>
      </c>
      <c r="AN16" s="170">
        <v>62</v>
      </c>
      <c r="AO16" s="170">
        <v>64</v>
      </c>
      <c r="AP16" s="170">
        <v>63</v>
      </c>
      <c r="AQ16" s="170">
        <v>63</v>
      </c>
      <c r="AR16" s="165">
        <f t="shared" si="0"/>
        <v>62.8</v>
      </c>
      <c r="AS16" s="50" t="s">
        <v>269</v>
      </c>
      <c r="AT16" s="214" t="s">
        <v>269</v>
      </c>
    </row>
    <row r="17" spans="2:46" ht="15.75" customHeight="1" x14ac:dyDescent="0.3">
      <c r="B17" s="72" t="s">
        <v>287</v>
      </c>
      <c r="C17" s="251" t="s">
        <v>132</v>
      </c>
      <c r="D17" s="72"/>
      <c r="E17" s="200" t="s">
        <v>269</v>
      </c>
      <c r="F17" s="200" t="s">
        <v>269</v>
      </c>
      <c r="G17" s="200" t="s">
        <v>269</v>
      </c>
      <c r="H17" s="200" t="s">
        <v>269</v>
      </c>
      <c r="I17" s="200" t="s">
        <v>269</v>
      </c>
      <c r="J17" s="200" t="s">
        <v>269</v>
      </c>
      <c r="K17" s="200" t="s">
        <v>269</v>
      </c>
      <c r="L17" s="200" t="s">
        <v>269</v>
      </c>
      <c r="M17" s="200" t="s">
        <v>269</v>
      </c>
      <c r="N17" s="50" t="s">
        <v>269</v>
      </c>
      <c r="O17" s="50" t="s">
        <v>269</v>
      </c>
      <c r="P17" s="50" t="s">
        <v>269</v>
      </c>
      <c r="Q17" s="50" t="s">
        <v>269</v>
      </c>
      <c r="R17" s="50" t="s">
        <v>269</v>
      </c>
      <c r="S17" s="50" t="s">
        <v>269</v>
      </c>
      <c r="T17" s="50" t="s">
        <v>269</v>
      </c>
      <c r="U17" s="50" t="s">
        <v>269</v>
      </c>
      <c r="V17" s="50" t="s">
        <v>269</v>
      </c>
      <c r="W17" s="50" t="s">
        <v>269</v>
      </c>
      <c r="X17" s="50" t="s">
        <v>269</v>
      </c>
      <c r="Y17" s="50" t="s">
        <v>269</v>
      </c>
      <c r="Z17" s="200" t="s">
        <v>269</v>
      </c>
      <c r="AA17" s="200" t="s">
        <v>269</v>
      </c>
      <c r="AB17" s="50" t="s">
        <v>269</v>
      </c>
      <c r="AC17" s="50" t="s">
        <v>269</v>
      </c>
      <c r="AD17" s="50" t="s">
        <v>269</v>
      </c>
      <c r="AE17" s="50" t="s">
        <v>269</v>
      </c>
      <c r="AF17" s="50" t="s">
        <v>269</v>
      </c>
      <c r="AG17" s="50" t="s">
        <v>269</v>
      </c>
      <c r="AH17" s="50" t="s">
        <v>269</v>
      </c>
      <c r="AI17" s="50" t="s">
        <v>269</v>
      </c>
      <c r="AJ17" s="50" t="s">
        <v>269</v>
      </c>
      <c r="AK17" s="50" t="s">
        <v>269</v>
      </c>
      <c r="AL17" s="50" t="s">
        <v>269</v>
      </c>
      <c r="AM17" s="170">
        <v>61</v>
      </c>
      <c r="AN17" s="170">
        <v>64</v>
      </c>
      <c r="AO17" s="170">
        <v>66</v>
      </c>
      <c r="AP17" s="170">
        <v>64</v>
      </c>
      <c r="AQ17" s="170">
        <v>64</v>
      </c>
      <c r="AR17" s="165">
        <f t="shared" si="0"/>
        <v>63.8</v>
      </c>
      <c r="AS17" s="50" t="s">
        <v>269</v>
      </c>
      <c r="AT17" s="214" t="s">
        <v>269</v>
      </c>
    </row>
    <row r="18" spans="2:46" ht="15.75" customHeight="1" x14ac:dyDescent="0.3">
      <c r="B18" s="72" t="s">
        <v>286</v>
      </c>
      <c r="C18" s="251" t="s">
        <v>132</v>
      </c>
      <c r="D18" s="72"/>
      <c r="E18" s="200" t="s">
        <v>269</v>
      </c>
      <c r="F18" s="200" t="s">
        <v>269</v>
      </c>
      <c r="G18" s="200" t="s">
        <v>269</v>
      </c>
      <c r="H18" s="200" t="s">
        <v>269</v>
      </c>
      <c r="I18" s="200" t="s">
        <v>269</v>
      </c>
      <c r="J18" s="200" t="s">
        <v>269</v>
      </c>
      <c r="K18" s="200" t="s">
        <v>269</v>
      </c>
      <c r="L18" s="200" t="s">
        <v>269</v>
      </c>
      <c r="M18" s="200" t="s">
        <v>269</v>
      </c>
      <c r="N18" s="50" t="s">
        <v>269</v>
      </c>
      <c r="O18" s="50" t="s">
        <v>269</v>
      </c>
      <c r="P18" s="50" t="s">
        <v>269</v>
      </c>
      <c r="Q18" s="50" t="s">
        <v>269</v>
      </c>
      <c r="R18" s="50" t="s">
        <v>269</v>
      </c>
      <c r="S18" s="50" t="s">
        <v>269</v>
      </c>
      <c r="T18" s="50" t="s">
        <v>269</v>
      </c>
      <c r="U18" s="50" t="s">
        <v>269</v>
      </c>
      <c r="V18" s="50" t="s">
        <v>269</v>
      </c>
      <c r="W18" s="50" t="s">
        <v>269</v>
      </c>
      <c r="X18" s="50" t="s">
        <v>269</v>
      </c>
      <c r="Y18" s="50" t="s">
        <v>269</v>
      </c>
      <c r="Z18" s="200" t="s">
        <v>269</v>
      </c>
      <c r="AA18" s="200" t="s">
        <v>269</v>
      </c>
      <c r="AB18" s="50" t="s">
        <v>269</v>
      </c>
      <c r="AC18" s="50" t="s">
        <v>269</v>
      </c>
      <c r="AD18" s="50" t="s">
        <v>269</v>
      </c>
      <c r="AE18" s="50" t="s">
        <v>269</v>
      </c>
      <c r="AF18" s="50" t="s">
        <v>269</v>
      </c>
      <c r="AG18" s="50" t="s">
        <v>269</v>
      </c>
      <c r="AH18" s="50" t="s">
        <v>269</v>
      </c>
      <c r="AI18" s="50" t="s">
        <v>269</v>
      </c>
      <c r="AJ18" s="50" t="s">
        <v>269</v>
      </c>
      <c r="AK18" s="50" t="s">
        <v>269</v>
      </c>
      <c r="AL18" s="50" t="s">
        <v>269</v>
      </c>
      <c r="AM18" s="170">
        <v>65</v>
      </c>
      <c r="AN18" s="170">
        <v>64</v>
      </c>
      <c r="AO18" s="170">
        <v>64</v>
      </c>
      <c r="AP18" s="170">
        <v>63</v>
      </c>
      <c r="AQ18" s="170">
        <v>63</v>
      </c>
      <c r="AR18" s="165">
        <f t="shared" si="0"/>
        <v>63.8</v>
      </c>
      <c r="AS18" s="50" t="s">
        <v>269</v>
      </c>
      <c r="AT18" s="214" t="s">
        <v>269</v>
      </c>
    </row>
    <row r="19" spans="2:46" ht="15.75" customHeight="1" x14ac:dyDescent="0.3">
      <c r="B19" s="72" t="s">
        <v>283</v>
      </c>
      <c r="C19" s="251" t="s">
        <v>132</v>
      </c>
      <c r="D19" s="72"/>
      <c r="E19" s="200" t="s">
        <v>269</v>
      </c>
      <c r="F19" s="200" t="s">
        <v>269</v>
      </c>
      <c r="G19" s="200" t="s">
        <v>269</v>
      </c>
      <c r="H19" s="200" t="s">
        <v>269</v>
      </c>
      <c r="I19" s="200" t="s">
        <v>269</v>
      </c>
      <c r="J19" s="200" t="s">
        <v>269</v>
      </c>
      <c r="K19" s="200" t="s">
        <v>269</v>
      </c>
      <c r="L19" s="200" t="s">
        <v>269</v>
      </c>
      <c r="M19" s="200" t="s">
        <v>269</v>
      </c>
      <c r="N19" s="50" t="s">
        <v>269</v>
      </c>
      <c r="O19" s="50" t="s">
        <v>269</v>
      </c>
      <c r="P19" s="50" t="s">
        <v>269</v>
      </c>
      <c r="Q19" s="50" t="s">
        <v>269</v>
      </c>
      <c r="R19" s="50" t="s">
        <v>269</v>
      </c>
      <c r="S19" s="50" t="s">
        <v>269</v>
      </c>
      <c r="T19" s="50" t="s">
        <v>269</v>
      </c>
      <c r="U19" s="50" t="s">
        <v>269</v>
      </c>
      <c r="V19" s="50" t="s">
        <v>269</v>
      </c>
      <c r="W19" s="50" t="s">
        <v>269</v>
      </c>
      <c r="X19" s="50" t="s">
        <v>269</v>
      </c>
      <c r="Y19" s="50" t="s">
        <v>269</v>
      </c>
      <c r="Z19" s="200" t="s">
        <v>269</v>
      </c>
      <c r="AA19" s="200" t="s">
        <v>269</v>
      </c>
      <c r="AB19" s="50" t="s">
        <v>269</v>
      </c>
      <c r="AC19" s="50" t="s">
        <v>269</v>
      </c>
      <c r="AD19" s="50" t="s">
        <v>269</v>
      </c>
      <c r="AE19" s="50" t="s">
        <v>269</v>
      </c>
      <c r="AF19" s="50" t="s">
        <v>269</v>
      </c>
      <c r="AG19" s="50" t="s">
        <v>269</v>
      </c>
      <c r="AH19" s="50" t="s">
        <v>269</v>
      </c>
      <c r="AI19" s="50" t="s">
        <v>269</v>
      </c>
      <c r="AJ19" s="50" t="s">
        <v>269</v>
      </c>
      <c r="AK19" s="50" t="s">
        <v>269</v>
      </c>
      <c r="AL19" s="50" t="s">
        <v>269</v>
      </c>
      <c r="AM19" s="170">
        <v>65</v>
      </c>
      <c r="AN19" s="170">
        <v>64</v>
      </c>
      <c r="AO19" s="170">
        <v>65</v>
      </c>
      <c r="AP19" s="170">
        <v>64</v>
      </c>
      <c r="AQ19" s="170">
        <v>65</v>
      </c>
      <c r="AR19" s="165">
        <f t="shared" si="0"/>
        <v>64.599999999999994</v>
      </c>
      <c r="AS19" s="50" t="s">
        <v>269</v>
      </c>
      <c r="AT19" s="214" t="s">
        <v>269</v>
      </c>
    </row>
    <row r="20" spans="2:46" ht="15.75" customHeight="1" x14ac:dyDescent="0.3">
      <c r="B20" s="72" t="s">
        <v>288</v>
      </c>
      <c r="C20" s="251" t="s">
        <v>132</v>
      </c>
      <c r="D20" s="72"/>
      <c r="E20" s="200" t="s">
        <v>269</v>
      </c>
      <c r="F20" s="200" t="s">
        <v>269</v>
      </c>
      <c r="G20" s="200" t="s">
        <v>269</v>
      </c>
      <c r="H20" s="200" t="s">
        <v>269</v>
      </c>
      <c r="I20" s="200" t="s">
        <v>269</v>
      </c>
      <c r="J20" s="200" t="s">
        <v>269</v>
      </c>
      <c r="K20" s="200" t="s">
        <v>269</v>
      </c>
      <c r="L20" s="200" t="s">
        <v>269</v>
      </c>
      <c r="M20" s="200" t="s">
        <v>269</v>
      </c>
      <c r="N20" s="50" t="s">
        <v>269</v>
      </c>
      <c r="O20" s="50" t="s">
        <v>269</v>
      </c>
      <c r="P20" s="50" t="s">
        <v>269</v>
      </c>
      <c r="Q20" s="50" t="s">
        <v>269</v>
      </c>
      <c r="R20" s="50" t="s">
        <v>269</v>
      </c>
      <c r="S20" s="50" t="s">
        <v>269</v>
      </c>
      <c r="T20" s="50" t="s">
        <v>269</v>
      </c>
      <c r="U20" s="50" t="s">
        <v>269</v>
      </c>
      <c r="V20" s="50" t="s">
        <v>269</v>
      </c>
      <c r="W20" s="50" t="s">
        <v>269</v>
      </c>
      <c r="X20" s="50" t="s">
        <v>269</v>
      </c>
      <c r="Y20" s="50" t="s">
        <v>269</v>
      </c>
      <c r="Z20" s="200" t="s">
        <v>269</v>
      </c>
      <c r="AA20" s="200" t="s">
        <v>269</v>
      </c>
      <c r="AB20" s="50" t="s">
        <v>269</v>
      </c>
      <c r="AC20" s="50" t="s">
        <v>269</v>
      </c>
      <c r="AD20" s="50" t="s">
        <v>269</v>
      </c>
      <c r="AE20" s="50" t="s">
        <v>269</v>
      </c>
      <c r="AF20" s="50" t="s">
        <v>269</v>
      </c>
      <c r="AG20" s="50" t="s">
        <v>269</v>
      </c>
      <c r="AH20" s="50" t="s">
        <v>269</v>
      </c>
      <c r="AI20" s="50" t="s">
        <v>269</v>
      </c>
      <c r="AJ20" s="50" t="s">
        <v>269</v>
      </c>
      <c r="AK20" s="50" t="s">
        <v>269</v>
      </c>
      <c r="AL20" s="50" t="s">
        <v>269</v>
      </c>
      <c r="AM20" s="170">
        <v>65</v>
      </c>
      <c r="AN20" s="170">
        <v>64</v>
      </c>
      <c r="AO20" s="170">
        <v>63</v>
      </c>
      <c r="AP20" s="170">
        <v>65</v>
      </c>
      <c r="AQ20" s="170">
        <v>63</v>
      </c>
      <c r="AR20" s="165">
        <f t="shared" si="0"/>
        <v>64</v>
      </c>
      <c r="AS20" s="50" t="s">
        <v>269</v>
      </c>
      <c r="AT20" s="214" t="s">
        <v>269</v>
      </c>
    </row>
    <row r="21" spans="2:46" ht="15.75" customHeight="1" x14ac:dyDescent="0.3">
      <c r="B21" s="72" t="s">
        <v>291</v>
      </c>
      <c r="C21" s="251" t="s">
        <v>271</v>
      </c>
      <c r="D21" s="72"/>
      <c r="E21" s="200" t="s">
        <v>269</v>
      </c>
      <c r="F21" s="200" t="s">
        <v>269</v>
      </c>
      <c r="G21" s="200" t="s">
        <v>269</v>
      </c>
      <c r="H21" s="200" t="s">
        <v>269</v>
      </c>
      <c r="I21" s="200" t="s">
        <v>269</v>
      </c>
      <c r="J21" s="200" t="s">
        <v>269</v>
      </c>
      <c r="K21" s="200" t="s">
        <v>269</v>
      </c>
      <c r="L21" s="200" t="s">
        <v>269</v>
      </c>
      <c r="M21" s="200" t="s">
        <v>269</v>
      </c>
      <c r="N21" s="50" t="s">
        <v>269</v>
      </c>
      <c r="O21" s="50" t="s">
        <v>269</v>
      </c>
      <c r="P21" s="50" t="s">
        <v>269</v>
      </c>
      <c r="Q21" s="50" t="s">
        <v>269</v>
      </c>
      <c r="R21" s="50" t="s">
        <v>269</v>
      </c>
      <c r="S21" s="50" t="s">
        <v>269</v>
      </c>
      <c r="T21" s="50" t="s">
        <v>269</v>
      </c>
      <c r="U21" s="50" t="s">
        <v>269</v>
      </c>
      <c r="V21" s="50" t="s">
        <v>269</v>
      </c>
      <c r="W21" s="50" t="s">
        <v>269</v>
      </c>
      <c r="X21" s="50" t="s">
        <v>269</v>
      </c>
      <c r="Y21" s="50" t="s">
        <v>269</v>
      </c>
      <c r="Z21" s="200" t="s">
        <v>269</v>
      </c>
      <c r="AA21" s="200" t="s">
        <v>269</v>
      </c>
      <c r="AB21" s="50" t="s">
        <v>269</v>
      </c>
      <c r="AC21" s="50" t="s">
        <v>269</v>
      </c>
      <c r="AD21" s="50" t="s">
        <v>269</v>
      </c>
      <c r="AE21" s="50" t="s">
        <v>269</v>
      </c>
      <c r="AF21" s="50" t="s">
        <v>269</v>
      </c>
      <c r="AG21" s="50" t="s">
        <v>269</v>
      </c>
      <c r="AH21" s="50" t="s">
        <v>269</v>
      </c>
      <c r="AI21" s="50" t="s">
        <v>269</v>
      </c>
      <c r="AJ21" s="50" t="s">
        <v>269</v>
      </c>
      <c r="AK21" s="50" t="s">
        <v>269</v>
      </c>
      <c r="AL21" s="50" t="s">
        <v>269</v>
      </c>
      <c r="AM21" s="170">
        <v>62</v>
      </c>
      <c r="AN21" s="170">
        <v>64</v>
      </c>
      <c r="AO21" s="170">
        <v>66</v>
      </c>
      <c r="AP21" s="170">
        <v>67</v>
      </c>
      <c r="AQ21" s="170">
        <v>63</v>
      </c>
      <c r="AR21" s="165">
        <f t="shared" si="0"/>
        <v>64.400000000000006</v>
      </c>
      <c r="AS21" s="50" t="s">
        <v>269</v>
      </c>
      <c r="AT21" s="214" t="s">
        <v>269</v>
      </c>
    </row>
    <row r="22" spans="2:46" ht="15.75" customHeight="1" x14ac:dyDescent="0.3">
      <c r="B22" s="72" t="s">
        <v>285</v>
      </c>
      <c r="C22" s="251" t="s">
        <v>132</v>
      </c>
      <c r="D22" s="72"/>
      <c r="E22" s="200" t="s">
        <v>269</v>
      </c>
      <c r="F22" s="200" t="s">
        <v>269</v>
      </c>
      <c r="G22" s="200" t="s">
        <v>269</v>
      </c>
      <c r="H22" s="200" t="s">
        <v>269</v>
      </c>
      <c r="I22" s="200" t="s">
        <v>269</v>
      </c>
      <c r="J22" s="200" t="s">
        <v>269</v>
      </c>
      <c r="K22" s="200" t="s">
        <v>269</v>
      </c>
      <c r="L22" s="200" t="s">
        <v>269</v>
      </c>
      <c r="M22" s="200" t="s">
        <v>269</v>
      </c>
      <c r="N22" s="50" t="s">
        <v>269</v>
      </c>
      <c r="O22" s="50" t="s">
        <v>269</v>
      </c>
      <c r="P22" s="50" t="s">
        <v>269</v>
      </c>
      <c r="Q22" s="50" t="s">
        <v>269</v>
      </c>
      <c r="R22" s="50" t="s">
        <v>269</v>
      </c>
      <c r="S22" s="50" t="s">
        <v>269</v>
      </c>
      <c r="T22" s="50" t="s">
        <v>269</v>
      </c>
      <c r="U22" s="50" t="s">
        <v>269</v>
      </c>
      <c r="V22" s="50" t="s">
        <v>269</v>
      </c>
      <c r="W22" s="50" t="s">
        <v>269</v>
      </c>
      <c r="X22" s="50" t="s">
        <v>269</v>
      </c>
      <c r="Y22" s="50" t="s">
        <v>269</v>
      </c>
      <c r="Z22" s="200" t="s">
        <v>269</v>
      </c>
      <c r="AA22" s="200" t="s">
        <v>269</v>
      </c>
      <c r="AB22" s="50" t="s">
        <v>269</v>
      </c>
      <c r="AC22" s="50" t="s">
        <v>269</v>
      </c>
      <c r="AD22" s="50" t="s">
        <v>269</v>
      </c>
      <c r="AE22" s="50" t="s">
        <v>269</v>
      </c>
      <c r="AF22" s="50" t="s">
        <v>269</v>
      </c>
      <c r="AG22" s="50" t="s">
        <v>269</v>
      </c>
      <c r="AH22" s="50" t="s">
        <v>269</v>
      </c>
      <c r="AI22" s="50" t="s">
        <v>269</v>
      </c>
      <c r="AJ22" s="50" t="s">
        <v>269</v>
      </c>
      <c r="AK22" s="50" t="s">
        <v>269</v>
      </c>
      <c r="AL22" s="50" t="s">
        <v>269</v>
      </c>
      <c r="AM22" s="170">
        <v>65</v>
      </c>
      <c r="AN22" s="170">
        <v>65</v>
      </c>
      <c r="AO22" s="170">
        <v>63</v>
      </c>
      <c r="AP22" s="170">
        <v>62</v>
      </c>
      <c r="AQ22" s="170">
        <v>63</v>
      </c>
      <c r="AR22" s="165">
        <f t="shared" ref="AR22:AR41" si="1">AVERAGE(AM22:AQ22)</f>
        <v>63.6</v>
      </c>
      <c r="AS22" s="50" t="s">
        <v>269</v>
      </c>
      <c r="AT22" s="214" t="s">
        <v>269</v>
      </c>
    </row>
    <row r="23" spans="2:46" ht="15.75" customHeight="1" x14ac:dyDescent="0.3">
      <c r="B23" s="72" t="s">
        <v>282</v>
      </c>
      <c r="C23" s="251" t="s">
        <v>132</v>
      </c>
      <c r="D23" s="72"/>
      <c r="E23" s="200" t="s">
        <v>269</v>
      </c>
      <c r="F23" s="200" t="s">
        <v>269</v>
      </c>
      <c r="G23" s="200" t="s">
        <v>269</v>
      </c>
      <c r="H23" s="200" t="s">
        <v>269</v>
      </c>
      <c r="I23" s="200" t="s">
        <v>269</v>
      </c>
      <c r="J23" s="200" t="s">
        <v>269</v>
      </c>
      <c r="K23" s="200" t="s">
        <v>269</v>
      </c>
      <c r="L23" s="200" t="s">
        <v>269</v>
      </c>
      <c r="M23" s="200" t="s">
        <v>269</v>
      </c>
      <c r="N23" s="50" t="s">
        <v>269</v>
      </c>
      <c r="O23" s="50" t="s">
        <v>269</v>
      </c>
      <c r="P23" s="50" t="s">
        <v>269</v>
      </c>
      <c r="Q23" s="50" t="s">
        <v>269</v>
      </c>
      <c r="R23" s="50" t="s">
        <v>269</v>
      </c>
      <c r="S23" s="50" t="s">
        <v>269</v>
      </c>
      <c r="T23" s="50" t="s">
        <v>269</v>
      </c>
      <c r="U23" s="50" t="s">
        <v>269</v>
      </c>
      <c r="V23" s="50" t="s">
        <v>269</v>
      </c>
      <c r="W23" s="50" t="s">
        <v>269</v>
      </c>
      <c r="X23" s="50" t="s">
        <v>269</v>
      </c>
      <c r="Y23" s="50" t="s">
        <v>269</v>
      </c>
      <c r="Z23" s="200" t="s">
        <v>269</v>
      </c>
      <c r="AA23" s="200" t="s">
        <v>269</v>
      </c>
      <c r="AB23" s="50" t="s">
        <v>269</v>
      </c>
      <c r="AC23" s="50" t="s">
        <v>269</v>
      </c>
      <c r="AD23" s="50" t="s">
        <v>269</v>
      </c>
      <c r="AE23" s="50" t="s">
        <v>269</v>
      </c>
      <c r="AF23" s="50" t="s">
        <v>269</v>
      </c>
      <c r="AG23" s="50" t="s">
        <v>269</v>
      </c>
      <c r="AH23" s="50" t="s">
        <v>269</v>
      </c>
      <c r="AI23" s="50" t="s">
        <v>269</v>
      </c>
      <c r="AJ23" s="50" t="s">
        <v>269</v>
      </c>
      <c r="AK23" s="50" t="s">
        <v>269</v>
      </c>
      <c r="AL23" s="50" t="s">
        <v>269</v>
      </c>
      <c r="AM23" s="170">
        <v>65</v>
      </c>
      <c r="AN23" s="170">
        <v>65</v>
      </c>
      <c r="AO23" s="170">
        <v>63</v>
      </c>
      <c r="AP23" s="170">
        <v>62</v>
      </c>
      <c r="AQ23" s="170">
        <v>65</v>
      </c>
      <c r="AR23" s="165">
        <f t="shared" si="1"/>
        <v>64</v>
      </c>
      <c r="AS23" s="50" t="s">
        <v>269</v>
      </c>
      <c r="AT23" s="214" t="s">
        <v>269</v>
      </c>
    </row>
    <row r="24" spans="2:46" ht="15.75" customHeight="1" x14ac:dyDescent="0.3">
      <c r="B24" s="72" t="s">
        <v>279</v>
      </c>
      <c r="C24" s="251" t="s">
        <v>132</v>
      </c>
      <c r="D24" s="72"/>
      <c r="E24" s="200" t="s">
        <v>269</v>
      </c>
      <c r="F24" s="200" t="s">
        <v>269</v>
      </c>
      <c r="G24" s="200" t="s">
        <v>269</v>
      </c>
      <c r="H24" s="200" t="s">
        <v>269</v>
      </c>
      <c r="I24" s="200" t="s">
        <v>269</v>
      </c>
      <c r="J24" s="200" t="s">
        <v>269</v>
      </c>
      <c r="K24" s="200" t="s">
        <v>269</v>
      </c>
      <c r="L24" s="200" t="s">
        <v>269</v>
      </c>
      <c r="M24" s="200" t="s">
        <v>269</v>
      </c>
      <c r="N24" s="50" t="s">
        <v>269</v>
      </c>
      <c r="O24" s="50" t="s">
        <v>269</v>
      </c>
      <c r="P24" s="50" t="s">
        <v>269</v>
      </c>
      <c r="Q24" s="50" t="s">
        <v>269</v>
      </c>
      <c r="R24" s="50" t="s">
        <v>269</v>
      </c>
      <c r="S24" s="50" t="s">
        <v>269</v>
      </c>
      <c r="T24" s="50" t="s">
        <v>269</v>
      </c>
      <c r="U24" s="50" t="s">
        <v>269</v>
      </c>
      <c r="V24" s="50" t="s">
        <v>269</v>
      </c>
      <c r="W24" s="50" t="s">
        <v>269</v>
      </c>
      <c r="X24" s="50" t="s">
        <v>269</v>
      </c>
      <c r="Y24" s="50" t="s">
        <v>269</v>
      </c>
      <c r="Z24" s="200" t="s">
        <v>269</v>
      </c>
      <c r="AA24" s="200" t="s">
        <v>269</v>
      </c>
      <c r="AB24" s="50" t="s">
        <v>269</v>
      </c>
      <c r="AC24" s="50" t="s">
        <v>269</v>
      </c>
      <c r="AD24" s="50" t="s">
        <v>269</v>
      </c>
      <c r="AE24" s="50" t="s">
        <v>269</v>
      </c>
      <c r="AF24" s="50" t="s">
        <v>269</v>
      </c>
      <c r="AG24" s="50" t="s">
        <v>269</v>
      </c>
      <c r="AH24" s="50" t="s">
        <v>269</v>
      </c>
      <c r="AI24" s="50" t="s">
        <v>269</v>
      </c>
      <c r="AJ24" s="50" t="s">
        <v>269</v>
      </c>
      <c r="AK24" s="50" t="s">
        <v>269</v>
      </c>
      <c r="AL24" s="50" t="s">
        <v>269</v>
      </c>
      <c r="AM24" s="170">
        <v>65</v>
      </c>
      <c r="AN24" s="170">
        <v>67</v>
      </c>
      <c r="AO24" s="170">
        <v>62</v>
      </c>
      <c r="AP24" s="170">
        <v>62</v>
      </c>
      <c r="AQ24" s="170">
        <v>63</v>
      </c>
      <c r="AR24" s="165">
        <f t="shared" si="1"/>
        <v>63.8</v>
      </c>
      <c r="AS24" s="50" t="s">
        <v>269</v>
      </c>
      <c r="AT24" s="214" t="s">
        <v>269</v>
      </c>
    </row>
    <row r="25" spans="2:46" ht="15.75" customHeight="1" x14ac:dyDescent="0.3">
      <c r="B25" s="72" t="s">
        <v>281</v>
      </c>
      <c r="C25" s="251" t="s">
        <v>132</v>
      </c>
      <c r="D25" s="72"/>
      <c r="E25" s="200" t="s">
        <v>269</v>
      </c>
      <c r="F25" s="200" t="s">
        <v>269</v>
      </c>
      <c r="G25" s="200" t="s">
        <v>269</v>
      </c>
      <c r="H25" s="200" t="s">
        <v>269</v>
      </c>
      <c r="I25" s="200" t="s">
        <v>269</v>
      </c>
      <c r="J25" s="200" t="s">
        <v>269</v>
      </c>
      <c r="K25" s="200" t="s">
        <v>269</v>
      </c>
      <c r="L25" s="200" t="s">
        <v>269</v>
      </c>
      <c r="M25" s="200" t="s">
        <v>269</v>
      </c>
      <c r="N25" s="50" t="s">
        <v>269</v>
      </c>
      <c r="O25" s="50" t="s">
        <v>269</v>
      </c>
      <c r="P25" s="50" t="s">
        <v>269</v>
      </c>
      <c r="Q25" s="50" t="s">
        <v>269</v>
      </c>
      <c r="R25" s="50" t="s">
        <v>269</v>
      </c>
      <c r="S25" s="50" t="s">
        <v>269</v>
      </c>
      <c r="T25" s="50" t="s">
        <v>269</v>
      </c>
      <c r="U25" s="50" t="s">
        <v>269</v>
      </c>
      <c r="V25" s="50" t="s">
        <v>269</v>
      </c>
      <c r="W25" s="50" t="s">
        <v>269</v>
      </c>
      <c r="X25" s="50" t="s">
        <v>269</v>
      </c>
      <c r="Y25" s="50" t="s">
        <v>269</v>
      </c>
      <c r="Z25" s="200" t="s">
        <v>269</v>
      </c>
      <c r="AA25" s="200" t="s">
        <v>269</v>
      </c>
      <c r="AB25" s="50" t="s">
        <v>269</v>
      </c>
      <c r="AC25" s="50" t="s">
        <v>269</v>
      </c>
      <c r="AD25" s="50" t="s">
        <v>269</v>
      </c>
      <c r="AE25" s="50" t="s">
        <v>269</v>
      </c>
      <c r="AF25" s="50" t="s">
        <v>269</v>
      </c>
      <c r="AG25" s="50" t="s">
        <v>269</v>
      </c>
      <c r="AH25" s="50" t="s">
        <v>269</v>
      </c>
      <c r="AI25" s="50" t="s">
        <v>269</v>
      </c>
      <c r="AJ25" s="50" t="s">
        <v>269</v>
      </c>
      <c r="AK25" s="50" t="s">
        <v>269</v>
      </c>
      <c r="AL25" s="50" t="s">
        <v>269</v>
      </c>
      <c r="AM25" s="170">
        <v>64</v>
      </c>
      <c r="AN25" s="170">
        <v>64</v>
      </c>
      <c r="AO25" s="170">
        <v>61</v>
      </c>
      <c r="AP25" s="170">
        <v>62</v>
      </c>
      <c r="AQ25" s="170">
        <v>62</v>
      </c>
      <c r="AR25" s="165">
        <f t="shared" si="1"/>
        <v>62.6</v>
      </c>
      <c r="AS25" s="50" t="s">
        <v>269</v>
      </c>
      <c r="AT25" s="214" t="s">
        <v>269</v>
      </c>
    </row>
    <row r="26" spans="2:46" ht="15.75" customHeight="1" x14ac:dyDescent="0.3">
      <c r="B26" s="72" t="s">
        <v>289</v>
      </c>
      <c r="C26" s="251" t="s">
        <v>271</v>
      </c>
      <c r="D26" s="72"/>
      <c r="E26" s="200" t="s">
        <v>269</v>
      </c>
      <c r="F26" s="200" t="s">
        <v>269</v>
      </c>
      <c r="G26" s="200" t="s">
        <v>269</v>
      </c>
      <c r="H26" s="200" t="s">
        <v>269</v>
      </c>
      <c r="I26" s="200" t="s">
        <v>269</v>
      </c>
      <c r="J26" s="200" t="s">
        <v>269</v>
      </c>
      <c r="K26" s="200" t="s">
        <v>269</v>
      </c>
      <c r="L26" s="200" t="s">
        <v>269</v>
      </c>
      <c r="M26" s="200" t="s">
        <v>269</v>
      </c>
      <c r="N26" s="50" t="s">
        <v>269</v>
      </c>
      <c r="O26" s="50" t="s">
        <v>269</v>
      </c>
      <c r="P26" s="50" t="s">
        <v>269</v>
      </c>
      <c r="Q26" s="50" t="s">
        <v>269</v>
      </c>
      <c r="R26" s="50" t="s">
        <v>269</v>
      </c>
      <c r="S26" s="50" t="s">
        <v>269</v>
      </c>
      <c r="T26" s="50" t="s">
        <v>269</v>
      </c>
      <c r="U26" s="50" t="s">
        <v>269</v>
      </c>
      <c r="V26" s="50" t="s">
        <v>269</v>
      </c>
      <c r="W26" s="50" t="s">
        <v>269</v>
      </c>
      <c r="X26" s="50" t="s">
        <v>269</v>
      </c>
      <c r="Y26" s="50" t="s">
        <v>269</v>
      </c>
      <c r="Z26" s="200" t="s">
        <v>269</v>
      </c>
      <c r="AA26" s="200" t="s">
        <v>269</v>
      </c>
      <c r="AB26" s="50" t="s">
        <v>269</v>
      </c>
      <c r="AC26" s="50" t="s">
        <v>269</v>
      </c>
      <c r="AD26" s="50" t="s">
        <v>269</v>
      </c>
      <c r="AE26" s="50" t="s">
        <v>269</v>
      </c>
      <c r="AF26" s="50" t="s">
        <v>269</v>
      </c>
      <c r="AG26" s="50" t="s">
        <v>269</v>
      </c>
      <c r="AH26" s="50" t="s">
        <v>269</v>
      </c>
      <c r="AI26" s="50" t="s">
        <v>269</v>
      </c>
      <c r="AJ26" s="50" t="s">
        <v>269</v>
      </c>
      <c r="AK26" s="50" t="s">
        <v>269</v>
      </c>
      <c r="AL26" s="50" t="s">
        <v>269</v>
      </c>
      <c r="AM26" s="170">
        <v>65</v>
      </c>
      <c r="AN26" s="170">
        <v>62</v>
      </c>
      <c r="AO26" s="170">
        <v>63</v>
      </c>
      <c r="AP26" s="170">
        <v>64</v>
      </c>
      <c r="AQ26" s="170">
        <v>62</v>
      </c>
      <c r="AR26" s="165">
        <f t="shared" si="1"/>
        <v>63.2</v>
      </c>
      <c r="AS26" s="50" t="s">
        <v>269</v>
      </c>
      <c r="AT26" s="214" t="s">
        <v>269</v>
      </c>
    </row>
    <row r="27" spans="2:46" ht="15.75" customHeight="1" x14ac:dyDescent="0.3">
      <c r="B27" s="72" t="s">
        <v>305</v>
      </c>
      <c r="C27" s="251" t="s">
        <v>271</v>
      </c>
      <c r="D27" s="72"/>
      <c r="E27" s="200" t="s">
        <v>269</v>
      </c>
      <c r="F27" s="200" t="s">
        <v>269</v>
      </c>
      <c r="G27" s="200" t="s">
        <v>269</v>
      </c>
      <c r="H27" s="200" t="s">
        <v>269</v>
      </c>
      <c r="I27" s="200" t="s">
        <v>269</v>
      </c>
      <c r="J27" s="200" t="s">
        <v>269</v>
      </c>
      <c r="K27" s="200" t="s">
        <v>269</v>
      </c>
      <c r="L27" s="200" t="s">
        <v>269</v>
      </c>
      <c r="M27" s="200" t="s">
        <v>269</v>
      </c>
      <c r="N27" s="50" t="s">
        <v>269</v>
      </c>
      <c r="O27" s="50" t="s">
        <v>269</v>
      </c>
      <c r="P27" s="50" t="s">
        <v>269</v>
      </c>
      <c r="Q27" s="50" t="s">
        <v>269</v>
      </c>
      <c r="R27" s="50" t="s">
        <v>269</v>
      </c>
      <c r="S27" s="50" t="s">
        <v>269</v>
      </c>
      <c r="T27" s="50" t="s">
        <v>269</v>
      </c>
      <c r="U27" s="50" t="s">
        <v>269</v>
      </c>
      <c r="V27" s="50" t="s">
        <v>269</v>
      </c>
      <c r="W27" s="50" t="s">
        <v>269</v>
      </c>
      <c r="X27" s="50" t="s">
        <v>269</v>
      </c>
      <c r="Y27" s="50" t="s">
        <v>269</v>
      </c>
      <c r="Z27" s="200" t="s">
        <v>269</v>
      </c>
      <c r="AA27" s="200" t="s">
        <v>269</v>
      </c>
      <c r="AB27" s="50" t="s">
        <v>269</v>
      </c>
      <c r="AC27" s="50" t="s">
        <v>269</v>
      </c>
      <c r="AD27" s="50" t="s">
        <v>269</v>
      </c>
      <c r="AE27" s="50" t="s">
        <v>269</v>
      </c>
      <c r="AF27" s="50" t="s">
        <v>269</v>
      </c>
      <c r="AG27" s="50" t="s">
        <v>269</v>
      </c>
      <c r="AH27" s="50" t="s">
        <v>269</v>
      </c>
      <c r="AI27" s="50" t="s">
        <v>269</v>
      </c>
      <c r="AJ27" s="50" t="s">
        <v>269</v>
      </c>
      <c r="AK27" s="50" t="s">
        <v>269</v>
      </c>
      <c r="AL27" s="50" t="s">
        <v>269</v>
      </c>
      <c r="AM27" s="170">
        <v>62</v>
      </c>
      <c r="AN27" s="170">
        <v>63</v>
      </c>
      <c r="AO27" s="170">
        <v>64</v>
      </c>
      <c r="AP27" s="170">
        <v>65</v>
      </c>
      <c r="AQ27" s="170">
        <v>64</v>
      </c>
      <c r="AR27" s="165">
        <f t="shared" si="1"/>
        <v>63.6</v>
      </c>
      <c r="AS27" s="50" t="s">
        <v>269</v>
      </c>
      <c r="AT27" s="214" t="s">
        <v>269</v>
      </c>
    </row>
    <row r="28" spans="2:46" ht="15.75" customHeight="1" x14ac:dyDescent="0.3">
      <c r="B28" s="72" t="s">
        <v>304</v>
      </c>
      <c r="C28" s="251" t="s">
        <v>271</v>
      </c>
      <c r="D28" s="72"/>
      <c r="E28" s="200" t="s">
        <v>269</v>
      </c>
      <c r="F28" s="200" t="s">
        <v>269</v>
      </c>
      <c r="G28" s="200" t="s">
        <v>269</v>
      </c>
      <c r="H28" s="200" t="s">
        <v>269</v>
      </c>
      <c r="I28" s="200" t="s">
        <v>269</v>
      </c>
      <c r="J28" s="200" t="s">
        <v>269</v>
      </c>
      <c r="K28" s="200" t="s">
        <v>269</v>
      </c>
      <c r="L28" s="200" t="s">
        <v>269</v>
      </c>
      <c r="M28" s="200" t="s">
        <v>269</v>
      </c>
      <c r="N28" s="50" t="s">
        <v>269</v>
      </c>
      <c r="O28" s="50" t="s">
        <v>269</v>
      </c>
      <c r="P28" s="50" t="s">
        <v>269</v>
      </c>
      <c r="Q28" s="50" t="s">
        <v>269</v>
      </c>
      <c r="R28" s="50" t="s">
        <v>269</v>
      </c>
      <c r="S28" s="50" t="s">
        <v>269</v>
      </c>
      <c r="T28" s="50" t="s">
        <v>269</v>
      </c>
      <c r="U28" s="50" t="s">
        <v>269</v>
      </c>
      <c r="V28" s="50" t="s">
        <v>269</v>
      </c>
      <c r="W28" s="50" t="s">
        <v>269</v>
      </c>
      <c r="X28" s="50" t="s">
        <v>269</v>
      </c>
      <c r="Y28" s="50" t="s">
        <v>269</v>
      </c>
      <c r="Z28" s="200" t="s">
        <v>269</v>
      </c>
      <c r="AA28" s="200" t="s">
        <v>269</v>
      </c>
      <c r="AB28" s="50" t="s">
        <v>269</v>
      </c>
      <c r="AC28" s="50" t="s">
        <v>269</v>
      </c>
      <c r="AD28" s="50" t="s">
        <v>269</v>
      </c>
      <c r="AE28" s="50" t="s">
        <v>269</v>
      </c>
      <c r="AF28" s="50" t="s">
        <v>269</v>
      </c>
      <c r="AG28" s="50" t="s">
        <v>269</v>
      </c>
      <c r="AH28" s="50" t="s">
        <v>269</v>
      </c>
      <c r="AI28" s="50" t="s">
        <v>269</v>
      </c>
      <c r="AJ28" s="50" t="s">
        <v>269</v>
      </c>
      <c r="AK28" s="50" t="s">
        <v>269</v>
      </c>
      <c r="AL28" s="50" t="s">
        <v>269</v>
      </c>
      <c r="AM28" s="170">
        <v>63</v>
      </c>
      <c r="AN28" s="170">
        <v>64</v>
      </c>
      <c r="AO28" s="170">
        <v>62</v>
      </c>
      <c r="AP28" s="170">
        <v>63</v>
      </c>
      <c r="AQ28" s="170">
        <v>63</v>
      </c>
      <c r="AR28" s="165">
        <f t="shared" si="1"/>
        <v>63</v>
      </c>
      <c r="AS28" s="50" t="s">
        <v>269</v>
      </c>
      <c r="AT28" s="214" t="s">
        <v>269</v>
      </c>
    </row>
    <row r="29" spans="2:46" ht="15.75" customHeight="1" x14ac:dyDescent="0.3">
      <c r="B29" s="72" t="s">
        <v>294</v>
      </c>
      <c r="C29" s="251" t="s">
        <v>271</v>
      </c>
      <c r="D29" s="72"/>
      <c r="E29" s="200" t="s">
        <v>269</v>
      </c>
      <c r="F29" s="200" t="s">
        <v>269</v>
      </c>
      <c r="G29" s="200" t="s">
        <v>269</v>
      </c>
      <c r="H29" s="200" t="s">
        <v>269</v>
      </c>
      <c r="I29" s="200" t="s">
        <v>269</v>
      </c>
      <c r="J29" s="200" t="s">
        <v>269</v>
      </c>
      <c r="K29" s="200" t="s">
        <v>269</v>
      </c>
      <c r="L29" s="200" t="s">
        <v>269</v>
      </c>
      <c r="M29" s="200" t="s">
        <v>269</v>
      </c>
      <c r="N29" s="50" t="s">
        <v>269</v>
      </c>
      <c r="O29" s="50" t="s">
        <v>269</v>
      </c>
      <c r="P29" s="50" t="s">
        <v>269</v>
      </c>
      <c r="Q29" s="50" t="s">
        <v>269</v>
      </c>
      <c r="R29" s="50" t="s">
        <v>269</v>
      </c>
      <c r="S29" s="50" t="s">
        <v>269</v>
      </c>
      <c r="T29" s="50" t="s">
        <v>269</v>
      </c>
      <c r="U29" s="50" t="s">
        <v>269</v>
      </c>
      <c r="V29" s="50" t="s">
        <v>269</v>
      </c>
      <c r="W29" s="50" t="s">
        <v>269</v>
      </c>
      <c r="X29" s="50" t="s">
        <v>269</v>
      </c>
      <c r="Y29" s="50" t="s">
        <v>269</v>
      </c>
      <c r="Z29" s="200" t="s">
        <v>269</v>
      </c>
      <c r="AA29" s="200" t="s">
        <v>269</v>
      </c>
      <c r="AB29" s="50" t="s">
        <v>269</v>
      </c>
      <c r="AC29" s="50" t="s">
        <v>269</v>
      </c>
      <c r="AD29" s="50" t="s">
        <v>269</v>
      </c>
      <c r="AE29" s="50" t="s">
        <v>269</v>
      </c>
      <c r="AF29" s="50" t="s">
        <v>269</v>
      </c>
      <c r="AG29" s="50" t="s">
        <v>269</v>
      </c>
      <c r="AH29" s="50" t="s">
        <v>269</v>
      </c>
      <c r="AI29" s="50" t="s">
        <v>269</v>
      </c>
      <c r="AJ29" s="50" t="s">
        <v>269</v>
      </c>
      <c r="AK29" s="50" t="s">
        <v>269</v>
      </c>
      <c r="AL29" s="50" t="s">
        <v>269</v>
      </c>
      <c r="AM29" s="170">
        <v>65</v>
      </c>
      <c r="AN29" s="170">
        <v>64</v>
      </c>
      <c r="AO29" s="170">
        <v>65</v>
      </c>
      <c r="AP29" s="170">
        <v>64</v>
      </c>
      <c r="AQ29" s="170">
        <v>64</v>
      </c>
      <c r="AR29" s="165">
        <f t="shared" si="1"/>
        <v>64.400000000000006</v>
      </c>
      <c r="AS29" s="50" t="s">
        <v>269</v>
      </c>
      <c r="AT29" s="214" t="s">
        <v>269</v>
      </c>
    </row>
    <row r="30" spans="2:46" ht="15.75" customHeight="1" x14ac:dyDescent="0.3">
      <c r="B30" s="72" t="s">
        <v>290</v>
      </c>
      <c r="C30" s="251" t="s">
        <v>271</v>
      </c>
      <c r="D30" s="72"/>
      <c r="E30" s="200" t="s">
        <v>269</v>
      </c>
      <c r="F30" s="200" t="s">
        <v>269</v>
      </c>
      <c r="G30" s="200" t="s">
        <v>269</v>
      </c>
      <c r="H30" s="200" t="s">
        <v>269</v>
      </c>
      <c r="I30" s="200" t="s">
        <v>269</v>
      </c>
      <c r="J30" s="200" t="s">
        <v>269</v>
      </c>
      <c r="K30" s="200" t="s">
        <v>269</v>
      </c>
      <c r="L30" s="200" t="s">
        <v>269</v>
      </c>
      <c r="M30" s="200" t="s">
        <v>269</v>
      </c>
      <c r="N30" s="50" t="s">
        <v>269</v>
      </c>
      <c r="O30" s="50" t="s">
        <v>269</v>
      </c>
      <c r="P30" s="50" t="s">
        <v>269</v>
      </c>
      <c r="Q30" s="50" t="s">
        <v>269</v>
      </c>
      <c r="R30" s="50" t="s">
        <v>269</v>
      </c>
      <c r="S30" s="50" t="s">
        <v>269</v>
      </c>
      <c r="T30" s="50" t="s">
        <v>269</v>
      </c>
      <c r="U30" s="50" t="s">
        <v>269</v>
      </c>
      <c r="V30" s="50" t="s">
        <v>269</v>
      </c>
      <c r="W30" s="50" t="s">
        <v>269</v>
      </c>
      <c r="X30" s="50" t="s">
        <v>269</v>
      </c>
      <c r="Y30" s="50" t="s">
        <v>269</v>
      </c>
      <c r="Z30" s="200" t="s">
        <v>269</v>
      </c>
      <c r="AA30" s="200" t="s">
        <v>269</v>
      </c>
      <c r="AB30" s="50" t="s">
        <v>269</v>
      </c>
      <c r="AC30" s="50" t="s">
        <v>269</v>
      </c>
      <c r="AD30" s="50" t="s">
        <v>269</v>
      </c>
      <c r="AE30" s="50" t="s">
        <v>269</v>
      </c>
      <c r="AF30" s="50" t="s">
        <v>269</v>
      </c>
      <c r="AG30" s="50" t="s">
        <v>269</v>
      </c>
      <c r="AH30" s="50" t="s">
        <v>269</v>
      </c>
      <c r="AI30" s="50" t="s">
        <v>269</v>
      </c>
      <c r="AJ30" s="50" t="s">
        <v>269</v>
      </c>
      <c r="AK30" s="50" t="s">
        <v>269</v>
      </c>
      <c r="AL30" s="50" t="s">
        <v>269</v>
      </c>
      <c r="AM30" s="170">
        <v>63</v>
      </c>
      <c r="AN30" s="170">
        <v>63</v>
      </c>
      <c r="AO30" s="170">
        <v>62</v>
      </c>
      <c r="AP30" s="170">
        <v>63</v>
      </c>
      <c r="AQ30" s="170">
        <v>63</v>
      </c>
      <c r="AR30" s="165">
        <f t="shared" si="1"/>
        <v>62.8</v>
      </c>
      <c r="AS30" s="50" t="s">
        <v>269</v>
      </c>
      <c r="AT30" s="214" t="s">
        <v>269</v>
      </c>
    </row>
    <row r="31" spans="2:46" ht="15.75" customHeight="1" x14ac:dyDescent="0.3">
      <c r="B31" s="72" t="s">
        <v>301</v>
      </c>
      <c r="C31" s="251" t="s">
        <v>271</v>
      </c>
      <c r="D31" s="72"/>
      <c r="E31" s="200" t="s">
        <v>269</v>
      </c>
      <c r="F31" s="200" t="s">
        <v>269</v>
      </c>
      <c r="G31" s="200" t="s">
        <v>269</v>
      </c>
      <c r="H31" s="200" t="s">
        <v>269</v>
      </c>
      <c r="I31" s="200" t="s">
        <v>269</v>
      </c>
      <c r="J31" s="200" t="s">
        <v>269</v>
      </c>
      <c r="K31" s="200" t="s">
        <v>269</v>
      </c>
      <c r="L31" s="200" t="s">
        <v>269</v>
      </c>
      <c r="M31" s="200" t="s">
        <v>269</v>
      </c>
      <c r="N31" s="50" t="s">
        <v>269</v>
      </c>
      <c r="O31" s="50" t="s">
        <v>269</v>
      </c>
      <c r="P31" s="50" t="s">
        <v>269</v>
      </c>
      <c r="Q31" s="50" t="s">
        <v>269</v>
      </c>
      <c r="R31" s="50" t="s">
        <v>269</v>
      </c>
      <c r="S31" s="50" t="s">
        <v>269</v>
      </c>
      <c r="T31" s="50" t="s">
        <v>269</v>
      </c>
      <c r="U31" s="50" t="s">
        <v>269</v>
      </c>
      <c r="V31" s="50" t="s">
        <v>269</v>
      </c>
      <c r="W31" s="50" t="s">
        <v>269</v>
      </c>
      <c r="X31" s="50" t="s">
        <v>269</v>
      </c>
      <c r="Y31" s="50" t="s">
        <v>269</v>
      </c>
      <c r="Z31" s="200" t="s">
        <v>269</v>
      </c>
      <c r="AA31" s="200" t="s">
        <v>269</v>
      </c>
      <c r="AB31" s="50" t="s">
        <v>269</v>
      </c>
      <c r="AC31" s="50" t="s">
        <v>269</v>
      </c>
      <c r="AD31" s="50" t="s">
        <v>269</v>
      </c>
      <c r="AE31" s="50" t="s">
        <v>269</v>
      </c>
      <c r="AF31" s="50" t="s">
        <v>269</v>
      </c>
      <c r="AG31" s="50" t="s">
        <v>269</v>
      </c>
      <c r="AH31" s="50" t="s">
        <v>269</v>
      </c>
      <c r="AI31" s="50" t="s">
        <v>269</v>
      </c>
      <c r="AJ31" s="50" t="s">
        <v>269</v>
      </c>
      <c r="AK31" s="50" t="s">
        <v>269</v>
      </c>
      <c r="AL31" s="50" t="s">
        <v>269</v>
      </c>
      <c r="AM31" s="170">
        <v>63</v>
      </c>
      <c r="AN31" s="170">
        <v>62</v>
      </c>
      <c r="AO31" s="170">
        <v>63</v>
      </c>
      <c r="AP31" s="170">
        <v>63</v>
      </c>
      <c r="AQ31" s="170">
        <v>65</v>
      </c>
      <c r="AR31" s="165">
        <f t="shared" si="1"/>
        <v>63.2</v>
      </c>
      <c r="AS31" s="50" t="s">
        <v>269</v>
      </c>
      <c r="AT31" s="214" t="s">
        <v>269</v>
      </c>
    </row>
    <row r="32" spans="2:46" ht="15.75" customHeight="1" x14ac:dyDescent="0.3">
      <c r="B32" s="72" t="s">
        <v>308</v>
      </c>
      <c r="C32" s="251" t="s">
        <v>271</v>
      </c>
      <c r="D32" s="72"/>
      <c r="E32" s="200" t="s">
        <v>269</v>
      </c>
      <c r="F32" s="200" t="s">
        <v>269</v>
      </c>
      <c r="G32" s="200" t="s">
        <v>269</v>
      </c>
      <c r="H32" s="200" t="s">
        <v>269</v>
      </c>
      <c r="I32" s="200" t="s">
        <v>269</v>
      </c>
      <c r="J32" s="200" t="s">
        <v>269</v>
      </c>
      <c r="K32" s="200" t="s">
        <v>269</v>
      </c>
      <c r="L32" s="200" t="s">
        <v>269</v>
      </c>
      <c r="M32" s="200" t="s">
        <v>269</v>
      </c>
      <c r="N32" s="50" t="s">
        <v>269</v>
      </c>
      <c r="O32" s="50" t="s">
        <v>269</v>
      </c>
      <c r="P32" s="50" t="s">
        <v>269</v>
      </c>
      <c r="Q32" s="50" t="s">
        <v>269</v>
      </c>
      <c r="R32" s="50" t="s">
        <v>269</v>
      </c>
      <c r="S32" s="50" t="s">
        <v>269</v>
      </c>
      <c r="T32" s="50" t="s">
        <v>269</v>
      </c>
      <c r="U32" s="50" t="s">
        <v>269</v>
      </c>
      <c r="V32" s="50" t="s">
        <v>269</v>
      </c>
      <c r="W32" s="50" t="s">
        <v>269</v>
      </c>
      <c r="X32" s="50" t="s">
        <v>269</v>
      </c>
      <c r="Y32" s="50" t="s">
        <v>269</v>
      </c>
      <c r="Z32" s="200" t="s">
        <v>269</v>
      </c>
      <c r="AA32" s="200" t="s">
        <v>269</v>
      </c>
      <c r="AB32" s="50" t="s">
        <v>269</v>
      </c>
      <c r="AC32" s="50" t="s">
        <v>269</v>
      </c>
      <c r="AD32" s="50" t="s">
        <v>269</v>
      </c>
      <c r="AE32" s="50" t="s">
        <v>269</v>
      </c>
      <c r="AF32" s="50" t="s">
        <v>269</v>
      </c>
      <c r="AG32" s="50" t="s">
        <v>269</v>
      </c>
      <c r="AH32" s="50" t="s">
        <v>269</v>
      </c>
      <c r="AI32" s="50" t="s">
        <v>269</v>
      </c>
      <c r="AJ32" s="50" t="s">
        <v>269</v>
      </c>
      <c r="AK32" s="50" t="s">
        <v>269</v>
      </c>
      <c r="AL32" s="50" t="s">
        <v>269</v>
      </c>
      <c r="AM32" s="170">
        <v>65</v>
      </c>
      <c r="AN32" s="170">
        <v>64</v>
      </c>
      <c r="AO32" s="170">
        <v>66</v>
      </c>
      <c r="AP32" s="170">
        <v>65</v>
      </c>
      <c r="AQ32" s="170">
        <v>62</v>
      </c>
      <c r="AR32" s="165">
        <f t="shared" si="1"/>
        <v>64.400000000000006</v>
      </c>
      <c r="AS32" s="50" t="s">
        <v>269</v>
      </c>
      <c r="AT32" s="214" t="s">
        <v>269</v>
      </c>
    </row>
    <row r="33" spans="2:46" ht="15.75" customHeight="1" x14ac:dyDescent="0.3">
      <c r="B33" s="72" t="s">
        <v>295</v>
      </c>
      <c r="C33" s="251" t="s">
        <v>271</v>
      </c>
      <c r="D33" s="72"/>
      <c r="E33" s="200" t="s">
        <v>269</v>
      </c>
      <c r="F33" s="200" t="s">
        <v>269</v>
      </c>
      <c r="G33" s="200" t="s">
        <v>269</v>
      </c>
      <c r="H33" s="200" t="s">
        <v>269</v>
      </c>
      <c r="I33" s="200" t="s">
        <v>269</v>
      </c>
      <c r="J33" s="200" t="s">
        <v>269</v>
      </c>
      <c r="K33" s="200" t="s">
        <v>269</v>
      </c>
      <c r="L33" s="200" t="s">
        <v>269</v>
      </c>
      <c r="M33" s="200" t="s">
        <v>269</v>
      </c>
      <c r="N33" s="50" t="s">
        <v>269</v>
      </c>
      <c r="O33" s="50" t="s">
        <v>269</v>
      </c>
      <c r="P33" s="50" t="s">
        <v>269</v>
      </c>
      <c r="Q33" s="50" t="s">
        <v>269</v>
      </c>
      <c r="R33" s="50" t="s">
        <v>269</v>
      </c>
      <c r="S33" s="50" t="s">
        <v>269</v>
      </c>
      <c r="T33" s="50" t="s">
        <v>269</v>
      </c>
      <c r="U33" s="50" t="s">
        <v>269</v>
      </c>
      <c r="V33" s="50" t="s">
        <v>269</v>
      </c>
      <c r="W33" s="50" t="s">
        <v>269</v>
      </c>
      <c r="X33" s="50" t="s">
        <v>269</v>
      </c>
      <c r="Y33" s="50" t="s">
        <v>269</v>
      </c>
      <c r="Z33" s="200" t="s">
        <v>269</v>
      </c>
      <c r="AA33" s="200" t="s">
        <v>269</v>
      </c>
      <c r="AB33" s="50" t="s">
        <v>269</v>
      </c>
      <c r="AC33" s="50" t="s">
        <v>269</v>
      </c>
      <c r="AD33" s="50" t="s">
        <v>269</v>
      </c>
      <c r="AE33" s="50" t="s">
        <v>269</v>
      </c>
      <c r="AF33" s="50" t="s">
        <v>269</v>
      </c>
      <c r="AG33" s="50" t="s">
        <v>269</v>
      </c>
      <c r="AH33" s="50" t="s">
        <v>269</v>
      </c>
      <c r="AI33" s="50" t="s">
        <v>269</v>
      </c>
      <c r="AJ33" s="50" t="s">
        <v>269</v>
      </c>
      <c r="AK33" s="50" t="s">
        <v>269</v>
      </c>
      <c r="AL33" s="50" t="s">
        <v>269</v>
      </c>
      <c r="AM33" s="170">
        <v>63</v>
      </c>
      <c r="AN33" s="170">
        <v>64</v>
      </c>
      <c r="AO33" s="170">
        <v>63</v>
      </c>
      <c r="AP33" s="170">
        <v>64</v>
      </c>
      <c r="AQ33" s="170">
        <v>64</v>
      </c>
      <c r="AR33" s="165">
        <f t="shared" si="1"/>
        <v>63.6</v>
      </c>
      <c r="AS33" s="50" t="s">
        <v>269</v>
      </c>
      <c r="AT33" s="214" t="s">
        <v>269</v>
      </c>
    </row>
    <row r="34" spans="2:46" ht="15.75" customHeight="1" x14ac:dyDescent="0.3">
      <c r="B34" s="72" t="s">
        <v>300</v>
      </c>
      <c r="C34" s="251" t="s">
        <v>271</v>
      </c>
      <c r="D34" s="72"/>
      <c r="E34" s="200" t="s">
        <v>269</v>
      </c>
      <c r="F34" s="200" t="s">
        <v>269</v>
      </c>
      <c r="G34" s="200" t="s">
        <v>269</v>
      </c>
      <c r="H34" s="200" t="s">
        <v>269</v>
      </c>
      <c r="I34" s="200" t="s">
        <v>269</v>
      </c>
      <c r="J34" s="200" t="s">
        <v>269</v>
      </c>
      <c r="K34" s="200" t="s">
        <v>269</v>
      </c>
      <c r="L34" s="200" t="s">
        <v>269</v>
      </c>
      <c r="M34" s="200" t="s">
        <v>269</v>
      </c>
      <c r="N34" s="50" t="s">
        <v>269</v>
      </c>
      <c r="O34" s="50" t="s">
        <v>269</v>
      </c>
      <c r="P34" s="50" t="s">
        <v>269</v>
      </c>
      <c r="Q34" s="50" t="s">
        <v>269</v>
      </c>
      <c r="R34" s="50" t="s">
        <v>269</v>
      </c>
      <c r="S34" s="50" t="s">
        <v>269</v>
      </c>
      <c r="T34" s="50" t="s">
        <v>269</v>
      </c>
      <c r="U34" s="50" t="s">
        <v>269</v>
      </c>
      <c r="V34" s="50" t="s">
        <v>269</v>
      </c>
      <c r="W34" s="50" t="s">
        <v>269</v>
      </c>
      <c r="X34" s="50" t="s">
        <v>269</v>
      </c>
      <c r="Y34" s="50" t="s">
        <v>269</v>
      </c>
      <c r="Z34" s="200" t="s">
        <v>269</v>
      </c>
      <c r="AA34" s="200" t="s">
        <v>269</v>
      </c>
      <c r="AB34" s="50" t="s">
        <v>269</v>
      </c>
      <c r="AC34" s="50" t="s">
        <v>269</v>
      </c>
      <c r="AD34" s="50" t="s">
        <v>269</v>
      </c>
      <c r="AE34" s="50" t="s">
        <v>269</v>
      </c>
      <c r="AF34" s="50" t="s">
        <v>269</v>
      </c>
      <c r="AG34" s="50" t="s">
        <v>269</v>
      </c>
      <c r="AH34" s="50" t="s">
        <v>269</v>
      </c>
      <c r="AI34" s="50" t="s">
        <v>269</v>
      </c>
      <c r="AJ34" s="50" t="s">
        <v>269</v>
      </c>
      <c r="AK34" s="50" t="s">
        <v>269</v>
      </c>
      <c r="AL34" s="50" t="s">
        <v>269</v>
      </c>
      <c r="AM34" s="170">
        <v>62</v>
      </c>
      <c r="AN34" s="170">
        <v>63</v>
      </c>
      <c r="AO34" s="170">
        <v>65</v>
      </c>
      <c r="AP34" s="170">
        <v>65</v>
      </c>
      <c r="AQ34" s="170">
        <v>66</v>
      </c>
      <c r="AR34" s="165">
        <f t="shared" si="1"/>
        <v>64.2</v>
      </c>
      <c r="AS34" s="50" t="s">
        <v>269</v>
      </c>
      <c r="AT34" s="214" t="s">
        <v>269</v>
      </c>
    </row>
    <row r="35" spans="2:46" ht="15.75" customHeight="1" x14ac:dyDescent="0.3">
      <c r="B35" s="72" t="s">
        <v>306</v>
      </c>
      <c r="C35" s="251" t="s">
        <v>271</v>
      </c>
      <c r="D35" s="72"/>
      <c r="E35" s="200" t="s">
        <v>269</v>
      </c>
      <c r="F35" s="200" t="s">
        <v>269</v>
      </c>
      <c r="G35" s="200" t="s">
        <v>269</v>
      </c>
      <c r="H35" s="200" t="s">
        <v>269</v>
      </c>
      <c r="I35" s="200" t="s">
        <v>269</v>
      </c>
      <c r="J35" s="200" t="s">
        <v>269</v>
      </c>
      <c r="K35" s="200" t="s">
        <v>269</v>
      </c>
      <c r="L35" s="200" t="s">
        <v>269</v>
      </c>
      <c r="M35" s="200" t="s">
        <v>269</v>
      </c>
      <c r="N35" s="50" t="s">
        <v>269</v>
      </c>
      <c r="O35" s="50" t="s">
        <v>269</v>
      </c>
      <c r="P35" s="50" t="s">
        <v>269</v>
      </c>
      <c r="Q35" s="50" t="s">
        <v>269</v>
      </c>
      <c r="R35" s="50" t="s">
        <v>269</v>
      </c>
      <c r="S35" s="50" t="s">
        <v>269</v>
      </c>
      <c r="T35" s="50" t="s">
        <v>269</v>
      </c>
      <c r="U35" s="50" t="s">
        <v>269</v>
      </c>
      <c r="V35" s="50" t="s">
        <v>269</v>
      </c>
      <c r="W35" s="50" t="s">
        <v>269</v>
      </c>
      <c r="X35" s="50" t="s">
        <v>269</v>
      </c>
      <c r="Y35" s="50" t="s">
        <v>269</v>
      </c>
      <c r="Z35" s="200" t="s">
        <v>269</v>
      </c>
      <c r="AA35" s="200" t="s">
        <v>269</v>
      </c>
      <c r="AB35" s="50" t="s">
        <v>269</v>
      </c>
      <c r="AC35" s="50" t="s">
        <v>269</v>
      </c>
      <c r="AD35" s="50" t="s">
        <v>269</v>
      </c>
      <c r="AE35" s="50" t="s">
        <v>269</v>
      </c>
      <c r="AF35" s="50" t="s">
        <v>269</v>
      </c>
      <c r="AG35" s="50" t="s">
        <v>269</v>
      </c>
      <c r="AH35" s="50" t="s">
        <v>269</v>
      </c>
      <c r="AI35" s="50" t="s">
        <v>269</v>
      </c>
      <c r="AJ35" s="50" t="s">
        <v>269</v>
      </c>
      <c r="AK35" s="50" t="s">
        <v>269</v>
      </c>
      <c r="AL35" s="50" t="s">
        <v>269</v>
      </c>
      <c r="AM35" s="170">
        <v>63</v>
      </c>
      <c r="AN35" s="170">
        <v>64</v>
      </c>
      <c r="AO35" s="170">
        <v>62</v>
      </c>
      <c r="AP35" s="170">
        <v>63</v>
      </c>
      <c r="AQ35" s="170">
        <v>64</v>
      </c>
      <c r="AR35" s="165">
        <f t="shared" si="1"/>
        <v>63.2</v>
      </c>
      <c r="AS35" s="50" t="s">
        <v>269</v>
      </c>
      <c r="AT35" s="214" t="s">
        <v>269</v>
      </c>
    </row>
    <row r="36" spans="2:46" ht="15.75" customHeight="1" x14ac:dyDescent="0.3">
      <c r="B36" s="72" t="s">
        <v>299</v>
      </c>
      <c r="C36" s="251" t="s">
        <v>271</v>
      </c>
      <c r="D36" s="72"/>
      <c r="E36" s="200" t="s">
        <v>269</v>
      </c>
      <c r="F36" s="200" t="s">
        <v>269</v>
      </c>
      <c r="G36" s="200" t="s">
        <v>269</v>
      </c>
      <c r="H36" s="200" t="s">
        <v>269</v>
      </c>
      <c r="I36" s="200" t="s">
        <v>269</v>
      </c>
      <c r="J36" s="200" t="s">
        <v>269</v>
      </c>
      <c r="K36" s="200" t="s">
        <v>269</v>
      </c>
      <c r="L36" s="200" t="s">
        <v>269</v>
      </c>
      <c r="M36" s="200" t="s">
        <v>269</v>
      </c>
      <c r="N36" s="50" t="s">
        <v>269</v>
      </c>
      <c r="O36" s="50" t="s">
        <v>269</v>
      </c>
      <c r="P36" s="50" t="s">
        <v>269</v>
      </c>
      <c r="Q36" s="50" t="s">
        <v>269</v>
      </c>
      <c r="R36" s="50" t="s">
        <v>269</v>
      </c>
      <c r="S36" s="50" t="s">
        <v>269</v>
      </c>
      <c r="T36" s="50" t="s">
        <v>269</v>
      </c>
      <c r="U36" s="50" t="s">
        <v>269</v>
      </c>
      <c r="V36" s="50" t="s">
        <v>269</v>
      </c>
      <c r="W36" s="50" t="s">
        <v>269</v>
      </c>
      <c r="X36" s="50" t="s">
        <v>269</v>
      </c>
      <c r="Y36" s="50" t="s">
        <v>269</v>
      </c>
      <c r="Z36" s="200" t="s">
        <v>269</v>
      </c>
      <c r="AA36" s="200" t="s">
        <v>269</v>
      </c>
      <c r="AB36" s="50" t="s">
        <v>269</v>
      </c>
      <c r="AC36" s="50" t="s">
        <v>269</v>
      </c>
      <c r="AD36" s="50" t="s">
        <v>269</v>
      </c>
      <c r="AE36" s="50" t="s">
        <v>269</v>
      </c>
      <c r="AF36" s="50" t="s">
        <v>269</v>
      </c>
      <c r="AG36" s="50" t="s">
        <v>269</v>
      </c>
      <c r="AH36" s="50" t="s">
        <v>269</v>
      </c>
      <c r="AI36" s="50" t="s">
        <v>269</v>
      </c>
      <c r="AJ36" s="50" t="s">
        <v>269</v>
      </c>
      <c r="AK36" s="50" t="s">
        <v>269</v>
      </c>
      <c r="AL36" s="50" t="s">
        <v>269</v>
      </c>
      <c r="AM36" s="170">
        <v>62</v>
      </c>
      <c r="AN36" s="170">
        <v>63</v>
      </c>
      <c r="AO36" s="170">
        <v>62</v>
      </c>
      <c r="AP36" s="170">
        <v>63</v>
      </c>
      <c r="AQ36" s="170">
        <v>63</v>
      </c>
      <c r="AR36" s="165">
        <f t="shared" si="1"/>
        <v>62.6</v>
      </c>
      <c r="AS36" s="50" t="s">
        <v>269</v>
      </c>
      <c r="AT36" s="214" t="s">
        <v>269</v>
      </c>
    </row>
    <row r="37" spans="2:46" ht="15.75" customHeight="1" x14ac:dyDescent="0.3">
      <c r="B37" s="72" t="s">
        <v>293</v>
      </c>
      <c r="C37" s="251" t="s">
        <v>271</v>
      </c>
      <c r="D37" s="72"/>
      <c r="E37" s="200" t="s">
        <v>269</v>
      </c>
      <c r="F37" s="200" t="s">
        <v>269</v>
      </c>
      <c r="G37" s="200" t="s">
        <v>269</v>
      </c>
      <c r="H37" s="200" t="s">
        <v>269</v>
      </c>
      <c r="I37" s="200" t="s">
        <v>269</v>
      </c>
      <c r="J37" s="200" t="s">
        <v>269</v>
      </c>
      <c r="K37" s="200" t="s">
        <v>269</v>
      </c>
      <c r="L37" s="200" t="s">
        <v>269</v>
      </c>
      <c r="M37" s="200" t="s">
        <v>269</v>
      </c>
      <c r="N37" s="50" t="s">
        <v>269</v>
      </c>
      <c r="O37" s="50" t="s">
        <v>269</v>
      </c>
      <c r="P37" s="50" t="s">
        <v>269</v>
      </c>
      <c r="Q37" s="50" t="s">
        <v>269</v>
      </c>
      <c r="R37" s="50" t="s">
        <v>269</v>
      </c>
      <c r="S37" s="50" t="s">
        <v>269</v>
      </c>
      <c r="T37" s="50" t="s">
        <v>269</v>
      </c>
      <c r="U37" s="50" t="s">
        <v>269</v>
      </c>
      <c r="V37" s="50" t="s">
        <v>269</v>
      </c>
      <c r="W37" s="50" t="s">
        <v>269</v>
      </c>
      <c r="X37" s="50" t="s">
        <v>269</v>
      </c>
      <c r="Y37" s="50" t="s">
        <v>269</v>
      </c>
      <c r="Z37" s="200" t="s">
        <v>269</v>
      </c>
      <c r="AA37" s="200" t="s">
        <v>269</v>
      </c>
      <c r="AB37" s="50" t="s">
        <v>269</v>
      </c>
      <c r="AC37" s="50" t="s">
        <v>269</v>
      </c>
      <c r="AD37" s="50" t="s">
        <v>269</v>
      </c>
      <c r="AE37" s="50" t="s">
        <v>269</v>
      </c>
      <c r="AF37" s="50" t="s">
        <v>269</v>
      </c>
      <c r="AG37" s="50" t="s">
        <v>269</v>
      </c>
      <c r="AH37" s="50" t="s">
        <v>269</v>
      </c>
      <c r="AI37" s="50" t="s">
        <v>269</v>
      </c>
      <c r="AJ37" s="50" t="s">
        <v>269</v>
      </c>
      <c r="AK37" s="50" t="s">
        <v>269</v>
      </c>
      <c r="AL37" s="50" t="s">
        <v>269</v>
      </c>
      <c r="AM37" s="170">
        <v>64</v>
      </c>
      <c r="AN37" s="170">
        <v>64</v>
      </c>
      <c r="AO37" s="170">
        <v>63</v>
      </c>
      <c r="AP37" s="170">
        <v>62</v>
      </c>
      <c r="AQ37" s="170">
        <v>64</v>
      </c>
      <c r="AR37" s="165">
        <f t="shared" si="1"/>
        <v>63.4</v>
      </c>
      <c r="AS37" s="50" t="s">
        <v>269</v>
      </c>
      <c r="AT37" s="214" t="s">
        <v>269</v>
      </c>
    </row>
    <row r="38" spans="2:46" ht="15.75" customHeight="1" x14ac:dyDescent="0.3">
      <c r="B38" s="72" t="s">
        <v>298</v>
      </c>
      <c r="C38" s="251" t="s">
        <v>271</v>
      </c>
      <c r="D38" s="72"/>
      <c r="E38" s="200" t="s">
        <v>269</v>
      </c>
      <c r="F38" s="200" t="s">
        <v>269</v>
      </c>
      <c r="G38" s="200" t="s">
        <v>269</v>
      </c>
      <c r="H38" s="200" t="s">
        <v>269</v>
      </c>
      <c r="I38" s="200" t="s">
        <v>269</v>
      </c>
      <c r="J38" s="200" t="s">
        <v>269</v>
      </c>
      <c r="K38" s="200" t="s">
        <v>269</v>
      </c>
      <c r="L38" s="200" t="s">
        <v>269</v>
      </c>
      <c r="M38" s="200" t="s">
        <v>269</v>
      </c>
      <c r="N38" s="50" t="s">
        <v>269</v>
      </c>
      <c r="O38" s="50" t="s">
        <v>269</v>
      </c>
      <c r="P38" s="50" t="s">
        <v>269</v>
      </c>
      <c r="Q38" s="50" t="s">
        <v>269</v>
      </c>
      <c r="R38" s="50" t="s">
        <v>269</v>
      </c>
      <c r="S38" s="50" t="s">
        <v>269</v>
      </c>
      <c r="T38" s="50" t="s">
        <v>269</v>
      </c>
      <c r="U38" s="50" t="s">
        <v>269</v>
      </c>
      <c r="V38" s="50" t="s">
        <v>269</v>
      </c>
      <c r="W38" s="50" t="s">
        <v>269</v>
      </c>
      <c r="X38" s="50" t="s">
        <v>269</v>
      </c>
      <c r="Y38" s="50" t="s">
        <v>269</v>
      </c>
      <c r="Z38" s="200" t="s">
        <v>269</v>
      </c>
      <c r="AA38" s="200" t="s">
        <v>269</v>
      </c>
      <c r="AB38" s="50" t="s">
        <v>269</v>
      </c>
      <c r="AC38" s="50" t="s">
        <v>269</v>
      </c>
      <c r="AD38" s="50" t="s">
        <v>269</v>
      </c>
      <c r="AE38" s="50" t="s">
        <v>269</v>
      </c>
      <c r="AF38" s="50" t="s">
        <v>269</v>
      </c>
      <c r="AG38" s="50" t="s">
        <v>269</v>
      </c>
      <c r="AH38" s="50" t="s">
        <v>269</v>
      </c>
      <c r="AI38" s="50" t="s">
        <v>269</v>
      </c>
      <c r="AJ38" s="50" t="s">
        <v>269</v>
      </c>
      <c r="AK38" s="50" t="s">
        <v>269</v>
      </c>
      <c r="AL38" s="50" t="s">
        <v>269</v>
      </c>
      <c r="AM38" s="170">
        <v>65</v>
      </c>
      <c r="AN38" s="170">
        <v>64</v>
      </c>
      <c r="AO38" s="170">
        <v>63</v>
      </c>
      <c r="AP38" s="170">
        <v>62</v>
      </c>
      <c r="AQ38" s="170">
        <v>63</v>
      </c>
      <c r="AR38" s="165">
        <f t="shared" si="1"/>
        <v>63.4</v>
      </c>
      <c r="AS38" s="50" t="s">
        <v>269</v>
      </c>
      <c r="AT38" s="214" t="s">
        <v>269</v>
      </c>
    </row>
    <row r="39" spans="2:46" ht="15.75" customHeight="1" x14ac:dyDescent="0.3">
      <c r="B39" s="72" t="s">
        <v>296</v>
      </c>
      <c r="C39" s="251" t="s">
        <v>271</v>
      </c>
      <c r="D39" s="72"/>
      <c r="E39" s="200" t="s">
        <v>269</v>
      </c>
      <c r="F39" s="200" t="s">
        <v>269</v>
      </c>
      <c r="G39" s="200" t="s">
        <v>269</v>
      </c>
      <c r="H39" s="200" t="s">
        <v>269</v>
      </c>
      <c r="I39" s="200" t="s">
        <v>269</v>
      </c>
      <c r="J39" s="200" t="s">
        <v>269</v>
      </c>
      <c r="K39" s="200" t="s">
        <v>269</v>
      </c>
      <c r="L39" s="200" t="s">
        <v>269</v>
      </c>
      <c r="M39" s="200" t="s">
        <v>269</v>
      </c>
      <c r="N39" s="50" t="s">
        <v>269</v>
      </c>
      <c r="O39" s="50" t="s">
        <v>269</v>
      </c>
      <c r="P39" s="50" t="s">
        <v>269</v>
      </c>
      <c r="Q39" s="50" t="s">
        <v>269</v>
      </c>
      <c r="R39" s="50" t="s">
        <v>269</v>
      </c>
      <c r="S39" s="50" t="s">
        <v>269</v>
      </c>
      <c r="T39" s="50" t="s">
        <v>269</v>
      </c>
      <c r="U39" s="50" t="s">
        <v>269</v>
      </c>
      <c r="V39" s="50" t="s">
        <v>269</v>
      </c>
      <c r="W39" s="50" t="s">
        <v>269</v>
      </c>
      <c r="X39" s="50" t="s">
        <v>269</v>
      </c>
      <c r="Y39" s="50" t="s">
        <v>269</v>
      </c>
      <c r="Z39" s="200" t="s">
        <v>269</v>
      </c>
      <c r="AA39" s="200" t="s">
        <v>269</v>
      </c>
      <c r="AB39" s="50" t="s">
        <v>269</v>
      </c>
      <c r="AC39" s="50" t="s">
        <v>269</v>
      </c>
      <c r="AD39" s="50" t="s">
        <v>269</v>
      </c>
      <c r="AE39" s="50" t="s">
        <v>269</v>
      </c>
      <c r="AF39" s="50" t="s">
        <v>269</v>
      </c>
      <c r="AG39" s="50" t="s">
        <v>269</v>
      </c>
      <c r="AH39" s="50" t="s">
        <v>269</v>
      </c>
      <c r="AI39" s="50" t="s">
        <v>269</v>
      </c>
      <c r="AJ39" s="50" t="s">
        <v>269</v>
      </c>
      <c r="AK39" s="50" t="s">
        <v>269</v>
      </c>
      <c r="AL39" s="50" t="s">
        <v>269</v>
      </c>
      <c r="AM39" s="170">
        <v>62</v>
      </c>
      <c r="AN39" s="170">
        <v>61</v>
      </c>
      <c r="AO39" s="170">
        <v>65</v>
      </c>
      <c r="AP39" s="170">
        <v>64</v>
      </c>
      <c r="AQ39" s="170">
        <v>64</v>
      </c>
      <c r="AR39" s="165">
        <f t="shared" si="1"/>
        <v>63.2</v>
      </c>
      <c r="AS39" s="50" t="s">
        <v>269</v>
      </c>
      <c r="AT39" s="214" t="s">
        <v>269</v>
      </c>
    </row>
    <row r="40" spans="2:46" ht="15.75" customHeight="1" x14ac:dyDescent="0.3">
      <c r="B40" s="72" t="s">
        <v>297</v>
      </c>
      <c r="C40" s="251" t="s">
        <v>271</v>
      </c>
      <c r="D40" s="72"/>
      <c r="E40" s="200" t="s">
        <v>269</v>
      </c>
      <c r="F40" s="200" t="s">
        <v>269</v>
      </c>
      <c r="G40" s="200" t="s">
        <v>269</v>
      </c>
      <c r="H40" s="200" t="s">
        <v>269</v>
      </c>
      <c r="I40" s="200" t="s">
        <v>269</v>
      </c>
      <c r="J40" s="200" t="s">
        <v>269</v>
      </c>
      <c r="K40" s="200" t="s">
        <v>269</v>
      </c>
      <c r="L40" s="200" t="s">
        <v>269</v>
      </c>
      <c r="M40" s="200" t="s">
        <v>269</v>
      </c>
      <c r="N40" s="50" t="s">
        <v>269</v>
      </c>
      <c r="O40" s="50" t="s">
        <v>269</v>
      </c>
      <c r="P40" s="50" t="s">
        <v>269</v>
      </c>
      <c r="Q40" s="50" t="s">
        <v>269</v>
      </c>
      <c r="R40" s="50" t="s">
        <v>269</v>
      </c>
      <c r="S40" s="50" t="s">
        <v>269</v>
      </c>
      <c r="T40" s="50" t="s">
        <v>269</v>
      </c>
      <c r="U40" s="50" t="s">
        <v>269</v>
      </c>
      <c r="V40" s="50" t="s">
        <v>269</v>
      </c>
      <c r="W40" s="50" t="s">
        <v>269</v>
      </c>
      <c r="X40" s="50" t="s">
        <v>269</v>
      </c>
      <c r="Y40" s="50" t="s">
        <v>269</v>
      </c>
      <c r="Z40" s="200" t="s">
        <v>269</v>
      </c>
      <c r="AA40" s="200" t="s">
        <v>269</v>
      </c>
      <c r="AB40" s="50" t="s">
        <v>269</v>
      </c>
      <c r="AC40" s="50" t="s">
        <v>269</v>
      </c>
      <c r="AD40" s="50" t="s">
        <v>269</v>
      </c>
      <c r="AE40" s="50" t="s">
        <v>269</v>
      </c>
      <c r="AF40" s="50" t="s">
        <v>269</v>
      </c>
      <c r="AG40" s="50" t="s">
        <v>269</v>
      </c>
      <c r="AH40" s="50" t="s">
        <v>269</v>
      </c>
      <c r="AI40" s="50" t="s">
        <v>269</v>
      </c>
      <c r="AJ40" s="50" t="s">
        <v>269</v>
      </c>
      <c r="AK40" s="50" t="s">
        <v>269</v>
      </c>
      <c r="AL40" s="50" t="s">
        <v>269</v>
      </c>
      <c r="AM40" s="170">
        <v>65</v>
      </c>
      <c r="AN40" s="170">
        <v>66</v>
      </c>
      <c r="AO40" s="170">
        <v>63</v>
      </c>
      <c r="AP40" s="170">
        <v>62</v>
      </c>
      <c r="AQ40" s="170">
        <v>65</v>
      </c>
      <c r="AR40" s="165">
        <f t="shared" si="1"/>
        <v>64.2</v>
      </c>
      <c r="AS40" s="50" t="s">
        <v>269</v>
      </c>
      <c r="AT40" s="214" t="s">
        <v>269</v>
      </c>
    </row>
    <row r="41" spans="2:46" ht="15.75" customHeight="1" x14ac:dyDescent="0.3">
      <c r="B41" s="72" t="s">
        <v>311</v>
      </c>
      <c r="C41" s="251" t="s">
        <v>271</v>
      </c>
      <c r="D41" s="72"/>
      <c r="E41" s="200" t="s">
        <v>269</v>
      </c>
      <c r="F41" s="200" t="s">
        <v>269</v>
      </c>
      <c r="G41" s="200" t="s">
        <v>269</v>
      </c>
      <c r="H41" s="200" t="s">
        <v>269</v>
      </c>
      <c r="I41" s="200" t="s">
        <v>269</v>
      </c>
      <c r="J41" s="200" t="s">
        <v>269</v>
      </c>
      <c r="K41" s="200" t="s">
        <v>269</v>
      </c>
      <c r="L41" s="200" t="s">
        <v>269</v>
      </c>
      <c r="M41" s="200" t="s">
        <v>269</v>
      </c>
      <c r="N41" s="50" t="s">
        <v>269</v>
      </c>
      <c r="O41" s="50" t="s">
        <v>269</v>
      </c>
      <c r="P41" s="50" t="s">
        <v>269</v>
      </c>
      <c r="Q41" s="50" t="s">
        <v>269</v>
      </c>
      <c r="R41" s="50" t="s">
        <v>269</v>
      </c>
      <c r="S41" s="50" t="s">
        <v>269</v>
      </c>
      <c r="T41" s="50" t="s">
        <v>269</v>
      </c>
      <c r="U41" s="50" t="s">
        <v>269</v>
      </c>
      <c r="V41" s="50" t="s">
        <v>269</v>
      </c>
      <c r="W41" s="50" t="s">
        <v>269</v>
      </c>
      <c r="X41" s="50" t="s">
        <v>269</v>
      </c>
      <c r="Y41" s="50" t="s">
        <v>269</v>
      </c>
      <c r="Z41" s="200" t="s">
        <v>269</v>
      </c>
      <c r="AA41" s="200" t="s">
        <v>269</v>
      </c>
      <c r="AB41" s="50" t="s">
        <v>269</v>
      </c>
      <c r="AC41" s="50" t="s">
        <v>269</v>
      </c>
      <c r="AD41" s="50" t="s">
        <v>269</v>
      </c>
      <c r="AE41" s="50" t="s">
        <v>269</v>
      </c>
      <c r="AF41" s="50" t="s">
        <v>269</v>
      </c>
      <c r="AG41" s="50" t="s">
        <v>269</v>
      </c>
      <c r="AH41" s="50" t="s">
        <v>269</v>
      </c>
      <c r="AI41" s="50" t="s">
        <v>269</v>
      </c>
      <c r="AJ41" s="50" t="s">
        <v>269</v>
      </c>
      <c r="AK41" s="50" t="s">
        <v>269</v>
      </c>
      <c r="AL41" s="50" t="s">
        <v>269</v>
      </c>
      <c r="AM41" s="170">
        <v>64</v>
      </c>
      <c r="AN41" s="170">
        <v>65</v>
      </c>
      <c r="AO41" s="170">
        <v>65</v>
      </c>
      <c r="AP41" s="170">
        <v>66</v>
      </c>
      <c r="AQ41" s="170">
        <v>66</v>
      </c>
      <c r="AR41" s="165">
        <f t="shared" si="1"/>
        <v>65.2</v>
      </c>
      <c r="AS41" s="50" t="s">
        <v>269</v>
      </c>
      <c r="AT41" s="214" t="s">
        <v>269</v>
      </c>
    </row>
    <row r="42" spans="2:46" ht="15.75" customHeight="1" x14ac:dyDescent="0.3">
      <c r="B42" s="58"/>
      <c r="C42" s="72"/>
      <c r="D42" s="72"/>
      <c r="E42" s="69"/>
      <c r="F42" s="69"/>
      <c r="G42" s="69"/>
      <c r="H42" s="69"/>
      <c r="I42" s="69"/>
      <c r="J42" s="69"/>
      <c r="K42" s="69"/>
      <c r="L42" s="72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69"/>
      <c r="Z42" s="69"/>
      <c r="AA42" s="69"/>
      <c r="AB42" s="69"/>
      <c r="AC42" s="69"/>
      <c r="AD42" s="69"/>
      <c r="AE42" s="69"/>
      <c r="AF42" s="69"/>
      <c r="AG42" s="69"/>
      <c r="AH42" s="69"/>
      <c r="AI42" s="69"/>
      <c r="AJ42" s="69"/>
      <c r="AK42" s="69"/>
      <c r="AL42" s="69"/>
      <c r="AM42" s="72"/>
      <c r="AN42" s="72"/>
      <c r="AO42" s="72"/>
      <c r="AP42" s="72"/>
      <c r="AQ42" s="72"/>
      <c r="AR42" s="72"/>
      <c r="AS42" s="69"/>
      <c r="AT42" s="69"/>
    </row>
    <row r="43" spans="2:46" ht="15.75" customHeight="1" x14ac:dyDescent="0.3">
      <c r="B43" s="60"/>
      <c r="C43" s="72"/>
      <c r="D43" s="72"/>
      <c r="E43" s="69"/>
      <c r="F43" s="69"/>
      <c r="G43" s="69"/>
      <c r="H43" s="69"/>
      <c r="I43" s="69"/>
      <c r="J43" s="69"/>
      <c r="K43" s="69"/>
      <c r="L43" s="72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  <c r="AA43" s="69"/>
      <c r="AB43" s="69"/>
      <c r="AC43" s="69"/>
      <c r="AD43" s="69"/>
      <c r="AE43" s="69"/>
      <c r="AF43" s="69"/>
      <c r="AG43" s="69"/>
      <c r="AH43" s="69"/>
      <c r="AI43" s="69"/>
      <c r="AJ43" s="69"/>
      <c r="AK43" s="69"/>
      <c r="AL43" s="69"/>
      <c r="AM43" s="72"/>
      <c r="AN43" s="72"/>
      <c r="AO43" s="72"/>
      <c r="AP43" s="72"/>
      <c r="AQ43" s="72"/>
      <c r="AR43" s="72"/>
      <c r="AS43" s="69"/>
      <c r="AT43" s="69"/>
    </row>
    <row r="44" spans="2:46" ht="15.75" customHeight="1" x14ac:dyDescent="0.3">
      <c r="B44" s="60"/>
      <c r="C44" s="72"/>
      <c r="D44" s="72"/>
      <c r="E44" s="69"/>
      <c r="F44" s="69"/>
      <c r="G44" s="69"/>
      <c r="H44" s="69"/>
      <c r="I44" s="69"/>
      <c r="J44" s="69"/>
      <c r="K44" s="69"/>
      <c r="L44" s="72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  <c r="AA44" s="69"/>
      <c r="AB44" s="69"/>
      <c r="AC44" s="69"/>
      <c r="AD44" s="69"/>
      <c r="AE44" s="69"/>
      <c r="AF44" s="69"/>
      <c r="AG44" s="69"/>
      <c r="AH44" s="69"/>
      <c r="AI44" s="69"/>
      <c r="AJ44" s="69"/>
      <c r="AK44" s="69"/>
      <c r="AL44" s="69"/>
      <c r="AM44" s="72"/>
      <c r="AN44" s="72"/>
      <c r="AO44" s="72"/>
      <c r="AP44" s="72"/>
      <c r="AQ44" s="72"/>
      <c r="AR44" s="72"/>
      <c r="AS44" s="69"/>
      <c r="AT44" s="69"/>
    </row>
    <row r="45" spans="2:46" ht="15.75" customHeight="1" x14ac:dyDescent="0.3">
      <c r="B45" s="60"/>
      <c r="C45" s="72"/>
      <c r="D45" s="72"/>
      <c r="E45" s="69"/>
      <c r="F45" s="69"/>
      <c r="G45" s="69"/>
      <c r="H45" s="69"/>
      <c r="I45" s="69"/>
      <c r="J45" s="69"/>
      <c r="K45" s="69"/>
      <c r="L45" s="72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  <c r="AA45" s="69"/>
      <c r="AB45" s="69"/>
      <c r="AC45" s="69"/>
      <c r="AD45" s="69"/>
      <c r="AE45" s="69"/>
      <c r="AF45" s="69"/>
      <c r="AG45" s="69"/>
      <c r="AH45" s="69"/>
      <c r="AI45" s="69"/>
      <c r="AJ45" s="69"/>
      <c r="AK45" s="69"/>
      <c r="AL45" s="69"/>
      <c r="AM45" s="72"/>
      <c r="AN45" s="72"/>
      <c r="AO45" s="72"/>
      <c r="AP45" s="72"/>
      <c r="AQ45" s="72"/>
      <c r="AR45" s="72"/>
      <c r="AS45" s="69"/>
      <c r="AT45" s="69"/>
    </row>
    <row r="46" spans="2:46" ht="15.75" customHeight="1" x14ac:dyDescent="0.3">
      <c r="B46" s="60"/>
      <c r="C46" s="72"/>
      <c r="D46" s="72"/>
      <c r="E46" s="69"/>
      <c r="F46" s="69"/>
      <c r="G46" s="69"/>
      <c r="H46" s="69"/>
      <c r="I46" s="69"/>
      <c r="J46" s="69"/>
      <c r="K46" s="69"/>
      <c r="L46" s="72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69"/>
      <c r="AA46" s="69"/>
      <c r="AB46" s="69"/>
      <c r="AC46" s="69"/>
      <c r="AD46" s="69"/>
      <c r="AE46" s="69"/>
      <c r="AF46" s="69"/>
      <c r="AG46" s="69"/>
      <c r="AH46" s="69"/>
      <c r="AI46" s="69"/>
      <c r="AJ46" s="69"/>
      <c r="AK46" s="69"/>
      <c r="AL46" s="69"/>
      <c r="AM46" s="72"/>
      <c r="AN46" s="72"/>
      <c r="AO46" s="72"/>
      <c r="AP46" s="72"/>
      <c r="AQ46" s="72"/>
      <c r="AR46" s="72"/>
      <c r="AS46" s="69"/>
      <c r="AT46" s="69"/>
    </row>
    <row r="47" spans="2:46" ht="15.75" customHeight="1" x14ac:dyDescent="0.3">
      <c r="B47" s="60"/>
      <c r="C47" s="72"/>
      <c r="D47" s="72"/>
      <c r="E47" s="69"/>
      <c r="F47" s="69"/>
      <c r="G47" s="69"/>
      <c r="H47" s="69"/>
      <c r="I47" s="69"/>
      <c r="J47" s="69"/>
      <c r="K47" s="69"/>
      <c r="L47" s="72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  <c r="AA47" s="69"/>
      <c r="AB47" s="69"/>
      <c r="AC47" s="69"/>
      <c r="AD47" s="69"/>
      <c r="AE47" s="69"/>
      <c r="AF47" s="69"/>
      <c r="AG47" s="69"/>
      <c r="AH47" s="69"/>
      <c r="AI47" s="69"/>
      <c r="AJ47" s="69"/>
      <c r="AK47" s="69"/>
      <c r="AL47" s="69"/>
      <c r="AM47" s="72"/>
      <c r="AN47" s="72"/>
      <c r="AO47" s="72"/>
      <c r="AP47" s="72"/>
      <c r="AQ47" s="72"/>
      <c r="AR47" s="72"/>
      <c r="AS47" s="69"/>
      <c r="AT47" s="69"/>
    </row>
    <row r="48" spans="2:46" ht="15.75" customHeight="1" x14ac:dyDescent="0.3">
      <c r="B48" s="60"/>
      <c r="C48" s="72"/>
      <c r="D48" s="72"/>
      <c r="E48" s="69"/>
      <c r="F48" s="69"/>
      <c r="G48" s="69"/>
      <c r="H48" s="69"/>
      <c r="I48" s="69"/>
      <c r="J48" s="69"/>
      <c r="K48" s="69"/>
      <c r="L48" s="72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  <c r="AA48" s="69"/>
      <c r="AB48" s="69"/>
      <c r="AC48" s="69"/>
      <c r="AD48" s="69"/>
      <c r="AE48" s="69"/>
      <c r="AF48" s="69"/>
      <c r="AG48" s="69"/>
      <c r="AH48" s="69"/>
      <c r="AI48" s="69"/>
      <c r="AJ48" s="69"/>
      <c r="AK48" s="69"/>
      <c r="AL48" s="69"/>
      <c r="AM48" s="72"/>
      <c r="AN48" s="72"/>
      <c r="AO48" s="72"/>
      <c r="AP48" s="72"/>
      <c r="AQ48" s="72"/>
      <c r="AR48" s="72"/>
      <c r="AS48" s="69"/>
      <c r="AT48" s="69"/>
    </row>
    <row r="49" spans="2:46" ht="15.75" customHeight="1" x14ac:dyDescent="0.3">
      <c r="B49" s="60"/>
      <c r="C49" s="72"/>
      <c r="D49" s="72"/>
      <c r="E49" s="69"/>
      <c r="F49" s="69"/>
      <c r="G49" s="69"/>
      <c r="H49" s="69"/>
      <c r="I49" s="69"/>
      <c r="J49" s="69"/>
      <c r="K49" s="69"/>
      <c r="L49" s="72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  <c r="AA49" s="69"/>
      <c r="AB49" s="69"/>
      <c r="AC49" s="69"/>
      <c r="AD49" s="69"/>
      <c r="AE49" s="69"/>
      <c r="AF49" s="69"/>
      <c r="AG49" s="69"/>
      <c r="AH49" s="69"/>
      <c r="AI49" s="69"/>
      <c r="AJ49" s="69"/>
      <c r="AK49" s="69"/>
      <c r="AL49" s="69"/>
      <c r="AM49" s="72"/>
      <c r="AN49" s="72"/>
      <c r="AO49" s="72"/>
      <c r="AP49" s="72"/>
      <c r="AQ49" s="72"/>
      <c r="AR49" s="72"/>
      <c r="AS49" s="69"/>
      <c r="AT49" s="69"/>
    </row>
    <row r="50" spans="2:46" ht="15.75" customHeight="1" x14ac:dyDescent="0.3">
      <c r="B50" s="60"/>
      <c r="C50" s="72"/>
      <c r="D50" s="72"/>
      <c r="L50" s="72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  <c r="AA50" s="69"/>
      <c r="AB50" s="69"/>
      <c r="AC50" s="69"/>
      <c r="AD50" s="69"/>
      <c r="AE50" s="69"/>
      <c r="AF50" s="69"/>
      <c r="AG50" s="69"/>
      <c r="AH50" s="69"/>
      <c r="AI50" s="69"/>
      <c r="AJ50" s="69"/>
      <c r="AK50" s="69"/>
      <c r="AL50" s="69"/>
      <c r="AM50" s="72"/>
      <c r="AN50" s="72"/>
      <c r="AO50" s="72"/>
      <c r="AP50" s="72"/>
      <c r="AQ50" s="72"/>
      <c r="AR50" s="72"/>
      <c r="AS50" s="69"/>
      <c r="AT50" s="69"/>
    </row>
    <row r="51" spans="2:46" ht="15.75" customHeight="1" x14ac:dyDescent="0.3">
      <c r="B51" s="60"/>
      <c r="C51" s="72"/>
      <c r="D51" s="72"/>
      <c r="L51" s="72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  <c r="AA51" s="69"/>
      <c r="AB51" s="69"/>
      <c r="AC51" s="69"/>
      <c r="AD51" s="69"/>
      <c r="AE51" s="69"/>
      <c r="AF51" s="69"/>
      <c r="AG51" s="69"/>
      <c r="AH51" s="69"/>
      <c r="AI51" s="69"/>
      <c r="AJ51" s="69"/>
      <c r="AK51" s="69"/>
      <c r="AL51" s="69"/>
      <c r="AM51" s="72"/>
      <c r="AN51" s="72"/>
      <c r="AO51" s="72"/>
      <c r="AP51" s="72"/>
      <c r="AQ51" s="72"/>
      <c r="AR51" s="72"/>
      <c r="AS51" s="69"/>
      <c r="AT51" s="69"/>
    </row>
    <row r="52" spans="2:46" ht="15.75" customHeight="1" x14ac:dyDescent="0.3">
      <c r="B52" s="72"/>
      <c r="C52" s="72"/>
      <c r="D52" s="72"/>
      <c r="L52" s="72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  <c r="AA52" s="69"/>
      <c r="AB52" s="69"/>
      <c r="AC52" s="69"/>
      <c r="AD52" s="69"/>
      <c r="AE52" s="69"/>
      <c r="AF52" s="69"/>
      <c r="AG52" s="69"/>
      <c r="AH52" s="69"/>
      <c r="AI52" s="69"/>
      <c r="AJ52" s="69"/>
      <c r="AK52" s="69"/>
      <c r="AL52" s="69"/>
      <c r="AM52" s="72"/>
      <c r="AN52" s="72"/>
      <c r="AO52" s="72"/>
      <c r="AP52" s="72"/>
      <c r="AQ52" s="72"/>
      <c r="AR52" s="72"/>
      <c r="AS52" s="69"/>
      <c r="AT52" s="69"/>
    </row>
    <row r="53" spans="2:46" ht="15.75" customHeight="1" x14ac:dyDescent="0.3">
      <c r="B53" s="72"/>
      <c r="C53" s="72"/>
      <c r="D53" s="72"/>
      <c r="L53" s="72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9"/>
      <c r="AE53" s="69"/>
      <c r="AF53" s="69"/>
      <c r="AG53" s="69"/>
      <c r="AH53" s="69"/>
      <c r="AI53" s="69"/>
      <c r="AJ53" s="69"/>
      <c r="AK53" s="69"/>
      <c r="AL53" s="69"/>
      <c r="AM53" s="72"/>
      <c r="AN53" s="72"/>
      <c r="AO53" s="72"/>
      <c r="AP53" s="72"/>
      <c r="AQ53" s="72"/>
      <c r="AR53" s="72"/>
      <c r="AS53" s="69"/>
      <c r="AT53" s="69"/>
    </row>
    <row r="54" spans="2:46" ht="15.75" customHeight="1" x14ac:dyDescent="0.3">
      <c r="B54" s="72"/>
      <c r="C54" s="72"/>
      <c r="D54" s="72"/>
      <c r="L54" s="72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  <c r="AE54" s="69"/>
      <c r="AF54" s="69"/>
      <c r="AG54" s="69"/>
      <c r="AH54" s="69"/>
      <c r="AI54" s="69"/>
      <c r="AJ54" s="69"/>
      <c r="AK54" s="69"/>
      <c r="AL54" s="69"/>
      <c r="AM54" s="72"/>
      <c r="AN54" s="72"/>
      <c r="AO54" s="72"/>
      <c r="AP54" s="72"/>
      <c r="AQ54" s="72"/>
      <c r="AR54" s="72"/>
      <c r="AS54" s="69"/>
      <c r="AT54" s="69"/>
    </row>
    <row r="55" spans="2:46" ht="15.75" customHeight="1" x14ac:dyDescent="0.3">
      <c r="B55" s="72"/>
      <c r="C55" s="72"/>
      <c r="D55" s="72"/>
      <c r="L55" s="72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69"/>
      <c r="AI55" s="69"/>
      <c r="AJ55" s="69"/>
      <c r="AK55" s="69"/>
      <c r="AL55" s="69"/>
      <c r="AM55" s="72"/>
      <c r="AN55" s="72"/>
      <c r="AO55" s="72"/>
      <c r="AP55" s="72"/>
      <c r="AQ55" s="72"/>
      <c r="AR55" s="72"/>
      <c r="AS55" s="69"/>
      <c r="AT55" s="69"/>
    </row>
    <row r="56" spans="2:46" ht="15.75" customHeight="1" x14ac:dyDescent="0.3">
      <c r="B56" s="72"/>
      <c r="C56" s="72"/>
      <c r="D56" s="72"/>
      <c r="L56" s="72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9"/>
      <c r="AF56" s="69"/>
      <c r="AG56" s="69"/>
      <c r="AH56" s="69"/>
      <c r="AI56" s="69"/>
      <c r="AJ56" s="69"/>
      <c r="AK56" s="69"/>
      <c r="AL56" s="69"/>
      <c r="AM56" s="72"/>
      <c r="AN56" s="72"/>
      <c r="AO56" s="72"/>
      <c r="AP56" s="72"/>
      <c r="AQ56" s="72"/>
      <c r="AR56" s="72"/>
      <c r="AS56" s="69"/>
      <c r="AT56" s="69"/>
    </row>
    <row r="57" spans="2:46" ht="15.75" customHeight="1" x14ac:dyDescent="0.3">
      <c r="B57" s="72"/>
      <c r="C57" s="72"/>
      <c r="D57" s="72"/>
      <c r="L57" s="72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  <c r="AA57" s="69"/>
      <c r="AB57" s="69"/>
      <c r="AC57" s="69"/>
      <c r="AD57" s="69"/>
      <c r="AE57" s="69"/>
      <c r="AF57" s="69"/>
      <c r="AG57" s="69"/>
      <c r="AH57" s="69"/>
      <c r="AI57" s="69"/>
      <c r="AJ57" s="69"/>
      <c r="AK57" s="69"/>
      <c r="AL57" s="69"/>
      <c r="AM57" s="72"/>
      <c r="AN57" s="72"/>
      <c r="AO57" s="72"/>
      <c r="AP57" s="72"/>
      <c r="AQ57" s="72"/>
      <c r="AR57" s="72"/>
      <c r="AS57" s="69"/>
      <c r="AT57" s="69"/>
    </row>
    <row r="58" spans="2:46" ht="15.75" customHeight="1" x14ac:dyDescent="0.3">
      <c r="B58" s="72"/>
      <c r="C58" s="72"/>
      <c r="D58" s="72"/>
      <c r="L58" s="72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  <c r="AA58" s="69"/>
      <c r="AB58" s="69"/>
      <c r="AC58" s="69"/>
      <c r="AD58" s="69"/>
      <c r="AE58" s="69"/>
      <c r="AF58" s="69"/>
      <c r="AG58" s="69"/>
      <c r="AH58" s="69"/>
      <c r="AI58" s="69"/>
      <c r="AJ58" s="69"/>
      <c r="AK58" s="69"/>
      <c r="AL58" s="69"/>
      <c r="AM58" s="72"/>
      <c r="AN58" s="72"/>
      <c r="AO58" s="72"/>
      <c r="AP58" s="72"/>
      <c r="AQ58" s="72"/>
      <c r="AR58" s="72"/>
      <c r="AS58" s="69"/>
      <c r="AT58" s="69"/>
    </row>
    <row r="59" spans="2:46" ht="15.75" customHeight="1" x14ac:dyDescent="0.3">
      <c r="B59" s="72"/>
      <c r="C59" s="72"/>
      <c r="D59" s="72"/>
      <c r="L59" s="72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  <c r="AA59" s="69"/>
      <c r="AB59" s="69"/>
      <c r="AC59" s="69"/>
      <c r="AD59" s="69"/>
      <c r="AE59" s="69"/>
      <c r="AF59" s="69"/>
      <c r="AG59" s="69"/>
      <c r="AH59" s="69"/>
      <c r="AI59" s="69"/>
      <c r="AJ59" s="69"/>
      <c r="AK59" s="69"/>
      <c r="AL59" s="69"/>
      <c r="AM59" s="72"/>
      <c r="AN59" s="72"/>
      <c r="AO59" s="72"/>
      <c r="AP59" s="72"/>
      <c r="AQ59" s="72"/>
      <c r="AR59" s="72"/>
      <c r="AS59" s="69"/>
      <c r="AT59" s="69"/>
    </row>
    <row r="60" spans="2:46" ht="15.75" customHeight="1" x14ac:dyDescent="0.3">
      <c r="B60" s="72"/>
      <c r="C60" s="72"/>
      <c r="D60" s="72"/>
      <c r="L60" s="72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  <c r="AA60" s="69"/>
      <c r="AB60" s="69"/>
      <c r="AC60" s="69"/>
      <c r="AD60" s="69"/>
      <c r="AE60" s="69"/>
      <c r="AF60" s="69"/>
      <c r="AG60" s="69"/>
      <c r="AH60" s="69"/>
      <c r="AI60" s="69"/>
      <c r="AJ60" s="69"/>
      <c r="AK60" s="69"/>
      <c r="AL60" s="69"/>
      <c r="AM60" s="72"/>
      <c r="AN60" s="72"/>
      <c r="AO60" s="72"/>
      <c r="AP60" s="72"/>
      <c r="AQ60" s="72"/>
      <c r="AR60" s="72"/>
      <c r="AS60" s="69"/>
      <c r="AT60" s="69"/>
    </row>
    <row r="61" spans="2:46" ht="15.75" customHeight="1" x14ac:dyDescent="0.3">
      <c r="B61" s="72"/>
      <c r="C61" s="72"/>
      <c r="D61" s="72"/>
      <c r="L61" s="72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  <c r="AA61" s="69"/>
      <c r="AB61" s="69"/>
      <c r="AC61" s="69"/>
      <c r="AD61" s="69"/>
      <c r="AE61" s="69"/>
      <c r="AF61" s="69"/>
      <c r="AG61" s="69"/>
      <c r="AH61" s="69"/>
      <c r="AI61" s="69"/>
      <c r="AJ61" s="69"/>
      <c r="AK61" s="69"/>
      <c r="AL61" s="69"/>
      <c r="AM61" s="72"/>
      <c r="AN61" s="72"/>
      <c r="AO61" s="72"/>
      <c r="AP61" s="72"/>
      <c r="AQ61" s="72"/>
      <c r="AR61" s="72"/>
      <c r="AS61" s="69"/>
      <c r="AT61" s="69"/>
    </row>
    <row r="62" spans="2:46" ht="15.75" customHeight="1" x14ac:dyDescent="0.3">
      <c r="B62" s="72"/>
      <c r="C62" s="72"/>
      <c r="D62" s="72"/>
      <c r="L62" s="72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  <c r="AA62" s="69"/>
      <c r="AB62" s="69"/>
      <c r="AC62" s="69"/>
      <c r="AD62" s="69"/>
      <c r="AE62" s="69"/>
      <c r="AF62" s="69"/>
      <c r="AG62" s="69"/>
      <c r="AH62" s="69"/>
      <c r="AI62" s="69"/>
      <c r="AJ62" s="69"/>
      <c r="AK62" s="69"/>
      <c r="AL62" s="69"/>
      <c r="AM62" s="72"/>
      <c r="AN62" s="72"/>
      <c r="AO62" s="72"/>
      <c r="AP62" s="72"/>
      <c r="AQ62" s="72"/>
      <c r="AR62" s="72"/>
      <c r="AS62" s="69"/>
      <c r="AT62" s="69"/>
    </row>
    <row r="63" spans="2:46" ht="15.75" customHeight="1" x14ac:dyDescent="0.3">
      <c r="B63" s="72"/>
      <c r="C63" s="72"/>
      <c r="D63" s="72"/>
      <c r="L63" s="72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  <c r="AE63" s="69"/>
      <c r="AF63" s="69"/>
      <c r="AG63" s="69"/>
      <c r="AH63" s="69"/>
      <c r="AI63" s="69"/>
      <c r="AJ63" s="69"/>
      <c r="AK63" s="69"/>
      <c r="AL63" s="69"/>
      <c r="AM63" s="72"/>
      <c r="AN63" s="72"/>
      <c r="AO63" s="72"/>
      <c r="AP63" s="72"/>
      <c r="AQ63" s="72"/>
      <c r="AR63" s="72"/>
      <c r="AS63" s="69"/>
      <c r="AT63" s="69"/>
    </row>
    <row r="64" spans="2:46" ht="15.75" customHeight="1" x14ac:dyDescent="0.3">
      <c r="B64" s="72"/>
      <c r="C64" s="72"/>
      <c r="D64" s="72"/>
      <c r="L64" s="72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  <c r="AE64" s="69"/>
      <c r="AF64" s="69"/>
      <c r="AG64" s="69"/>
      <c r="AH64" s="69"/>
      <c r="AI64" s="69"/>
      <c r="AJ64" s="69"/>
      <c r="AK64" s="69"/>
      <c r="AL64" s="69"/>
      <c r="AM64" s="72"/>
      <c r="AN64" s="72"/>
      <c r="AO64" s="72"/>
      <c r="AP64" s="72"/>
      <c r="AQ64" s="72"/>
      <c r="AR64" s="72"/>
      <c r="AS64" s="69"/>
      <c r="AT64" s="69"/>
    </row>
    <row r="65" spans="2:46" ht="15.75" customHeight="1" x14ac:dyDescent="0.3">
      <c r="B65" s="72"/>
      <c r="C65" s="72"/>
      <c r="D65" s="72"/>
      <c r="L65" s="72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  <c r="AE65" s="69"/>
      <c r="AF65" s="69"/>
      <c r="AG65" s="69"/>
      <c r="AH65" s="69"/>
      <c r="AI65" s="69"/>
      <c r="AJ65" s="69"/>
      <c r="AK65" s="69"/>
      <c r="AL65" s="69"/>
      <c r="AM65" s="72"/>
      <c r="AN65" s="72"/>
      <c r="AO65" s="72"/>
      <c r="AP65" s="72"/>
      <c r="AQ65" s="72"/>
      <c r="AR65" s="72"/>
      <c r="AS65" s="69"/>
      <c r="AT65" s="69"/>
    </row>
    <row r="66" spans="2:46" ht="15.75" customHeight="1" x14ac:dyDescent="0.3">
      <c r="B66" s="72"/>
      <c r="C66" s="72"/>
      <c r="D66" s="72"/>
      <c r="L66" s="72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69"/>
      <c r="AF66" s="69"/>
      <c r="AG66" s="69"/>
      <c r="AH66" s="69"/>
      <c r="AI66" s="69"/>
      <c r="AJ66" s="69"/>
      <c r="AK66" s="69"/>
      <c r="AL66" s="69"/>
      <c r="AM66" s="72"/>
      <c r="AN66" s="72"/>
      <c r="AO66" s="72"/>
      <c r="AP66" s="72"/>
      <c r="AQ66" s="72"/>
      <c r="AR66" s="72"/>
      <c r="AS66" s="69"/>
      <c r="AT66" s="69"/>
    </row>
    <row r="67" spans="2:46" ht="15.75" customHeight="1" x14ac:dyDescent="0.3"/>
    <row r="68" spans="2:46" ht="15.75" customHeight="1" x14ac:dyDescent="0.3"/>
    <row r="69" spans="2:46" ht="15.75" customHeight="1" x14ac:dyDescent="0.3"/>
    <row r="70" spans="2:46" ht="15.75" customHeight="1" x14ac:dyDescent="0.3"/>
    <row r="71" spans="2:46" ht="15.75" customHeight="1" x14ac:dyDescent="0.3"/>
    <row r="72" spans="2:46" ht="15.75" customHeight="1" x14ac:dyDescent="0.3"/>
    <row r="73" spans="2:46" ht="15.75" customHeight="1" x14ac:dyDescent="0.3"/>
    <row r="74" spans="2:46" ht="15.75" customHeight="1" x14ac:dyDescent="0.3"/>
    <row r="75" spans="2:46" ht="15.75" customHeight="1" x14ac:dyDescent="0.3"/>
    <row r="76" spans="2:46" ht="15.75" customHeight="1" x14ac:dyDescent="0.3"/>
    <row r="77" spans="2:46" ht="15.75" customHeight="1" x14ac:dyDescent="0.3"/>
    <row r="78" spans="2:46" ht="15.75" customHeight="1" x14ac:dyDescent="0.3"/>
    <row r="79" spans="2:46" ht="15.75" customHeight="1" x14ac:dyDescent="0.3"/>
    <row r="80" spans="2:46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</sheetData>
  <mergeCells count="49">
    <mergeCell ref="E2:K2"/>
    <mergeCell ref="E3:K3"/>
    <mergeCell ref="E4:E5"/>
    <mergeCell ref="F4:F5"/>
    <mergeCell ref="G4:G5"/>
    <mergeCell ref="H4:H5"/>
    <mergeCell ref="I4:J4"/>
    <mergeCell ref="N3:O3"/>
    <mergeCell ref="N4:N5"/>
    <mergeCell ref="O4:O5"/>
    <mergeCell ref="V2:W2"/>
    <mergeCell ref="V3:W3"/>
    <mergeCell ref="V4:V5"/>
    <mergeCell ref="W4:W5"/>
    <mergeCell ref="P3:S3"/>
    <mergeCell ref="T3:U3"/>
    <mergeCell ref="P4:P5"/>
    <mergeCell ref="Q4:Q5"/>
    <mergeCell ref="R4:R5"/>
    <mergeCell ref="S4:S5"/>
    <mergeCell ref="T4:T5"/>
    <mergeCell ref="U4:U5"/>
    <mergeCell ref="AM2:AR2"/>
    <mergeCell ref="AM3:AR4"/>
    <mergeCell ref="AC3:AF3"/>
    <mergeCell ref="AS3:AT4"/>
    <mergeCell ref="AS2:AT2"/>
    <mergeCell ref="AL3:AL5"/>
    <mergeCell ref="AG3:AJ3"/>
    <mergeCell ref="AK3:AK5"/>
    <mergeCell ref="AG4:AJ4"/>
    <mergeCell ref="AC2:AF2"/>
    <mergeCell ref="AC4:AF4"/>
    <mergeCell ref="B7:B8"/>
    <mergeCell ref="C7:C8"/>
    <mergeCell ref="X3:X5"/>
    <mergeCell ref="Y3:AB3"/>
    <mergeCell ref="AG2:AJ2"/>
    <mergeCell ref="L3:L4"/>
    <mergeCell ref="Y4:AA4"/>
    <mergeCell ref="B2:D2"/>
    <mergeCell ref="N2:O2"/>
    <mergeCell ref="P2:S2"/>
    <mergeCell ref="T2:U2"/>
    <mergeCell ref="Y2:AB2"/>
    <mergeCell ref="B3:B5"/>
    <mergeCell ref="C3:C5"/>
    <mergeCell ref="D3:D5"/>
    <mergeCell ref="M3:M4"/>
  </mergeCells>
  <phoneticPr fontId="51" type="noConversion"/>
  <conditionalFormatting sqref="B1:B7 B9:B1048576">
    <cfRule type="duplicateValues" dxfId="863" priority="1"/>
  </conditionalFormatting>
  <conditionalFormatting sqref="B6:B7">
    <cfRule type="duplicateValues" dxfId="862" priority="7"/>
    <cfRule type="duplicateValues" dxfId="861" priority="8"/>
  </conditionalFormatting>
  <conditionalFormatting sqref="B9:B12 B1:B5 B15:B41 B52:B1048576">
    <cfRule type="duplicateValues" dxfId="860" priority="9"/>
    <cfRule type="duplicateValues" dxfId="859" priority="15"/>
  </conditionalFormatting>
  <conditionalFormatting sqref="B13:B14">
    <cfRule type="duplicateValues" dxfId="858" priority="5"/>
    <cfRule type="duplicateValues" dxfId="857" priority="6"/>
  </conditionalFormatting>
  <conditionalFormatting sqref="B18:B30">
    <cfRule type="duplicateValues" dxfId="856" priority="14"/>
  </conditionalFormatting>
  <conditionalFormatting sqref="B18:B34">
    <cfRule type="duplicateValues" dxfId="855" priority="13"/>
  </conditionalFormatting>
  <conditionalFormatting sqref="B18:B41 B52:B53">
    <cfRule type="duplicateValues" dxfId="854" priority="10"/>
  </conditionalFormatting>
  <conditionalFormatting sqref="B18:B41">
    <cfRule type="duplicateValues" dxfId="853" priority="12"/>
  </conditionalFormatting>
  <conditionalFormatting sqref="B42:B51">
    <cfRule type="duplicateValues" dxfId="852" priority="2"/>
    <cfRule type="duplicateValues" dxfId="851" priority="3"/>
  </conditionalFormatting>
  <conditionalFormatting sqref="B52:B53 B18:B41">
    <cfRule type="duplicateValues" dxfId="850" priority="11"/>
  </conditionalFormatting>
  <conditionalFormatting sqref="B52:B1048576 B1:B7 B9:B41">
    <cfRule type="duplicateValues" dxfId="849" priority="4"/>
  </conditionalFormatting>
  <pageMargins left="0.511811024" right="0.511811024" top="0.78740157499999996" bottom="0.78740157499999996" header="0" footer="0"/>
  <pageSetup orientation="landscape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K37"/>
  <sheetViews>
    <sheetView workbookViewId="0">
      <selection activeCell="C13" sqref="C13"/>
    </sheetView>
  </sheetViews>
  <sheetFormatPr defaultRowHeight="14.4" x14ac:dyDescent="0.3"/>
  <cols>
    <col min="2" max="2" width="6.44140625" customWidth="1"/>
    <col min="3" max="3" width="10.44140625" customWidth="1"/>
    <col min="4" max="4" width="12.44140625" customWidth="1"/>
    <col min="5" max="5" width="12.44140625" hidden="1" customWidth="1"/>
    <col min="6" max="6" width="13.5546875" customWidth="1"/>
    <col min="7" max="7" width="0" style="86" hidden="1" customWidth="1"/>
    <col min="8" max="8" width="0" hidden="1" customWidth="1"/>
    <col min="9" max="9" width="22.5546875" customWidth="1"/>
  </cols>
  <sheetData>
    <row r="2" spans="2:11" ht="19.95" customHeight="1" x14ac:dyDescent="0.3">
      <c r="B2" s="415" t="s">
        <v>161</v>
      </c>
      <c r="C2" s="415"/>
      <c r="D2" s="415"/>
      <c r="E2" s="415"/>
      <c r="F2" s="415"/>
      <c r="G2" s="415"/>
      <c r="H2" s="415"/>
      <c r="I2" s="415"/>
    </row>
    <row r="3" spans="2:11" ht="28.95" customHeight="1" x14ac:dyDescent="0.3">
      <c r="B3" s="420" t="s">
        <v>81</v>
      </c>
      <c r="C3" s="416" t="s">
        <v>162</v>
      </c>
      <c r="D3" s="421" t="s">
        <v>10</v>
      </c>
      <c r="E3" s="416" t="s">
        <v>116</v>
      </c>
      <c r="F3" s="418" t="s">
        <v>11</v>
      </c>
      <c r="G3" s="416" t="s">
        <v>32</v>
      </c>
      <c r="H3" s="417"/>
      <c r="I3" s="414" t="s">
        <v>258</v>
      </c>
    </row>
    <row r="4" spans="2:11" x14ac:dyDescent="0.3">
      <c r="B4" s="420"/>
      <c r="C4" s="416"/>
      <c r="D4" s="422"/>
      <c r="E4" s="416"/>
      <c r="F4" s="418"/>
      <c r="G4" s="416" t="s">
        <v>120</v>
      </c>
      <c r="H4" s="416" t="s">
        <v>119</v>
      </c>
      <c r="I4" s="414"/>
    </row>
    <row r="5" spans="2:11" x14ac:dyDescent="0.3">
      <c r="B5" s="420"/>
      <c r="C5" s="416"/>
      <c r="D5" s="423"/>
      <c r="E5" s="416"/>
      <c r="F5" s="418"/>
      <c r="G5" s="418"/>
      <c r="H5" s="419"/>
      <c r="I5" s="414"/>
    </row>
    <row r="6" spans="2:11" x14ac:dyDescent="0.3">
      <c r="B6" s="79">
        <v>1</v>
      </c>
      <c r="C6" s="58" t="s">
        <v>279</v>
      </c>
      <c r="D6" s="161" t="s">
        <v>132</v>
      </c>
      <c r="E6" s="155"/>
      <c r="F6" s="60" t="s">
        <v>134</v>
      </c>
      <c r="G6" s="156"/>
      <c r="H6" s="157"/>
      <c r="I6" s="158"/>
      <c r="J6" s="159"/>
      <c r="K6" s="159"/>
    </row>
    <row r="7" spans="2:11" x14ac:dyDescent="0.3">
      <c r="B7" s="79">
        <v>2</v>
      </c>
      <c r="C7" s="60" t="s">
        <v>280</v>
      </c>
      <c r="D7" s="161" t="s">
        <v>132</v>
      </c>
      <c r="E7" s="155"/>
      <c r="F7" s="60" t="s">
        <v>134</v>
      </c>
      <c r="G7" s="156"/>
      <c r="H7" s="157"/>
      <c r="I7" s="158"/>
      <c r="J7" s="159"/>
      <c r="K7" s="159"/>
    </row>
    <row r="8" spans="2:11" x14ac:dyDescent="0.3">
      <c r="B8" s="79">
        <v>3</v>
      </c>
      <c r="C8" s="60" t="s">
        <v>281</v>
      </c>
      <c r="D8" s="161" t="s">
        <v>132</v>
      </c>
      <c r="E8" s="155"/>
      <c r="F8" s="60" t="s">
        <v>134</v>
      </c>
      <c r="G8" s="156"/>
      <c r="H8" s="157"/>
      <c r="I8" s="158"/>
      <c r="J8" s="159"/>
      <c r="K8" s="159"/>
    </row>
    <row r="9" spans="2:11" x14ac:dyDescent="0.3">
      <c r="B9" s="79">
        <v>4</v>
      </c>
      <c r="C9" s="60" t="s">
        <v>282</v>
      </c>
      <c r="D9" s="161" t="s">
        <v>132</v>
      </c>
      <c r="E9" s="155"/>
      <c r="F9" s="60" t="s">
        <v>134</v>
      </c>
      <c r="G9" s="156"/>
      <c r="H9" s="157"/>
      <c r="I9" s="158"/>
      <c r="J9" s="159"/>
      <c r="K9" s="159"/>
    </row>
    <row r="10" spans="2:11" x14ac:dyDescent="0.3">
      <c r="B10" s="79">
        <v>5</v>
      </c>
      <c r="C10" s="60" t="s">
        <v>283</v>
      </c>
      <c r="D10" s="161" t="s">
        <v>132</v>
      </c>
      <c r="E10" s="155"/>
      <c r="F10" s="60" t="s">
        <v>134</v>
      </c>
      <c r="G10" s="156"/>
      <c r="H10" s="157"/>
      <c r="I10" s="158"/>
      <c r="J10" s="159"/>
      <c r="K10" s="159"/>
    </row>
    <row r="11" spans="2:11" x14ac:dyDescent="0.3">
      <c r="B11" s="79">
        <v>6</v>
      </c>
      <c r="C11" s="60" t="s">
        <v>284</v>
      </c>
      <c r="D11" s="161" t="s">
        <v>132</v>
      </c>
      <c r="E11" s="155"/>
      <c r="F11" s="60" t="s">
        <v>134</v>
      </c>
      <c r="G11" s="156"/>
      <c r="H11" s="157"/>
      <c r="I11" s="158"/>
      <c r="J11" s="159"/>
      <c r="K11" s="159"/>
    </row>
    <row r="12" spans="2:11" x14ac:dyDescent="0.3">
      <c r="B12" s="79">
        <v>7</v>
      </c>
      <c r="C12" s="60" t="s">
        <v>285</v>
      </c>
      <c r="D12" s="161" t="s">
        <v>132</v>
      </c>
      <c r="E12" s="155"/>
      <c r="F12" s="60" t="s">
        <v>134</v>
      </c>
      <c r="G12" s="156"/>
      <c r="H12" s="157"/>
      <c r="I12" s="158"/>
      <c r="J12" s="159"/>
      <c r="K12" s="159"/>
    </row>
    <row r="13" spans="2:11" x14ac:dyDescent="0.3">
      <c r="B13" s="79">
        <v>8</v>
      </c>
      <c r="C13" s="60" t="s">
        <v>286</v>
      </c>
      <c r="D13" s="161" t="s">
        <v>132</v>
      </c>
      <c r="E13" s="155"/>
      <c r="F13" s="60" t="s">
        <v>134</v>
      </c>
      <c r="G13" s="156"/>
      <c r="H13" s="157"/>
      <c r="I13" s="158"/>
      <c r="J13" s="159"/>
      <c r="K13" s="159"/>
    </row>
    <row r="14" spans="2:11" x14ac:dyDescent="0.3">
      <c r="B14" s="79">
        <v>9</v>
      </c>
      <c r="C14" s="60" t="s">
        <v>287</v>
      </c>
      <c r="D14" s="161" t="s">
        <v>132</v>
      </c>
      <c r="E14" s="155"/>
      <c r="F14" s="60" t="s">
        <v>134</v>
      </c>
      <c r="G14" s="156"/>
      <c r="H14" s="157"/>
      <c r="I14" s="158"/>
      <c r="J14" s="159"/>
      <c r="K14" s="159"/>
    </row>
    <row r="15" spans="2:11" x14ac:dyDescent="0.3">
      <c r="B15" s="79">
        <v>10</v>
      </c>
      <c r="C15" s="60" t="s">
        <v>288</v>
      </c>
      <c r="D15" s="161" t="s">
        <v>132</v>
      </c>
      <c r="E15" s="155"/>
      <c r="F15" s="60" t="s">
        <v>134</v>
      </c>
      <c r="G15" s="156"/>
      <c r="H15" s="157"/>
      <c r="I15" s="158"/>
    </row>
    <row r="16" spans="2:11" x14ac:dyDescent="0.3">
      <c r="B16" s="79">
        <v>11</v>
      </c>
      <c r="C16" s="60" t="s">
        <v>289</v>
      </c>
      <c r="D16" s="160" t="s">
        <v>271</v>
      </c>
      <c r="E16" s="60">
        <v>37</v>
      </c>
      <c r="F16" s="60" t="s">
        <v>134</v>
      </c>
      <c r="G16" s="78" t="s">
        <v>174</v>
      </c>
      <c r="H16" s="78" t="s">
        <v>164</v>
      </c>
      <c r="I16" s="69"/>
    </row>
    <row r="17" spans="2:9" x14ac:dyDescent="0.3">
      <c r="B17" s="79">
        <v>12</v>
      </c>
      <c r="C17" s="60" t="s">
        <v>278</v>
      </c>
      <c r="D17" s="160" t="s">
        <v>271</v>
      </c>
      <c r="E17" s="60">
        <v>39</v>
      </c>
      <c r="F17" s="60" t="s">
        <v>134</v>
      </c>
      <c r="G17" s="78" t="s">
        <v>173</v>
      </c>
      <c r="H17" s="78" t="s">
        <v>163</v>
      </c>
      <c r="I17" s="69"/>
    </row>
    <row r="18" spans="2:9" x14ac:dyDescent="0.3">
      <c r="B18" s="79">
        <v>13</v>
      </c>
      <c r="C18" s="60" t="s">
        <v>291</v>
      </c>
      <c r="D18" s="160" t="s">
        <v>271</v>
      </c>
      <c r="E18" s="60">
        <v>34</v>
      </c>
      <c r="F18" s="60" t="s">
        <v>134</v>
      </c>
      <c r="G18" s="78" t="s">
        <v>175</v>
      </c>
      <c r="H18" s="78">
        <v>5.62</v>
      </c>
      <c r="I18" s="69"/>
    </row>
    <row r="19" spans="2:9" x14ac:dyDescent="0.3">
      <c r="B19" s="79">
        <v>14</v>
      </c>
      <c r="C19" s="60" t="s">
        <v>292</v>
      </c>
      <c r="D19" s="160" t="s">
        <v>271</v>
      </c>
      <c r="E19" s="60" t="s">
        <v>135</v>
      </c>
      <c r="F19" s="71" t="s">
        <v>140</v>
      </c>
      <c r="G19" s="58" t="s">
        <v>135</v>
      </c>
      <c r="H19" s="58" t="s">
        <v>135</v>
      </c>
      <c r="I19" s="69" t="s">
        <v>183</v>
      </c>
    </row>
    <row r="20" spans="2:9" x14ac:dyDescent="0.3">
      <c r="B20" s="79">
        <v>15</v>
      </c>
      <c r="C20" s="60" t="s">
        <v>277</v>
      </c>
      <c r="D20" s="160" t="s">
        <v>271</v>
      </c>
      <c r="E20" s="60">
        <v>34</v>
      </c>
      <c r="F20" s="60" t="s">
        <v>134</v>
      </c>
      <c r="G20" s="58" t="s">
        <v>171</v>
      </c>
      <c r="H20" s="85" t="s">
        <v>169</v>
      </c>
      <c r="I20" s="69"/>
    </row>
    <row r="21" spans="2:9" x14ac:dyDescent="0.3">
      <c r="B21" s="79">
        <v>16</v>
      </c>
      <c r="C21" s="60" t="s">
        <v>293</v>
      </c>
      <c r="D21" s="160" t="s">
        <v>271</v>
      </c>
      <c r="E21" s="60">
        <v>32</v>
      </c>
      <c r="F21" s="60" t="s">
        <v>134</v>
      </c>
      <c r="G21" s="58" t="s">
        <v>176</v>
      </c>
      <c r="H21" s="66" t="s">
        <v>168</v>
      </c>
      <c r="I21" s="69"/>
    </row>
    <row r="22" spans="2:9" x14ac:dyDescent="0.3">
      <c r="B22" s="79">
        <v>17</v>
      </c>
      <c r="C22" s="60" t="s">
        <v>294</v>
      </c>
      <c r="D22" s="160" t="s">
        <v>271</v>
      </c>
      <c r="E22" s="60">
        <v>34</v>
      </c>
      <c r="F22" s="60" t="s">
        <v>134</v>
      </c>
      <c r="G22" s="58" t="s">
        <v>177</v>
      </c>
      <c r="H22" s="66" t="s">
        <v>167</v>
      </c>
      <c r="I22" s="69"/>
    </row>
    <row r="23" spans="2:9" x14ac:dyDescent="0.3">
      <c r="B23" s="79">
        <v>18</v>
      </c>
      <c r="C23" s="60" t="s">
        <v>295</v>
      </c>
      <c r="D23" s="160" t="s">
        <v>271</v>
      </c>
      <c r="E23" s="60">
        <v>37</v>
      </c>
      <c r="F23" s="60" t="s">
        <v>134</v>
      </c>
      <c r="G23" s="58" t="s">
        <v>174</v>
      </c>
      <c r="H23" s="66" t="s">
        <v>166</v>
      </c>
      <c r="I23" s="69"/>
    </row>
    <row r="24" spans="2:9" x14ac:dyDescent="0.3">
      <c r="B24" s="79">
        <v>19</v>
      </c>
      <c r="C24" s="60" t="s">
        <v>296</v>
      </c>
      <c r="D24" s="160" t="s">
        <v>271</v>
      </c>
      <c r="E24" s="60">
        <v>39</v>
      </c>
      <c r="F24" s="60" t="s">
        <v>134</v>
      </c>
      <c r="G24" s="58" t="s">
        <v>178</v>
      </c>
      <c r="H24" s="66" t="s">
        <v>165</v>
      </c>
      <c r="I24" s="69"/>
    </row>
    <row r="25" spans="2:9" x14ac:dyDescent="0.3">
      <c r="B25" s="79">
        <v>20</v>
      </c>
      <c r="C25" s="61" t="s">
        <v>297</v>
      </c>
      <c r="D25" s="160" t="s">
        <v>271</v>
      </c>
      <c r="E25" s="60">
        <v>38</v>
      </c>
      <c r="F25" s="60" t="s">
        <v>134</v>
      </c>
      <c r="G25" s="58" t="s">
        <v>179</v>
      </c>
      <c r="H25" s="66" t="s">
        <v>170</v>
      </c>
      <c r="I25" s="69"/>
    </row>
    <row r="26" spans="2:9" x14ac:dyDescent="0.3">
      <c r="B26" s="79">
        <v>21</v>
      </c>
      <c r="C26" s="60" t="s">
        <v>298</v>
      </c>
      <c r="D26" s="160" t="s">
        <v>271</v>
      </c>
      <c r="E26" s="60">
        <v>30</v>
      </c>
      <c r="F26" s="60" t="s">
        <v>134</v>
      </c>
      <c r="G26" s="58" t="s">
        <v>180</v>
      </c>
      <c r="H26" s="66" t="s">
        <v>165</v>
      </c>
      <c r="I26" s="69"/>
    </row>
    <row r="27" spans="2:9" x14ac:dyDescent="0.3">
      <c r="B27" s="79">
        <v>22</v>
      </c>
      <c r="C27" s="60" t="s">
        <v>299</v>
      </c>
      <c r="D27" s="160" t="s">
        <v>271</v>
      </c>
      <c r="E27" s="60">
        <v>41</v>
      </c>
      <c r="F27" s="60" t="s">
        <v>134</v>
      </c>
      <c r="G27" s="58" t="s">
        <v>179</v>
      </c>
      <c r="H27" s="66" t="s">
        <v>172</v>
      </c>
      <c r="I27" s="69"/>
    </row>
    <row r="28" spans="2:9" x14ac:dyDescent="0.3">
      <c r="B28" s="79">
        <v>23</v>
      </c>
      <c r="C28" s="58" t="s">
        <v>300</v>
      </c>
      <c r="D28" s="160" t="s">
        <v>271</v>
      </c>
      <c r="E28" s="60">
        <v>38</v>
      </c>
      <c r="F28" s="60" t="s">
        <v>134</v>
      </c>
      <c r="G28" s="58" t="s">
        <v>179</v>
      </c>
      <c r="H28" s="58" t="s">
        <v>172</v>
      </c>
      <c r="I28" s="69"/>
    </row>
    <row r="29" spans="2:9" x14ac:dyDescent="0.3">
      <c r="B29" s="79">
        <v>24</v>
      </c>
      <c r="C29" s="58" t="s">
        <v>301</v>
      </c>
      <c r="D29" s="160" t="s">
        <v>271</v>
      </c>
      <c r="E29" s="60">
        <v>37</v>
      </c>
      <c r="F29" s="60" t="s">
        <v>134</v>
      </c>
      <c r="G29" s="58" t="s">
        <v>177</v>
      </c>
      <c r="H29" s="58" t="s">
        <v>169</v>
      </c>
      <c r="I29" s="69"/>
    </row>
    <row r="30" spans="2:9" x14ac:dyDescent="0.3">
      <c r="B30" s="79">
        <v>25</v>
      </c>
      <c r="C30" s="58" t="s">
        <v>302</v>
      </c>
      <c r="D30" s="160" t="s">
        <v>271</v>
      </c>
      <c r="E30" s="60">
        <v>39</v>
      </c>
      <c r="F30" s="60" t="s">
        <v>134</v>
      </c>
      <c r="G30" s="65" t="s">
        <v>176</v>
      </c>
      <c r="H30" s="58" t="s">
        <v>172</v>
      </c>
      <c r="I30" s="69"/>
    </row>
    <row r="31" spans="2:9" x14ac:dyDescent="0.3">
      <c r="B31" s="79">
        <v>26</v>
      </c>
      <c r="C31" s="58" t="s">
        <v>303</v>
      </c>
      <c r="D31" s="160" t="s">
        <v>271</v>
      </c>
      <c r="E31" s="60">
        <v>37</v>
      </c>
      <c r="F31" s="60" t="s">
        <v>134</v>
      </c>
      <c r="G31" s="58" t="s">
        <v>179</v>
      </c>
      <c r="H31" s="58" t="s">
        <v>169</v>
      </c>
      <c r="I31" s="69"/>
    </row>
    <row r="32" spans="2:9" x14ac:dyDescent="0.3">
      <c r="B32" s="79">
        <v>27</v>
      </c>
      <c r="C32" s="58" t="s">
        <v>304</v>
      </c>
      <c r="D32" s="160" t="s">
        <v>271</v>
      </c>
      <c r="E32" s="60">
        <v>38</v>
      </c>
      <c r="F32" s="60" t="s">
        <v>134</v>
      </c>
      <c r="G32" s="65" t="s">
        <v>176</v>
      </c>
      <c r="H32" s="58" t="s">
        <v>169</v>
      </c>
      <c r="I32" s="69"/>
    </row>
    <row r="33" spans="2:9" x14ac:dyDescent="0.3">
      <c r="B33" s="79">
        <v>28</v>
      </c>
      <c r="C33" s="58" t="s">
        <v>305</v>
      </c>
      <c r="D33" s="160" t="s">
        <v>271</v>
      </c>
      <c r="E33" s="60">
        <v>39</v>
      </c>
      <c r="F33" s="60" t="s">
        <v>134</v>
      </c>
      <c r="G33" s="87" t="s">
        <v>181</v>
      </c>
      <c r="H33" s="58" t="s">
        <v>169</v>
      </c>
      <c r="I33" s="69"/>
    </row>
    <row r="34" spans="2:9" x14ac:dyDescent="0.3">
      <c r="B34" s="79">
        <v>29</v>
      </c>
      <c r="C34" s="58" t="s">
        <v>306</v>
      </c>
      <c r="D34" s="160" t="s">
        <v>271</v>
      </c>
      <c r="E34" s="60">
        <v>37</v>
      </c>
      <c r="F34" s="60" t="s">
        <v>134</v>
      </c>
      <c r="G34" s="87" t="s">
        <v>179</v>
      </c>
      <c r="H34" s="58" t="s">
        <v>169</v>
      </c>
      <c r="I34" s="69"/>
    </row>
    <row r="35" spans="2:9" x14ac:dyDescent="0.3">
      <c r="B35" s="79">
        <v>30</v>
      </c>
      <c r="C35" s="58" t="s">
        <v>307</v>
      </c>
      <c r="D35" s="160" t="s">
        <v>271</v>
      </c>
      <c r="E35" s="60"/>
      <c r="F35" s="60" t="s">
        <v>134</v>
      </c>
      <c r="G35" s="87"/>
      <c r="H35" s="72"/>
      <c r="I35" s="69"/>
    </row>
    <row r="36" spans="2:9" x14ac:dyDescent="0.3">
      <c r="B36" s="79">
        <v>31</v>
      </c>
      <c r="C36" s="58" t="s">
        <v>308</v>
      </c>
      <c r="D36" s="160" t="s">
        <v>271</v>
      </c>
      <c r="E36" s="69"/>
      <c r="F36" s="60" t="s">
        <v>134</v>
      </c>
      <c r="G36" s="87"/>
      <c r="H36" s="69"/>
      <c r="I36" s="69"/>
    </row>
    <row r="37" spans="2:9" x14ac:dyDescent="0.3">
      <c r="B37" s="79">
        <v>32</v>
      </c>
      <c r="C37" s="58" t="s">
        <v>290</v>
      </c>
      <c r="D37" s="160" t="s">
        <v>271</v>
      </c>
      <c r="E37" s="69"/>
      <c r="F37" s="60" t="s">
        <v>134</v>
      </c>
      <c r="G37" s="87"/>
      <c r="H37" s="69"/>
      <c r="I37" s="69"/>
    </row>
  </sheetData>
  <mergeCells count="10">
    <mergeCell ref="I3:I5"/>
    <mergeCell ref="B2:I2"/>
    <mergeCell ref="G3:H3"/>
    <mergeCell ref="G4:G5"/>
    <mergeCell ref="H4:H5"/>
    <mergeCell ref="B3:B5"/>
    <mergeCell ref="C3:C5"/>
    <mergeCell ref="E3:E5"/>
    <mergeCell ref="F3:F5"/>
    <mergeCell ref="D3:D5"/>
  </mergeCells>
  <phoneticPr fontId="25" type="noConversion"/>
  <conditionalFormatting sqref="C1:C1048576">
    <cfRule type="duplicateValues" dxfId="848" priority="1"/>
  </conditionalFormatting>
  <conditionalFormatting sqref="C6:C15">
    <cfRule type="duplicateValues" dxfId="847" priority="2"/>
    <cfRule type="duplicateValues" dxfId="846" priority="3"/>
  </conditionalFormatting>
  <conditionalFormatting sqref="C16:C37">
    <cfRule type="duplicateValues" dxfId="845" priority="7"/>
  </conditionalFormatting>
  <conditionalFormatting sqref="C38:D1048576 C3:D3 C1:D1 C4:C5 C16:C37">
    <cfRule type="duplicateValues" dxfId="844" priority="4"/>
  </conditionalFormatting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Y540"/>
  <sheetViews>
    <sheetView topLeftCell="A517" zoomScale="110" zoomScaleNormal="110" workbookViewId="0">
      <selection activeCell="G546" sqref="G546"/>
    </sheetView>
  </sheetViews>
  <sheetFormatPr defaultRowHeight="14.4" x14ac:dyDescent="0.3"/>
  <cols>
    <col min="1" max="1" width="9.6640625" style="145" customWidth="1"/>
    <col min="6" max="6" width="9.33203125" bestFit="1" customWidth="1"/>
    <col min="14" max="14" width="21.44140625" customWidth="1"/>
    <col min="16" max="16" width="18.109375" customWidth="1"/>
    <col min="17" max="17" width="9.88671875" customWidth="1"/>
    <col min="18" max="18" width="11.44140625" customWidth="1"/>
  </cols>
  <sheetData>
    <row r="1" spans="1:25" ht="15" thickBot="1" x14ac:dyDescent="0.35"/>
    <row r="2" spans="1:25" x14ac:dyDescent="0.3">
      <c r="B2" s="297" t="s">
        <v>184</v>
      </c>
      <c r="C2" s="298"/>
      <c r="D2" s="298"/>
      <c r="E2" s="298"/>
      <c r="F2" s="298"/>
      <c r="G2" s="298"/>
      <c r="H2" s="298"/>
      <c r="I2" s="298"/>
      <c r="J2" s="298"/>
      <c r="K2" s="298"/>
      <c r="L2" s="298"/>
      <c r="M2" s="298"/>
      <c r="N2" s="299"/>
      <c r="P2" s="287" t="s">
        <v>185</v>
      </c>
      <c r="Q2" s="288"/>
      <c r="R2" s="288"/>
      <c r="S2" s="288"/>
      <c r="T2" s="288"/>
      <c r="V2" s="287" t="s">
        <v>224</v>
      </c>
      <c r="W2" s="288"/>
      <c r="X2" s="288"/>
      <c r="Y2" s="289"/>
    </row>
    <row r="3" spans="1:25" x14ac:dyDescent="0.3">
      <c r="B3" s="300" t="s">
        <v>186</v>
      </c>
      <c r="C3" s="301"/>
      <c r="D3" s="301"/>
      <c r="E3" s="301"/>
      <c r="F3" s="301"/>
      <c r="G3" s="301"/>
      <c r="H3" s="301"/>
      <c r="I3" s="301"/>
      <c r="J3" s="301"/>
      <c r="K3" s="296" t="s">
        <v>187</v>
      </c>
      <c r="L3" s="296"/>
      <c r="M3" s="296"/>
      <c r="N3" s="302" t="s">
        <v>188</v>
      </c>
      <c r="P3" s="89" t="s">
        <v>189</v>
      </c>
      <c r="Q3" s="90" t="s">
        <v>190</v>
      </c>
      <c r="R3" s="91" t="s">
        <v>191</v>
      </c>
      <c r="S3" s="90" t="s">
        <v>192</v>
      </c>
      <c r="T3" s="90" t="s">
        <v>193</v>
      </c>
      <c r="V3" s="290" t="s">
        <v>227</v>
      </c>
      <c r="W3" s="291"/>
      <c r="X3" s="292"/>
      <c r="Y3" s="114">
        <v>116</v>
      </c>
    </row>
    <row r="4" spans="1:25" x14ac:dyDescent="0.3">
      <c r="B4" s="300"/>
      <c r="C4" s="301" t="s">
        <v>194</v>
      </c>
      <c r="D4" s="301" t="s">
        <v>41</v>
      </c>
      <c r="E4" s="88" t="s">
        <v>42</v>
      </c>
      <c r="F4" s="88" t="s">
        <v>43</v>
      </c>
      <c r="G4" s="88" t="s">
        <v>42</v>
      </c>
      <c r="H4" s="88" t="s">
        <v>43</v>
      </c>
      <c r="I4" s="88" t="s">
        <v>42</v>
      </c>
      <c r="J4" s="88" t="s">
        <v>43</v>
      </c>
      <c r="K4" s="296" t="s">
        <v>20</v>
      </c>
      <c r="L4" s="296" t="s">
        <v>195</v>
      </c>
      <c r="M4" s="296" t="s">
        <v>196</v>
      </c>
      <c r="N4" s="302"/>
      <c r="P4" s="89"/>
      <c r="Q4" s="303" t="s">
        <v>197</v>
      </c>
      <c r="R4" s="303"/>
      <c r="S4" s="90" t="s">
        <v>198</v>
      </c>
      <c r="T4" s="90" t="s">
        <v>199</v>
      </c>
      <c r="V4" s="290" t="s">
        <v>228</v>
      </c>
      <c r="W4" s="291"/>
      <c r="X4" s="292"/>
      <c r="Y4" s="114">
        <f>COUNT(D1:D262)</f>
        <v>116</v>
      </c>
    </row>
    <row r="5" spans="1:25" ht="15" thickBot="1" x14ac:dyDescent="0.35">
      <c r="A5" s="145" t="s">
        <v>241</v>
      </c>
      <c r="B5" s="300"/>
      <c r="C5" s="301"/>
      <c r="D5" s="301"/>
      <c r="E5" s="88" t="s">
        <v>200</v>
      </c>
      <c r="F5" s="88" t="s">
        <v>200</v>
      </c>
      <c r="G5" s="88" t="s">
        <v>201</v>
      </c>
      <c r="H5" s="88" t="s">
        <v>201</v>
      </c>
      <c r="I5" s="88" t="s">
        <v>202</v>
      </c>
      <c r="J5" s="88" t="s">
        <v>202</v>
      </c>
      <c r="K5" s="296"/>
      <c r="L5" s="296"/>
      <c r="M5" s="296"/>
      <c r="N5" s="302"/>
      <c r="P5" s="89" t="s">
        <v>189</v>
      </c>
      <c r="Q5" s="90" t="s">
        <v>203</v>
      </c>
      <c r="R5" s="91" t="s">
        <v>191</v>
      </c>
      <c r="S5" s="90" t="s">
        <v>204</v>
      </c>
      <c r="T5" s="90" t="s">
        <v>205</v>
      </c>
      <c r="V5" s="293" t="s">
        <v>223</v>
      </c>
      <c r="W5" s="294"/>
      <c r="X5" s="295"/>
      <c r="Y5" s="115">
        <f>Y3-Y4</f>
        <v>0</v>
      </c>
    </row>
    <row r="6" spans="1:25" ht="15" thickBot="1" x14ac:dyDescent="0.35">
      <c r="A6" s="145">
        <v>1</v>
      </c>
      <c r="B6" s="265" t="s">
        <v>206</v>
      </c>
      <c r="C6" s="92" t="s">
        <v>207</v>
      </c>
      <c r="D6" s="93">
        <v>23.45</v>
      </c>
      <c r="E6" s="93">
        <v>120.67</v>
      </c>
      <c r="F6" s="93">
        <v>47.35</v>
      </c>
      <c r="G6" s="93">
        <v>113</v>
      </c>
      <c r="H6" s="94">
        <f>G6/25*9.81</f>
        <v>44.341200000000001</v>
      </c>
      <c r="I6" s="93">
        <v>130</v>
      </c>
      <c r="J6" s="94">
        <f>I6/25*9.81</f>
        <v>51.012000000000008</v>
      </c>
      <c r="K6" s="95">
        <v>0</v>
      </c>
      <c r="L6" s="95">
        <v>1</v>
      </c>
      <c r="M6" s="95">
        <v>0</v>
      </c>
      <c r="N6" s="96" t="s">
        <v>208</v>
      </c>
      <c r="P6" s="97"/>
      <c r="Q6" s="304" t="s">
        <v>197</v>
      </c>
      <c r="R6" s="304"/>
      <c r="S6" s="98" t="s">
        <v>209</v>
      </c>
      <c r="T6" s="98" t="s">
        <v>210</v>
      </c>
    </row>
    <row r="7" spans="1:25" x14ac:dyDescent="0.3">
      <c r="B7" s="266"/>
      <c r="C7" s="92" t="s">
        <v>207</v>
      </c>
      <c r="D7" s="99">
        <v>89.72</v>
      </c>
      <c r="E7" s="99">
        <v>94.23</v>
      </c>
      <c r="F7" s="99">
        <v>36.979999999999997</v>
      </c>
      <c r="G7" s="92">
        <v>87</v>
      </c>
      <c r="H7" s="94">
        <f>G7/25*9.81</f>
        <v>34.138800000000003</v>
      </c>
      <c r="I7" s="92">
        <v>107</v>
      </c>
      <c r="J7" s="94">
        <f t="shared" ref="J7:J9" si="0">I7/25*9.81</f>
        <v>41.986800000000002</v>
      </c>
      <c r="K7" s="100">
        <v>0</v>
      </c>
      <c r="L7" s="100">
        <v>1</v>
      </c>
      <c r="M7" s="101">
        <v>0</v>
      </c>
      <c r="N7" s="96" t="s">
        <v>208</v>
      </c>
      <c r="V7" s="287" t="s">
        <v>381</v>
      </c>
      <c r="W7" s="288"/>
      <c r="X7" s="288"/>
      <c r="Y7" s="289"/>
    </row>
    <row r="8" spans="1:25" x14ac:dyDescent="0.3">
      <c r="B8" s="266"/>
      <c r="C8" s="92" t="s">
        <v>211</v>
      </c>
      <c r="D8" s="99">
        <v>23.94</v>
      </c>
      <c r="E8" s="99">
        <v>149.75</v>
      </c>
      <c r="F8" s="99">
        <v>58.76</v>
      </c>
      <c r="G8" s="92">
        <v>136</v>
      </c>
      <c r="H8" s="94">
        <f>G8/25*9.81</f>
        <v>53.366400000000006</v>
      </c>
      <c r="I8" s="102">
        <v>160</v>
      </c>
      <c r="J8" s="94">
        <f t="shared" si="0"/>
        <v>62.784000000000006</v>
      </c>
      <c r="K8" s="100">
        <v>0</v>
      </c>
      <c r="L8" s="100">
        <v>1</v>
      </c>
      <c r="M8" s="101">
        <v>0</v>
      </c>
      <c r="N8" s="96" t="s">
        <v>208</v>
      </c>
      <c r="P8" s="112" t="s">
        <v>220</v>
      </c>
      <c r="V8" s="290" t="s">
        <v>227</v>
      </c>
      <c r="W8" s="291"/>
      <c r="X8" s="292"/>
      <c r="Y8" s="114">
        <v>80</v>
      </c>
    </row>
    <row r="9" spans="1:25" ht="15" thickBot="1" x14ac:dyDescent="0.35">
      <c r="B9" s="267"/>
      <c r="C9" s="103" t="s">
        <v>211</v>
      </c>
      <c r="D9" s="103">
        <v>89.45</v>
      </c>
      <c r="E9" s="103">
        <v>80.39</v>
      </c>
      <c r="F9" s="103">
        <v>31.55</v>
      </c>
      <c r="G9" s="104">
        <v>36</v>
      </c>
      <c r="H9" s="105">
        <f>G9/25*9.81</f>
        <v>14.1264</v>
      </c>
      <c r="I9" s="104">
        <v>93</v>
      </c>
      <c r="J9" s="105">
        <f t="shared" si="0"/>
        <v>36.493200000000002</v>
      </c>
      <c r="K9" s="106">
        <v>0</v>
      </c>
      <c r="L9" s="106">
        <v>1</v>
      </c>
      <c r="M9" s="106">
        <v>0</v>
      </c>
      <c r="N9" s="107" t="s">
        <v>208</v>
      </c>
      <c r="P9" s="112" t="s">
        <v>219</v>
      </c>
      <c r="V9" s="290" t="s">
        <v>228</v>
      </c>
      <c r="W9" s="291"/>
      <c r="X9" s="292"/>
      <c r="Y9" s="114">
        <f>COUNT(D285:D400)</f>
        <v>52</v>
      </c>
    </row>
    <row r="10" spans="1:25" ht="15" thickBot="1" x14ac:dyDescent="0.35">
      <c r="V10" s="293" t="s">
        <v>223</v>
      </c>
      <c r="W10" s="294"/>
      <c r="X10" s="295"/>
      <c r="Y10" s="115">
        <f>Y8-Y9</f>
        <v>28</v>
      </c>
    </row>
    <row r="11" spans="1:25" x14ac:dyDescent="0.3">
      <c r="B11" s="297" t="s">
        <v>184</v>
      </c>
      <c r="C11" s="298"/>
      <c r="D11" s="298"/>
      <c r="E11" s="298"/>
      <c r="F11" s="298"/>
      <c r="G11" s="298"/>
      <c r="H11" s="298"/>
      <c r="I11" s="298"/>
      <c r="J11" s="298"/>
      <c r="K11" s="298"/>
      <c r="L11" s="298"/>
      <c r="M11" s="298"/>
      <c r="N11" s="299"/>
    </row>
    <row r="12" spans="1:25" x14ac:dyDescent="0.3">
      <c r="B12" s="300" t="s">
        <v>186</v>
      </c>
      <c r="C12" s="301"/>
      <c r="D12" s="301"/>
      <c r="E12" s="301"/>
      <c r="F12" s="301"/>
      <c r="G12" s="301"/>
      <c r="H12" s="301"/>
      <c r="I12" s="301"/>
      <c r="J12" s="301"/>
      <c r="K12" s="296" t="s">
        <v>187</v>
      </c>
      <c r="L12" s="296"/>
      <c r="M12" s="296"/>
      <c r="N12" s="302" t="s">
        <v>188</v>
      </c>
    </row>
    <row r="13" spans="1:25" x14ac:dyDescent="0.3">
      <c r="B13" s="300"/>
      <c r="C13" s="301" t="s">
        <v>194</v>
      </c>
      <c r="D13" s="301" t="s">
        <v>41</v>
      </c>
      <c r="E13" s="88" t="s">
        <v>42</v>
      </c>
      <c r="F13" s="88" t="s">
        <v>43</v>
      </c>
      <c r="G13" s="88" t="s">
        <v>42</v>
      </c>
      <c r="H13" s="88" t="s">
        <v>43</v>
      </c>
      <c r="I13" s="88" t="s">
        <v>42</v>
      </c>
      <c r="J13" s="88" t="s">
        <v>43</v>
      </c>
      <c r="K13" s="296" t="s">
        <v>20</v>
      </c>
      <c r="L13" s="296" t="s">
        <v>195</v>
      </c>
      <c r="M13" s="296" t="s">
        <v>196</v>
      </c>
      <c r="N13" s="302"/>
    </row>
    <row r="14" spans="1:25" x14ac:dyDescent="0.3">
      <c r="B14" s="300"/>
      <c r="C14" s="301"/>
      <c r="D14" s="301"/>
      <c r="E14" s="88" t="s">
        <v>200</v>
      </c>
      <c r="F14" s="88" t="s">
        <v>200</v>
      </c>
      <c r="G14" s="88" t="s">
        <v>201</v>
      </c>
      <c r="H14" s="88" t="s">
        <v>201</v>
      </c>
      <c r="I14" s="88" t="s">
        <v>202</v>
      </c>
      <c r="J14" s="88" t="s">
        <v>202</v>
      </c>
      <c r="K14" s="296"/>
      <c r="L14" s="296"/>
      <c r="M14" s="296"/>
      <c r="N14" s="302"/>
    </row>
    <row r="15" spans="1:25" x14ac:dyDescent="0.3">
      <c r="A15" s="145" t="s">
        <v>241</v>
      </c>
      <c r="B15" s="265" t="s">
        <v>212</v>
      </c>
      <c r="C15" s="132" t="s">
        <v>207</v>
      </c>
      <c r="D15" s="93">
        <v>24.59</v>
      </c>
      <c r="E15" s="93">
        <v>156.09</v>
      </c>
      <c r="F15" s="93">
        <v>54.33</v>
      </c>
      <c r="G15" s="93">
        <v>81</v>
      </c>
      <c r="H15" s="108">
        <f t="shared" ref="H15:H16" si="1">G15/25*9.81</f>
        <v>31.784400000000005</v>
      </c>
      <c r="I15" s="178">
        <v>204</v>
      </c>
      <c r="J15" s="179">
        <f t="shared" ref="J15:J16" si="2">I15/25*9.81</f>
        <v>80.049600000000012</v>
      </c>
      <c r="K15" s="95">
        <v>0</v>
      </c>
      <c r="L15" s="113">
        <v>0.9</v>
      </c>
      <c r="M15" s="113">
        <v>0.1</v>
      </c>
      <c r="N15" s="96" t="s">
        <v>233</v>
      </c>
      <c r="P15" s="112" t="s">
        <v>220</v>
      </c>
      <c r="Q15" s="133" t="s">
        <v>238</v>
      </c>
      <c r="R15" s="133"/>
      <c r="S15" s="133"/>
      <c r="T15" s="133"/>
      <c r="U15" s="133"/>
      <c r="V15" s="133"/>
      <c r="W15" s="133"/>
    </row>
    <row r="16" spans="1:25" x14ac:dyDescent="0.3">
      <c r="A16" s="145">
        <v>2</v>
      </c>
      <c r="B16" s="266"/>
      <c r="C16" s="92" t="s">
        <v>207</v>
      </c>
      <c r="D16" s="99">
        <v>89.56</v>
      </c>
      <c r="E16" s="99">
        <v>91.31</v>
      </c>
      <c r="F16" s="99">
        <v>35.83</v>
      </c>
      <c r="G16" s="92">
        <v>61</v>
      </c>
      <c r="H16" s="108">
        <f t="shared" si="1"/>
        <v>23.936399999999999</v>
      </c>
      <c r="I16" s="92">
        <v>104</v>
      </c>
      <c r="J16" s="109">
        <f t="shared" si="2"/>
        <v>40.809600000000003</v>
      </c>
      <c r="K16" s="100">
        <v>0</v>
      </c>
      <c r="L16" s="100">
        <v>1</v>
      </c>
      <c r="M16" s="101">
        <v>0</v>
      </c>
      <c r="N16" s="96" t="s">
        <v>208</v>
      </c>
      <c r="P16" s="112" t="s">
        <v>219</v>
      </c>
    </row>
    <row r="17" spans="1:16" x14ac:dyDescent="0.3">
      <c r="B17" s="266"/>
      <c r="C17" s="92" t="s">
        <v>211</v>
      </c>
      <c r="D17" s="99">
        <v>23.41</v>
      </c>
      <c r="E17" s="99">
        <v>103.17</v>
      </c>
      <c r="F17" s="99">
        <v>40.479999999999997</v>
      </c>
      <c r="G17" s="92">
        <v>56</v>
      </c>
      <c r="H17" s="108">
        <f>G17/25*9.81</f>
        <v>21.974400000000003</v>
      </c>
      <c r="I17" s="102">
        <v>124</v>
      </c>
      <c r="J17" s="109">
        <f>I17/25*9.81</f>
        <v>48.657600000000002</v>
      </c>
      <c r="K17" s="100">
        <v>0</v>
      </c>
      <c r="L17" s="100">
        <v>1</v>
      </c>
      <c r="M17" s="101">
        <v>0</v>
      </c>
      <c r="N17" s="96" t="s">
        <v>208</v>
      </c>
    </row>
    <row r="18" spans="1:16" ht="15" thickBot="1" x14ac:dyDescent="0.35">
      <c r="B18" s="267"/>
      <c r="C18" s="103" t="s">
        <v>211</v>
      </c>
      <c r="D18" s="103">
        <v>89.58</v>
      </c>
      <c r="E18" s="103">
        <v>72.16</v>
      </c>
      <c r="F18" s="103">
        <v>28.32</v>
      </c>
      <c r="G18" s="104">
        <v>69</v>
      </c>
      <c r="H18" s="110">
        <f>G18/25*9.81</f>
        <v>27.075599999999998</v>
      </c>
      <c r="I18" s="104">
        <v>76</v>
      </c>
      <c r="J18" s="110">
        <f>I18/25*9.81</f>
        <v>29.822400000000002</v>
      </c>
      <c r="K18" s="106">
        <v>0</v>
      </c>
      <c r="L18" s="106">
        <v>1</v>
      </c>
      <c r="M18" s="106">
        <v>0</v>
      </c>
      <c r="N18" s="107" t="s">
        <v>208</v>
      </c>
    </row>
    <row r="19" spans="1:16" ht="15" thickBot="1" x14ac:dyDescent="0.35"/>
    <row r="20" spans="1:16" x14ac:dyDescent="0.3">
      <c r="B20" s="297" t="s">
        <v>184</v>
      </c>
      <c r="C20" s="298"/>
      <c r="D20" s="298"/>
      <c r="E20" s="298"/>
      <c r="F20" s="298"/>
      <c r="G20" s="298"/>
      <c r="H20" s="298"/>
      <c r="I20" s="298"/>
      <c r="J20" s="298"/>
      <c r="K20" s="298"/>
      <c r="L20" s="298"/>
      <c r="M20" s="298"/>
      <c r="N20" s="299"/>
    </row>
    <row r="21" spans="1:16" x14ac:dyDescent="0.3">
      <c r="B21" s="300" t="s">
        <v>186</v>
      </c>
      <c r="C21" s="301"/>
      <c r="D21" s="301"/>
      <c r="E21" s="301"/>
      <c r="F21" s="301"/>
      <c r="G21" s="301"/>
      <c r="H21" s="301"/>
      <c r="I21" s="301"/>
      <c r="J21" s="301"/>
      <c r="K21" s="296" t="s">
        <v>187</v>
      </c>
      <c r="L21" s="296"/>
      <c r="M21" s="296"/>
      <c r="N21" s="302" t="s">
        <v>188</v>
      </c>
    </row>
    <row r="22" spans="1:16" x14ac:dyDescent="0.3">
      <c r="B22" s="300"/>
      <c r="C22" s="301" t="s">
        <v>194</v>
      </c>
      <c r="D22" s="301" t="s">
        <v>41</v>
      </c>
      <c r="E22" s="88" t="s">
        <v>42</v>
      </c>
      <c r="F22" s="88" t="s">
        <v>43</v>
      </c>
      <c r="G22" s="88" t="s">
        <v>42</v>
      </c>
      <c r="H22" s="88" t="s">
        <v>43</v>
      </c>
      <c r="I22" s="88" t="s">
        <v>42</v>
      </c>
      <c r="J22" s="88" t="s">
        <v>43</v>
      </c>
      <c r="K22" s="296" t="s">
        <v>20</v>
      </c>
      <c r="L22" s="296" t="s">
        <v>195</v>
      </c>
      <c r="M22" s="296" t="s">
        <v>196</v>
      </c>
      <c r="N22" s="302"/>
    </row>
    <row r="23" spans="1:16" x14ac:dyDescent="0.3">
      <c r="B23" s="300"/>
      <c r="C23" s="301"/>
      <c r="D23" s="301"/>
      <c r="E23" s="88" t="s">
        <v>200</v>
      </c>
      <c r="F23" s="88" t="s">
        <v>200</v>
      </c>
      <c r="G23" s="88" t="s">
        <v>201</v>
      </c>
      <c r="H23" s="88" t="s">
        <v>201</v>
      </c>
      <c r="I23" s="88" t="s">
        <v>202</v>
      </c>
      <c r="J23" s="88" t="s">
        <v>202</v>
      </c>
      <c r="K23" s="296"/>
      <c r="L23" s="296"/>
      <c r="M23" s="296"/>
      <c r="N23" s="302"/>
    </row>
    <row r="24" spans="1:16" x14ac:dyDescent="0.3">
      <c r="A24" s="145" t="s">
        <v>241</v>
      </c>
      <c r="B24" s="265" t="s">
        <v>213</v>
      </c>
      <c r="C24" s="92" t="s">
        <v>207</v>
      </c>
      <c r="D24" s="93">
        <v>23.37</v>
      </c>
      <c r="E24" s="93">
        <v>153.69</v>
      </c>
      <c r="F24" s="108">
        <f>E24/25*9.81</f>
        <v>60.307955999999997</v>
      </c>
      <c r="G24" s="93">
        <v>132</v>
      </c>
      <c r="H24" s="108">
        <f>G24/25*9.81</f>
        <v>51.796800000000005</v>
      </c>
      <c r="I24" s="93">
        <v>172</v>
      </c>
      <c r="J24" s="109">
        <f>I24/25*9.81</f>
        <v>67.492800000000003</v>
      </c>
      <c r="K24" s="95">
        <v>0</v>
      </c>
      <c r="L24" s="95">
        <v>1</v>
      </c>
      <c r="M24" s="95">
        <v>0</v>
      </c>
      <c r="N24" s="96" t="s">
        <v>208</v>
      </c>
    </row>
    <row r="25" spans="1:16" x14ac:dyDescent="0.3">
      <c r="A25" s="145">
        <v>3</v>
      </c>
      <c r="B25" s="266"/>
      <c r="C25" s="92" t="s">
        <v>207</v>
      </c>
      <c r="D25" s="99">
        <v>89.35</v>
      </c>
      <c r="E25" s="99">
        <v>84.81</v>
      </c>
      <c r="F25" s="108">
        <f t="shared" ref="F25" si="3">E25/25*9.81</f>
        <v>33.279444000000005</v>
      </c>
      <c r="G25" s="92">
        <v>77</v>
      </c>
      <c r="H25" s="108">
        <f>G25/25*9.81</f>
        <v>30.214800000000004</v>
      </c>
      <c r="I25" s="92">
        <v>98</v>
      </c>
      <c r="J25" s="109">
        <f>I25/25*9.81</f>
        <v>38.455199999999998</v>
      </c>
      <c r="K25" s="100">
        <v>0</v>
      </c>
      <c r="L25" s="100">
        <v>1</v>
      </c>
      <c r="M25" s="101">
        <v>0</v>
      </c>
      <c r="N25" s="96" t="s">
        <v>208</v>
      </c>
      <c r="P25" s="112" t="s">
        <v>219</v>
      </c>
    </row>
    <row r="26" spans="1:16" x14ac:dyDescent="0.3">
      <c r="B26" s="266"/>
      <c r="C26" s="92" t="s">
        <v>211</v>
      </c>
      <c r="D26" s="99">
        <v>25.23</v>
      </c>
      <c r="E26" s="99">
        <v>116.72</v>
      </c>
      <c r="F26" s="108">
        <f>E26/25*9.81</f>
        <v>45.800928000000006</v>
      </c>
      <c r="G26" s="92">
        <v>75</v>
      </c>
      <c r="H26" s="108">
        <f>G26/25*9.81</f>
        <v>29.43</v>
      </c>
      <c r="I26" s="102">
        <v>163</v>
      </c>
      <c r="J26" s="109">
        <f>I26/25*9.81</f>
        <v>63.961199999999998</v>
      </c>
      <c r="K26" s="100">
        <v>0</v>
      </c>
      <c r="L26" s="100">
        <v>1</v>
      </c>
      <c r="M26" s="101">
        <v>0</v>
      </c>
      <c r="N26" s="96" t="s">
        <v>208</v>
      </c>
    </row>
    <row r="27" spans="1:16" ht="15" thickBot="1" x14ac:dyDescent="0.35">
      <c r="B27" s="267"/>
      <c r="C27" s="103" t="s">
        <v>211</v>
      </c>
      <c r="D27" s="103">
        <v>90.43</v>
      </c>
      <c r="E27" s="103">
        <v>76.260000000000005</v>
      </c>
      <c r="F27" s="111">
        <f>E27/25*9.81</f>
        <v>29.924424000000005</v>
      </c>
      <c r="G27" s="104">
        <v>66</v>
      </c>
      <c r="H27" s="110">
        <f>G27/25*9.81</f>
        <v>25.898400000000002</v>
      </c>
      <c r="I27" s="104">
        <v>81</v>
      </c>
      <c r="J27" s="110">
        <f>I27/25*9.81</f>
        <v>31.784400000000005</v>
      </c>
      <c r="K27" s="106">
        <v>0</v>
      </c>
      <c r="L27" s="106">
        <v>1</v>
      </c>
      <c r="M27" s="106">
        <v>0</v>
      </c>
      <c r="N27" s="107" t="s">
        <v>208</v>
      </c>
    </row>
    <row r="28" spans="1:16" ht="15" thickBot="1" x14ac:dyDescent="0.35"/>
    <row r="29" spans="1:16" x14ac:dyDescent="0.3">
      <c r="B29" s="297" t="s">
        <v>184</v>
      </c>
      <c r="C29" s="298"/>
      <c r="D29" s="298"/>
      <c r="E29" s="298"/>
      <c r="F29" s="298"/>
      <c r="G29" s="298"/>
      <c r="H29" s="298"/>
      <c r="I29" s="298"/>
      <c r="J29" s="298"/>
      <c r="K29" s="298"/>
      <c r="L29" s="298"/>
      <c r="M29" s="298"/>
      <c r="N29" s="299"/>
    </row>
    <row r="30" spans="1:16" x14ac:dyDescent="0.3">
      <c r="B30" s="300" t="s">
        <v>186</v>
      </c>
      <c r="C30" s="301"/>
      <c r="D30" s="301"/>
      <c r="E30" s="301"/>
      <c r="F30" s="301"/>
      <c r="G30" s="301"/>
      <c r="H30" s="301"/>
      <c r="I30" s="301"/>
      <c r="J30" s="301"/>
      <c r="K30" s="296" t="s">
        <v>187</v>
      </c>
      <c r="L30" s="296"/>
      <c r="M30" s="296"/>
      <c r="N30" s="302" t="s">
        <v>188</v>
      </c>
    </row>
    <row r="31" spans="1:16" x14ac:dyDescent="0.3">
      <c r="B31" s="300"/>
      <c r="C31" s="301" t="s">
        <v>194</v>
      </c>
      <c r="D31" s="301" t="s">
        <v>41</v>
      </c>
      <c r="E31" s="88" t="s">
        <v>42</v>
      </c>
      <c r="F31" s="88" t="s">
        <v>43</v>
      </c>
      <c r="G31" s="88" t="s">
        <v>42</v>
      </c>
      <c r="H31" s="88" t="s">
        <v>43</v>
      </c>
      <c r="I31" s="88" t="s">
        <v>42</v>
      </c>
      <c r="J31" s="88" t="s">
        <v>43</v>
      </c>
      <c r="K31" s="296" t="s">
        <v>20</v>
      </c>
      <c r="L31" s="296" t="s">
        <v>195</v>
      </c>
      <c r="M31" s="296" t="s">
        <v>196</v>
      </c>
      <c r="N31" s="302"/>
    </row>
    <row r="32" spans="1:16" x14ac:dyDescent="0.3">
      <c r="B32" s="300"/>
      <c r="C32" s="301"/>
      <c r="D32" s="301"/>
      <c r="E32" s="88" t="s">
        <v>200</v>
      </c>
      <c r="F32" s="88" t="s">
        <v>200</v>
      </c>
      <c r="G32" s="88" t="s">
        <v>201</v>
      </c>
      <c r="H32" s="88" t="s">
        <v>201</v>
      </c>
      <c r="I32" s="88" t="s">
        <v>202</v>
      </c>
      <c r="J32" s="88" t="s">
        <v>202</v>
      </c>
      <c r="K32" s="296"/>
      <c r="L32" s="296"/>
      <c r="M32" s="296"/>
      <c r="N32" s="302"/>
    </row>
    <row r="33" spans="1:16" x14ac:dyDescent="0.3">
      <c r="A33" s="145" t="s">
        <v>241</v>
      </c>
      <c r="B33" s="265" t="s">
        <v>214</v>
      </c>
      <c r="C33" s="92" t="s">
        <v>207</v>
      </c>
      <c r="D33" s="93">
        <v>24.41</v>
      </c>
      <c r="E33" s="93">
        <v>156.49</v>
      </c>
      <c r="F33" s="108">
        <f>E33/25*9.81</f>
        <v>61.406676000000012</v>
      </c>
      <c r="G33" s="93">
        <v>81</v>
      </c>
      <c r="H33" s="108">
        <f>G33/25*9.81</f>
        <v>31.784400000000005</v>
      </c>
      <c r="I33" s="178">
        <v>199</v>
      </c>
      <c r="J33" s="179">
        <f>I33/25*9.81</f>
        <v>78.087600000000009</v>
      </c>
      <c r="K33" s="95">
        <v>0</v>
      </c>
      <c r="L33" s="113">
        <v>0.9</v>
      </c>
      <c r="M33" s="113">
        <v>0.1</v>
      </c>
      <c r="N33" s="96" t="s">
        <v>233</v>
      </c>
      <c r="P33" s="112" t="s">
        <v>219</v>
      </c>
    </row>
    <row r="34" spans="1:16" x14ac:dyDescent="0.3">
      <c r="A34" s="145">
        <v>4</v>
      </c>
      <c r="B34" s="266"/>
      <c r="C34" s="92" t="s">
        <v>207</v>
      </c>
      <c r="D34" s="99">
        <v>89.6</v>
      </c>
      <c r="E34" s="99">
        <v>84.13</v>
      </c>
      <c r="F34" s="108">
        <f>E34/25*9.81</f>
        <v>33.012611999999997</v>
      </c>
      <c r="G34" s="92">
        <v>73</v>
      </c>
      <c r="H34" s="108">
        <f>G34/25*9.81</f>
        <v>28.645199999999999</v>
      </c>
      <c r="I34" s="92">
        <v>92</v>
      </c>
      <c r="J34" s="109">
        <f>I34/25*9.81</f>
        <v>36.100800000000007</v>
      </c>
      <c r="K34" s="100">
        <v>0</v>
      </c>
      <c r="L34" s="100">
        <v>1</v>
      </c>
      <c r="M34" s="101">
        <v>0</v>
      </c>
      <c r="N34" s="96" t="s">
        <v>208</v>
      </c>
    </row>
    <row r="35" spans="1:16" x14ac:dyDescent="0.3">
      <c r="B35" s="266"/>
      <c r="C35" s="92" t="s">
        <v>211</v>
      </c>
      <c r="D35" s="99">
        <v>24.74</v>
      </c>
      <c r="E35" s="99">
        <v>112.29</v>
      </c>
      <c r="F35" s="108">
        <f>E35/25*9.81</f>
        <v>44.062595999999999</v>
      </c>
      <c r="G35" s="92">
        <v>105</v>
      </c>
      <c r="H35" s="108">
        <f>G35/25*9.81</f>
        <v>41.202000000000005</v>
      </c>
      <c r="I35" s="102">
        <v>119</v>
      </c>
      <c r="J35" s="109">
        <f>I35/25*9.81</f>
        <v>46.695599999999999</v>
      </c>
      <c r="K35" s="100">
        <v>0</v>
      </c>
      <c r="L35" s="100">
        <v>1</v>
      </c>
      <c r="M35" s="101">
        <v>0</v>
      </c>
      <c r="N35" s="96" t="s">
        <v>208</v>
      </c>
    </row>
    <row r="36" spans="1:16" ht="15" thickBot="1" x14ac:dyDescent="0.35">
      <c r="B36" s="267"/>
      <c r="C36" s="103" t="s">
        <v>211</v>
      </c>
      <c r="D36" s="103">
        <v>90.06</v>
      </c>
      <c r="E36" s="103">
        <v>59.62</v>
      </c>
      <c r="F36" s="111">
        <f>E36/25*9.81</f>
        <v>23.394887999999998</v>
      </c>
      <c r="G36" s="104">
        <v>48</v>
      </c>
      <c r="H36" s="110">
        <f>G36/25*9.81</f>
        <v>18.8352</v>
      </c>
      <c r="I36" s="104">
        <v>76</v>
      </c>
      <c r="J36" s="110">
        <f>I36/25*9.81</f>
        <v>29.822400000000002</v>
      </c>
      <c r="K36" s="106">
        <v>0</v>
      </c>
      <c r="L36" s="106">
        <v>1</v>
      </c>
      <c r="M36" s="106">
        <v>0</v>
      </c>
      <c r="N36" s="107" t="s">
        <v>208</v>
      </c>
    </row>
    <row r="37" spans="1:16" ht="15" thickBot="1" x14ac:dyDescent="0.35"/>
    <row r="38" spans="1:16" x14ac:dyDescent="0.3">
      <c r="B38" s="268" t="s">
        <v>184</v>
      </c>
      <c r="C38" s="269"/>
      <c r="D38" s="269"/>
      <c r="E38" s="269"/>
      <c r="F38" s="269"/>
      <c r="G38" s="269"/>
      <c r="H38" s="269"/>
      <c r="I38" s="269"/>
      <c r="J38" s="269"/>
      <c r="K38" s="269"/>
      <c r="L38" s="269"/>
      <c r="M38" s="269"/>
      <c r="N38" s="270"/>
    </row>
    <row r="39" spans="1:16" x14ac:dyDescent="0.3">
      <c r="B39" s="271" t="s">
        <v>186</v>
      </c>
      <c r="C39" s="274"/>
      <c r="D39" s="275"/>
      <c r="E39" s="275"/>
      <c r="F39" s="275"/>
      <c r="G39" s="275"/>
      <c r="H39" s="275"/>
      <c r="I39" s="275"/>
      <c r="J39" s="276"/>
      <c r="K39" s="277" t="s">
        <v>187</v>
      </c>
      <c r="L39" s="278"/>
      <c r="M39" s="279"/>
      <c r="N39" s="280" t="s">
        <v>188</v>
      </c>
    </row>
    <row r="40" spans="1:16" x14ac:dyDescent="0.3">
      <c r="B40" s="272"/>
      <c r="C40" s="283" t="s">
        <v>194</v>
      </c>
      <c r="D40" s="283" t="s">
        <v>41</v>
      </c>
      <c r="E40" s="88" t="s">
        <v>42</v>
      </c>
      <c r="F40" s="88" t="s">
        <v>43</v>
      </c>
      <c r="G40" s="88" t="s">
        <v>42</v>
      </c>
      <c r="H40" s="88" t="s">
        <v>43</v>
      </c>
      <c r="I40" s="88" t="s">
        <v>42</v>
      </c>
      <c r="J40" s="88" t="s">
        <v>43</v>
      </c>
      <c r="K40" s="285" t="s">
        <v>20</v>
      </c>
      <c r="L40" s="285" t="s">
        <v>195</v>
      </c>
      <c r="M40" s="285" t="s">
        <v>196</v>
      </c>
      <c r="N40" s="281"/>
    </row>
    <row r="41" spans="1:16" x14ac:dyDescent="0.3">
      <c r="A41" s="145" t="s">
        <v>241</v>
      </c>
      <c r="B41" s="273"/>
      <c r="C41" s="284"/>
      <c r="D41" s="284"/>
      <c r="E41" s="88" t="s">
        <v>200</v>
      </c>
      <c r="F41" s="88" t="s">
        <v>200</v>
      </c>
      <c r="G41" s="88" t="s">
        <v>201</v>
      </c>
      <c r="H41" s="88" t="s">
        <v>201</v>
      </c>
      <c r="I41" s="88" t="s">
        <v>202</v>
      </c>
      <c r="J41" s="88" t="s">
        <v>202</v>
      </c>
      <c r="K41" s="286"/>
      <c r="L41" s="286"/>
      <c r="M41" s="286"/>
      <c r="N41" s="282"/>
    </row>
    <row r="42" spans="1:16" x14ac:dyDescent="0.3">
      <c r="A42" s="145">
        <v>5</v>
      </c>
      <c r="B42" s="265" t="s">
        <v>215</v>
      </c>
      <c r="C42" s="92" t="s">
        <v>207</v>
      </c>
      <c r="D42" s="93">
        <v>24.08</v>
      </c>
      <c r="E42" s="93">
        <v>138.35</v>
      </c>
      <c r="F42" s="108">
        <f>E42/25*9.81</f>
        <v>54.288539999999998</v>
      </c>
      <c r="G42" s="93">
        <v>105</v>
      </c>
      <c r="H42" s="108">
        <f>G42/25*9.81</f>
        <v>41.202000000000005</v>
      </c>
      <c r="I42" s="93">
        <v>159</v>
      </c>
      <c r="J42" s="109">
        <f>I42/25*9.81</f>
        <v>62.391600000000004</v>
      </c>
      <c r="K42" s="95">
        <v>0</v>
      </c>
      <c r="L42" s="95">
        <v>1</v>
      </c>
      <c r="M42" s="95">
        <v>0</v>
      </c>
      <c r="N42" s="96" t="s">
        <v>208</v>
      </c>
    </row>
    <row r="43" spans="1:16" x14ac:dyDescent="0.3">
      <c r="B43" s="266"/>
      <c r="C43" s="92" t="s">
        <v>207</v>
      </c>
      <c r="D43" s="99">
        <v>89.77</v>
      </c>
      <c r="E43" s="99">
        <v>97.78</v>
      </c>
      <c r="F43" s="108">
        <f>E43/25*9.81</f>
        <v>38.368872000000003</v>
      </c>
      <c r="G43" s="92">
        <v>83</v>
      </c>
      <c r="H43" s="108">
        <f>G43/25*9.81</f>
        <v>32.569200000000002</v>
      </c>
      <c r="I43" s="92">
        <v>114</v>
      </c>
      <c r="J43" s="109">
        <f>I43/25*9.81</f>
        <v>44.733599999999996</v>
      </c>
      <c r="K43" s="100">
        <v>0</v>
      </c>
      <c r="L43" s="100">
        <v>1</v>
      </c>
      <c r="M43" s="101">
        <v>0</v>
      </c>
      <c r="N43" s="96" t="s">
        <v>208</v>
      </c>
      <c r="P43" s="112" t="s">
        <v>219</v>
      </c>
    </row>
    <row r="44" spans="1:16" x14ac:dyDescent="0.3">
      <c r="B44" s="266"/>
      <c r="C44" s="92" t="s">
        <v>211</v>
      </c>
      <c r="D44" s="99">
        <v>24.15</v>
      </c>
      <c r="E44" s="99">
        <v>145.78</v>
      </c>
      <c r="F44" s="108">
        <f>E44/25*9.81</f>
        <v>57.204072000000004</v>
      </c>
      <c r="G44" s="92">
        <v>129</v>
      </c>
      <c r="H44" s="108">
        <f>G44/25*9.81</f>
        <v>50.619600000000005</v>
      </c>
      <c r="I44" s="102">
        <v>174</v>
      </c>
      <c r="J44" s="109">
        <f>I44/25*9.81</f>
        <v>68.277600000000007</v>
      </c>
      <c r="K44" s="100">
        <v>0</v>
      </c>
      <c r="L44" s="100">
        <v>1</v>
      </c>
      <c r="M44" s="101">
        <v>0</v>
      </c>
      <c r="N44" s="96" t="s">
        <v>208</v>
      </c>
      <c r="P44" s="112" t="s">
        <v>221</v>
      </c>
    </row>
    <row r="45" spans="1:16" ht="15" thickBot="1" x14ac:dyDescent="0.35">
      <c r="B45" s="267"/>
      <c r="C45" s="103" t="s">
        <v>211</v>
      </c>
      <c r="D45" s="103">
        <v>90.05</v>
      </c>
      <c r="E45" s="103">
        <v>74.650000000000006</v>
      </c>
      <c r="F45" s="111">
        <f>E45/25*9.81</f>
        <v>29.292660000000005</v>
      </c>
      <c r="G45" s="104">
        <v>66</v>
      </c>
      <c r="H45" s="110">
        <f>G45/25*9.81</f>
        <v>25.898400000000002</v>
      </c>
      <c r="I45" s="104">
        <v>89</v>
      </c>
      <c r="J45" s="110">
        <f>I45/25*9.81</f>
        <v>34.9236</v>
      </c>
      <c r="K45" s="106">
        <v>0</v>
      </c>
      <c r="L45" s="106">
        <v>1</v>
      </c>
      <c r="M45" s="106">
        <v>0</v>
      </c>
      <c r="N45" s="107" t="s">
        <v>208</v>
      </c>
    </row>
    <row r="46" spans="1:16" ht="15" thickBot="1" x14ac:dyDescent="0.35"/>
    <row r="47" spans="1:16" x14ac:dyDescent="0.3">
      <c r="B47" s="268" t="s">
        <v>184</v>
      </c>
      <c r="C47" s="269"/>
      <c r="D47" s="269"/>
      <c r="E47" s="269"/>
      <c r="F47" s="269"/>
      <c r="G47" s="269"/>
      <c r="H47" s="269"/>
      <c r="I47" s="269"/>
      <c r="J47" s="269"/>
      <c r="K47" s="269"/>
      <c r="L47" s="269"/>
      <c r="M47" s="269"/>
      <c r="N47" s="270"/>
    </row>
    <row r="48" spans="1:16" x14ac:dyDescent="0.3">
      <c r="B48" s="271" t="s">
        <v>186</v>
      </c>
      <c r="C48" s="274"/>
      <c r="D48" s="275"/>
      <c r="E48" s="275"/>
      <c r="F48" s="275"/>
      <c r="G48" s="275"/>
      <c r="H48" s="275"/>
      <c r="I48" s="275"/>
      <c r="J48" s="276"/>
      <c r="K48" s="277" t="s">
        <v>187</v>
      </c>
      <c r="L48" s="278"/>
      <c r="M48" s="279"/>
      <c r="N48" s="280" t="s">
        <v>188</v>
      </c>
    </row>
    <row r="49" spans="1:16" x14ac:dyDescent="0.3">
      <c r="B49" s="272"/>
      <c r="C49" s="283" t="s">
        <v>194</v>
      </c>
      <c r="D49" s="283" t="s">
        <v>41</v>
      </c>
      <c r="E49" s="88" t="s">
        <v>42</v>
      </c>
      <c r="F49" s="88" t="s">
        <v>43</v>
      </c>
      <c r="G49" s="88" t="s">
        <v>42</v>
      </c>
      <c r="H49" s="88" t="s">
        <v>43</v>
      </c>
      <c r="I49" s="88" t="s">
        <v>42</v>
      </c>
      <c r="J49" s="88" t="s">
        <v>43</v>
      </c>
      <c r="K49" s="285" t="s">
        <v>20</v>
      </c>
      <c r="L49" s="285" t="s">
        <v>195</v>
      </c>
      <c r="M49" s="285" t="s">
        <v>196</v>
      </c>
      <c r="N49" s="281"/>
    </row>
    <row r="50" spans="1:16" x14ac:dyDescent="0.3">
      <c r="A50" s="145" t="s">
        <v>241</v>
      </c>
      <c r="B50" s="273"/>
      <c r="C50" s="284"/>
      <c r="D50" s="284"/>
      <c r="E50" s="88" t="s">
        <v>200</v>
      </c>
      <c r="F50" s="88" t="s">
        <v>200</v>
      </c>
      <c r="G50" s="88" t="s">
        <v>201</v>
      </c>
      <c r="H50" s="88" t="s">
        <v>201</v>
      </c>
      <c r="I50" s="88" t="s">
        <v>202</v>
      </c>
      <c r="J50" s="88" t="s">
        <v>202</v>
      </c>
      <c r="K50" s="286"/>
      <c r="L50" s="286"/>
      <c r="M50" s="286"/>
      <c r="N50" s="282"/>
    </row>
    <row r="51" spans="1:16" x14ac:dyDescent="0.3">
      <c r="A51" s="145">
        <v>6</v>
      </c>
      <c r="B51" s="265" t="s">
        <v>216</v>
      </c>
      <c r="C51" s="92" t="s">
        <v>207</v>
      </c>
      <c r="D51" s="93">
        <v>23.97</v>
      </c>
      <c r="E51" s="93">
        <v>158.34</v>
      </c>
      <c r="F51" s="108">
        <f>E51/25*9.81</f>
        <v>62.132616000000006</v>
      </c>
      <c r="G51" s="93">
        <v>74</v>
      </c>
      <c r="H51" s="108">
        <f>G51/25*9.81</f>
        <v>29.037600000000001</v>
      </c>
      <c r="I51" s="178">
        <v>192</v>
      </c>
      <c r="J51" s="179">
        <f>I51/25*9.81</f>
        <v>75.340800000000002</v>
      </c>
      <c r="K51" s="95">
        <v>0</v>
      </c>
      <c r="L51" s="113">
        <v>0.9</v>
      </c>
      <c r="M51" s="113">
        <v>0.1</v>
      </c>
      <c r="N51" s="96" t="s">
        <v>233</v>
      </c>
    </row>
    <row r="52" spans="1:16" x14ac:dyDescent="0.3">
      <c r="B52" s="266"/>
      <c r="C52" s="92" t="s">
        <v>207</v>
      </c>
      <c r="D52" s="99">
        <v>88.36</v>
      </c>
      <c r="E52" s="99">
        <v>67.84</v>
      </c>
      <c r="F52" s="108">
        <f>E52/25*9.81</f>
        <v>26.620416000000002</v>
      </c>
      <c r="G52" s="92">
        <v>45</v>
      </c>
      <c r="H52" s="108">
        <f>G52/25*9.81</f>
        <v>17.658000000000001</v>
      </c>
      <c r="I52" s="92">
        <v>80</v>
      </c>
      <c r="J52" s="109">
        <f>I52/25*9.81</f>
        <v>31.392000000000003</v>
      </c>
      <c r="K52" s="100">
        <v>0</v>
      </c>
      <c r="L52" s="100">
        <v>1</v>
      </c>
      <c r="M52" s="101">
        <v>0</v>
      </c>
      <c r="N52" s="96" t="s">
        <v>208</v>
      </c>
      <c r="P52" s="112" t="s">
        <v>219</v>
      </c>
    </row>
    <row r="53" spans="1:16" x14ac:dyDescent="0.3">
      <c r="B53" s="266"/>
      <c r="C53" s="92" t="s">
        <v>211</v>
      </c>
      <c r="D53" s="99">
        <v>24.28</v>
      </c>
      <c r="E53" s="99">
        <v>157.88999999999999</v>
      </c>
      <c r="F53" s="108">
        <f>E53/25*9.81</f>
        <v>61.956036000000005</v>
      </c>
      <c r="G53" s="92">
        <v>139</v>
      </c>
      <c r="H53" s="108">
        <f>G53/25*9.81</f>
        <v>54.543599999999998</v>
      </c>
      <c r="I53" s="102">
        <v>172</v>
      </c>
      <c r="J53" s="109">
        <f>I53/25*9.81</f>
        <v>67.492800000000003</v>
      </c>
      <c r="K53" s="100">
        <v>0</v>
      </c>
      <c r="L53" s="100">
        <v>1</v>
      </c>
      <c r="M53" s="101">
        <v>0</v>
      </c>
      <c r="N53" s="96" t="s">
        <v>208</v>
      </c>
      <c r="P53" s="112" t="s">
        <v>221</v>
      </c>
    </row>
    <row r="54" spans="1:16" ht="15" thickBot="1" x14ac:dyDescent="0.35">
      <c r="B54" s="267"/>
      <c r="C54" s="103" t="s">
        <v>211</v>
      </c>
      <c r="D54" s="103">
        <v>91.7</v>
      </c>
      <c r="E54" s="103">
        <v>91.52</v>
      </c>
      <c r="F54" s="111">
        <f>E54/25*9.81</f>
        <v>35.912448000000005</v>
      </c>
      <c r="G54" s="104">
        <v>69</v>
      </c>
      <c r="H54" s="110">
        <f>G54/25*9.81</f>
        <v>27.075599999999998</v>
      </c>
      <c r="I54" s="104">
        <v>107</v>
      </c>
      <c r="J54" s="110">
        <f>I54/25*9.81</f>
        <v>41.986800000000002</v>
      </c>
      <c r="K54" s="106">
        <v>0</v>
      </c>
      <c r="L54" s="106">
        <v>1</v>
      </c>
      <c r="M54" s="106">
        <v>0</v>
      </c>
      <c r="N54" s="107" t="s">
        <v>208</v>
      </c>
    </row>
    <row r="55" spans="1:16" ht="15" thickBot="1" x14ac:dyDescent="0.35"/>
    <row r="56" spans="1:16" x14ac:dyDescent="0.3">
      <c r="B56" s="268" t="s">
        <v>184</v>
      </c>
      <c r="C56" s="269"/>
      <c r="D56" s="269"/>
      <c r="E56" s="269"/>
      <c r="F56" s="269"/>
      <c r="G56" s="269"/>
      <c r="H56" s="269"/>
      <c r="I56" s="269"/>
      <c r="J56" s="269"/>
      <c r="K56" s="269"/>
      <c r="L56" s="269"/>
      <c r="M56" s="269"/>
      <c r="N56" s="270"/>
    </row>
    <row r="57" spans="1:16" x14ac:dyDescent="0.3">
      <c r="B57" s="271" t="s">
        <v>186</v>
      </c>
      <c r="C57" s="274"/>
      <c r="D57" s="275"/>
      <c r="E57" s="275"/>
      <c r="F57" s="275"/>
      <c r="G57" s="275"/>
      <c r="H57" s="275"/>
      <c r="I57" s="275"/>
      <c r="J57" s="276"/>
      <c r="K57" s="277" t="s">
        <v>187</v>
      </c>
      <c r="L57" s="278"/>
      <c r="M57" s="279"/>
      <c r="N57" s="280" t="s">
        <v>188</v>
      </c>
    </row>
    <row r="58" spans="1:16" x14ac:dyDescent="0.3">
      <c r="B58" s="272"/>
      <c r="C58" s="283" t="s">
        <v>194</v>
      </c>
      <c r="D58" s="283" t="s">
        <v>41</v>
      </c>
      <c r="E58" s="88" t="s">
        <v>42</v>
      </c>
      <c r="F58" s="88" t="s">
        <v>43</v>
      </c>
      <c r="G58" s="88" t="s">
        <v>42</v>
      </c>
      <c r="H58" s="88" t="s">
        <v>43</v>
      </c>
      <c r="I58" s="88" t="s">
        <v>42</v>
      </c>
      <c r="J58" s="88" t="s">
        <v>43</v>
      </c>
      <c r="K58" s="285" t="s">
        <v>20</v>
      </c>
      <c r="L58" s="285" t="s">
        <v>195</v>
      </c>
      <c r="M58" s="285" t="s">
        <v>196</v>
      </c>
      <c r="N58" s="281"/>
    </row>
    <row r="59" spans="1:16" x14ac:dyDescent="0.3">
      <c r="A59" s="145" t="s">
        <v>241</v>
      </c>
      <c r="B59" s="273"/>
      <c r="C59" s="284"/>
      <c r="D59" s="284"/>
      <c r="E59" s="88" t="s">
        <v>200</v>
      </c>
      <c r="F59" s="88" t="s">
        <v>200</v>
      </c>
      <c r="G59" s="88" t="s">
        <v>201</v>
      </c>
      <c r="H59" s="88" t="s">
        <v>201</v>
      </c>
      <c r="I59" s="88" t="s">
        <v>202</v>
      </c>
      <c r="J59" s="88" t="s">
        <v>202</v>
      </c>
      <c r="K59" s="286"/>
      <c r="L59" s="286"/>
      <c r="M59" s="286"/>
      <c r="N59" s="282"/>
    </row>
    <row r="60" spans="1:16" x14ac:dyDescent="0.3">
      <c r="A60" s="145">
        <v>7</v>
      </c>
      <c r="B60" s="265" t="s">
        <v>217</v>
      </c>
      <c r="C60" s="92" t="s">
        <v>207</v>
      </c>
      <c r="D60" s="93">
        <v>23.01</v>
      </c>
      <c r="E60" s="93">
        <v>150.01</v>
      </c>
      <c r="F60" s="108">
        <f>E60/25*9.81</f>
        <v>58.863924000000004</v>
      </c>
      <c r="G60" s="93">
        <v>90</v>
      </c>
      <c r="H60" s="108">
        <f>G60/25*9.81</f>
        <v>35.316000000000003</v>
      </c>
      <c r="I60" s="178">
        <v>212</v>
      </c>
      <c r="J60" s="179">
        <f>I60/25*9.81</f>
        <v>83.188800000000015</v>
      </c>
      <c r="K60" s="95">
        <v>0</v>
      </c>
      <c r="L60" s="113">
        <v>0.9</v>
      </c>
      <c r="M60" s="113">
        <v>0.1</v>
      </c>
      <c r="N60" s="96" t="s">
        <v>233</v>
      </c>
    </row>
    <row r="61" spans="1:16" x14ac:dyDescent="0.3">
      <c r="B61" s="266"/>
      <c r="C61" s="92" t="s">
        <v>207</v>
      </c>
      <c r="D61" s="99">
        <v>88.71</v>
      </c>
      <c r="E61" s="99">
        <v>82.63</v>
      </c>
      <c r="F61" s="108">
        <f>E61/25*9.81</f>
        <v>32.424011999999998</v>
      </c>
      <c r="G61" s="92">
        <v>32</v>
      </c>
      <c r="H61" s="108">
        <f>G61/25*9.81</f>
        <v>12.556800000000001</v>
      </c>
      <c r="I61" s="92">
        <v>96</v>
      </c>
      <c r="J61" s="109">
        <f>I61/25*9.81</f>
        <v>37.670400000000001</v>
      </c>
      <c r="K61" s="100">
        <v>0</v>
      </c>
      <c r="L61" s="100">
        <v>1</v>
      </c>
      <c r="M61" s="101">
        <v>0</v>
      </c>
      <c r="N61" s="96" t="s">
        <v>208</v>
      </c>
      <c r="P61" s="112" t="s">
        <v>219</v>
      </c>
    </row>
    <row r="62" spans="1:16" x14ac:dyDescent="0.3">
      <c r="B62" s="266"/>
      <c r="C62" s="92" t="s">
        <v>211</v>
      </c>
      <c r="D62" s="99">
        <v>22.96</v>
      </c>
      <c r="E62" s="99">
        <v>180.88</v>
      </c>
      <c r="F62" s="108">
        <f>E62/25*9.81</f>
        <v>70.977311999999998</v>
      </c>
      <c r="G62" s="92">
        <v>169</v>
      </c>
      <c r="H62" s="108">
        <f>G62/25*9.81</f>
        <v>66.315600000000003</v>
      </c>
      <c r="I62" s="102">
        <v>196</v>
      </c>
      <c r="J62" s="109">
        <f>I62/25*9.81</f>
        <v>76.910399999999996</v>
      </c>
      <c r="K62" s="100">
        <v>0</v>
      </c>
      <c r="L62" s="100">
        <v>1</v>
      </c>
      <c r="M62" s="101">
        <v>0</v>
      </c>
      <c r="N62" s="96" t="s">
        <v>208</v>
      </c>
    </row>
    <row r="63" spans="1:16" ht="15" thickBot="1" x14ac:dyDescent="0.35">
      <c r="B63" s="267"/>
      <c r="C63" s="103" t="s">
        <v>211</v>
      </c>
      <c r="D63" s="103">
        <v>88.58</v>
      </c>
      <c r="E63" s="103">
        <v>93.18</v>
      </c>
      <c r="F63" s="111">
        <f>E63/25*9.81</f>
        <v>36.563832000000005</v>
      </c>
      <c r="G63" s="104">
        <v>59</v>
      </c>
      <c r="H63" s="110">
        <f>G63/25*9.81</f>
        <v>23.151599999999998</v>
      </c>
      <c r="I63" s="104">
        <v>116</v>
      </c>
      <c r="J63" s="110">
        <f>I63/25*9.81</f>
        <v>45.5184</v>
      </c>
      <c r="K63" s="106">
        <v>0</v>
      </c>
      <c r="L63" s="106">
        <v>1</v>
      </c>
      <c r="M63" s="106">
        <v>0</v>
      </c>
      <c r="N63" s="107" t="s">
        <v>208</v>
      </c>
    </row>
    <row r="64" spans="1:16" ht="15" thickBot="1" x14ac:dyDescent="0.35"/>
    <row r="65" spans="1:16" x14ac:dyDescent="0.3">
      <c r="B65" s="268" t="s">
        <v>184</v>
      </c>
      <c r="C65" s="269"/>
      <c r="D65" s="269"/>
      <c r="E65" s="269"/>
      <c r="F65" s="269"/>
      <c r="G65" s="269"/>
      <c r="H65" s="269"/>
      <c r="I65" s="269"/>
      <c r="J65" s="269"/>
      <c r="K65" s="269"/>
      <c r="L65" s="269"/>
      <c r="M65" s="269"/>
      <c r="N65" s="270"/>
    </row>
    <row r="66" spans="1:16" x14ac:dyDescent="0.3">
      <c r="B66" s="271" t="s">
        <v>186</v>
      </c>
      <c r="C66" s="274"/>
      <c r="D66" s="275"/>
      <c r="E66" s="275"/>
      <c r="F66" s="275"/>
      <c r="G66" s="275"/>
      <c r="H66" s="275"/>
      <c r="I66" s="275"/>
      <c r="J66" s="276"/>
      <c r="K66" s="277" t="s">
        <v>187</v>
      </c>
      <c r="L66" s="278"/>
      <c r="M66" s="279"/>
      <c r="N66" s="280" t="s">
        <v>188</v>
      </c>
    </row>
    <row r="67" spans="1:16" x14ac:dyDescent="0.3">
      <c r="B67" s="272"/>
      <c r="C67" s="283" t="s">
        <v>194</v>
      </c>
      <c r="D67" s="283" t="s">
        <v>41</v>
      </c>
      <c r="E67" s="88" t="s">
        <v>42</v>
      </c>
      <c r="F67" s="88" t="s">
        <v>43</v>
      </c>
      <c r="G67" s="88" t="s">
        <v>42</v>
      </c>
      <c r="H67" s="88" t="s">
        <v>43</v>
      </c>
      <c r="I67" s="88" t="s">
        <v>42</v>
      </c>
      <c r="J67" s="88" t="s">
        <v>43</v>
      </c>
      <c r="K67" s="285" t="s">
        <v>20</v>
      </c>
      <c r="L67" s="285" t="s">
        <v>195</v>
      </c>
      <c r="M67" s="285" t="s">
        <v>196</v>
      </c>
      <c r="N67" s="281"/>
    </row>
    <row r="68" spans="1:16" x14ac:dyDescent="0.3">
      <c r="A68" s="145" t="s">
        <v>241</v>
      </c>
      <c r="B68" s="273"/>
      <c r="C68" s="284"/>
      <c r="D68" s="284"/>
      <c r="E68" s="88" t="s">
        <v>200</v>
      </c>
      <c r="F68" s="88" t="s">
        <v>200</v>
      </c>
      <c r="G68" s="88" t="s">
        <v>201</v>
      </c>
      <c r="H68" s="88" t="s">
        <v>201</v>
      </c>
      <c r="I68" s="88" t="s">
        <v>202</v>
      </c>
      <c r="J68" s="88" t="s">
        <v>202</v>
      </c>
      <c r="K68" s="286"/>
      <c r="L68" s="286"/>
      <c r="M68" s="286"/>
      <c r="N68" s="282"/>
    </row>
    <row r="69" spans="1:16" x14ac:dyDescent="0.3">
      <c r="A69" s="145">
        <v>8</v>
      </c>
      <c r="B69" s="265" t="s">
        <v>218</v>
      </c>
      <c r="C69" s="92" t="s">
        <v>207</v>
      </c>
      <c r="D69" s="93">
        <v>22.88</v>
      </c>
      <c r="E69" s="93">
        <v>124.68</v>
      </c>
      <c r="F69" s="108">
        <f>E69/25*9.81</f>
        <v>48.92443200000001</v>
      </c>
      <c r="G69" s="93">
        <v>108</v>
      </c>
      <c r="H69" s="108">
        <f>G69/25*9.81</f>
        <v>42.379200000000004</v>
      </c>
      <c r="I69" s="93">
        <v>138</v>
      </c>
      <c r="J69" s="109">
        <f>I69/25*9.81</f>
        <v>54.151199999999996</v>
      </c>
      <c r="K69" s="95">
        <v>0</v>
      </c>
      <c r="L69" s="95">
        <v>1</v>
      </c>
      <c r="M69" s="95">
        <v>0</v>
      </c>
      <c r="N69" s="96" t="s">
        <v>208</v>
      </c>
      <c r="P69" s="112" t="s">
        <v>219</v>
      </c>
    </row>
    <row r="70" spans="1:16" x14ac:dyDescent="0.3">
      <c r="B70" s="266"/>
      <c r="C70" s="92" t="s">
        <v>207</v>
      </c>
      <c r="D70" s="99">
        <v>89.01</v>
      </c>
      <c r="E70" s="99">
        <v>59.86</v>
      </c>
      <c r="F70" s="108">
        <f>E70/25*9.81</f>
        <v>23.489064000000003</v>
      </c>
      <c r="G70" s="92">
        <v>48</v>
      </c>
      <c r="H70" s="108">
        <f>G70/25*9.81</f>
        <v>18.8352</v>
      </c>
      <c r="I70" s="92">
        <v>72</v>
      </c>
      <c r="J70" s="109">
        <f>I70/25*9.81</f>
        <v>28.252800000000001</v>
      </c>
      <c r="K70" s="100">
        <v>0</v>
      </c>
      <c r="L70" s="100">
        <v>1</v>
      </c>
      <c r="M70" s="101">
        <v>0</v>
      </c>
      <c r="N70" s="96" t="s">
        <v>208</v>
      </c>
    </row>
    <row r="71" spans="1:16" x14ac:dyDescent="0.3">
      <c r="B71" s="266"/>
      <c r="C71" s="92" t="s">
        <v>211</v>
      </c>
      <c r="D71" s="99">
        <v>23.95</v>
      </c>
      <c r="E71" s="99">
        <v>106.37</v>
      </c>
      <c r="F71" s="108">
        <f>E71/25*9.81</f>
        <v>41.739588000000005</v>
      </c>
      <c r="G71" s="92">
        <v>76</v>
      </c>
      <c r="H71" s="108">
        <f>G71/25*9.81</f>
        <v>29.822400000000002</v>
      </c>
      <c r="I71" s="102">
        <v>120</v>
      </c>
      <c r="J71" s="109">
        <f>I71/25*9.81</f>
        <v>47.088000000000001</v>
      </c>
      <c r="K71" s="100">
        <v>0</v>
      </c>
      <c r="L71" s="100">
        <v>1</v>
      </c>
      <c r="M71" s="101">
        <v>0</v>
      </c>
      <c r="N71" s="96" t="s">
        <v>208</v>
      </c>
    </row>
    <row r="72" spans="1:16" ht="15" thickBot="1" x14ac:dyDescent="0.35">
      <c r="B72" s="267"/>
      <c r="C72" s="103" t="s">
        <v>211</v>
      </c>
      <c r="D72" s="103">
        <v>88.53</v>
      </c>
      <c r="E72" s="103">
        <v>80.19</v>
      </c>
      <c r="F72" s="111">
        <f>E72/25*9.81</f>
        <v>31.466556000000001</v>
      </c>
      <c r="G72" s="104">
        <v>41</v>
      </c>
      <c r="H72" s="110">
        <f>G72/25*9.81</f>
        <v>16.0884</v>
      </c>
      <c r="I72" s="104">
        <v>97</v>
      </c>
      <c r="J72" s="110">
        <f>I72/25*9.81</f>
        <v>38.062800000000003</v>
      </c>
      <c r="K72" s="106">
        <v>0</v>
      </c>
      <c r="L72" s="106">
        <v>1</v>
      </c>
      <c r="M72" s="106">
        <v>0</v>
      </c>
      <c r="N72" s="107" t="s">
        <v>208</v>
      </c>
    </row>
    <row r="73" spans="1:16" ht="15" thickBot="1" x14ac:dyDescent="0.35"/>
    <row r="74" spans="1:16" x14ac:dyDescent="0.3">
      <c r="B74" s="268" t="s">
        <v>184</v>
      </c>
      <c r="C74" s="269"/>
      <c r="D74" s="269"/>
      <c r="E74" s="269"/>
      <c r="F74" s="269"/>
      <c r="G74" s="269"/>
      <c r="H74" s="269"/>
      <c r="I74" s="269"/>
      <c r="J74" s="269"/>
      <c r="K74" s="269"/>
      <c r="L74" s="269"/>
      <c r="M74" s="269"/>
      <c r="N74" s="270"/>
    </row>
    <row r="75" spans="1:16" x14ac:dyDescent="0.3">
      <c r="B75" s="271" t="s">
        <v>186</v>
      </c>
      <c r="C75" s="274"/>
      <c r="D75" s="275"/>
      <c r="E75" s="275"/>
      <c r="F75" s="275"/>
      <c r="G75" s="275"/>
      <c r="H75" s="275"/>
      <c r="I75" s="275"/>
      <c r="J75" s="276"/>
      <c r="K75" s="277" t="s">
        <v>187</v>
      </c>
      <c r="L75" s="278"/>
      <c r="M75" s="279"/>
      <c r="N75" s="280" t="s">
        <v>188</v>
      </c>
    </row>
    <row r="76" spans="1:16" x14ac:dyDescent="0.3">
      <c r="B76" s="272"/>
      <c r="C76" s="283" t="s">
        <v>194</v>
      </c>
      <c r="D76" s="283" t="s">
        <v>41</v>
      </c>
      <c r="E76" s="88" t="s">
        <v>42</v>
      </c>
      <c r="F76" s="88" t="s">
        <v>43</v>
      </c>
      <c r="G76" s="88" t="s">
        <v>42</v>
      </c>
      <c r="H76" s="88" t="s">
        <v>43</v>
      </c>
      <c r="I76" s="88" t="s">
        <v>42</v>
      </c>
      <c r="J76" s="88" t="s">
        <v>43</v>
      </c>
      <c r="K76" s="285" t="s">
        <v>20</v>
      </c>
      <c r="L76" s="285" t="s">
        <v>195</v>
      </c>
      <c r="M76" s="285" t="s">
        <v>196</v>
      </c>
      <c r="N76" s="281"/>
    </row>
    <row r="77" spans="1:16" x14ac:dyDescent="0.3">
      <c r="A77" s="145" t="s">
        <v>241</v>
      </c>
      <c r="B77" s="273"/>
      <c r="C77" s="284"/>
      <c r="D77" s="284"/>
      <c r="E77" s="88" t="s">
        <v>200</v>
      </c>
      <c r="F77" s="88" t="s">
        <v>200</v>
      </c>
      <c r="G77" s="88" t="s">
        <v>201</v>
      </c>
      <c r="H77" s="88" t="s">
        <v>201</v>
      </c>
      <c r="I77" s="88" t="s">
        <v>202</v>
      </c>
      <c r="J77" s="88" t="s">
        <v>202</v>
      </c>
      <c r="K77" s="286"/>
      <c r="L77" s="286"/>
      <c r="M77" s="286"/>
      <c r="N77" s="282"/>
    </row>
    <row r="78" spans="1:16" x14ac:dyDescent="0.3">
      <c r="A78" s="145">
        <v>9</v>
      </c>
      <c r="B78" s="265" t="s">
        <v>222</v>
      </c>
      <c r="C78" s="92" t="s">
        <v>207</v>
      </c>
      <c r="D78" s="93">
        <v>23.91</v>
      </c>
      <c r="E78" s="93">
        <v>160.5</v>
      </c>
      <c r="F78" s="108">
        <f>E78/25*9.81</f>
        <v>62.980200000000004</v>
      </c>
      <c r="G78" s="93">
        <v>143</v>
      </c>
      <c r="H78" s="108">
        <f>G78/25*9.81</f>
        <v>56.113199999999999</v>
      </c>
      <c r="I78" s="93">
        <v>181</v>
      </c>
      <c r="J78" s="109">
        <f>I78/25*9.81</f>
        <v>71.0244</v>
      </c>
      <c r="K78" s="95">
        <v>0</v>
      </c>
      <c r="L78" s="95">
        <v>1</v>
      </c>
      <c r="M78" s="95">
        <v>0</v>
      </c>
      <c r="N78" s="96" t="s">
        <v>208</v>
      </c>
      <c r="P78" s="112" t="s">
        <v>221</v>
      </c>
    </row>
    <row r="79" spans="1:16" x14ac:dyDescent="0.3">
      <c r="B79" s="266"/>
      <c r="C79" s="92" t="s">
        <v>207</v>
      </c>
      <c r="D79" s="99">
        <v>91.48</v>
      </c>
      <c r="E79" s="99">
        <v>87.28</v>
      </c>
      <c r="F79" s="108">
        <f>E79/25*9.81</f>
        <v>34.248671999999999</v>
      </c>
      <c r="G79" s="92">
        <v>63</v>
      </c>
      <c r="H79" s="108">
        <f>G79/25*9.81</f>
        <v>24.721200000000003</v>
      </c>
      <c r="I79" s="92">
        <v>107</v>
      </c>
      <c r="J79" s="109">
        <f>I79/25*9.81</f>
        <v>41.986800000000002</v>
      </c>
      <c r="K79" s="100">
        <v>0</v>
      </c>
      <c r="L79" s="100">
        <v>1</v>
      </c>
      <c r="M79" s="101">
        <v>0</v>
      </c>
      <c r="N79" s="96" t="s">
        <v>208</v>
      </c>
    </row>
    <row r="80" spans="1:16" x14ac:dyDescent="0.3">
      <c r="B80" s="266"/>
      <c r="C80" s="92" t="s">
        <v>211</v>
      </c>
      <c r="D80" s="99">
        <v>24.08</v>
      </c>
      <c r="E80" s="99">
        <v>139.75</v>
      </c>
      <c r="F80" s="108">
        <f>E80/25*9.81</f>
        <v>54.837900000000005</v>
      </c>
      <c r="G80" s="92">
        <v>126</v>
      </c>
      <c r="H80" s="108">
        <f>G80/25*9.81</f>
        <v>49.442400000000006</v>
      </c>
      <c r="I80" s="102">
        <v>156</v>
      </c>
      <c r="J80" s="109">
        <f>I80/25*9.81</f>
        <v>61.214400000000005</v>
      </c>
      <c r="K80" s="100">
        <v>0</v>
      </c>
      <c r="L80" s="100">
        <v>1</v>
      </c>
      <c r="M80" s="101">
        <v>0</v>
      </c>
      <c r="N80" s="96" t="s">
        <v>208</v>
      </c>
    </row>
    <row r="81" spans="1:16" ht="15" thickBot="1" x14ac:dyDescent="0.35">
      <c r="B81" s="267"/>
      <c r="C81" s="103" t="s">
        <v>211</v>
      </c>
      <c r="D81" s="104">
        <v>91.11</v>
      </c>
      <c r="E81" s="104">
        <v>92.81</v>
      </c>
      <c r="F81" s="111">
        <f>E81/25*9.81</f>
        <v>36.418644</v>
      </c>
      <c r="G81" s="103">
        <v>85</v>
      </c>
      <c r="H81" s="111">
        <f>G81/25*9.81</f>
        <v>33.353999999999999</v>
      </c>
      <c r="I81" s="125">
        <v>100</v>
      </c>
      <c r="J81" s="126">
        <f>I81/25*9.81</f>
        <v>39.24</v>
      </c>
      <c r="K81" s="106">
        <v>0</v>
      </c>
      <c r="L81" s="106">
        <v>1</v>
      </c>
      <c r="M81" s="106">
        <v>0</v>
      </c>
      <c r="N81" s="107" t="s">
        <v>208</v>
      </c>
    </row>
    <row r="82" spans="1:16" ht="15" thickBot="1" x14ac:dyDescent="0.35"/>
    <row r="83" spans="1:16" x14ac:dyDescent="0.3">
      <c r="B83" s="268" t="s">
        <v>184</v>
      </c>
      <c r="C83" s="269"/>
      <c r="D83" s="269"/>
      <c r="E83" s="269"/>
      <c r="F83" s="269"/>
      <c r="G83" s="269"/>
      <c r="H83" s="269"/>
      <c r="I83" s="269"/>
      <c r="J83" s="269"/>
      <c r="K83" s="269"/>
      <c r="L83" s="269"/>
      <c r="M83" s="269"/>
      <c r="N83" s="270"/>
    </row>
    <row r="84" spans="1:16" x14ac:dyDescent="0.3">
      <c r="B84" s="271" t="s">
        <v>186</v>
      </c>
      <c r="C84" s="274"/>
      <c r="D84" s="275"/>
      <c r="E84" s="275"/>
      <c r="F84" s="275"/>
      <c r="G84" s="275"/>
      <c r="H84" s="275"/>
      <c r="I84" s="275"/>
      <c r="J84" s="276"/>
      <c r="K84" s="277" t="s">
        <v>187</v>
      </c>
      <c r="L84" s="278"/>
      <c r="M84" s="279"/>
      <c r="N84" s="280" t="s">
        <v>188</v>
      </c>
    </row>
    <row r="85" spans="1:16" x14ac:dyDescent="0.3">
      <c r="B85" s="272"/>
      <c r="C85" s="283" t="s">
        <v>194</v>
      </c>
      <c r="D85" s="283" t="s">
        <v>41</v>
      </c>
      <c r="E85" s="88" t="s">
        <v>42</v>
      </c>
      <c r="F85" s="88" t="s">
        <v>43</v>
      </c>
      <c r="G85" s="88" t="s">
        <v>42</v>
      </c>
      <c r="H85" s="88" t="s">
        <v>43</v>
      </c>
      <c r="I85" s="88" t="s">
        <v>42</v>
      </c>
      <c r="J85" s="88" t="s">
        <v>43</v>
      </c>
      <c r="K85" s="285" t="s">
        <v>20</v>
      </c>
      <c r="L85" s="285" t="s">
        <v>195</v>
      </c>
      <c r="M85" s="285" t="s">
        <v>196</v>
      </c>
      <c r="N85" s="281"/>
    </row>
    <row r="86" spans="1:16" x14ac:dyDescent="0.3">
      <c r="A86" s="145" t="s">
        <v>241</v>
      </c>
      <c r="B86" s="273"/>
      <c r="C86" s="284"/>
      <c r="D86" s="284"/>
      <c r="E86" s="88" t="s">
        <v>200</v>
      </c>
      <c r="F86" s="88" t="s">
        <v>200</v>
      </c>
      <c r="G86" s="88" t="s">
        <v>201</v>
      </c>
      <c r="H86" s="88" t="s">
        <v>201</v>
      </c>
      <c r="I86" s="88" t="s">
        <v>202</v>
      </c>
      <c r="J86" s="88" t="s">
        <v>202</v>
      </c>
      <c r="K86" s="286"/>
      <c r="L86" s="286"/>
      <c r="M86" s="286"/>
      <c r="N86" s="282"/>
    </row>
    <row r="87" spans="1:16" x14ac:dyDescent="0.3">
      <c r="A87" s="145">
        <v>10</v>
      </c>
      <c r="B87" s="265" t="s">
        <v>225</v>
      </c>
      <c r="C87" s="92" t="s">
        <v>207</v>
      </c>
      <c r="D87" s="93">
        <v>24.58</v>
      </c>
      <c r="E87" s="93">
        <v>163.56</v>
      </c>
      <c r="F87" s="108">
        <f>E87/25*9.81</f>
        <v>64.180943999999997</v>
      </c>
      <c r="G87" s="93">
        <v>153</v>
      </c>
      <c r="H87" s="108">
        <f>G87/25*9.81</f>
        <v>60.037200000000006</v>
      </c>
      <c r="I87" s="93">
        <v>174</v>
      </c>
      <c r="J87" s="109">
        <f>I87/25*9.81</f>
        <v>68.277600000000007</v>
      </c>
      <c r="K87" s="95">
        <v>0</v>
      </c>
      <c r="L87" s="95">
        <v>1</v>
      </c>
      <c r="M87" s="95">
        <v>0</v>
      </c>
      <c r="N87" s="96" t="s">
        <v>208</v>
      </c>
      <c r="P87" s="112" t="s">
        <v>221</v>
      </c>
    </row>
    <row r="88" spans="1:16" x14ac:dyDescent="0.3">
      <c r="B88" s="266"/>
      <c r="C88" s="92" t="s">
        <v>207</v>
      </c>
      <c r="D88" s="99">
        <v>90.47</v>
      </c>
      <c r="E88" s="99">
        <v>80.13</v>
      </c>
      <c r="F88" s="108">
        <f>E88/25*9.81</f>
        <v>31.443011999999996</v>
      </c>
      <c r="G88" s="92">
        <v>64</v>
      </c>
      <c r="H88" s="108">
        <f>G88/25*9.81</f>
        <v>25.113600000000002</v>
      </c>
      <c r="I88" s="92">
        <v>93</v>
      </c>
      <c r="J88" s="109">
        <f>I88/25*9.81</f>
        <v>36.493200000000002</v>
      </c>
      <c r="K88" s="100">
        <v>0</v>
      </c>
      <c r="L88" s="100">
        <v>1</v>
      </c>
      <c r="M88" s="101">
        <v>0</v>
      </c>
      <c r="N88" s="96" t="s">
        <v>208</v>
      </c>
    </row>
    <row r="89" spans="1:16" x14ac:dyDescent="0.3">
      <c r="B89" s="266"/>
      <c r="C89" s="92" t="s">
        <v>211</v>
      </c>
      <c r="D89" s="99">
        <v>24.71</v>
      </c>
      <c r="E89" s="99">
        <v>150.06</v>
      </c>
      <c r="F89" s="108">
        <f>E89/25*9.81</f>
        <v>58.883544000000001</v>
      </c>
      <c r="G89" s="92">
        <v>144</v>
      </c>
      <c r="H89" s="108">
        <f>G89/25*9.81</f>
        <v>56.505600000000001</v>
      </c>
      <c r="I89" s="102">
        <v>155</v>
      </c>
      <c r="J89" s="109">
        <f>I89/25*9.81</f>
        <v>60.822000000000003</v>
      </c>
      <c r="K89" s="100">
        <v>0</v>
      </c>
      <c r="L89" s="100">
        <v>1</v>
      </c>
      <c r="M89" s="101">
        <v>0</v>
      </c>
      <c r="N89" s="96" t="s">
        <v>208</v>
      </c>
    </row>
    <row r="90" spans="1:16" ht="15" thickBot="1" x14ac:dyDescent="0.35">
      <c r="B90" s="267"/>
      <c r="C90" s="103" t="s">
        <v>211</v>
      </c>
      <c r="D90" s="103">
        <v>89.37</v>
      </c>
      <c r="E90" s="103">
        <v>93.79</v>
      </c>
      <c r="F90" s="111">
        <f>E90/25*9.81</f>
        <v>36.803196000000007</v>
      </c>
      <c r="G90" s="104">
        <v>81</v>
      </c>
      <c r="H90" s="110">
        <f>G90/25*9.81</f>
        <v>31.784400000000005</v>
      </c>
      <c r="I90" s="104">
        <v>115</v>
      </c>
      <c r="J90" s="110">
        <f>I90/25*9.81</f>
        <v>45.125999999999998</v>
      </c>
      <c r="K90" s="106">
        <v>0</v>
      </c>
      <c r="L90" s="106">
        <v>1</v>
      </c>
      <c r="M90" s="106">
        <v>0</v>
      </c>
      <c r="N90" s="107" t="s">
        <v>208</v>
      </c>
    </row>
    <row r="91" spans="1:16" ht="15" thickBot="1" x14ac:dyDescent="0.35"/>
    <row r="92" spans="1:16" x14ac:dyDescent="0.3">
      <c r="B92" s="268" t="s">
        <v>184</v>
      </c>
      <c r="C92" s="269"/>
      <c r="D92" s="269"/>
      <c r="E92" s="269"/>
      <c r="F92" s="269"/>
      <c r="G92" s="269"/>
      <c r="H92" s="269"/>
      <c r="I92" s="269"/>
      <c r="J92" s="269"/>
      <c r="K92" s="269"/>
      <c r="L92" s="269"/>
      <c r="M92" s="269"/>
      <c r="N92" s="270"/>
    </row>
    <row r="93" spans="1:16" x14ac:dyDescent="0.3">
      <c r="B93" s="271" t="s">
        <v>186</v>
      </c>
      <c r="C93" s="274"/>
      <c r="D93" s="275"/>
      <c r="E93" s="275"/>
      <c r="F93" s="275"/>
      <c r="G93" s="275"/>
      <c r="H93" s="275"/>
      <c r="I93" s="275"/>
      <c r="J93" s="276"/>
      <c r="K93" s="277" t="s">
        <v>187</v>
      </c>
      <c r="L93" s="278"/>
      <c r="M93" s="279"/>
      <c r="N93" s="280" t="s">
        <v>188</v>
      </c>
    </row>
    <row r="94" spans="1:16" x14ac:dyDescent="0.3">
      <c r="B94" s="272"/>
      <c r="C94" s="283" t="s">
        <v>194</v>
      </c>
      <c r="D94" s="283" t="s">
        <v>41</v>
      </c>
      <c r="E94" s="88" t="s">
        <v>42</v>
      </c>
      <c r="F94" s="88" t="s">
        <v>43</v>
      </c>
      <c r="G94" s="88" t="s">
        <v>42</v>
      </c>
      <c r="H94" s="88" t="s">
        <v>43</v>
      </c>
      <c r="I94" s="88" t="s">
        <v>42</v>
      </c>
      <c r="J94" s="88" t="s">
        <v>43</v>
      </c>
      <c r="K94" s="285" t="s">
        <v>20</v>
      </c>
      <c r="L94" s="285" t="s">
        <v>195</v>
      </c>
      <c r="M94" s="285" t="s">
        <v>196</v>
      </c>
      <c r="N94" s="281"/>
    </row>
    <row r="95" spans="1:16" x14ac:dyDescent="0.3">
      <c r="A95" s="145" t="s">
        <v>241</v>
      </c>
      <c r="B95" s="273"/>
      <c r="C95" s="284"/>
      <c r="D95" s="284"/>
      <c r="E95" s="88" t="s">
        <v>200</v>
      </c>
      <c r="F95" s="88" t="s">
        <v>200</v>
      </c>
      <c r="G95" s="88" t="s">
        <v>201</v>
      </c>
      <c r="H95" s="88" t="s">
        <v>201</v>
      </c>
      <c r="I95" s="88" t="s">
        <v>202</v>
      </c>
      <c r="J95" s="88" t="s">
        <v>202</v>
      </c>
      <c r="K95" s="286"/>
      <c r="L95" s="286"/>
      <c r="M95" s="286"/>
      <c r="N95" s="282"/>
    </row>
    <row r="96" spans="1:16" x14ac:dyDescent="0.3">
      <c r="A96" s="145">
        <v>11</v>
      </c>
      <c r="B96" s="265" t="s">
        <v>229</v>
      </c>
      <c r="C96" s="92" t="s">
        <v>207</v>
      </c>
      <c r="D96" s="93">
        <v>23.47</v>
      </c>
      <c r="E96" s="93">
        <v>141.74</v>
      </c>
      <c r="F96" s="108">
        <f>E96/25*9.81</f>
        <v>55.618776000000004</v>
      </c>
      <c r="G96" s="93">
        <v>134</v>
      </c>
      <c r="H96" s="108">
        <f>G96/25*9.81</f>
        <v>52.581600000000009</v>
      </c>
      <c r="I96" s="93">
        <v>153</v>
      </c>
      <c r="J96" s="109">
        <f>I96/25*9.81</f>
        <v>60.037200000000006</v>
      </c>
      <c r="K96" s="95">
        <v>0</v>
      </c>
      <c r="L96" s="95">
        <v>1</v>
      </c>
      <c r="M96" s="95">
        <v>0</v>
      </c>
      <c r="N96" s="96" t="s">
        <v>208</v>
      </c>
      <c r="P96" s="112" t="s">
        <v>221</v>
      </c>
    </row>
    <row r="97" spans="1:16" x14ac:dyDescent="0.3">
      <c r="B97" s="266"/>
      <c r="C97" s="92" t="s">
        <v>207</v>
      </c>
      <c r="D97" s="99">
        <v>89.44</v>
      </c>
      <c r="E97" s="99">
        <v>86</v>
      </c>
      <c r="F97" s="108">
        <f>E97/25*9.81</f>
        <v>33.746400000000001</v>
      </c>
      <c r="G97" s="92">
        <v>63</v>
      </c>
      <c r="H97" s="108">
        <f>G97/25*9.81</f>
        <v>24.721200000000003</v>
      </c>
      <c r="I97" s="92">
        <v>108</v>
      </c>
      <c r="J97" s="109">
        <f>I97/25*9.81</f>
        <v>42.379200000000004</v>
      </c>
      <c r="K97" s="100">
        <v>0</v>
      </c>
      <c r="L97" s="100">
        <v>1</v>
      </c>
      <c r="M97" s="101">
        <v>0</v>
      </c>
      <c r="N97" s="96" t="s">
        <v>208</v>
      </c>
    </row>
    <row r="98" spans="1:16" x14ac:dyDescent="0.3">
      <c r="B98" s="266"/>
      <c r="C98" s="92" t="s">
        <v>211</v>
      </c>
      <c r="D98" s="99">
        <v>22.17</v>
      </c>
      <c r="E98" s="99">
        <v>144.88999999999999</v>
      </c>
      <c r="F98" s="108">
        <f>E98/25*9.81</f>
        <v>56.854835999999999</v>
      </c>
      <c r="G98" s="92">
        <v>73</v>
      </c>
      <c r="H98" s="108">
        <f>G98/25*9.81</f>
        <v>28.645199999999999</v>
      </c>
      <c r="I98" s="102">
        <v>200</v>
      </c>
      <c r="J98" s="109">
        <f>I98/25*9.81</f>
        <v>78.48</v>
      </c>
      <c r="K98" s="100">
        <v>0</v>
      </c>
      <c r="L98" s="100">
        <v>1</v>
      </c>
      <c r="M98" s="101">
        <v>0</v>
      </c>
      <c r="N98" s="96" t="s">
        <v>208</v>
      </c>
    </row>
    <row r="99" spans="1:16" ht="15" thickBot="1" x14ac:dyDescent="0.35">
      <c r="B99" s="267"/>
      <c r="C99" s="103" t="s">
        <v>211</v>
      </c>
      <c r="D99" s="103">
        <v>89.45</v>
      </c>
      <c r="E99" s="103">
        <v>70.430000000000007</v>
      </c>
      <c r="F99" s="111">
        <f>E99/25*9.81</f>
        <v>27.636732000000002</v>
      </c>
      <c r="G99" s="104">
        <v>62</v>
      </c>
      <c r="H99" s="110">
        <f>G99/25*9.81</f>
        <v>24.328800000000001</v>
      </c>
      <c r="I99" s="104">
        <v>77</v>
      </c>
      <c r="J99" s="110">
        <f>I99/25*9.81</f>
        <v>30.214800000000004</v>
      </c>
      <c r="K99" s="106">
        <v>0</v>
      </c>
      <c r="L99" s="106">
        <v>1</v>
      </c>
      <c r="M99" s="106">
        <v>0</v>
      </c>
      <c r="N99" s="107" t="s">
        <v>208</v>
      </c>
    </row>
    <row r="100" spans="1:16" ht="15" thickBot="1" x14ac:dyDescent="0.35"/>
    <row r="101" spans="1:16" x14ac:dyDescent="0.3">
      <c r="B101" s="268" t="s">
        <v>184</v>
      </c>
      <c r="C101" s="269"/>
      <c r="D101" s="269"/>
      <c r="E101" s="269"/>
      <c r="F101" s="269"/>
      <c r="G101" s="269"/>
      <c r="H101" s="269"/>
      <c r="I101" s="269"/>
      <c r="J101" s="269"/>
      <c r="K101" s="269"/>
      <c r="L101" s="269"/>
      <c r="M101" s="269"/>
      <c r="N101" s="270"/>
    </row>
    <row r="102" spans="1:16" x14ac:dyDescent="0.3">
      <c r="B102" s="271" t="s">
        <v>186</v>
      </c>
      <c r="C102" s="274"/>
      <c r="D102" s="275"/>
      <c r="E102" s="275"/>
      <c r="F102" s="275"/>
      <c r="G102" s="275"/>
      <c r="H102" s="275"/>
      <c r="I102" s="275"/>
      <c r="J102" s="276"/>
      <c r="K102" s="277" t="s">
        <v>187</v>
      </c>
      <c r="L102" s="278"/>
      <c r="M102" s="279"/>
      <c r="N102" s="280" t="s">
        <v>188</v>
      </c>
    </row>
    <row r="103" spans="1:16" x14ac:dyDescent="0.3">
      <c r="B103" s="272"/>
      <c r="C103" s="283" t="s">
        <v>194</v>
      </c>
      <c r="D103" s="283" t="s">
        <v>41</v>
      </c>
      <c r="E103" s="88" t="s">
        <v>42</v>
      </c>
      <c r="F103" s="88" t="s">
        <v>43</v>
      </c>
      <c r="G103" s="88" t="s">
        <v>42</v>
      </c>
      <c r="H103" s="88" t="s">
        <v>43</v>
      </c>
      <c r="I103" s="88" t="s">
        <v>42</v>
      </c>
      <c r="J103" s="88" t="s">
        <v>43</v>
      </c>
      <c r="K103" s="285" t="s">
        <v>20</v>
      </c>
      <c r="L103" s="285" t="s">
        <v>195</v>
      </c>
      <c r="M103" s="285" t="s">
        <v>196</v>
      </c>
      <c r="N103" s="281"/>
    </row>
    <row r="104" spans="1:16" x14ac:dyDescent="0.3">
      <c r="A104" s="145" t="s">
        <v>241</v>
      </c>
      <c r="B104" s="273"/>
      <c r="C104" s="284"/>
      <c r="D104" s="284"/>
      <c r="E104" s="88" t="s">
        <v>200</v>
      </c>
      <c r="F104" s="88" t="s">
        <v>200</v>
      </c>
      <c r="G104" s="88" t="s">
        <v>201</v>
      </c>
      <c r="H104" s="88" t="s">
        <v>201</v>
      </c>
      <c r="I104" s="88" t="s">
        <v>202</v>
      </c>
      <c r="J104" s="88" t="s">
        <v>202</v>
      </c>
      <c r="K104" s="286"/>
      <c r="L104" s="286"/>
      <c r="M104" s="286"/>
      <c r="N104" s="282"/>
    </row>
    <row r="105" spans="1:16" x14ac:dyDescent="0.3">
      <c r="A105" s="145">
        <v>12</v>
      </c>
      <c r="B105" s="265" t="s">
        <v>230</v>
      </c>
      <c r="C105" s="92" t="s">
        <v>207</v>
      </c>
      <c r="D105" s="93">
        <v>22.77</v>
      </c>
      <c r="E105" s="93">
        <v>174.01</v>
      </c>
      <c r="F105" s="108">
        <f>E105/25*9.81</f>
        <v>68.281524000000005</v>
      </c>
      <c r="G105" s="93">
        <v>95</v>
      </c>
      <c r="H105" s="108">
        <f>G105/25*9.81</f>
        <v>37.277999999999999</v>
      </c>
      <c r="I105" s="178">
        <v>216</v>
      </c>
      <c r="J105" s="179">
        <f>I105/25*9.81</f>
        <v>84.758400000000009</v>
      </c>
      <c r="K105" s="95">
        <v>0</v>
      </c>
      <c r="L105" s="113">
        <v>0.9</v>
      </c>
      <c r="M105" s="113">
        <v>0.1</v>
      </c>
      <c r="N105" s="96" t="s">
        <v>233</v>
      </c>
      <c r="P105" s="112" t="s">
        <v>221</v>
      </c>
    </row>
    <row r="106" spans="1:16" x14ac:dyDescent="0.3">
      <c r="B106" s="266"/>
      <c r="C106" s="92" t="s">
        <v>207</v>
      </c>
      <c r="D106" s="99">
        <v>88.43</v>
      </c>
      <c r="E106" s="99">
        <v>76.17</v>
      </c>
      <c r="F106" s="108">
        <f>E106/25*9.81</f>
        <v>29.889108000000004</v>
      </c>
      <c r="G106" s="92">
        <v>60</v>
      </c>
      <c r="H106" s="108">
        <f>G106/25*9.81</f>
        <v>23.544</v>
      </c>
      <c r="I106" s="92">
        <v>86</v>
      </c>
      <c r="J106" s="109">
        <f>I106/25*9.81</f>
        <v>33.746400000000001</v>
      </c>
      <c r="K106" s="100">
        <v>0</v>
      </c>
      <c r="L106" s="100">
        <v>1</v>
      </c>
      <c r="M106" s="101">
        <v>0</v>
      </c>
      <c r="N106" s="96" t="s">
        <v>208</v>
      </c>
    </row>
    <row r="107" spans="1:16" x14ac:dyDescent="0.3">
      <c r="B107" s="266"/>
      <c r="C107" s="92" t="s">
        <v>211</v>
      </c>
      <c r="D107" s="99">
        <v>25.57</v>
      </c>
      <c r="E107" s="99">
        <v>169.82</v>
      </c>
      <c r="F107" s="108">
        <f>E107/25*9.81</f>
        <v>66.637367999999995</v>
      </c>
      <c r="G107" s="92">
        <v>81</v>
      </c>
      <c r="H107" s="108">
        <f>G107/25*9.81</f>
        <v>31.784400000000005</v>
      </c>
      <c r="I107" s="180">
        <v>225</v>
      </c>
      <c r="J107" s="179">
        <f>I107/25*9.81</f>
        <v>88.29</v>
      </c>
      <c r="K107" s="100">
        <v>0</v>
      </c>
      <c r="L107" s="128">
        <v>0.9</v>
      </c>
      <c r="M107" s="128">
        <v>0.1</v>
      </c>
      <c r="N107" s="96" t="s">
        <v>233</v>
      </c>
    </row>
    <row r="108" spans="1:16" ht="15" thickBot="1" x14ac:dyDescent="0.35">
      <c r="B108" s="267"/>
      <c r="C108" s="103" t="s">
        <v>211</v>
      </c>
      <c r="D108" s="103">
        <v>91.05</v>
      </c>
      <c r="E108" s="103">
        <v>75.45</v>
      </c>
      <c r="F108" s="111">
        <f>E108/25*9.81</f>
        <v>29.606580000000005</v>
      </c>
      <c r="G108" s="104">
        <v>64</v>
      </c>
      <c r="H108" s="110">
        <f>G108/25*9.81</f>
        <v>25.113600000000002</v>
      </c>
      <c r="I108" s="104">
        <v>84</v>
      </c>
      <c r="J108" s="110">
        <f>I108/25*9.81</f>
        <v>32.961599999999997</v>
      </c>
      <c r="K108" s="106">
        <v>0</v>
      </c>
      <c r="L108" s="106">
        <v>1</v>
      </c>
      <c r="M108" s="106">
        <v>0</v>
      </c>
      <c r="N108" s="107" t="s">
        <v>208</v>
      </c>
    </row>
    <row r="109" spans="1:16" ht="15" thickBot="1" x14ac:dyDescent="0.35"/>
    <row r="110" spans="1:16" x14ac:dyDescent="0.3">
      <c r="B110" s="268" t="s">
        <v>184</v>
      </c>
      <c r="C110" s="269"/>
      <c r="D110" s="269"/>
      <c r="E110" s="269"/>
      <c r="F110" s="269"/>
      <c r="G110" s="269"/>
      <c r="H110" s="269"/>
      <c r="I110" s="269"/>
      <c r="J110" s="269"/>
      <c r="K110" s="269"/>
      <c r="L110" s="269"/>
      <c r="M110" s="269"/>
      <c r="N110" s="270"/>
    </row>
    <row r="111" spans="1:16" x14ac:dyDescent="0.3">
      <c r="B111" s="271" t="s">
        <v>186</v>
      </c>
      <c r="C111" s="274"/>
      <c r="D111" s="275"/>
      <c r="E111" s="275"/>
      <c r="F111" s="275"/>
      <c r="G111" s="275"/>
      <c r="H111" s="275"/>
      <c r="I111" s="275"/>
      <c r="J111" s="276"/>
      <c r="K111" s="277" t="s">
        <v>187</v>
      </c>
      <c r="L111" s="278"/>
      <c r="M111" s="279"/>
      <c r="N111" s="280" t="s">
        <v>188</v>
      </c>
    </row>
    <row r="112" spans="1:16" x14ac:dyDescent="0.3">
      <c r="B112" s="272"/>
      <c r="C112" s="283" t="s">
        <v>194</v>
      </c>
      <c r="D112" s="283" t="s">
        <v>41</v>
      </c>
      <c r="E112" s="88" t="s">
        <v>42</v>
      </c>
      <c r="F112" s="88" t="s">
        <v>43</v>
      </c>
      <c r="G112" s="88" t="s">
        <v>42</v>
      </c>
      <c r="H112" s="88" t="s">
        <v>43</v>
      </c>
      <c r="I112" s="88" t="s">
        <v>42</v>
      </c>
      <c r="J112" s="88" t="s">
        <v>43</v>
      </c>
      <c r="K112" s="285" t="s">
        <v>20</v>
      </c>
      <c r="L112" s="285" t="s">
        <v>195</v>
      </c>
      <c r="M112" s="285" t="s">
        <v>196</v>
      </c>
      <c r="N112" s="281"/>
    </row>
    <row r="113" spans="1:16" x14ac:dyDescent="0.3">
      <c r="A113" s="145" t="s">
        <v>241</v>
      </c>
      <c r="B113" s="273"/>
      <c r="C113" s="284"/>
      <c r="D113" s="284"/>
      <c r="E113" s="88" t="s">
        <v>200</v>
      </c>
      <c r="F113" s="88" t="s">
        <v>200</v>
      </c>
      <c r="G113" s="88" t="s">
        <v>201</v>
      </c>
      <c r="H113" s="88" t="s">
        <v>201</v>
      </c>
      <c r="I113" s="88" t="s">
        <v>202</v>
      </c>
      <c r="J113" s="88" t="s">
        <v>202</v>
      </c>
      <c r="K113" s="286"/>
      <c r="L113" s="286"/>
      <c r="M113" s="286"/>
      <c r="N113" s="282"/>
    </row>
    <row r="114" spans="1:16" x14ac:dyDescent="0.3">
      <c r="A114" s="145">
        <v>13</v>
      </c>
      <c r="B114" s="265" t="s">
        <v>231</v>
      </c>
      <c r="C114" s="92" t="s">
        <v>207</v>
      </c>
      <c r="D114" s="93">
        <v>23.12</v>
      </c>
      <c r="E114" s="93">
        <v>115.83</v>
      </c>
      <c r="F114" s="108">
        <f>E114/25*9.81</f>
        <v>45.451692000000001</v>
      </c>
      <c r="G114" s="93">
        <v>98</v>
      </c>
      <c r="H114" s="108">
        <f>G114/25*9.81</f>
        <v>38.455199999999998</v>
      </c>
      <c r="I114" s="93">
        <v>128</v>
      </c>
      <c r="J114" s="109">
        <f>I114/25*9.81</f>
        <v>50.227200000000003</v>
      </c>
      <c r="K114" s="95">
        <v>0</v>
      </c>
      <c r="L114" s="129">
        <v>1</v>
      </c>
      <c r="M114" s="129">
        <v>0</v>
      </c>
      <c r="N114" s="96" t="s">
        <v>208</v>
      </c>
    </row>
    <row r="115" spans="1:16" x14ac:dyDescent="0.3">
      <c r="B115" s="266"/>
      <c r="C115" s="92" t="s">
        <v>207</v>
      </c>
      <c r="D115" s="99">
        <v>89.35</v>
      </c>
      <c r="E115" s="99">
        <v>59.72</v>
      </c>
      <c r="F115" s="108">
        <f>E115/25*9.81</f>
        <v>23.434127999999998</v>
      </c>
      <c r="G115" s="92">
        <v>27</v>
      </c>
      <c r="H115" s="108">
        <f>G115/25*9.81</f>
        <v>10.594800000000001</v>
      </c>
      <c r="I115" s="92">
        <v>75</v>
      </c>
      <c r="J115" s="109">
        <f>I115/25*9.81</f>
        <v>29.43</v>
      </c>
      <c r="K115" s="100">
        <v>0</v>
      </c>
      <c r="L115" s="130">
        <v>1</v>
      </c>
      <c r="M115" s="130">
        <v>0</v>
      </c>
      <c r="N115" s="96" t="s">
        <v>208</v>
      </c>
      <c r="P115" s="112" t="s">
        <v>221</v>
      </c>
    </row>
    <row r="116" spans="1:16" x14ac:dyDescent="0.3">
      <c r="B116" s="266"/>
      <c r="C116" s="92" t="s">
        <v>211</v>
      </c>
      <c r="D116" s="99">
        <v>23.46</v>
      </c>
      <c r="E116" s="99">
        <v>119.86</v>
      </c>
      <c r="F116" s="108">
        <f>E116/25*9.81</f>
        <v>47.033063999999996</v>
      </c>
      <c r="G116" s="92">
        <v>102</v>
      </c>
      <c r="H116" s="108">
        <f>G116/25*9.81</f>
        <v>40.024800000000006</v>
      </c>
      <c r="I116" s="102">
        <v>128</v>
      </c>
      <c r="J116" s="109">
        <f>I116/25*9.81</f>
        <v>50.227200000000003</v>
      </c>
      <c r="K116" s="100">
        <v>0</v>
      </c>
      <c r="L116" s="130">
        <v>1</v>
      </c>
      <c r="M116" s="130">
        <v>0</v>
      </c>
      <c r="N116" s="96" t="s">
        <v>208</v>
      </c>
    </row>
    <row r="117" spans="1:16" ht="15" thickBot="1" x14ac:dyDescent="0.35">
      <c r="B117" s="267"/>
      <c r="C117" s="103" t="s">
        <v>211</v>
      </c>
      <c r="D117" s="103">
        <v>92.19</v>
      </c>
      <c r="E117" s="103">
        <v>76.989999999999995</v>
      </c>
      <c r="F117" s="111">
        <f>E117/25*9.81</f>
        <v>30.210875999999999</v>
      </c>
      <c r="G117" s="104">
        <v>70</v>
      </c>
      <c r="H117" s="110">
        <f>G117/25*9.81</f>
        <v>27.468</v>
      </c>
      <c r="I117" s="104">
        <v>85</v>
      </c>
      <c r="J117" s="110">
        <f>I117/25*9.81</f>
        <v>33.353999999999999</v>
      </c>
      <c r="K117" s="106">
        <v>0</v>
      </c>
      <c r="L117" s="131">
        <v>1</v>
      </c>
      <c r="M117" s="131">
        <v>0</v>
      </c>
      <c r="N117" s="107" t="s">
        <v>208</v>
      </c>
    </row>
    <row r="118" spans="1:16" ht="15" thickBot="1" x14ac:dyDescent="0.35"/>
    <row r="119" spans="1:16" x14ac:dyDescent="0.3">
      <c r="B119" s="268" t="s">
        <v>184</v>
      </c>
      <c r="C119" s="269"/>
      <c r="D119" s="269"/>
      <c r="E119" s="269"/>
      <c r="F119" s="269"/>
      <c r="G119" s="269"/>
      <c r="H119" s="269"/>
      <c r="I119" s="269"/>
      <c r="J119" s="269"/>
      <c r="K119" s="269"/>
      <c r="L119" s="269"/>
      <c r="M119" s="269"/>
      <c r="N119" s="270"/>
    </row>
    <row r="120" spans="1:16" x14ac:dyDescent="0.3">
      <c r="B120" s="271" t="s">
        <v>186</v>
      </c>
      <c r="C120" s="274"/>
      <c r="D120" s="275"/>
      <c r="E120" s="275"/>
      <c r="F120" s="275"/>
      <c r="G120" s="275"/>
      <c r="H120" s="275"/>
      <c r="I120" s="275"/>
      <c r="J120" s="276"/>
      <c r="K120" s="277" t="s">
        <v>187</v>
      </c>
      <c r="L120" s="278"/>
      <c r="M120" s="279"/>
      <c r="N120" s="280" t="s">
        <v>188</v>
      </c>
    </row>
    <row r="121" spans="1:16" x14ac:dyDescent="0.3">
      <c r="B121" s="272"/>
      <c r="C121" s="283" t="s">
        <v>194</v>
      </c>
      <c r="D121" s="283" t="s">
        <v>41</v>
      </c>
      <c r="E121" s="88" t="s">
        <v>42</v>
      </c>
      <c r="F121" s="88" t="s">
        <v>43</v>
      </c>
      <c r="G121" s="88" t="s">
        <v>42</v>
      </c>
      <c r="H121" s="88" t="s">
        <v>43</v>
      </c>
      <c r="I121" s="88" t="s">
        <v>42</v>
      </c>
      <c r="J121" s="88" t="s">
        <v>43</v>
      </c>
      <c r="K121" s="285" t="s">
        <v>20</v>
      </c>
      <c r="L121" s="285" t="s">
        <v>195</v>
      </c>
      <c r="M121" s="285" t="s">
        <v>196</v>
      </c>
      <c r="N121" s="281"/>
    </row>
    <row r="122" spans="1:16" x14ac:dyDescent="0.3">
      <c r="A122" s="145" t="s">
        <v>241</v>
      </c>
      <c r="B122" s="273"/>
      <c r="C122" s="284"/>
      <c r="D122" s="284"/>
      <c r="E122" s="88" t="s">
        <v>200</v>
      </c>
      <c r="F122" s="88" t="s">
        <v>200</v>
      </c>
      <c r="G122" s="88" t="s">
        <v>201</v>
      </c>
      <c r="H122" s="88" t="s">
        <v>201</v>
      </c>
      <c r="I122" s="88" t="s">
        <v>202</v>
      </c>
      <c r="J122" s="88" t="s">
        <v>202</v>
      </c>
      <c r="K122" s="286"/>
      <c r="L122" s="286"/>
      <c r="M122" s="286"/>
      <c r="N122" s="282"/>
    </row>
    <row r="123" spans="1:16" x14ac:dyDescent="0.3">
      <c r="A123" s="145">
        <v>14</v>
      </c>
      <c r="B123" s="265" t="s">
        <v>232</v>
      </c>
      <c r="C123" s="92" t="s">
        <v>207</v>
      </c>
      <c r="D123" s="93">
        <v>22.74</v>
      </c>
      <c r="E123" s="93">
        <v>153.52000000000001</v>
      </c>
      <c r="F123" s="108">
        <f>E123/25*9.81</f>
        <v>60.241248000000006</v>
      </c>
      <c r="G123" s="93">
        <v>63</v>
      </c>
      <c r="H123" s="108">
        <f>G123/25*9.81</f>
        <v>24.721200000000003</v>
      </c>
      <c r="I123" s="178">
        <v>220</v>
      </c>
      <c r="J123" s="179">
        <f>I123/25*9.81</f>
        <v>86.328000000000017</v>
      </c>
      <c r="K123" s="95">
        <v>0</v>
      </c>
      <c r="L123" s="113">
        <v>0.9</v>
      </c>
      <c r="M123" s="113">
        <v>0.1</v>
      </c>
      <c r="N123" s="96" t="s">
        <v>233</v>
      </c>
    </row>
    <row r="124" spans="1:16" x14ac:dyDescent="0.3">
      <c r="B124" s="266"/>
      <c r="C124" s="92" t="s">
        <v>207</v>
      </c>
      <c r="D124" s="99">
        <v>88.86</v>
      </c>
      <c r="E124" s="99">
        <v>84.49</v>
      </c>
      <c r="F124" s="108">
        <f>E124/25*9.81</f>
        <v>33.153876000000004</v>
      </c>
      <c r="G124" s="92">
        <v>27</v>
      </c>
      <c r="H124" s="108">
        <f>G124/25*9.81</f>
        <v>10.594800000000001</v>
      </c>
      <c r="I124" s="92">
        <v>95</v>
      </c>
      <c r="J124" s="109">
        <f>I124/25*9.81</f>
        <v>37.277999999999999</v>
      </c>
      <c r="K124" s="100">
        <v>0</v>
      </c>
      <c r="L124" s="130">
        <v>1</v>
      </c>
      <c r="M124" s="130">
        <v>0</v>
      </c>
      <c r="N124" s="96" t="s">
        <v>208</v>
      </c>
      <c r="P124" s="112" t="s">
        <v>221</v>
      </c>
    </row>
    <row r="125" spans="1:16" x14ac:dyDescent="0.3">
      <c r="B125" s="266"/>
      <c r="C125" s="92" t="s">
        <v>211</v>
      </c>
      <c r="D125" s="99">
        <v>23.68</v>
      </c>
      <c r="E125" s="93">
        <v>182.95</v>
      </c>
      <c r="F125" s="108">
        <f>E125/25*9.81</f>
        <v>71.789580000000001</v>
      </c>
      <c r="G125" s="93">
        <v>96</v>
      </c>
      <c r="H125" s="108">
        <f>G125/25*9.81</f>
        <v>37.670400000000001</v>
      </c>
      <c r="I125" s="180">
        <v>243</v>
      </c>
      <c r="J125" s="179">
        <f>I125/25*9.81</f>
        <v>95.353200000000015</v>
      </c>
      <c r="K125" s="100">
        <v>0</v>
      </c>
      <c r="L125" s="113">
        <v>0.9</v>
      </c>
      <c r="M125" s="113">
        <v>0.1</v>
      </c>
      <c r="N125" s="96" t="s">
        <v>233</v>
      </c>
    </row>
    <row r="126" spans="1:16" ht="15" thickBot="1" x14ac:dyDescent="0.35">
      <c r="B126" s="267"/>
      <c r="C126" s="103" t="s">
        <v>211</v>
      </c>
      <c r="D126" s="103">
        <v>88.56</v>
      </c>
      <c r="E126" s="104">
        <v>101.04</v>
      </c>
      <c r="F126" s="111">
        <f>E126/25*9.81</f>
        <v>39.648096000000002</v>
      </c>
      <c r="G126" s="103">
        <v>83</v>
      </c>
      <c r="H126" s="111">
        <f>G126/25*9.81</f>
        <v>32.569200000000002</v>
      </c>
      <c r="I126" s="104">
        <v>144</v>
      </c>
      <c r="J126" s="110">
        <f>I126/25*9.81</f>
        <v>56.505600000000001</v>
      </c>
      <c r="K126" s="106">
        <v>0</v>
      </c>
      <c r="L126" s="131">
        <v>1</v>
      </c>
      <c r="M126" s="131">
        <v>0</v>
      </c>
      <c r="N126" s="107" t="s">
        <v>208</v>
      </c>
    </row>
    <row r="127" spans="1:16" ht="15" thickBot="1" x14ac:dyDescent="0.35"/>
    <row r="128" spans="1:16" x14ac:dyDescent="0.3">
      <c r="B128" s="268" t="s">
        <v>184</v>
      </c>
      <c r="C128" s="269"/>
      <c r="D128" s="269"/>
      <c r="E128" s="269"/>
      <c r="F128" s="269"/>
      <c r="G128" s="269"/>
      <c r="H128" s="269"/>
      <c r="I128" s="269"/>
      <c r="J128" s="269"/>
      <c r="K128" s="269"/>
      <c r="L128" s="269"/>
      <c r="M128" s="269"/>
      <c r="N128" s="270"/>
    </row>
    <row r="129" spans="1:16" x14ac:dyDescent="0.3">
      <c r="B129" s="271" t="s">
        <v>186</v>
      </c>
      <c r="C129" s="274"/>
      <c r="D129" s="275"/>
      <c r="E129" s="275"/>
      <c r="F129" s="275"/>
      <c r="G129" s="275"/>
      <c r="H129" s="275"/>
      <c r="I129" s="275"/>
      <c r="J129" s="276"/>
      <c r="K129" s="277" t="s">
        <v>187</v>
      </c>
      <c r="L129" s="278"/>
      <c r="M129" s="279"/>
      <c r="N129" s="280" t="s">
        <v>188</v>
      </c>
    </row>
    <row r="130" spans="1:16" x14ac:dyDescent="0.3">
      <c r="B130" s="272"/>
      <c r="C130" s="283" t="s">
        <v>194</v>
      </c>
      <c r="D130" s="283" t="s">
        <v>41</v>
      </c>
      <c r="E130" s="88" t="s">
        <v>42</v>
      </c>
      <c r="F130" s="88" t="s">
        <v>43</v>
      </c>
      <c r="G130" s="88" t="s">
        <v>42</v>
      </c>
      <c r="H130" s="88" t="s">
        <v>43</v>
      </c>
      <c r="I130" s="88" t="s">
        <v>42</v>
      </c>
      <c r="J130" s="88" t="s">
        <v>43</v>
      </c>
      <c r="K130" s="285" t="s">
        <v>20</v>
      </c>
      <c r="L130" s="285" t="s">
        <v>195</v>
      </c>
      <c r="M130" s="285" t="s">
        <v>196</v>
      </c>
      <c r="N130" s="281"/>
    </row>
    <row r="131" spans="1:16" x14ac:dyDescent="0.3">
      <c r="B131" s="273"/>
      <c r="C131" s="284"/>
      <c r="D131" s="284"/>
      <c r="E131" s="88" t="s">
        <v>200</v>
      </c>
      <c r="F131" s="88" t="s">
        <v>200</v>
      </c>
      <c r="G131" s="88" t="s">
        <v>201</v>
      </c>
      <c r="H131" s="88" t="s">
        <v>201</v>
      </c>
      <c r="I131" s="88" t="s">
        <v>202</v>
      </c>
      <c r="J131" s="88" t="s">
        <v>202</v>
      </c>
      <c r="K131" s="286"/>
      <c r="L131" s="286"/>
      <c r="M131" s="286"/>
      <c r="N131" s="282"/>
    </row>
    <row r="132" spans="1:16" x14ac:dyDescent="0.3">
      <c r="A132" s="145" t="s">
        <v>241</v>
      </c>
      <c r="B132" s="265" t="s">
        <v>234</v>
      </c>
      <c r="C132" s="92" t="s">
        <v>207</v>
      </c>
      <c r="D132" s="93">
        <v>24.62</v>
      </c>
      <c r="E132" s="93">
        <v>147.63999999999999</v>
      </c>
      <c r="F132" s="108">
        <f>E132/25*9.81</f>
        <v>57.933936000000003</v>
      </c>
      <c r="G132" s="93">
        <v>88</v>
      </c>
      <c r="H132" s="108">
        <f>G132/25*9.81</f>
        <v>34.531200000000005</v>
      </c>
      <c r="I132" s="178">
        <v>204</v>
      </c>
      <c r="J132" s="179">
        <f>I132/25*9.81</f>
        <v>80.049600000000012</v>
      </c>
      <c r="K132" s="95">
        <v>0</v>
      </c>
      <c r="L132" s="113">
        <v>0.9</v>
      </c>
      <c r="M132" s="113">
        <v>0.1</v>
      </c>
      <c r="N132" s="96" t="s">
        <v>233</v>
      </c>
    </row>
    <row r="133" spans="1:16" x14ac:dyDescent="0.3">
      <c r="A133" s="145">
        <v>15</v>
      </c>
      <c r="B133" s="266"/>
      <c r="C133" s="92" t="s">
        <v>207</v>
      </c>
      <c r="D133" s="99">
        <v>89.45</v>
      </c>
      <c r="E133" s="99">
        <v>77.010000000000005</v>
      </c>
      <c r="F133" s="108">
        <f>E133/25*9.81</f>
        <v>30.218724000000002</v>
      </c>
      <c r="G133" s="92">
        <v>70</v>
      </c>
      <c r="H133" s="108">
        <f>G133/25*9.81</f>
        <v>27.468</v>
      </c>
      <c r="I133" s="92">
        <v>82</v>
      </c>
      <c r="J133" s="109">
        <f>I133/25*9.81</f>
        <v>32.1768</v>
      </c>
      <c r="K133" s="100">
        <v>0</v>
      </c>
      <c r="L133" s="130">
        <v>1</v>
      </c>
      <c r="M133" s="130">
        <v>0</v>
      </c>
      <c r="N133" s="96" t="s">
        <v>208</v>
      </c>
      <c r="P133" s="112" t="s">
        <v>221</v>
      </c>
    </row>
    <row r="134" spans="1:16" x14ac:dyDescent="0.3">
      <c r="B134" s="266"/>
      <c r="C134" s="137" t="s">
        <v>211</v>
      </c>
      <c r="D134" s="137">
        <v>22.92</v>
      </c>
      <c r="E134" s="138">
        <v>146.76</v>
      </c>
      <c r="F134" s="139">
        <f>E134/25*9.81</f>
        <v>57.588624000000003</v>
      </c>
      <c r="G134" s="138">
        <v>128</v>
      </c>
      <c r="H134" s="139">
        <f t="shared" ref="H134:H135" si="4">G134/25*9.81</f>
        <v>50.227200000000003</v>
      </c>
      <c r="I134" s="140">
        <v>155</v>
      </c>
      <c r="J134" s="141">
        <f>I134/25*9.81</f>
        <v>60.822000000000003</v>
      </c>
      <c r="K134" s="100">
        <v>0</v>
      </c>
      <c r="L134" s="129">
        <v>1</v>
      </c>
      <c r="M134" s="129">
        <v>0</v>
      </c>
      <c r="N134" s="96" t="s">
        <v>235</v>
      </c>
      <c r="P134" s="112" t="s">
        <v>236</v>
      </c>
    </row>
    <row r="135" spans="1:16" ht="15" thickBot="1" x14ac:dyDescent="0.35">
      <c r="B135" s="267"/>
      <c r="C135" s="103" t="s">
        <v>211</v>
      </c>
      <c r="D135" s="103">
        <v>89.1</v>
      </c>
      <c r="E135" s="104">
        <v>83.53</v>
      </c>
      <c r="F135" s="111">
        <f>E135/25*9.81</f>
        <v>32.777172</v>
      </c>
      <c r="G135" s="103">
        <v>62</v>
      </c>
      <c r="H135" s="111">
        <f t="shared" si="4"/>
        <v>24.328800000000001</v>
      </c>
      <c r="I135" s="104">
        <v>100</v>
      </c>
      <c r="J135" s="110">
        <f>I135/25*9.81</f>
        <v>39.24</v>
      </c>
      <c r="K135" s="106">
        <v>0</v>
      </c>
      <c r="L135" s="131">
        <v>1</v>
      </c>
      <c r="M135" s="131">
        <v>0</v>
      </c>
      <c r="N135" s="107" t="s">
        <v>208</v>
      </c>
    </row>
    <row r="136" spans="1:16" ht="15" thickBot="1" x14ac:dyDescent="0.35"/>
    <row r="137" spans="1:16" x14ac:dyDescent="0.3">
      <c r="B137" s="268" t="s">
        <v>184</v>
      </c>
      <c r="C137" s="269"/>
      <c r="D137" s="269"/>
      <c r="E137" s="269"/>
      <c r="F137" s="269"/>
      <c r="G137" s="269"/>
      <c r="H137" s="269"/>
      <c r="I137" s="269"/>
      <c r="J137" s="269"/>
      <c r="K137" s="269"/>
      <c r="L137" s="269"/>
      <c r="M137" s="269"/>
      <c r="N137" s="270"/>
    </row>
    <row r="138" spans="1:16" x14ac:dyDescent="0.3">
      <c r="B138" s="271" t="s">
        <v>186</v>
      </c>
      <c r="C138" s="274"/>
      <c r="D138" s="275"/>
      <c r="E138" s="275"/>
      <c r="F138" s="275"/>
      <c r="G138" s="275"/>
      <c r="H138" s="275"/>
      <c r="I138" s="275"/>
      <c r="J138" s="276"/>
      <c r="K138" s="277" t="s">
        <v>187</v>
      </c>
      <c r="L138" s="278"/>
      <c r="M138" s="279"/>
      <c r="N138" s="280" t="s">
        <v>188</v>
      </c>
    </row>
    <row r="139" spans="1:16" x14ac:dyDescent="0.3">
      <c r="B139" s="272"/>
      <c r="C139" s="283" t="s">
        <v>194</v>
      </c>
      <c r="D139" s="283" t="s">
        <v>41</v>
      </c>
      <c r="E139" s="88" t="s">
        <v>42</v>
      </c>
      <c r="F139" s="88" t="s">
        <v>43</v>
      </c>
      <c r="G139" s="88" t="s">
        <v>42</v>
      </c>
      <c r="H139" s="88" t="s">
        <v>43</v>
      </c>
      <c r="I139" s="88" t="s">
        <v>42</v>
      </c>
      <c r="J139" s="88" t="s">
        <v>43</v>
      </c>
      <c r="K139" s="285" t="s">
        <v>20</v>
      </c>
      <c r="L139" s="285" t="s">
        <v>195</v>
      </c>
      <c r="M139" s="285" t="s">
        <v>196</v>
      </c>
      <c r="N139" s="281"/>
    </row>
    <row r="140" spans="1:16" x14ac:dyDescent="0.3">
      <c r="B140" s="273"/>
      <c r="C140" s="284"/>
      <c r="D140" s="284"/>
      <c r="E140" s="88" t="s">
        <v>200</v>
      </c>
      <c r="F140" s="88" t="s">
        <v>200</v>
      </c>
      <c r="G140" s="88" t="s">
        <v>201</v>
      </c>
      <c r="H140" s="88" t="s">
        <v>201</v>
      </c>
      <c r="I140" s="88" t="s">
        <v>202</v>
      </c>
      <c r="J140" s="88" t="s">
        <v>202</v>
      </c>
      <c r="K140" s="286"/>
      <c r="L140" s="286"/>
      <c r="M140" s="286"/>
      <c r="N140" s="282"/>
    </row>
    <row r="141" spans="1:16" ht="20.399999999999999" x14ac:dyDescent="0.3">
      <c r="A141" s="145" t="s">
        <v>241</v>
      </c>
      <c r="B141" s="266" t="s">
        <v>250</v>
      </c>
      <c r="C141" s="93" t="s">
        <v>237</v>
      </c>
      <c r="D141" s="93">
        <v>22.73</v>
      </c>
      <c r="E141" s="93">
        <v>149.94</v>
      </c>
      <c r="F141" s="108">
        <f>E141/25*9.81</f>
        <v>58.836456000000005</v>
      </c>
      <c r="G141" s="93">
        <v>80</v>
      </c>
      <c r="H141" s="108">
        <f>G141/25*9.81</f>
        <v>31.392000000000003</v>
      </c>
      <c r="I141" s="178">
        <v>202</v>
      </c>
      <c r="J141" s="179">
        <f>I141/25*9.81</f>
        <v>79.264800000000008</v>
      </c>
      <c r="K141" s="95">
        <v>0</v>
      </c>
      <c r="L141" s="113">
        <v>0.9</v>
      </c>
      <c r="M141" s="113">
        <v>0.1</v>
      </c>
      <c r="N141" s="96" t="s">
        <v>233</v>
      </c>
      <c r="P141" s="134" t="s">
        <v>239</v>
      </c>
    </row>
    <row r="142" spans="1:16" x14ac:dyDescent="0.3">
      <c r="A142" s="145">
        <v>16</v>
      </c>
      <c r="B142" s="266"/>
      <c r="C142" s="92" t="s">
        <v>207</v>
      </c>
      <c r="D142" s="99">
        <v>90.01</v>
      </c>
      <c r="E142" s="99">
        <v>71.36</v>
      </c>
      <c r="F142" s="108">
        <f>E142/25*9.81</f>
        <v>28.001664000000002</v>
      </c>
      <c r="G142" s="92">
        <v>63</v>
      </c>
      <c r="H142" s="108">
        <f>G142/25*9.81</f>
        <v>24.721200000000003</v>
      </c>
      <c r="I142" s="92">
        <v>84</v>
      </c>
      <c r="J142" s="109">
        <f>I142/25*9.81</f>
        <v>32.961599999999997</v>
      </c>
      <c r="K142" s="95">
        <v>0</v>
      </c>
      <c r="L142" s="129">
        <v>1</v>
      </c>
      <c r="M142" s="129">
        <v>0</v>
      </c>
      <c r="N142" s="96" t="s">
        <v>208</v>
      </c>
      <c r="P142" s="112" t="s">
        <v>236</v>
      </c>
    </row>
    <row r="143" spans="1:16" x14ac:dyDescent="0.3">
      <c r="B143" s="266"/>
      <c r="C143" s="92" t="s">
        <v>211</v>
      </c>
      <c r="D143" s="99">
        <v>24.66</v>
      </c>
      <c r="E143" s="93">
        <v>149.69</v>
      </c>
      <c r="F143" s="108">
        <f>E143/25*9.81</f>
        <v>58.738355999999996</v>
      </c>
      <c r="G143" s="93">
        <v>142</v>
      </c>
      <c r="H143" s="108">
        <f>G143/25*9.81</f>
        <v>55.720799999999997</v>
      </c>
      <c r="I143" s="102">
        <v>157</v>
      </c>
      <c r="J143" s="109">
        <f>I143/25*9.81</f>
        <v>61.606800000000007</v>
      </c>
      <c r="K143" s="95">
        <v>0</v>
      </c>
      <c r="L143" s="129">
        <v>1</v>
      </c>
      <c r="M143" s="129">
        <v>0</v>
      </c>
      <c r="N143" s="96" t="s">
        <v>208</v>
      </c>
      <c r="P143" s="112"/>
    </row>
    <row r="144" spans="1:16" ht="15" thickBot="1" x14ac:dyDescent="0.35">
      <c r="B144" s="267"/>
      <c r="C144" s="103" t="s">
        <v>211</v>
      </c>
      <c r="D144" s="103">
        <v>89.89</v>
      </c>
      <c r="E144" s="104">
        <v>86.1</v>
      </c>
      <c r="F144" s="111">
        <f>E144/25*9.81</f>
        <v>33.785640000000001</v>
      </c>
      <c r="G144" s="103">
        <v>74</v>
      </c>
      <c r="H144" s="111">
        <f>G144/25*9.81</f>
        <v>29.037600000000001</v>
      </c>
      <c r="I144" s="104">
        <v>100</v>
      </c>
      <c r="J144" s="110">
        <f>I144/25*9.81</f>
        <v>39.24</v>
      </c>
      <c r="K144" s="106">
        <v>0</v>
      </c>
      <c r="L144" s="131">
        <v>1</v>
      </c>
      <c r="M144" s="131">
        <v>0</v>
      </c>
      <c r="N144" s="107" t="s">
        <v>208</v>
      </c>
    </row>
    <row r="145" spans="1:16" ht="15" thickBot="1" x14ac:dyDescent="0.35"/>
    <row r="146" spans="1:16" x14ac:dyDescent="0.3">
      <c r="B146" s="268" t="s">
        <v>184</v>
      </c>
      <c r="C146" s="269"/>
      <c r="D146" s="269"/>
      <c r="E146" s="269"/>
      <c r="F146" s="269"/>
      <c r="G146" s="269"/>
      <c r="H146" s="269"/>
      <c r="I146" s="269"/>
      <c r="J146" s="269"/>
      <c r="K146" s="269"/>
      <c r="L146" s="269"/>
      <c r="M146" s="269"/>
      <c r="N146" s="270"/>
    </row>
    <row r="147" spans="1:16" x14ac:dyDescent="0.3">
      <c r="B147" s="271" t="s">
        <v>186</v>
      </c>
      <c r="C147" s="274"/>
      <c r="D147" s="275"/>
      <c r="E147" s="275"/>
      <c r="F147" s="275"/>
      <c r="G147" s="275"/>
      <c r="H147" s="275"/>
      <c r="I147" s="275"/>
      <c r="J147" s="276"/>
      <c r="K147" s="277" t="s">
        <v>187</v>
      </c>
      <c r="L147" s="278"/>
      <c r="M147" s="279"/>
      <c r="N147" s="280" t="s">
        <v>188</v>
      </c>
    </row>
    <row r="148" spans="1:16" x14ac:dyDescent="0.3">
      <c r="B148" s="272"/>
      <c r="C148" s="283" t="s">
        <v>194</v>
      </c>
      <c r="D148" s="283" t="s">
        <v>41</v>
      </c>
      <c r="E148" s="88" t="s">
        <v>42</v>
      </c>
      <c r="F148" s="88" t="s">
        <v>43</v>
      </c>
      <c r="G148" s="88" t="s">
        <v>42</v>
      </c>
      <c r="H148" s="88" t="s">
        <v>43</v>
      </c>
      <c r="I148" s="88" t="s">
        <v>42</v>
      </c>
      <c r="J148" s="88" t="s">
        <v>43</v>
      </c>
      <c r="K148" s="285" t="s">
        <v>20</v>
      </c>
      <c r="L148" s="285" t="s">
        <v>195</v>
      </c>
      <c r="M148" s="285" t="s">
        <v>196</v>
      </c>
      <c r="N148" s="281"/>
    </row>
    <row r="149" spans="1:16" x14ac:dyDescent="0.3">
      <c r="B149" s="273"/>
      <c r="C149" s="284"/>
      <c r="D149" s="284"/>
      <c r="E149" s="88" t="s">
        <v>200</v>
      </c>
      <c r="F149" s="88" t="s">
        <v>200</v>
      </c>
      <c r="G149" s="88" t="s">
        <v>201</v>
      </c>
      <c r="H149" s="88" t="s">
        <v>201</v>
      </c>
      <c r="I149" s="88" t="s">
        <v>202</v>
      </c>
      <c r="J149" s="88" t="s">
        <v>202</v>
      </c>
      <c r="K149" s="286"/>
      <c r="L149" s="286"/>
      <c r="M149" s="286"/>
      <c r="N149" s="282"/>
    </row>
    <row r="150" spans="1:16" x14ac:dyDescent="0.3">
      <c r="A150" s="145" t="s">
        <v>241</v>
      </c>
      <c r="B150" s="265" t="s">
        <v>244</v>
      </c>
      <c r="C150" s="92" t="s">
        <v>207</v>
      </c>
      <c r="D150" s="93">
        <v>24.56</v>
      </c>
      <c r="E150" s="93">
        <v>136.21</v>
      </c>
      <c r="F150" s="108">
        <f>E150/25*9.81</f>
        <v>53.448804000000003</v>
      </c>
      <c r="G150" s="93">
        <v>122</v>
      </c>
      <c r="H150" s="108">
        <f>G150/25*9.81</f>
        <v>47.872799999999998</v>
      </c>
      <c r="I150" s="93">
        <v>150</v>
      </c>
      <c r="J150" s="109">
        <f>I150/25*9.81</f>
        <v>58.86</v>
      </c>
      <c r="K150" s="95">
        <v>0</v>
      </c>
      <c r="L150" s="129">
        <v>1</v>
      </c>
      <c r="M150" s="129">
        <v>0</v>
      </c>
      <c r="N150" s="96" t="s">
        <v>235</v>
      </c>
    </row>
    <row r="151" spans="1:16" x14ac:dyDescent="0.3">
      <c r="A151" s="145">
        <v>17</v>
      </c>
      <c r="B151" s="266"/>
      <c r="C151" s="92" t="s">
        <v>207</v>
      </c>
      <c r="D151" s="99">
        <v>91.54</v>
      </c>
      <c r="E151" s="99">
        <v>84.48</v>
      </c>
      <c r="F151" s="108">
        <f>E151/25*9.81</f>
        <v>33.149951999999999</v>
      </c>
      <c r="G151" s="92">
        <v>73</v>
      </c>
      <c r="H151" s="108">
        <f>G151/25*9.81</f>
        <v>28.645199999999999</v>
      </c>
      <c r="I151" s="92">
        <v>99</v>
      </c>
      <c r="J151" s="109">
        <f>I151/25*9.81</f>
        <v>38.8476</v>
      </c>
      <c r="K151" s="100">
        <v>0</v>
      </c>
      <c r="L151" s="130">
        <v>1</v>
      </c>
      <c r="M151" s="130">
        <v>0</v>
      </c>
      <c r="N151" s="96" t="s">
        <v>208</v>
      </c>
      <c r="P151" s="112" t="s">
        <v>236</v>
      </c>
    </row>
    <row r="152" spans="1:16" x14ac:dyDescent="0.3">
      <c r="B152" s="266"/>
      <c r="C152" s="92" t="s">
        <v>211</v>
      </c>
      <c r="D152" s="99">
        <v>21.34</v>
      </c>
      <c r="E152" s="93">
        <v>206.7</v>
      </c>
      <c r="F152" s="108">
        <f>E152/25*9.81</f>
        <v>81.109079999999992</v>
      </c>
      <c r="G152" s="93">
        <v>147</v>
      </c>
      <c r="H152" s="108">
        <f>G152/25*9.81</f>
        <v>57.6828</v>
      </c>
      <c r="I152" s="180">
        <v>232</v>
      </c>
      <c r="J152" s="179">
        <f>I152/25*9.81</f>
        <v>91.036799999999999</v>
      </c>
      <c r="K152" s="100">
        <v>0</v>
      </c>
      <c r="L152" s="113">
        <v>0.9</v>
      </c>
      <c r="M152" s="113">
        <v>0.1</v>
      </c>
      <c r="N152" s="96" t="s">
        <v>233</v>
      </c>
      <c r="P152" s="112" t="s">
        <v>251</v>
      </c>
    </row>
    <row r="153" spans="1:16" ht="15" thickBot="1" x14ac:dyDescent="0.35">
      <c r="B153" s="267"/>
      <c r="C153" s="103" t="s">
        <v>211</v>
      </c>
      <c r="D153" s="103">
        <v>89.29</v>
      </c>
      <c r="E153" s="104">
        <v>109.77</v>
      </c>
      <c r="F153" s="111">
        <f>E153/25*9.81</f>
        <v>43.073747999999995</v>
      </c>
      <c r="G153" s="103">
        <v>81</v>
      </c>
      <c r="H153" s="111">
        <f>G153/25*9.81</f>
        <v>31.784400000000005</v>
      </c>
      <c r="I153" s="104">
        <v>128</v>
      </c>
      <c r="J153" s="110">
        <f>I153/25*9.81</f>
        <v>50.227200000000003</v>
      </c>
      <c r="K153" s="106">
        <v>0</v>
      </c>
      <c r="L153" s="131">
        <v>1</v>
      </c>
      <c r="M153" s="131">
        <v>0</v>
      </c>
      <c r="N153" s="107" t="s">
        <v>208</v>
      </c>
    </row>
    <row r="154" spans="1:16" ht="15" thickBot="1" x14ac:dyDescent="0.35"/>
    <row r="155" spans="1:16" x14ac:dyDescent="0.3">
      <c r="B155" s="268" t="s">
        <v>184</v>
      </c>
      <c r="C155" s="269"/>
      <c r="D155" s="269"/>
      <c r="E155" s="269"/>
      <c r="F155" s="269"/>
      <c r="G155" s="269"/>
      <c r="H155" s="269"/>
      <c r="I155" s="269"/>
      <c r="J155" s="269"/>
      <c r="K155" s="269"/>
      <c r="L155" s="269"/>
      <c r="M155" s="269"/>
      <c r="N155" s="270"/>
    </row>
    <row r="156" spans="1:16" x14ac:dyDescent="0.3">
      <c r="B156" s="271" t="s">
        <v>186</v>
      </c>
      <c r="C156" s="274"/>
      <c r="D156" s="275"/>
      <c r="E156" s="275"/>
      <c r="F156" s="275"/>
      <c r="G156" s="275"/>
      <c r="H156" s="275"/>
      <c r="I156" s="275"/>
      <c r="J156" s="276"/>
      <c r="K156" s="277" t="s">
        <v>187</v>
      </c>
      <c r="L156" s="278"/>
      <c r="M156" s="279"/>
      <c r="N156" s="280" t="s">
        <v>188</v>
      </c>
    </row>
    <row r="157" spans="1:16" x14ac:dyDescent="0.3">
      <c r="B157" s="272"/>
      <c r="C157" s="283" t="s">
        <v>194</v>
      </c>
      <c r="D157" s="283" t="s">
        <v>41</v>
      </c>
      <c r="E157" s="88" t="s">
        <v>42</v>
      </c>
      <c r="F157" s="88" t="s">
        <v>43</v>
      </c>
      <c r="G157" s="88" t="s">
        <v>42</v>
      </c>
      <c r="H157" s="88" t="s">
        <v>43</v>
      </c>
      <c r="I157" s="88" t="s">
        <v>42</v>
      </c>
      <c r="J157" s="88" t="s">
        <v>43</v>
      </c>
      <c r="K157" s="285" t="s">
        <v>20</v>
      </c>
      <c r="L157" s="285" t="s">
        <v>195</v>
      </c>
      <c r="M157" s="285" t="s">
        <v>196</v>
      </c>
      <c r="N157" s="281"/>
    </row>
    <row r="158" spans="1:16" x14ac:dyDescent="0.3">
      <c r="B158" s="273"/>
      <c r="C158" s="284"/>
      <c r="D158" s="284"/>
      <c r="E158" s="88" t="s">
        <v>200</v>
      </c>
      <c r="F158" s="88" t="s">
        <v>200</v>
      </c>
      <c r="G158" s="88" t="s">
        <v>201</v>
      </c>
      <c r="H158" s="88" t="s">
        <v>201</v>
      </c>
      <c r="I158" s="88" t="s">
        <v>202</v>
      </c>
      <c r="J158" s="88" t="s">
        <v>202</v>
      </c>
      <c r="K158" s="286"/>
      <c r="L158" s="286"/>
      <c r="M158" s="286"/>
      <c r="N158" s="282"/>
    </row>
    <row r="159" spans="1:16" x14ac:dyDescent="0.3">
      <c r="A159" s="145" t="s">
        <v>241</v>
      </c>
      <c r="B159" s="265" t="s">
        <v>245</v>
      </c>
      <c r="C159" s="92" t="s">
        <v>207</v>
      </c>
      <c r="D159" s="93">
        <v>23.16</v>
      </c>
      <c r="E159" s="93">
        <v>147.65</v>
      </c>
      <c r="F159" s="108">
        <f>E159/25*9.81</f>
        <v>57.937860000000008</v>
      </c>
      <c r="G159" s="93">
        <v>130</v>
      </c>
      <c r="H159" s="108">
        <f>G159/25*9.81</f>
        <v>51.012000000000008</v>
      </c>
      <c r="I159" s="93">
        <v>166</v>
      </c>
      <c r="J159" s="109">
        <f>I159/25*9.81</f>
        <v>65.138400000000004</v>
      </c>
      <c r="K159" s="95">
        <v>0</v>
      </c>
      <c r="L159" s="129">
        <v>1</v>
      </c>
      <c r="M159" s="129">
        <v>0</v>
      </c>
      <c r="N159" s="96" t="s">
        <v>235</v>
      </c>
    </row>
    <row r="160" spans="1:16" x14ac:dyDescent="0.3">
      <c r="A160" s="145">
        <v>18</v>
      </c>
      <c r="B160" s="266"/>
      <c r="C160" s="92" t="s">
        <v>207</v>
      </c>
      <c r="D160" s="99">
        <v>88.93</v>
      </c>
      <c r="E160" s="99">
        <v>75.13</v>
      </c>
      <c r="F160" s="108">
        <f>E160/25*9.81</f>
        <v>29.481012</v>
      </c>
      <c r="G160" s="136">
        <v>49</v>
      </c>
      <c r="H160" s="135">
        <f>G160/25*9.81</f>
        <v>19.227599999999999</v>
      </c>
      <c r="I160" s="92">
        <v>106</v>
      </c>
      <c r="J160" s="109">
        <f>I160/25*9.81</f>
        <v>41.594400000000007</v>
      </c>
      <c r="K160" s="100">
        <v>0</v>
      </c>
      <c r="L160" s="130">
        <v>1</v>
      </c>
      <c r="M160" s="130">
        <v>0</v>
      </c>
      <c r="N160" s="96" t="s">
        <v>208</v>
      </c>
      <c r="P160" s="112" t="s">
        <v>236</v>
      </c>
    </row>
    <row r="161" spans="1:16" x14ac:dyDescent="0.3">
      <c r="B161" s="266"/>
      <c r="C161" s="92" t="s">
        <v>211</v>
      </c>
      <c r="D161" s="99">
        <v>21.36</v>
      </c>
      <c r="E161" s="93">
        <v>171.12</v>
      </c>
      <c r="F161" s="108">
        <f>E161/25*9.81</f>
        <v>67.14748800000001</v>
      </c>
      <c r="G161" s="93">
        <v>83</v>
      </c>
      <c r="H161" s="108">
        <f>G161/25*9.81</f>
        <v>32.569200000000002</v>
      </c>
      <c r="I161" s="180">
        <v>214</v>
      </c>
      <c r="J161" s="179">
        <f>I161/25*9.81</f>
        <v>83.973600000000005</v>
      </c>
      <c r="K161" s="100">
        <v>0</v>
      </c>
      <c r="L161" s="113">
        <v>0.9</v>
      </c>
      <c r="M161" s="113">
        <v>0.1</v>
      </c>
      <c r="N161" s="96" t="s">
        <v>233</v>
      </c>
      <c r="P161" s="112"/>
    </row>
    <row r="162" spans="1:16" ht="15" thickBot="1" x14ac:dyDescent="0.35">
      <c r="B162" s="267"/>
      <c r="C162" s="103" t="s">
        <v>211</v>
      </c>
      <c r="D162" s="103">
        <v>89.79</v>
      </c>
      <c r="E162" s="104">
        <v>71.680000000000007</v>
      </c>
      <c r="F162" s="111">
        <f>E162/25*9.81</f>
        <v>28.127232000000006</v>
      </c>
      <c r="G162" s="103">
        <v>57</v>
      </c>
      <c r="H162" s="111">
        <f>G162/25*9.81</f>
        <v>22.366799999999998</v>
      </c>
      <c r="I162" s="104">
        <v>89</v>
      </c>
      <c r="J162" s="110">
        <f>I162/25*9.81</f>
        <v>34.9236</v>
      </c>
      <c r="K162" s="106">
        <v>0</v>
      </c>
      <c r="L162" s="131">
        <v>1</v>
      </c>
      <c r="M162" s="131">
        <v>0</v>
      </c>
      <c r="N162" s="107" t="s">
        <v>208</v>
      </c>
    </row>
    <row r="163" spans="1:16" ht="15" thickBot="1" x14ac:dyDescent="0.35"/>
    <row r="164" spans="1:16" x14ac:dyDescent="0.3">
      <c r="B164" s="268" t="s">
        <v>184</v>
      </c>
      <c r="C164" s="269"/>
      <c r="D164" s="269"/>
      <c r="E164" s="269"/>
      <c r="F164" s="269"/>
      <c r="G164" s="269"/>
      <c r="H164" s="269"/>
      <c r="I164" s="269"/>
      <c r="J164" s="269"/>
      <c r="K164" s="269"/>
      <c r="L164" s="269"/>
      <c r="M164" s="269"/>
      <c r="N164" s="270"/>
    </row>
    <row r="165" spans="1:16" x14ac:dyDescent="0.3">
      <c r="B165" s="271" t="s">
        <v>186</v>
      </c>
      <c r="C165" s="274"/>
      <c r="D165" s="275"/>
      <c r="E165" s="275"/>
      <c r="F165" s="275"/>
      <c r="G165" s="275"/>
      <c r="H165" s="275"/>
      <c r="I165" s="275"/>
      <c r="J165" s="276"/>
      <c r="K165" s="277" t="s">
        <v>187</v>
      </c>
      <c r="L165" s="278"/>
      <c r="M165" s="279"/>
      <c r="N165" s="280" t="s">
        <v>188</v>
      </c>
    </row>
    <row r="166" spans="1:16" x14ac:dyDescent="0.3">
      <c r="B166" s="272"/>
      <c r="C166" s="283" t="s">
        <v>194</v>
      </c>
      <c r="D166" s="283" t="s">
        <v>41</v>
      </c>
      <c r="E166" s="88" t="s">
        <v>42</v>
      </c>
      <c r="F166" s="88" t="s">
        <v>43</v>
      </c>
      <c r="G166" s="88" t="s">
        <v>42</v>
      </c>
      <c r="H166" s="88" t="s">
        <v>43</v>
      </c>
      <c r="I166" s="88" t="s">
        <v>42</v>
      </c>
      <c r="J166" s="88" t="s">
        <v>43</v>
      </c>
      <c r="K166" s="285" t="s">
        <v>20</v>
      </c>
      <c r="L166" s="285" t="s">
        <v>195</v>
      </c>
      <c r="M166" s="285" t="s">
        <v>196</v>
      </c>
      <c r="N166" s="281"/>
    </row>
    <row r="167" spans="1:16" x14ac:dyDescent="0.3">
      <c r="A167" s="145" t="s">
        <v>241</v>
      </c>
      <c r="B167" s="273"/>
      <c r="C167" s="284"/>
      <c r="D167" s="284"/>
      <c r="E167" s="88" t="s">
        <v>200</v>
      </c>
      <c r="F167" s="88" t="s">
        <v>200</v>
      </c>
      <c r="G167" s="88" t="s">
        <v>201</v>
      </c>
      <c r="H167" s="88" t="s">
        <v>201</v>
      </c>
      <c r="I167" s="88" t="s">
        <v>202</v>
      </c>
      <c r="J167" s="88" t="s">
        <v>202</v>
      </c>
      <c r="K167" s="286"/>
      <c r="L167" s="286"/>
      <c r="M167" s="286"/>
      <c r="N167" s="282"/>
    </row>
    <row r="168" spans="1:16" x14ac:dyDescent="0.3">
      <c r="A168" s="145">
        <v>19</v>
      </c>
      <c r="B168" s="265" t="s">
        <v>246</v>
      </c>
      <c r="C168" s="92" t="s">
        <v>207</v>
      </c>
      <c r="D168" s="93">
        <v>23.69</v>
      </c>
      <c r="E168" s="93">
        <v>142.68</v>
      </c>
      <c r="F168" s="108">
        <f>E168/25*9.81</f>
        <v>55.987632000000005</v>
      </c>
      <c r="G168" s="93">
        <v>80</v>
      </c>
      <c r="H168" s="108">
        <f>G168/25*9.81</f>
        <v>31.392000000000003</v>
      </c>
      <c r="I168" s="178">
        <v>179</v>
      </c>
      <c r="J168" s="179">
        <f>I168/25*9.81</f>
        <v>70.23960000000001</v>
      </c>
      <c r="K168" s="95">
        <v>0</v>
      </c>
      <c r="L168" s="113">
        <v>0.9</v>
      </c>
      <c r="M168" s="113">
        <v>0.1</v>
      </c>
      <c r="N168" s="96" t="s">
        <v>233</v>
      </c>
    </row>
    <row r="169" spans="1:16" x14ac:dyDescent="0.3">
      <c r="B169" s="266"/>
      <c r="C169" s="92" t="s">
        <v>207</v>
      </c>
      <c r="D169" s="99">
        <v>88.96</v>
      </c>
      <c r="E169" s="99">
        <v>83.96</v>
      </c>
      <c r="F169" s="108">
        <f>E169/25*9.81</f>
        <v>32.945903999999999</v>
      </c>
      <c r="G169" s="136">
        <v>71</v>
      </c>
      <c r="H169" s="135">
        <f>G169/25*9.81</f>
        <v>27.860399999999998</v>
      </c>
      <c r="I169" s="92">
        <v>99</v>
      </c>
      <c r="J169" s="109">
        <f>I169/25*9.81</f>
        <v>38.8476</v>
      </c>
      <c r="K169" s="100">
        <v>0</v>
      </c>
      <c r="L169" s="130">
        <v>1</v>
      </c>
      <c r="M169" s="130">
        <v>0</v>
      </c>
      <c r="N169" s="96" t="s">
        <v>208</v>
      </c>
      <c r="P169" s="112" t="s">
        <v>236</v>
      </c>
    </row>
    <row r="170" spans="1:16" x14ac:dyDescent="0.3">
      <c r="B170" s="266"/>
      <c r="C170" s="92" t="s">
        <v>211</v>
      </c>
      <c r="D170" s="99">
        <v>24.71</v>
      </c>
      <c r="E170" s="93">
        <v>168.93</v>
      </c>
      <c r="F170" s="108">
        <f>E170/25*9.81</f>
        <v>66.288132000000004</v>
      </c>
      <c r="G170" s="93">
        <v>74</v>
      </c>
      <c r="H170" s="108">
        <f>G170/25*9.81</f>
        <v>29.037600000000001</v>
      </c>
      <c r="I170" s="180">
        <v>213</v>
      </c>
      <c r="J170" s="179">
        <f>I170/25*9.81</f>
        <v>83.581199999999995</v>
      </c>
      <c r="K170" s="100">
        <v>0</v>
      </c>
      <c r="L170" s="113">
        <v>0.9</v>
      </c>
      <c r="M170" s="113">
        <v>0.1</v>
      </c>
      <c r="N170" s="96" t="s">
        <v>233</v>
      </c>
      <c r="P170" s="112"/>
    </row>
    <row r="171" spans="1:16" ht="15" thickBot="1" x14ac:dyDescent="0.35">
      <c r="B171" s="267"/>
      <c r="C171" s="103" t="s">
        <v>211</v>
      </c>
      <c r="D171" s="103">
        <v>89.58</v>
      </c>
      <c r="E171" s="104">
        <v>76.94</v>
      </c>
      <c r="F171" s="111">
        <f>E171/25*9.81</f>
        <v>30.191255999999999</v>
      </c>
      <c r="G171" s="103">
        <v>64</v>
      </c>
      <c r="H171" s="111">
        <f>G171/25*9.81</f>
        <v>25.113600000000002</v>
      </c>
      <c r="I171" s="104">
        <v>88</v>
      </c>
      <c r="J171" s="110">
        <f>I171/25*9.81</f>
        <v>34.531200000000005</v>
      </c>
      <c r="K171" s="106">
        <v>0</v>
      </c>
      <c r="L171" s="131">
        <v>1</v>
      </c>
      <c r="M171" s="131">
        <v>0</v>
      </c>
      <c r="N171" s="107" t="s">
        <v>208</v>
      </c>
    </row>
    <row r="172" spans="1:16" ht="15" thickBot="1" x14ac:dyDescent="0.35"/>
    <row r="173" spans="1:16" x14ac:dyDescent="0.3">
      <c r="B173" s="268" t="s">
        <v>184</v>
      </c>
      <c r="C173" s="269"/>
      <c r="D173" s="269"/>
      <c r="E173" s="269"/>
      <c r="F173" s="269"/>
      <c r="G173" s="269"/>
      <c r="H173" s="269"/>
      <c r="I173" s="269"/>
      <c r="J173" s="269"/>
      <c r="K173" s="269"/>
      <c r="L173" s="269"/>
      <c r="M173" s="269"/>
      <c r="N173" s="270"/>
    </row>
    <row r="174" spans="1:16" x14ac:dyDescent="0.3">
      <c r="B174" s="271" t="s">
        <v>186</v>
      </c>
      <c r="C174" s="274"/>
      <c r="D174" s="275"/>
      <c r="E174" s="275"/>
      <c r="F174" s="275"/>
      <c r="G174" s="275"/>
      <c r="H174" s="275"/>
      <c r="I174" s="275"/>
      <c r="J174" s="276"/>
      <c r="K174" s="277" t="s">
        <v>187</v>
      </c>
      <c r="L174" s="278"/>
      <c r="M174" s="279"/>
      <c r="N174" s="280" t="s">
        <v>188</v>
      </c>
    </row>
    <row r="175" spans="1:16" x14ac:dyDescent="0.3">
      <c r="B175" s="272"/>
      <c r="C175" s="283" t="s">
        <v>194</v>
      </c>
      <c r="D175" s="283" t="s">
        <v>41</v>
      </c>
      <c r="E175" s="88" t="s">
        <v>42</v>
      </c>
      <c r="F175" s="88" t="s">
        <v>43</v>
      </c>
      <c r="G175" s="88" t="s">
        <v>42</v>
      </c>
      <c r="H175" s="88" t="s">
        <v>43</v>
      </c>
      <c r="I175" s="88" t="s">
        <v>42</v>
      </c>
      <c r="J175" s="88" t="s">
        <v>43</v>
      </c>
      <c r="K175" s="285" t="s">
        <v>20</v>
      </c>
      <c r="L175" s="285" t="s">
        <v>195</v>
      </c>
      <c r="M175" s="285" t="s">
        <v>196</v>
      </c>
      <c r="N175" s="281"/>
    </row>
    <row r="176" spans="1:16" x14ac:dyDescent="0.3">
      <c r="B176" s="273"/>
      <c r="C176" s="284"/>
      <c r="D176" s="284"/>
      <c r="E176" s="88" t="s">
        <v>200</v>
      </c>
      <c r="F176" s="88" t="s">
        <v>200</v>
      </c>
      <c r="G176" s="88" t="s">
        <v>201</v>
      </c>
      <c r="H176" s="88" t="s">
        <v>201</v>
      </c>
      <c r="I176" s="88" t="s">
        <v>202</v>
      </c>
      <c r="J176" s="88" t="s">
        <v>202</v>
      </c>
      <c r="K176" s="286"/>
      <c r="L176" s="286"/>
      <c r="M176" s="286"/>
      <c r="N176" s="282"/>
    </row>
    <row r="177" spans="1:16" x14ac:dyDescent="0.3">
      <c r="A177" s="145" t="s">
        <v>241</v>
      </c>
      <c r="B177" s="265" t="s">
        <v>247</v>
      </c>
      <c r="C177" s="92" t="s">
        <v>207</v>
      </c>
      <c r="D177" s="93">
        <v>24.02</v>
      </c>
      <c r="E177" s="93">
        <v>134.91</v>
      </c>
      <c r="F177" s="108">
        <f>E177/25*9.81</f>
        <v>52.938684000000002</v>
      </c>
      <c r="G177" s="93">
        <v>83</v>
      </c>
      <c r="H177" s="108">
        <f>G177/25*9.81</f>
        <v>32.569200000000002</v>
      </c>
      <c r="I177" s="93">
        <v>155</v>
      </c>
      <c r="J177" s="109">
        <f>I177/25*9.81</f>
        <v>60.822000000000003</v>
      </c>
      <c r="K177" s="95">
        <v>0</v>
      </c>
      <c r="L177" s="130">
        <v>1</v>
      </c>
      <c r="M177" s="130">
        <v>0</v>
      </c>
      <c r="N177" s="96" t="s">
        <v>208</v>
      </c>
    </row>
    <row r="178" spans="1:16" x14ac:dyDescent="0.3">
      <c r="A178" s="145">
        <v>20</v>
      </c>
      <c r="B178" s="266"/>
      <c r="C178" s="92" t="s">
        <v>207</v>
      </c>
      <c r="D178" s="99">
        <v>88.71</v>
      </c>
      <c r="E178" s="99">
        <v>84.81</v>
      </c>
      <c r="F178" s="108">
        <f>E178/25*9.81</f>
        <v>33.279444000000005</v>
      </c>
      <c r="G178" s="136">
        <v>66</v>
      </c>
      <c r="H178" s="135">
        <f>G178/25*9.81</f>
        <v>25.898400000000002</v>
      </c>
      <c r="I178" s="92">
        <v>106</v>
      </c>
      <c r="J178" s="109">
        <f>I178/25*9.81</f>
        <v>41.594400000000007</v>
      </c>
      <c r="K178" s="100">
        <v>0</v>
      </c>
      <c r="L178" s="130">
        <v>1</v>
      </c>
      <c r="M178" s="130">
        <v>0</v>
      </c>
      <c r="N178" s="96" t="s">
        <v>208</v>
      </c>
      <c r="P178" s="112" t="s">
        <v>236</v>
      </c>
    </row>
    <row r="179" spans="1:16" x14ac:dyDescent="0.3">
      <c r="B179" s="266"/>
      <c r="C179" s="92" t="s">
        <v>211</v>
      </c>
      <c r="D179" s="99">
        <v>23.04</v>
      </c>
      <c r="E179" s="93">
        <v>114.68</v>
      </c>
      <c r="F179" s="108">
        <f>E179/25*9.81</f>
        <v>45.000432000000004</v>
      </c>
      <c r="G179" s="93">
        <v>99</v>
      </c>
      <c r="H179" s="108">
        <f>G179/25*9.81</f>
        <v>38.8476</v>
      </c>
      <c r="I179" s="102">
        <v>130</v>
      </c>
      <c r="J179" s="109">
        <f>I179/25*9.81</f>
        <v>51.012000000000008</v>
      </c>
      <c r="K179" s="100">
        <v>0</v>
      </c>
      <c r="L179" s="130">
        <v>1</v>
      </c>
      <c r="M179" s="130">
        <v>0</v>
      </c>
      <c r="N179" s="96" t="s">
        <v>208</v>
      </c>
      <c r="P179" s="112"/>
    </row>
    <row r="180" spans="1:16" ht="15" thickBot="1" x14ac:dyDescent="0.35">
      <c r="B180" s="267"/>
      <c r="C180" s="103" t="s">
        <v>211</v>
      </c>
      <c r="D180" s="103">
        <v>89.99</v>
      </c>
      <c r="E180" s="104">
        <v>75.930000000000007</v>
      </c>
      <c r="F180" s="111">
        <f>E180/25*9.81</f>
        <v>29.794932000000006</v>
      </c>
      <c r="G180" s="103">
        <v>67</v>
      </c>
      <c r="H180" s="111">
        <f>G180/25*9.81</f>
        <v>26.290800000000004</v>
      </c>
      <c r="I180" s="104">
        <v>85</v>
      </c>
      <c r="J180" s="110">
        <f>I180/25*9.81</f>
        <v>33.353999999999999</v>
      </c>
      <c r="K180" s="106">
        <v>0</v>
      </c>
      <c r="L180" s="131">
        <v>1</v>
      </c>
      <c r="M180" s="131">
        <v>0</v>
      </c>
      <c r="N180" s="107" t="s">
        <v>208</v>
      </c>
    </row>
    <row r="181" spans="1:16" ht="15" thickBot="1" x14ac:dyDescent="0.35"/>
    <row r="182" spans="1:16" x14ac:dyDescent="0.3">
      <c r="B182" s="268" t="s">
        <v>184</v>
      </c>
      <c r="C182" s="269"/>
      <c r="D182" s="269"/>
      <c r="E182" s="269"/>
      <c r="F182" s="269"/>
      <c r="G182" s="269"/>
      <c r="H182" s="269"/>
      <c r="I182" s="269"/>
      <c r="J182" s="269"/>
      <c r="K182" s="269"/>
      <c r="L182" s="269"/>
      <c r="M182" s="269"/>
      <c r="N182" s="270"/>
    </row>
    <row r="183" spans="1:16" x14ac:dyDescent="0.3">
      <c r="B183" s="271" t="s">
        <v>186</v>
      </c>
      <c r="C183" s="274"/>
      <c r="D183" s="275"/>
      <c r="E183" s="275"/>
      <c r="F183" s="275"/>
      <c r="G183" s="275"/>
      <c r="H183" s="275"/>
      <c r="I183" s="275"/>
      <c r="J183" s="276"/>
      <c r="K183" s="277" t="s">
        <v>187</v>
      </c>
      <c r="L183" s="278"/>
      <c r="M183" s="279"/>
      <c r="N183" s="280" t="s">
        <v>188</v>
      </c>
    </row>
    <row r="184" spans="1:16" x14ac:dyDescent="0.3">
      <c r="B184" s="272"/>
      <c r="C184" s="283" t="s">
        <v>194</v>
      </c>
      <c r="D184" s="283" t="s">
        <v>41</v>
      </c>
      <c r="E184" s="88" t="s">
        <v>42</v>
      </c>
      <c r="F184" s="88" t="s">
        <v>43</v>
      </c>
      <c r="G184" s="88" t="s">
        <v>42</v>
      </c>
      <c r="H184" s="88" t="s">
        <v>43</v>
      </c>
      <c r="I184" s="88" t="s">
        <v>42</v>
      </c>
      <c r="J184" s="88" t="s">
        <v>43</v>
      </c>
      <c r="K184" s="285" t="s">
        <v>20</v>
      </c>
      <c r="L184" s="285" t="s">
        <v>195</v>
      </c>
      <c r="M184" s="285" t="s">
        <v>196</v>
      </c>
      <c r="N184" s="281"/>
    </row>
    <row r="185" spans="1:16" x14ac:dyDescent="0.3">
      <c r="A185" s="145" t="s">
        <v>241</v>
      </c>
      <c r="B185" s="273"/>
      <c r="C185" s="284"/>
      <c r="D185" s="284"/>
      <c r="E185" s="88" t="s">
        <v>200</v>
      </c>
      <c r="F185" s="88" t="s">
        <v>200</v>
      </c>
      <c r="G185" s="88" t="s">
        <v>201</v>
      </c>
      <c r="H185" s="88" t="s">
        <v>201</v>
      </c>
      <c r="I185" s="88" t="s">
        <v>202</v>
      </c>
      <c r="J185" s="88" t="s">
        <v>202</v>
      </c>
      <c r="K185" s="286"/>
      <c r="L185" s="286"/>
      <c r="M185" s="286"/>
      <c r="N185" s="282"/>
    </row>
    <row r="186" spans="1:16" x14ac:dyDescent="0.3">
      <c r="A186" s="145">
        <v>21</v>
      </c>
      <c r="B186" s="265" t="s">
        <v>248</v>
      </c>
      <c r="C186" s="92" t="s">
        <v>207</v>
      </c>
      <c r="D186" s="93">
        <v>24.87</v>
      </c>
      <c r="E186" s="93">
        <v>142.43</v>
      </c>
      <c r="F186" s="108">
        <f>E186/25*9.81</f>
        <v>55.88953200000001</v>
      </c>
      <c r="G186" s="93">
        <v>127</v>
      </c>
      <c r="H186" s="108">
        <f>G186/25*9.81</f>
        <v>49.834800000000001</v>
      </c>
      <c r="I186" s="93">
        <v>160</v>
      </c>
      <c r="J186" s="109">
        <f>I186/25*9.81</f>
        <v>62.784000000000006</v>
      </c>
      <c r="K186" s="95">
        <v>0</v>
      </c>
      <c r="L186" s="130">
        <v>1</v>
      </c>
      <c r="M186" s="130">
        <v>0</v>
      </c>
      <c r="N186" s="96" t="s">
        <v>208</v>
      </c>
    </row>
    <row r="187" spans="1:16" x14ac:dyDescent="0.3">
      <c r="B187" s="266"/>
      <c r="C187" s="92" t="s">
        <v>207</v>
      </c>
      <c r="D187" s="99">
        <v>88.89</v>
      </c>
      <c r="E187" s="99">
        <v>103.68</v>
      </c>
      <c r="F187" s="108">
        <f>E187/25*9.81</f>
        <v>40.684032000000009</v>
      </c>
      <c r="G187" s="136">
        <v>53</v>
      </c>
      <c r="H187" s="135">
        <f>G187/25*9.81</f>
        <v>20.797200000000004</v>
      </c>
      <c r="I187" s="92">
        <v>121</v>
      </c>
      <c r="J187" s="109">
        <f>I187/25*9.81</f>
        <v>47.480400000000003</v>
      </c>
      <c r="K187" s="100">
        <v>0</v>
      </c>
      <c r="L187" s="130">
        <v>1</v>
      </c>
      <c r="M187" s="130">
        <v>0</v>
      </c>
      <c r="N187" s="96" t="s">
        <v>208</v>
      </c>
      <c r="P187" s="112" t="s">
        <v>236</v>
      </c>
    </row>
    <row r="188" spans="1:16" x14ac:dyDescent="0.3">
      <c r="B188" s="266"/>
      <c r="C188" s="92" t="s">
        <v>211</v>
      </c>
      <c r="D188" s="99">
        <v>22.56</v>
      </c>
      <c r="E188" s="93">
        <v>160.56</v>
      </c>
      <c r="F188" s="108">
        <f>E188/25*9.81</f>
        <v>63.003743999999998</v>
      </c>
      <c r="G188" s="93">
        <v>66</v>
      </c>
      <c r="H188" s="108">
        <f>G188/25*9.81</f>
        <v>25.898400000000002</v>
      </c>
      <c r="I188" s="180">
        <v>205</v>
      </c>
      <c r="J188" s="179">
        <f>I188/25*9.81</f>
        <v>80.441999999999993</v>
      </c>
      <c r="K188" s="100">
        <v>0</v>
      </c>
      <c r="L188" s="113">
        <v>0.9</v>
      </c>
      <c r="M188" s="113">
        <v>0.1</v>
      </c>
      <c r="N188" s="96" t="s">
        <v>233</v>
      </c>
      <c r="P188" s="112"/>
    </row>
    <row r="189" spans="1:16" ht="15" thickBot="1" x14ac:dyDescent="0.35">
      <c r="B189" s="267"/>
      <c r="C189" s="103" t="s">
        <v>211</v>
      </c>
      <c r="D189" s="103">
        <v>89.63</v>
      </c>
      <c r="E189" s="104">
        <v>74.77</v>
      </c>
      <c r="F189" s="111">
        <f>E189/25*9.81</f>
        <v>29.339747999999997</v>
      </c>
      <c r="G189" s="103">
        <v>61</v>
      </c>
      <c r="H189" s="111">
        <f>G189/25*9.81</f>
        <v>23.936399999999999</v>
      </c>
      <c r="I189" s="104">
        <v>87</v>
      </c>
      <c r="J189" s="110">
        <f>I189/25*9.81</f>
        <v>34.138800000000003</v>
      </c>
      <c r="K189" s="106">
        <v>0</v>
      </c>
      <c r="L189" s="131">
        <v>1</v>
      </c>
      <c r="M189" s="131">
        <v>0</v>
      </c>
      <c r="N189" s="107" t="s">
        <v>208</v>
      </c>
    </row>
    <row r="190" spans="1:16" ht="15" thickBot="1" x14ac:dyDescent="0.35"/>
    <row r="191" spans="1:16" x14ac:dyDescent="0.3">
      <c r="B191" s="268" t="s">
        <v>184</v>
      </c>
      <c r="C191" s="269"/>
      <c r="D191" s="269"/>
      <c r="E191" s="269"/>
      <c r="F191" s="269"/>
      <c r="G191" s="269"/>
      <c r="H191" s="269"/>
      <c r="I191" s="269"/>
      <c r="J191" s="269"/>
      <c r="K191" s="269"/>
      <c r="L191" s="269"/>
      <c r="M191" s="269"/>
      <c r="N191" s="270"/>
    </row>
    <row r="192" spans="1:16" x14ac:dyDescent="0.3">
      <c r="B192" s="271" t="s">
        <v>186</v>
      </c>
      <c r="C192" s="274"/>
      <c r="D192" s="275"/>
      <c r="E192" s="275"/>
      <c r="F192" s="275"/>
      <c r="G192" s="275"/>
      <c r="H192" s="275"/>
      <c r="I192" s="275"/>
      <c r="J192" s="276"/>
      <c r="K192" s="277" t="s">
        <v>187</v>
      </c>
      <c r="L192" s="278"/>
      <c r="M192" s="279"/>
      <c r="N192" s="280" t="s">
        <v>188</v>
      </c>
    </row>
    <row r="193" spans="1:16" x14ac:dyDescent="0.3">
      <c r="B193" s="272"/>
      <c r="C193" s="283" t="s">
        <v>194</v>
      </c>
      <c r="D193" s="283" t="s">
        <v>41</v>
      </c>
      <c r="E193" s="88" t="s">
        <v>42</v>
      </c>
      <c r="F193" s="88" t="s">
        <v>43</v>
      </c>
      <c r="G193" s="88" t="s">
        <v>42</v>
      </c>
      <c r="H193" s="88" t="s">
        <v>43</v>
      </c>
      <c r="I193" s="88" t="s">
        <v>42</v>
      </c>
      <c r="J193" s="88" t="s">
        <v>43</v>
      </c>
      <c r="K193" s="285" t="s">
        <v>20</v>
      </c>
      <c r="L193" s="285" t="s">
        <v>195</v>
      </c>
      <c r="M193" s="285" t="s">
        <v>196</v>
      </c>
      <c r="N193" s="281"/>
    </row>
    <row r="194" spans="1:16" x14ac:dyDescent="0.3">
      <c r="A194" s="145" t="s">
        <v>241</v>
      </c>
      <c r="B194" s="273"/>
      <c r="C194" s="284"/>
      <c r="D194" s="284"/>
      <c r="E194" s="88" t="s">
        <v>200</v>
      </c>
      <c r="F194" s="88" t="s">
        <v>200</v>
      </c>
      <c r="G194" s="88" t="s">
        <v>201</v>
      </c>
      <c r="H194" s="88" t="s">
        <v>201</v>
      </c>
      <c r="I194" s="88" t="s">
        <v>202</v>
      </c>
      <c r="J194" s="88" t="s">
        <v>202</v>
      </c>
      <c r="K194" s="286"/>
      <c r="L194" s="286"/>
      <c r="M194" s="286"/>
      <c r="N194" s="282"/>
    </row>
    <row r="195" spans="1:16" x14ac:dyDescent="0.3">
      <c r="A195" s="145">
        <v>22</v>
      </c>
      <c r="B195" s="265" t="s">
        <v>252</v>
      </c>
      <c r="C195" s="92" t="s">
        <v>207</v>
      </c>
      <c r="D195" s="93">
        <v>25.16</v>
      </c>
      <c r="E195" s="93">
        <v>149.07</v>
      </c>
      <c r="F195" s="108">
        <f>E195/25*9.81</f>
        <v>58.495067999999996</v>
      </c>
      <c r="G195" s="93">
        <v>89</v>
      </c>
      <c r="H195" s="108">
        <f>G195/25*9.81</f>
        <v>34.9236</v>
      </c>
      <c r="I195" s="178">
        <v>201</v>
      </c>
      <c r="J195" s="179">
        <f>I195/25*9.81</f>
        <v>78.872399999999999</v>
      </c>
      <c r="K195" s="95">
        <v>0</v>
      </c>
      <c r="L195" s="113">
        <v>0.9</v>
      </c>
      <c r="M195" s="113">
        <v>0.1</v>
      </c>
      <c r="N195" s="96" t="s">
        <v>233</v>
      </c>
    </row>
    <row r="196" spans="1:16" x14ac:dyDescent="0.3">
      <c r="B196" s="266"/>
      <c r="C196" s="92" t="s">
        <v>207</v>
      </c>
      <c r="D196" s="99">
        <v>91.74</v>
      </c>
      <c r="E196" s="99">
        <v>110.36</v>
      </c>
      <c r="F196" s="108">
        <f>E196/25*9.81</f>
        <v>43.305264000000001</v>
      </c>
      <c r="G196" s="136">
        <v>102</v>
      </c>
      <c r="H196" s="135">
        <f>G196/25*9.81</f>
        <v>40.024800000000006</v>
      </c>
      <c r="I196" s="92">
        <v>116</v>
      </c>
      <c r="J196" s="109">
        <f>I196/25*9.81</f>
        <v>45.5184</v>
      </c>
      <c r="K196" s="100">
        <v>0</v>
      </c>
      <c r="L196" s="130">
        <v>1</v>
      </c>
      <c r="M196" s="130">
        <v>0</v>
      </c>
      <c r="N196" s="96" t="s">
        <v>208</v>
      </c>
      <c r="P196" s="112" t="s">
        <v>251</v>
      </c>
    </row>
    <row r="197" spans="1:16" x14ac:dyDescent="0.3">
      <c r="B197" s="266"/>
      <c r="C197" s="92" t="s">
        <v>211</v>
      </c>
      <c r="D197" s="99">
        <v>23.43</v>
      </c>
      <c r="E197" s="93">
        <v>148.91999999999999</v>
      </c>
      <c r="F197" s="108">
        <f>E197/25*9.81</f>
        <v>58.436208000000001</v>
      </c>
      <c r="G197" s="93">
        <v>141</v>
      </c>
      <c r="H197" s="108">
        <f>G197/25*9.81</f>
        <v>55.328400000000002</v>
      </c>
      <c r="I197" s="102">
        <v>161</v>
      </c>
      <c r="J197" s="109">
        <f>I197/25*9.81</f>
        <v>63.176400000000008</v>
      </c>
      <c r="K197" s="100">
        <v>0</v>
      </c>
      <c r="L197" s="130">
        <v>1</v>
      </c>
      <c r="M197" s="130">
        <v>0</v>
      </c>
      <c r="N197" s="96" t="s">
        <v>208</v>
      </c>
      <c r="P197" s="112"/>
    </row>
    <row r="198" spans="1:16" ht="15" thickBot="1" x14ac:dyDescent="0.35">
      <c r="B198" s="267"/>
      <c r="C198" s="103" t="s">
        <v>211</v>
      </c>
      <c r="D198" s="103">
        <v>88.77</v>
      </c>
      <c r="E198" s="104">
        <v>71.040000000000006</v>
      </c>
      <c r="F198" s="111">
        <f>E198/25*9.81</f>
        <v>27.876096000000004</v>
      </c>
      <c r="G198" s="143">
        <v>35</v>
      </c>
      <c r="H198" s="144">
        <f>G198/25*9.81</f>
        <v>13.734</v>
      </c>
      <c r="I198" s="104">
        <v>83</v>
      </c>
      <c r="J198" s="110">
        <f>I198/25*9.81</f>
        <v>32.569200000000002</v>
      </c>
      <c r="K198" s="106">
        <v>0</v>
      </c>
      <c r="L198" s="131">
        <v>1</v>
      </c>
      <c r="M198" s="131">
        <v>0</v>
      </c>
      <c r="N198" s="107" t="s">
        <v>208</v>
      </c>
    </row>
    <row r="199" spans="1:16" ht="15" thickBot="1" x14ac:dyDescent="0.35"/>
    <row r="200" spans="1:16" x14ac:dyDescent="0.3">
      <c r="B200" s="268" t="s">
        <v>184</v>
      </c>
      <c r="C200" s="269"/>
      <c r="D200" s="269"/>
      <c r="E200" s="269"/>
      <c r="F200" s="269"/>
      <c r="G200" s="269"/>
      <c r="H200" s="269"/>
      <c r="I200" s="269"/>
      <c r="J200" s="269"/>
      <c r="K200" s="269"/>
      <c r="L200" s="269"/>
      <c r="M200" s="269"/>
      <c r="N200" s="270"/>
    </row>
    <row r="201" spans="1:16" x14ac:dyDescent="0.3">
      <c r="B201" s="271" t="s">
        <v>186</v>
      </c>
      <c r="C201" s="274"/>
      <c r="D201" s="275"/>
      <c r="E201" s="275"/>
      <c r="F201" s="275"/>
      <c r="G201" s="275"/>
      <c r="H201" s="275"/>
      <c r="I201" s="275"/>
      <c r="J201" s="276"/>
      <c r="K201" s="277" t="s">
        <v>187</v>
      </c>
      <c r="L201" s="278"/>
      <c r="M201" s="279"/>
      <c r="N201" s="280" t="s">
        <v>188</v>
      </c>
    </row>
    <row r="202" spans="1:16" x14ac:dyDescent="0.3">
      <c r="B202" s="272"/>
      <c r="C202" s="283" t="s">
        <v>194</v>
      </c>
      <c r="D202" s="283" t="s">
        <v>41</v>
      </c>
      <c r="E202" s="88" t="s">
        <v>42</v>
      </c>
      <c r="F202" s="88" t="s">
        <v>43</v>
      </c>
      <c r="G202" s="88" t="s">
        <v>42</v>
      </c>
      <c r="H202" s="88" t="s">
        <v>43</v>
      </c>
      <c r="I202" s="88" t="s">
        <v>42</v>
      </c>
      <c r="J202" s="88" t="s">
        <v>43</v>
      </c>
      <c r="K202" s="285" t="s">
        <v>20</v>
      </c>
      <c r="L202" s="285" t="s">
        <v>195</v>
      </c>
      <c r="M202" s="285" t="s">
        <v>196</v>
      </c>
      <c r="N202" s="281"/>
    </row>
    <row r="203" spans="1:16" x14ac:dyDescent="0.3">
      <c r="A203" s="145" t="s">
        <v>241</v>
      </c>
      <c r="B203" s="273"/>
      <c r="C203" s="284"/>
      <c r="D203" s="284"/>
      <c r="E203" s="88" t="s">
        <v>200</v>
      </c>
      <c r="F203" s="88" t="s">
        <v>200</v>
      </c>
      <c r="G203" s="88" t="s">
        <v>201</v>
      </c>
      <c r="H203" s="88" t="s">
        <v>201</v>
      </c>
      <c r="I203" s="88" t="s">
        <v>202</v>
      </c>
      <c r="J203" s="88" t="s">
        <v>202</v>
      </c>
      <c r="K203" s="286"/>
      <c r="L203" s="286"/>
      <c r="M203" s="286"/>
      <c r="N203" s="282"/>
    </row>
    <row r="204" spans="1:16" x14ac:dyDescent="0.3">
      <c r="A204" s="145">
        <v>23</v>
      </c>
      <c r="B204" s="265" t="s">
        <v>253</v>
      </c>
      <c r="C204" s="92" t="s">
        <v>207</v>
      </c>
      <c r="D204" s="93">
        <v>24.94</v>
      </c>
      <c r="E204" s="93">
        <v>152.91999999999999</v>
      </c>
      <c r="F204" s="108">
        <f>E204/25*9.81</f>
        <v>60.005808000000002</v>
      </c>
      <c r="G204" s="93">
        <v>115</v>
      </c>
      <c r="H204" s="108">
        <f>G204/25*9.81</f>
        <v>45.125999999999998</v>
      </c>
      <c r="I204" s="93">
        <v>172</v>
      </c>
      <c r="J204" s="109">
        <f>I204/25*9.81</f>
        <v>67.492800000000003</v>
      </c>
      <c r="K204" s="100">
        <v>0</v>
      </c>
      <c r="L204" s="130">
        <v>1</v>
      </c>
      <c r="M204" s="130">
        <v>0</v>
      </c>
      <c r="N204" s="96" t="s">
        <v>208</v>
      </c>
    </row>
    <row r="205" spans="1:16" x14ac:dyDescent="0.3">
      <c r="B205" s="266"/>
      <c r="C205" s="92" t="s">
        <v>207</v>
      </c>
      <c r="D205" s="99">
        <v>91.81</v>
      </c>
      <c r="E205" s="142">
        <v>86.1</v>
      </c>
      <c r="F205" s="108">
        <f>E205/25*9.81</f>
        <v>33.785640000000001</v>
      </c>
      <c r="G205" s="136">
        <v>68</v>
      </c>
      <c r="H205" s="135">
        <f>G205/25*9.81</f>
        <v>26.683200000000003</v>
      </c>
      <c r="I205" s="92">
        <v>103</v>
      </c>
      <c r="J205" s="109">
        <f>I205/25*9.81</f>
        <v>40.417200000000001</v>
      </c>
      <c r="K205" s="100">
        <v>0</v>
      </c>
      <c r="L205" s="130">
        <v>1</v>
      </c>
      <c r="M205" s="130">
        <v>0</v>
      </c>
      <c r="N205" s="96" t="s">
        <v>208</v>
      </c>
      <c r="P205" s="112" t="s">
        <v>251</v>
      </c>
    </row>
    <row r="206" spans="1:16" x14ac:dyDescent="0.3">
      <c r="B206" s="266"/>
      <c r="C206" s="92" t="s">
        <v>211</v>
      </c>
      <c r="D206" s="99">
        <v>25.41</v>
      </c>
      <c r="E206" s="93">
        <v>150.66999999999999</v>
      </c>
      <c r="F206" s="108">
        <f>E206/25*9.81</f>
        <v>59.122908000000002</v>
      </c>
      <c r="G206" s="93">
        <v>135</v>
      </c>
      <c r="H206" s="108">
        <f>G206/25*9.81</f>
        <v>52.974000000000004</v>
      </c>
      <c r="I206" s="102">
        <v>160</v>
      </c>
      <c r="J206" s="109">
        <f>I206/25*9.81</f>
        <v>62.784000000000006</v>
      </c>
      <c r="K206" s="100">
        <v>0</v>
      </c>
      <c r="L206" s="130">
        <v>1</v>
      </c>
      <c r="M206" s="130">
        <v>0</v>
      </c>
      <c r="N206" s="96" t="s">
        <v>208</v>
      </c>
      <c r="P206" s="112"/>
    </row>
    <row r="207" spans="1:16" ht="15" thickBot="1" x14ac:dyDescent="0.35">
      <c r="B207" s="267"/>
      <c r="C207" s="103" t="s">
        <v>211</v>
      </c>
      <c r="D207" s="103">
        <v>91.39</v>
      </c>
      <c r="E207" s="104">
        <v>67.23</v>
      </c>
      <c r="F207" s="111">
        <f>E207/25*9.81</f>
        <v>26.381052</v>
      </c>
      <c r="G207" s="103">
        <v>51</v>
      </c>
      <c r="H207" s="111">
        <f>G207/25*9.81</f>
        <v>20.012400000000003</v>
      </c>
      <c r="I207" s="104">
        <v>88</v>
      </c>
      <c r="J207" s="110">
        <f>I207/25*9.81</f>
        <v>34.531200000000005</v>
      </c>
      <c r="K207" s="106">
        <v>0</v>
      </c>
      <c r="L207" s="131">
        <v>1</v>
      </c>
      <c r="M207" s="131">
        <v>0</v>
      </c>
      <c r="N207" s="107" t="s">
        <v>208</v>
      </c>
    </row>
    <row r="208" spans="1:16" ht="15" thickBot="1" x14ac:dyDescent="0.35"/>
    <row r="209" spans="1:16" x14ac:dyDescent="0.3">
      <c r="B209" s="268" t="s">
        <v>184</v>
      </c>
      <c r="C209" s="269"/>
      <c r="D209" s="269"/>
      <c r="E209" s="269"/>
      <c r="F209" s="269"/>
      <c r="G209" s="269"/>
      <c r="H209" s="269"/>
      <c r="I209" s="269"/>
      <c r="J209" s="269"/>
      <c r="K209" s="269"/>
      <c r="L209" s="269"/>
      <c r="M209" s="269"/>
      <c r="N209" s="270"/>
    </row>
    <row r="210" spans="1:16" x14ac:dyDescent="0.3">
      <c r="B210" s="271" t="s">
        <v>186</v>
      </c>
      <c r="C210" s="274"/>
      <c r="D210" s="275"/>
      <c r="E210" s="275"/>
      <c r="F210" s="275"/>
      <c r="G210" s="275"/>
      <c r="H210" s="275"/>
      <c r="I210" s="275"/>
      <c r="J210" s="276"/>
      <c r="K210" s="277" t="s">
        <v>187</v>
      </c>
      <c r="L210" s="278"/>
      <c r="M210" s="279"/>
      <c r="N210" s="280" t="s">
        <v>188</v>
      </c>
    </row>
    <row r="211" spans="1:16" x14ac:dyDescent="0.3">
      <c r="B211" s="272"/>
      <c r="C211" s="283" t="s">
        <v>194</v>
      </c>
      <c r="D211" s="283" t="s">
        <v>41</v>
      </c>
      <c r="E211" s="88" t="s">
        <v>42</v>
      </c>
      <c r="F211" s="88" t="s">
        <v>43</v>
      </c>
      <c r="G211" s="88" t="s">
        <v>42</v>
      </c>
      <c r="H211" s="88" t="s">
        <v>43</v>
      </c>
      <c r="I211" s="88" t="s">
        <v>42</v>
      </c>
      <c r="J211" s="88" t="s">
        <v>43</v>
      </c>
      <c r="K211" s="285" t="s">
        <v>20</v>
      </c>
      <c r="L211" s="285" t="s">
        <v>195</v>
      </c>
      <c r="M211" s="285" t="s">
        <v>196</v>
      </c>
      <c r="N211" s="281"/>
    </row>
    <row r="212" spans="1:16" x14ac:dyDescent="0.3">
      <c r="A212" s="145" t="s">
        <v>241</v>
      </c>
      <c r="B212" s="273"/>
      <c r="C212" s="284"/>
      <c r="D212" s="284"/>
      <c r="E212" s="88" t="s">
        <v>200</v>
      </c>
      <c r="F212" s="88" t="s">
        <v>200</v>
      </c>
      <c r="G212" s="88" t="s">
        <v>201</v>
      </c>
      <c r="H212" s="88" t="s">
        <v>201</v>
      </c>
      <c r="I212" s="88" t="s">
        <v>202</v>
      </c>
      <c r="J212" s="88" t="s">
        <v>202</v>
      </c>
      <c r="K212" s="286"/>
      <c r="L212" s="286"/>
      <c r="M212" s="286"/>
      <c r="N212" s="282"/>
    </row>
    <row r="213" spans="1:16" x14ac:dyDescent="0.3">
      <c r="A213" s="145">
        <v>24</v>
      </c>
      <c r="B213" s="265" t="s">
        <v>254</v>
      </c>
      <c r="C213" s="92" t="s">
        <v>207</v>
      </c>
      <c r="D213" s="93">
        <v>23.05</v>
      </c>
      <c r="E213" s="93">
        <v>180.87</v>
      </c>
      <c r="F213" s="108">
        <f>E213/25*9.81</f>
        <v>70.973388</v>
      </c>
      <c r="G213" s="93">
        <v>100</v>
      </c>
      <c r="H213" s="108">
        <f>G213/25*9.81</f>
        <v>39.24</v>
      </c>
      <c r="I213" s="178">
        <v>216</v>
      </c>
      <c r="J213" s="179">
        <f>I213/25*9.81</f>
        <v>84.758400000000009</v>
      </c>
      <c r="K213" s="95">
        <v>0</v>
      </c>
      <c r="L213" s="113">
        <v>0.9</v>
      </c>
      <c r="M213" s="113">
        <v>0.1</v>
      </c>
      <c r="N213" s="96" t="s">
        <v>233</v>
      </c>
    </row>
    <row r="214" spans="1:16" x14ac:dyDescent="0.3">
      <c r="B214" s="266"/>
      <c r="C214" s="92" t="s">
        <v>207</v>
      </c>
      <c r="D214" s="99">
        <v>88.89</v>
      </c>
      <c r="E214" s="99">
        <v>87.42</v>
      </c>
      <c r="F214" s="108">
        <f>E214/25*9.81</f>
        <v>34.303608000000004</v>
      </c>
      <c r="G214" s="136">
        <v>63</v>
      </c>
      <c r="H214" s="135">
        <f>G214/25*9.81</f>
        <v>24.721200000000003</v>
      </c>
      <c r="I214" s="92">
        <v>107</v>
      </c>
      <c r="J214" s="109">
        <f>I214/25*9.81</f>
        <v>41.986800000000002</v>
      </c>
      <c r="K214" s="100">
        <v>0</v>
      </c>
      <c r="L214" s="130">
        <v>1</v>
      </c>
      <c r="M214" s="130">
        <v>0</v>
      </c>
      <c r="N214" s="96" t="s">
        <v>208</v>
      </c>
      <c r="P214" s="112" t="s">
        <v>251</v>
      </c>
    </row>
    <row r="215" spans="1:16" x14ac:dyDescent="0.3">
      <c r="B215" s="266"/>
      <c r="C215" s="92" t="s">
        <v>211</v>
      </c>
      <c r="D215" s="99">
        <v>23.79</v>
      </c>
      <c r="E215" s="93">
        <v>143.61000000000001</v>
      </c>
      <c r="F215" s="108">
        <f>E215/25*9.81</f>
        <v>56.352564000000008</v>
      </c>
      <c r="G215" s="93">
        <v>121</v>
      </c>
      <c r="H215" s="108">
        <f>G215/25*9.81</f>
        <v>47.480400000000003</v>
      </c>
      <c r="I215" s="102">
        <v>153</v>
      </c>
      <c r="J215" s="109">
        <f>I215/25*9.81</f>
        <v>60.037200000000006</v>
      </c>
      <c r="K215" s="100">
        <v>0</v>
      </c>
      <c r="L215" s="130">
        <v>1</v>
      </c>
      <c r="M215" s="130">
        <v>0</v>
      </c>
      <c r="N215" s="96" t="s">
        <v>208</v>
      </c>
      <c r="P215" s="112" t="s">
        <v>255</v>
      </c>
    </row>
    <row r="216" spans="1:16" ht="15" thickBot="1" x14ac:dyDescent="0.35">
      <c r="B216" s="267"/>
      <c r="C216" s="103" t="s">
        <v>211</v>
      </c>
      <c r="D216" s="103">
        <v>90.13</v>
      </c>
      <c r="E216" s="104">
        <v>69.09</v>
      </c>
      <c r="F216" s="111">
        <f>E216/25*9.81</f>
        <v>27.110916000000003</v>
      </c>
      <c r="G216" s="143">
        <v>60</v>
      </c>
      <c r="H216" s="144">
        <f>G216/25*9.81</f>
        <v>23.544</v>
      </c>
      <c r="I216" s="104">
        <v>82</v>
      </c>
      <c r="J216" s="110">
        <f>I216/25*9.81</f>
        <v>32.1768</v>
      </c>
      <c r="K216" s="106">
        <v>0</v>
      </c>
      <c r="L216" s="131">
        <v>1</v>
      </c>
      <c r="M216" s="131">
        <v>0</v>
      </c>
      <c r="N216" s="107" t="s">
        <v>208</v>
      </c>
    </row>
    <row r="217" spans="1:16" ht="15" thickBot="1" x14ac:dyDescent="0.35"/>
    <row r="218" spans="1:16" x14ac:dyDescent="0.3">
      <c r="B218" s="268" t="s">
        <v>184</v>
      </c>
      <c r="C218" s="269"/>
      <c r="D218" s="269"/>
      <c r="E218" s="269"/>
      <c r="F218" s="269"/>
      <c r="G218" s="269"/>
      <c r="H218" s="269"/>
      <c r="I218" s="269"/>
      <c r="J218" s="269"/>
      <c r="K218" s="269"/>
      <c r="L218" s="269"/>
      <c r="M218" s="269"/>
      <c r="N218" s="270"/>
    </row>
    <row r="219" spans="1:16" x14ac:dyDescent="0.3">
      <c r="B219" s="271" t="s">
        <v>186</v>
      </c>
      <c r="C219" s="274"/>
      <c r="D219" s="275"/>
      <c r="E219" s="275"/>
      <c r="F219" s="275"/>
      <c r="G219" s="275"/>
      <c r="H219" s="275"/>
      <c r="I219" s="275"/>
      <c r="J219" s="276"/>
      <c r="K219" s="277" t="s">
        <v>187</v>
      </c>
      <c r="L219" s="278"/>
      <c r="M219" s="279"/>
      <c r="N219" s="280" t="s">
        <v>188</v>
      </c>
    </row>
    <row r="220" spans="1:16" x14ac:dyDescent="0.3">
      <c r="B220" s="272"/>
      <c r="C220" s="283" t="s">
        <v>194</v>
      </c>
      <c r="D220" s="283" t="s">
        <v>41</v>
      </c>
      <c r="E220" s="88" t="s">
        <v>42</v>
      </c>
      <c r="F220" s="88" t="s">
        <v>43</v>
      </c>
      <c r="G220" s="88" t="s">
        <v>42</v>
      </c>
      <c r="H220" s="88" t="s">
        <v>43</v>
      </c>
      <c r="I220" s="88" t="s">
        <v>42</v>
      </c>
      <c r="J220" s="88" t="s">
        <v>43</v>
      </c>
      <c r="K220" s="285" t="s">
        <v>20</v>
      </c>
      <c r="L220" s="285" t="s">
        <v>195</v>
      </c>
      <c r="M220" s="285" t="s">
        <v>196</v>
      </c>
      <c r="N220" s="281"/>
    </row>
    <row r="221" spans="1:16" x14ac:dyDescent="0.3">
      <c r="A221" s="145" t="s">
        <v>241</v>
      </c>
      <c r="B221" s="273"/>
      <c r="C221" s="284"/>
      <c r="D221" s="284"/>
      <c r="E221" s="88" t="s">
        <v>200</v>
      </c>
      <c r="F221" s="88" t="s">
        <v>200</v>
      </c>
      <c r="G221" s="88" t="s">
        <v>201</v>
      </c>
      <c r="H221" s="88" t="s">
        <v>201</v>
      </c>
      <c r="I221" s="88" t="s">
        <v>202</v>
      </c>
      <c r="J221" s="88" t="s">
        <v>202</v>
      </c>
      <c r="K221" s="286"/>
      <c r="L221" s="286"/>
      <c r="M221" s="286"/>
      <c r="N221" s="282"/>
    </row>
    <row r="222" spans="1:16" x14ac:dyDescent="0.3">
      <c r="A222" s="145">
        <v>25</v>
      </c>
      <c r="B222" s="265" t="s">
        <v>256</v>
      </c>
      <c r="C222" s="92" t="s">
        <v>207</v>
      </c>
      <c r="D222" s="93">
        <v>23.88</v>
      </c>
      <c r="E222" s="93">
        <v>144.84</v>
      </c>
      <c r="F222" s="108">
        <f>E222/25*9.81</f>
        <v>56.83521600000001</v>
      </c>
      <c r="G222" s="93">
        <v>98</v>
      </c>
      <c r="H222" s="108">
        <f>G222/25*9.81</f>
        <v>38.455199999999998</v>
      </c>
      <c r="I222" s="93">
        <v>222</v>
      </c>
      <c r="J222" s="109">
        <f>I222/25*9.81</f>
        <v>87.112800000000007</v>
      </c>
      <c r="K222" s="95">
        <v>0</v>
      </c>
      <c r="L222" s="130">
        <v>1</v>
      </c>
      <c r="M222" s="130">
        <v>0</v>
      </c>
      <c r="N222" s="96" t="s">
        <v>208</v>
      </c>
    </row>
    <row r="223" spans="1:16" x14ac:dyDescent="0.3">
      <c r="B223" s="266"/>
      <c r="C223" s="92" t="s">
        <v>207</v>
      </c>
      <c r="D223" s="99">
        <v>88.33</v>
      </c>
      <c r="E223" s="99">
        <v>93.35</v>
      </c>
      <c r="F223" s="108">
        <v>36.630000000000003</v>
      </c>
      <c r="G223" s="136">
        <v>30</v>
      </c>
      <c r="H223" s="135">
        <f>G223/25*9.81</f>
        <v>11.772</v>
      </c>
      <c r="I223" s="92">
        <v>130</v>
      </c>
      <c r="J223" s="109">
        <f>I223/25*9.81</f>
        <v>51.012000000000008</v>
      </c>
      <c r="K223" s="100">
        <v>0</v>
      </c>
      <c r="L223" s="130">
        <v>1</v>
      </c>
      <c r="M223" s="130">
        <v>0</v>
      </c>
      <c r="N223" s="96" t="s">
        <v>208</v>
      </c>
      <c r="P223" s="112" t="s">
        <v>251</v>
      </c>
    </row>
    <row r="224" spans="1:16" x14ac:dyDescent="0.3">
      <c r="B224" s="266"/>
      <c r="C224" s="92" t="s">
        <v>211</v>
      </c>
      <c r="D224" s="99">
        <v>23.46</v>
      </c>
      <c r="E224" s="93">
        <v>125.07</v>
      </c>
      <c r="F224" s="108">
        <f>E224/25*9.81</f>
        <v>49.077467999999996</v>
      </c>
      <c r="G224" s="93">
        <v>113</v>
      </c>
      <c r="H224" s="108">
        <f>G224/25*9.81</f>
        <v>44.341200000000001</v>
      </c>
      <c r="I224" s="102">
        <v>140</v>
      </c>
      <c r="J224" s="109">
        <f>I224/25*9.81</f>
        <v>54.936</v>
      </c>
      <c r="K224" s="100">
        <v>0</v>
      </c>
      <c r="L224" s="130">
        <v>1</v>
      </c>
      <c r="M224" s="130">
        <v>0</v>
      </c>
      <c r="N224" s="96" t="s">
        <v>208</v>
      </c>
      <c r="P224" s="112" t="s">
        <v>255</v>
      </c>
    </row>
    <row r="225" spans="1:16" ht="15" thickBot="1" x14ac:dyDescent="0.35">
      <c r="B225" s="267"/>
      <c r="C225" s="103" t="s">
        <v>211</v>
      </c>
      <c r="D225" s="103">
        <v>90.87</v>
      </c>
      <c r="E225" s="104">
        <v>85.72</v>
      </c>
      <c r="F225" s="111">
        <f>E225/25*9.81</f>
        <v>33.636527999999998</v>
      </c>
      <c r="G225" s="143">
        <v>74</v>
      </c>
      <c r="H225" s="144">
        <f>G225/25*9.81</f>
        <v>29.037600000000001</v>
      </c>
      <c r="I225" s="104">
        <v>95</v>
      </c>
      <c r="J225" s="110">
        <f>I225/25*9.81</f>
        <v>37.277999999999999</v>
      </c>
      <c r="K225" s="106">
        <v>0</v>
      </c>
      <c r="L225" s="131">
        <v>1</v>
      </c>
      <c r="M225" s="131">
        <v>0</v>
      </c>
      <c r="N225" s="107" t="s">
        <v>208</v>
      </c>
    </row>
    <row r="226" spans="1:16" ht="15" thickBot="1" x14ac:dyDescent="0.35"/>
    <row r="227" spans="1:16" ht="14.4" customHeight="1" x14ac:dyDescent="0.3">
      <c r="B227" s="268" t="s">
        <v>184</v>
      </c>
      <c r="C227" s="269"/>
      <c r="D227" s="269"/>
      <c r="E227" s="269"/>
      <c r="F227" s="269"/>
      <c r="G227" s="269"/>
      <c r="H227" s="269"/>
      <c r="I227" s="269"/>
      <c r="J227" s="269"/>
      <c r="K227" s="269"/>
      <c r="L227" s="269"/>
      <c r="M227" s="269"/>
      <c r="N227" s="270"/>
    </row>
    <row r="228" spans="1:16" ht="14.4" customHeight="1" x14ac:dyDescent="0.3">
      <c r="B228" s="271" t="s">
        <v>186</v>
      </c>
      <c r="C228" s="274"/>
      <c r="D228" s="275"/>
      <c r="E228" s="275"/>
      <c r="F228" s="275"/>
      <c r="G228" s="275"/>
      <c r="H228" s="275"/>
      <c r="I228" s="275"/>
      <c r="J228" s="276"/>
      <c r="K228" s="277" t="s">
        <v>187</v>
      </c>
      <c r="L228" s="278"/>
      <c r="M228" s="279"/>
      <c r="N228" s="280" t="s">
        <v>188</v>
      </c>
    </row>
    <row r="229" spans="1:16" ht="14.4" customHeight="1" x14ac:dyDescent="0.3">
      <c r="B229" s="272"/>
      <c r="C229" s="283" t="s">
        <v>194</v>
      </c>
      <c r="D229" s="283" t="s">
        <v>41</v>
      </c>
      <c r="E229" s="88" t="s">
        <v>42</v>
      </c>
      <c r="F229" s="88" t="s">
        <v>43</v>
      </c>
      <c r="G229" s="88" t="s">
        <v>42</v>
      </c>
      <c r="H229" s="88" t="s">
        <v>43</v>
      </c>
      <c r="I229" s="88" t="s">
        <v>42</v>
      </c>
      <c r="J229" s="88" t="s">
        <v>43</v>
      </c>
      <c r="K229" s="285" t="s">
        <v>20</v>
      </c>
      <c r="L229" s="285" t="s">
        <v>195</v>
      </c>
      <c r="M229" s="285" t="s">
        <v>196</v>
      </c>
      <c r="N229" s="281"/>
    </row>
    <row r="230" spans="1:16" x14ac:dyDescent="0.3">
      <c r="A230" s="145" t="s">
        <v>241</v>
      </c>
      <c r="B230" s="273"/>
      <c r="C230" s="284"/>
      <c r="D230" s="284"/>
      <c r="E230" s="88" t="s">
        <v>200</v>
      </c>
      <c r="F230" s="88" t="s">
        <v>200</v>
      </c>
      <c r="G230" s="88" t="s">
        <v>201</v>
      </c>
      <c r="H230" s="88" t="s">
        <v>201</v>
      </c>
      <c r="I230" s="88" t="s">
        <v>202</v>
      </c>
      <c r="J230" s="88" t="s">
        <v>202</v>
      </c>
      <c r="K230" s="286"/>
      <c r="L230" s="286"/>
      <c r="M230" s="286"/>
      <c r="N230" s="282"/>
    </row>
    <row r="231" spans="1:16" x14ac:dyDescent="0.3">
      <c r="A231" s="145">
        <v>26</v>
      </c>
      <c r="B231" s="265" t="s">
        <v>257</v>
      </c>
      <c r="C231" s="92" t="s">
        <v>207</v>
      </c>
      <c r="D231" s="93">
        <v>24.52</v>
      </c>
      <c r="E231" s="93">
        <v>128.91999999999999</v>
      </c>
      <c r="F231" s="108">
        <f>E231/25*9.81</f>
        <v>50.588208000000002</v>
      </c>
      <c r="G231" s="93">
        <v>123</v>
      </c>
      <c r="H231" s="108">
        <f>G231/25*9.81</f>
        <v>48.2652</v>
      </c>
      <c r="I231" s="93">
        <v>134</v>
      </c>
      <c r="J231" s="109">
        <f>I231/25*9.81</f>
        <v>52.581600000000009</v>
      </c>
      <c r="K231" s="95">
        <v>0</v>
      </c>
      <c r="L231" s="130">
        <v>1</v>
      </c>
      <c r="M231" s="130">
        <v>0</v>
      </c>
      <c r="N231" s="96" t="s">
        <v>208</v>
      </c>
    </row>
    <row r="232" spans="1:16" x14ac:dyDescent="0.3">
      <c r="B232" s="266"/>
      <c r="C232" s="92" t="s">
        <v>207</v>
      </c>
      <c r="D232" s="99">
        <v>91.05</v>
      </c>
      <c r="E232" s="99">
        <v>75</v>
      </c>
      <c r="F232" s="108">
        <f>E232/25*9.81</f>
        <v>29.43</v>
      </c>
      <c r="G232" s="136">
        <v>67</v>
      </c>
      <c r="H232" s="135">
        <f>G232/25*9.81</f>
        <v>26.290800000000004</v>
      </c>
      <c r="I232" s="92">
        <v>82</v>
      </c>
      <c r="J232" s="109">
        <f>I232/25*9.81</f>
        <v>32.1768</v>
      </c>
      <c r="K232" s="100">
        <v>0</v>
      </c>
      <c r="L232" s="130">
        <v>1</v>
      </c>
      <c r="M232" s="130">
        <v>0</v>
      </c>
      <c r="N232" s="96" t="s">
        <v>208</v>
      </c>
      <c r="P232" s="112"/>
    </row>
    <row r="233" spans="1:16" x14ac:dyDescent="0.3">
      <c r="B233" s="266"/>
      <c r="C233" s="92" t="s">
        <v>211</v>
      </c>
      <c r="D233" s="99">
        <v>24.45</v>
      </c>
      <c r="E233" s="93">
        <v>145.61000000000001</v>
      </c>
      <c r="F233" s="108">
        <f>E233/25*9.81</f>
        <v>57.137364000000012</v>
      </c>
      <c r="G233" s="93">
        <v>139</v>
      </c>
      <c r="H233" s="108">
        <f>G233/25*9.81</f>
        <v>54.543599999999998</v>
      </c>
      <c r="I233" s="102">
        <v>160</v>
      </c>
      <c r="J233" s="109">
        <f>I233/25*9.81</f>
        <v>62.784000000000006</v>
      </c>
      <c r="K233" s="100">
        <v>0</v>
      </c>
      <c r="L233" s="130">
        <v>1</v>
      </c>
      <c r="M233" s="130">
        <v>0</v>
      </c>
      <c r="N233" s="96" t="s">
        <v>208</v>
      </c>
      <c r="P233" s="112" t="s">
        <v>255</v>
      </c>
    </row>
    <row r="234" spans="1:16" ht="15" thickBot="1" x14ac:dyDescent="0.35">
      <c r="B234" s="267"/>
      <c r="C234" s="103" t="s">
        <v>211</v>
      </c>
      <c r="D234" s="103">
        <v>91.85</v>
      </c>
      <c r="E234" s="104">
        <v>86.7</v>
      </c>
      <c r="F234" s="111">
        <f>E234/25*9.81</f>
        <v>34.021080000000005</v>
      </c>
      <c r="G234" s="143">
        <v>65</v>
      </c>
      <c r="H234" s="144">
        <f>G234/25*9.81</f>
        <v>25.506000000000004</v>
      </c>
      <c r="I234" s="104">
        <v>107</v>
      </c>
      <c r="J234" s="110">
        <f>I234/25*9.81</f>
        <v>41.986800000000002</v>
      </c>
      <c r="K234" s="106">
        <v>0</v>
      </c>
      <c r="L234" s="131">
        <v>1</v>
      </c>
      <c r="M234" s="131">
        <v>0</v>
      </c>
      <c r="N234" s="107" t="s">
        <v>208</v>
      </c>
    </row>
    <row r="235" spans="1:16" ht="15" thickBot="1" x14ac:dyDescent="0.35"/>
    <row r="236" spans="1:16" x14ac:dyDescent="0.3">
      <c r="B236" s="268" t="s">
        <v>184</v>
      </c>
      <c r="C236" s="269"/>
      <c r="D236" s="269"/>
      <c r="E236" s="269"/>
      <c r="F236" s="269"/>
      <c r="G236" s="269"/>
      <c r="H236" s="269"/>
      <c r="I236" s="269"/>
      <c r="J236" s="269"/>
      <c r="K236" s="269"/>
      <c r="L236" s="269"/>
      <c r="M236" s="269"/>
      <c r="N236" s="270"/>
    </row>
    <row r="237" spans="1:16" x14ac:dyDescent="0.3">
      <c r="B237" s="271" t="s">
        <v>186</v>
      </c>
      <c r="C237" s="274"/>
      <c r="D237" s="275"/>
      <c r="E237" s="275"/>
      <c r="F237" s="275"/>
      <c r="G237" s="275"/>
      <c r="H237" s="275"/>
      <c r="I237" s="275"/>
      <c r="J237" s="276"/>
      <c r="K237" s="277" t="s">
        <v>187</v>
      </c>
      <c r="L237" s="278"/>
      <c r="M237" s="279"/>
      <c r="N237" s="280" t="s">
        <v>188</v>
      </c>
    </row>
    <row r="238" spans="1:16" x14ac:dyDescent="0.3">
      <c r="B238" s="272"/>
      <c r="C238" s="283" t="s">
        <v>194</v>
      </c>
      <c r="D238" s="283" t="s">
        <v>41</v>
      </c>
      <c r="E238" s="88" t="s">
        <v>42</v>
      </c>
      <c r="F238" s="88" t="s">
        <v>43</v>
      </c>
      <c r="G238" s="88" t="s">
        <v>42</v>
      </c>
      <c r="H238" s="88" t="s">
        <v>43</v>
      </c>
      <c r="I238" s="88" t="s">
        <v>42</v>
      </c>
      <c r="J238" s="88" t="s">
        <v>43</v>
      </c>
      <c r="K238" s="285" t="s">
        <v>20</v>
      </c>
      <c r="L238" s="285" t="s">
        <v>195</v>
      </c>
      <c r="M238" s="285" t="s">
        <v>196</v>
      </c>
      <c r="N238" s="281"/>
    </row>
    <row r="239" spans="1:16" x14ac:dyDescent="0.3">
      <c r="A239" s="145" t="s">
        <v>241</v>
      </c>
      <c r="B239" s="273"/>
      <c r="C239" s="284"/>
      <c r="D239" s="284"/>
      <c r="E239" s="88" t="s">
        <v>200</v>
      </c>
      <c r="F239" s="88" t="s">
        <v>200</v>
      </c>
      <c r="G239" s="88" t="s">
        <v>201</v>
      </c>
      <c r="H239" s="88" t="s">
        <v>201</v>
      </c>
      <c r="I239" s="88" t="s">
        <v>202</v>
      </c>
      <c r="J239" s="88" t="s">
        <v>202</v>
      </c>
      <c r="K239" s="286"/>
      <c r="L239" s="286"/>
      <c r="M239" s="286"/>
      <c r="N239" s="282"/>
    </row>
    <row r="240" spans="1:16" x14ac:dyDescent="0.3">
      <c r="A240" s="145">
        <v>27</v>
      </c>
      <c r="B240" s="265" t="s">
        <v>270</v>
      </c>
      <c r="C240" s="92" t="s">
        <v>207</v>
      </c>
      <c r="D240" s="93">
        <v>24.33</v>
      </c>
      <c r="E240" s="93">
        <v>143.47</v>
      </c>
      <c r="F240" s="108">
        <f>E240/25*9.81</f>
        <v>56.297628000000003</v>
      </c>
      <c r="G240" s="93">
        <v>132</v>
      </c>
      <c r="H240" s="108">
        <f>G240/25*9.81</f>
        <v>51.796800000000005</v>
      </c>
      <c r="I240" s="93">
        <v>157</v>
      </c>
      <c r="J240" s="109">
        <f>I240/25*9.81</f>
        <v>61.606800000000007</v>
      </c>
      <c r="K240" s="95">
        <v>0</v>
      </c>
      <c r="L240" s="130">
        <v>1</v>
      </c>
      <c r="M240" s="130">
        <v>0</v>
      </c>
      <c r="N240" s="96" t="s">
        <v>208</v>
      </c>
    </row>
    <row r="241" spans="1:16" x14ac:dyDescent="0.3">
      <c r="B241" s="266"/>
      <c r="C241" s="92" t="s">
        <v>207</v>
      </c>
      <c r="D241" s="99">
        <v>91.59</v>
      </c>
      <c r="E241" s="99">
        <v>78.239999999999995</v>
      </c>
      <c r="F241" s="108">
        <f>E241/25*9.81</f>
        <v>30.701376</v>
      </c>
      <c r="G241" s="136">
        <v>56</v>
      </c>
      <c r="H241" s="135">
        <f>G241/25*9.81</f>
        <v>21.974400000000003</v>
      </c>
      <c r="I241" s="92">
        <v>96</v>
      </c>
      <c r="J241" s="109">
        <f>I241/25*9.81</f>
        <v>37.670400000000001</v>
      </c>
      <c r="K241" s="100">
        <v>0</v>
      </c>
      <c r="L241" s="130">
        <v>1</v>
      </c>
      <c r="M241" s="130">
        <v>0</v>
      </c>
      <c r="N241" s="96" t="s">
        <v>208</v>
      </c>
      <c r="P241" s="112"/>
    </row>
    <row r="242" spans="1:16" x14ac:dyDescent="0.3">
      <c r="B242" s="266"/>
      <c r="C242" s="92" t="s">
        <v>211</v>
      </c>
      <c r="D242" s="99">
        <v>24.62</v>
      </c>
      <c r="E242" s="93">
        <v>145.1</v>
      </c>
      <c r="F242" s="108">
        <f>E242/25*9.81</f>
        <v>56.937239999999996</v>
      </c>
      <c r="G242" s="93">
        <v>123</v>
      </c>
      <c r="H242" s="108">
        <f>G242/25*9.81</f>
        <v>48.2652</v>
      </c>
      <c r="I242" s="102">
        <v>160</v>
      </c>
      <c r="J242" s="109">
        <f>I242/25*9.81</f>
        <v>62.784000000000006</v>
      </c>
      <c r="K242" s="100">
        <v>0</v>
      </c>
      <c r="L242" s="130">
        <v>1</v>
      </c>
      <c r="M242" s="130">
        <v>0</v>
      </c>
      <c r="N242" s="96" t="s">
        <v>208</v>
      </c>
      <c r="P242" s="112" t="s">
        <v>255</v>
      </c>
    </row>
    <row r="243" spans="1:16" ht="15" thickBot="1" x14ac:dyDescent="0.35">
      <c r="B243" s="267"/>
      <c r="C243" s="103" t="s">
        <v>211</v>
      </c>
      <c r="D243" s="103">
        <v>91.98</v>
      </c>
      <c r="E243" s="104">
        <v>85.79</v>
      </c>
      <c r="F243" s="111">
        <f>E243/25*9.81</f>
        <v>33.663996000000004</v>
      </c>
      <c r="G243" s="143">
        <v>68</v>
      </c>
      <c r="H243" s="144">
        <f>G243/25*9.81</f>
        <v>26.683200000000003</v>
      </c>
      <c r="I243" s="104">
        <v>102</v>
      </c>
      <c r="J243" s="110">
        <f>I243/25*9.81</f>
        <v>40.024800000000006</v>
      </c>
      <c r="K243" s="106">
        <v>0</v>
      </c>
      <c r="L243" s="131">
        <v>1</v>
      </c>
      <c r="M243" s="131">
        <v>0</v>
      </c>
      <c r="N243" s="107" t="s">
        <v>208</v>
      </c>
    </row>
    <row r="244" spans="1:16" ht="15" thickBot="1" x14ac:dyDescent="0.35"/>
    <row r="245" spans="1:16" ht="14.4" customHeight="1" x14ac:dyDescent="0.3">
      <c r="B245" s="268" t="s">
        <v>184</v>
      </c>
      <c r="C245" s="269"/>
      <c r="D245" s="269"/>
      <c r="E245" s="269"/>
      <c r="F245" s="269"/>
      <c r="G245" s="269"/>
      <c r="H245" s="269"/>
      <c r="I245" s="269"/>
      <c r="J245" s="269"/>
      <c r="K245" s="269"/>
      <c r="L245" s="269"/>
      <c r="M245" s="269"/>
      <c r="N245" s="270"/>
    </row>
    <row r="246" spans="1:16" ht="14.4" customHeight="1" x14ac:dyDescent="0.3">
      <c r="B246" s="271" t="s">
        <v>186</v>
      </c>
      <c r="C246" s="274"/>
      <c r="D246" s="275"/>
      <c r="E246" s="275"/>
      <c r="F246" s="275"/>
      <c r="G246" s="275"/>
      <c r="H246" s="275"/>
      <c r="I246" s="275"/>
      <c r="J246" s="276"/>
      <c r="K246" s="277" t="s">
        <v>187</v>
      </c>
      <c r="L246" s="278"/>
      <c r="M246" s="279"/>
      <c r="N246" s="280" t="s">
        <v>188</v>
      </c>
    </row>
    <row r="247" spans="1:16" ht="14.4" customHeight="1" x14ac:dyDescent="0.3">
      <c r="A247" s="145" t="s">
        <v>241</v>
      </c>
      <c r="B247" s="272"/>
      <c r="C247" s="283" t="s">
        <v>194</v>
      </c>
      <c r="D247" s="283" t="s">
        <v>41</v>
      </c>
      <c r="E247" s="88" t="s">
        <v>42</v>
      </c>
      <c r="F247" s="88" t="s">
        <v>43</v>
      </c>
      <c r="G247" s="88" t="s">
        <v>42</v>
      </c>
      <c r="H247" s="88" t="s">
        <v>43</v>
      </c>
      <c r="I247" s="88" t="s">
        <v>42</v>
      </c>
      <c r="J247" s="88" t="s">
        <v>43</v>
      </c>
      <c r="K247" s="285" t="s">
        <v>20</v>
      </c>
      <c r="L247" s="285" t="s">
        <v>195</v>
      </c>
      <c r="M247" s="285" t="s">
        <v>196</v>
      </c>
      <c r="N247" s="281"/>
    </row>
    <row r="248" spans="1:16" x14ac:dyDescent="0.3">
      <c r="A248" s="145">
        <v>28</v>
      </c>
      <c r="B248" s="273"/>
      <c r="C248" s="284"/>
      <c r="D248" s="284"/>
      <c r="E248" s="88" t="s">
        <v>200</v>
      </c>
      <c r="F248" s="88" t="s">
        <v>200</v>
      </c>
      <c r="G248" s="88" t="s">
        <v>201</v>
      </c>
      <c r="H248" s="88" t="s">
        <v>201</v>
      </c>
      <c r="I248" s="88" t="s">
        <v>202</v>
      </c>
      <c r="J248" s="88" t="s">
        <v>202</v>
      </c>
      <c r="K248" s="286"/>
      <c r="L248" s="286"/>
      <c r="M248" s="286"/>
      <c r="N248" s="282"/>
    </row>
    <row r="249" spans="1:16" x14ac:dyDescent="0.3">
      <c r="B249" s="265" t="s">
        <v>309</v>
      </c>
      <c r="C249" s="92" t="s">
        <v>207</v>
      </c>
      <c r="D249" s="93">
        <v>24.18</v>
      </c>
      <c r="E249" s="93">
        <v>154.18</v>
      </c>
      <c r="F249" s="108">
        <f>E249/25*9.81</f>
        <v>60.500232000000004</v>
      </c>
      <c r="G249" s="93">
        <v>80</v>
      </c>
      <c r="H249" s="108">
        <f>G249/25*9.81</f>
        <v>31.392000000000003</v>
      </c>
      <c r="I249" s="93">
        <v>215</v>
      </c>
      <c r="J249" s="109">
        <f>I249/25*9.81</f>
        <v>84.366</v>
      </c>
      <c r="K249" s="95">
        <v>0</v>
      </c>
      <c r="L249" s="130">
        <v>1</v>
      </c>
      <c r="M249" s="130">
        <v>0</v>
      </c>
      <c r="N249" s="96" t="s">
        <v>208</v>
      </c>
    </row>
    <row r="250" spans="1:16" x14ac:dyDescent="0.3">
      <c r="B250" s="266"/>
      <c r="C250" s="92" t="s">
        <v>207</v>
      </c>
      <c r="D250" s="99">
        <v>89.99</v>
      </c>
      <c r="E250" s="99">
        <v>82.78</v>
      </c>
      <c r="F250" s="108">
        <f>E250/25*9.81</f>
        <v>32.482872</v>
      </c>
      <c r="G250" s="136">
        <v>72</v>
      </c>
      <c r="H250" s="135">
        <f>G250/25*9.81</f>
        <v>28.252800000000001</v>
      </c>
      <c r="I250" s="92">
        <v>100</v>
      </c>
      <c r="J250" s="109">
        <f>I250/25*9.81</f>
        <v>39.24</v>
      </c>
      <c r="K250" s="100">
        <v>0</v>
      </c>
      <c r="L250" s="130">
        <v>1</v>
      </c>
      <c r="M250" s="130">
        <v>0</v>
      </c>
      <c r="N250" s="96" t="s">
        <v>208</v>
      </c>
      <c r="P250" s="112"/>
    </row>
    <row r="251" spans="1:16" x14ac:dyDescent="0.3">
      <c r="B251" s="266"/>
      <c r="C251" s="92" t="s">
        <v>211</v>
      </c>
      <c r="D251" s="99">
        <v>23.79</v>
      </c>
      <c r="E251" s="93">
        <v>208.13</v>
      </c>
      <c r="F251" s="108">
        <f>E251/25*9.81</f>
        <v>81.670212000000006</v>
      </c>
      <c r="G251" s="93">
        <v>182</v>
      </c>
      <c r="H251" s="108">
        <f>G251/25*9.81</f>
        <v>71.416800000000009</v>
      </c>
      <c r="I251" s="180">
        <v>222</v>
      </c>
      <c r="J251" s="179">
        <f>I251/25*9.81</f>
        <v>87.112800000000007</v>
      </c>
      <c r="K251" s="100">
        <v>0</v>
      </c>
      <c r="L251" s="113">
        <v>0.9</v>
      </c>
      <c r="M251" s="113">
        <v>0.1</v>
      </c>
      <c r="N251" s="96" t="s">
        <v>233</v>
      </c>
      <c r="P251" s="112" t="s">
        <v>255</v>
      </c>
    </row>
    <row r="252" spans="1:16" ht="15" thickBot="1" x14ac:dyDescent="0.35">
      <c r="B252" s="267"/>
      <c r="C252" s="103" t="s">
        <v>211</v>
      </c>
      <c r="D252" s="103">
        <v>89.91</v>
      </c>
      <c r="E252" s="104">
        <v>85.03</v>
      </c>
      <c r="F252" s="111">
        <f>E252/25*9.81</f>
        <v>33.365772000000007</v>
      </c>
      <c r="G252" s="143">
        <v>66</v>
      </c>
      <c r="H252" s="144">
        <f>G252/25*9.81</f>
        <v>25.898400000000002</v>
      </c>
      <c r="I252" s="104">
        <v>103</v>
      </c>
      <c r="J252" s="110">
        <f>I252/25*9.81</f>
        <v>40.417200000000001</v>
      </c>
      <c r="K252" s="106">
        <v>0</v>
      </c>
      <c r="L252" s="131">
        <v>1</v>
      </c>
      <c r="M252" s="131">
        <v>0</v>
      </c>
      <c r="N252" s="107" t="s">
        <v>208</v>
      </c>
      <c r="P252" s="112" t="s">
        <v>276</v>
      </c>
    </row>
    <row r="253" spans="1:16" ht="15" thickBot="1" x14ac:dyDescent="0.35"/>
    <row r="254" spans="1:16" ht="14.4" customHeight="1" x14ac:dyDescent="0.3">
      <c r="B254" s="268" t="s">
        <v>184</v>
      </c>
      <c r="C254" s="269"/>
      <c r="D254" s="269"/>
      <c r="E254" s="269"/>
      <c r="F254" s="269"/>
      <c r="G254" s="269"/>
      <c r="H254" s="269"/>
      <c r="I254" s="269"/>
      <c r="J254" s="269"/>
      <c r="K254" s="269"/>
      <c r="L254" s="269"/>
      <c r="M254" s="269"/>
      <c r="N254" s="270"/>
    </row>
    <row r="255" spans="1:16" ht="14.4" customHeight="1" x14ac:dyDescent="0.3">
      <c r="B255" s="271" t="s">
        <v>186</v>
      </c>
      <c r="C255" s="274"/>
      <c r="D255" s="275"/>
      <c r="E255" s="275"/>
      <c r="F255" s="275"/>
      <c r="G255" s="275"/>
      <c r="H255" s="275"/>
      <c r="I255" s="275"/>
      <c r="J255" s="276"/>
      <c r="K255" s="277" t="s">
        <v>187</v>
      </c>
      <c r="L255" s="278"/>
      <c r="M255" s="279"/>
      <c r="N255" s="280" t="s">
        <v>188</v>
      </c>
    </row>
    <row r="256" spans="1:16" ht="14.4" customHeight="1" x14ac:dyDescent="0.3">
      <c r="A256" s="145" t="s">
        <v>241</v>
      </c>
      <c r="B256" s="272"/>
      <c r="C256" s="283" t="s">
        <v>194</v>
      </c>
      <c r="D256" s="283" t="s">
        <v>41</v>
      </c>
      <c r="E256" s="88" t="s">
        <v>42</v>
      </c>
      <c r="F256" s="88" t="s">
        <v>43</v>
      </c>
      <c r="G256" s="88" t="s">
        <v>42</v>
      </c>
      <c r="H256" s="88" t="s">
        <v>43</v>
      </c>
      <c r="I256" s="88" t="s">
        <v>42</v>
      </c>
      <c r="J256" s="88" t="s">
        <v>43</v>
      </c>
      <c r="K256" s="285" t="s">
        <v>20</v>
      </c>
      <c r="L256" s="285" t="s">
        <v>195</v>
      </c>
      <c r="M256" s="285" t="s">
        <v>196</v>
      </c>
      <c r="N256" s="281"/>
    </row>
    <row r="257" spans="1:16" x14ac:dyDescent="0.3">
      <c r="A257" s="145">
        <v>29</v>
      </c>
      <c r="B257" s="273"/>
      <c r="C257" s="284"/>
      <c r="D257" s="284"/>
      <c r="E257" s="88" t="s">
        <v>200</v>
      </c>
      <c r="F257" s="88" t="s">
        <v>200</v>
      </c>
      <c r="G257" s="88" t="s">
        <v>201</v>
      </c>
      <c r="H257" s="88" t="s">
        <v>201</v>
      </c>
      <c r="I257" s="88" t="s">
        <v>202</v>
      </c>
      <c r="J257" s="88" t="s">
        <v>202</v>
      </c>
      <c r="K257" s="286"/>
      <c r="L257" s="286"/>
      <c r="M257" s="286"/>
      <c r="N257" s="282"/>
    </row>
    <row r="258" spans="1:16" x14ac:dyDescent="0.3">
      <c r="B258" s="265" t="s">
        <v>310</v>
      </c>
      <c r="C258" s="92" t="s">
        <v>207</v>
      </c>
      <c r="D258" s="93">
        <v>23.51</v>
      </c>
      <c r="E258" s="93">
        <v>141.03</v>
      </c>
      <c r="F258" s="108">
        <f>E258/25*9.81</f>
        <v>55.34017200000001</v>
      </c>
      <c r="G258" s="93">
        <v>70</v>
      </c>
      <c r="H258" s="108">
        <f>G258/25*9.81</f>
        <v>27.468</v>
      </c>
      <c r="I258" s="178">
        <v>196</v>
      </c>
      <c r="J258" s="179">
        <f>I258/25*9.81</f>
        <v>76.910399999999996</v>
      </c>
      <c r="K258" s="95">
        <v>0</v>
      </c>
      <c r="L258" s="113">
        <v>0.9</v>
      </c>
      <c r="M258" s="113">
        <v>0.1</v>
      </c>
      <c r="N258" s="96" t="s">
        <v>233</v>
      </c>
    </row>
    <row r="259" spans="1:16" x14ac:dyDescent="0.3">
      <c r="B259" s="266"/>
      <c r="C259" s="92" t="s">
        <v>207</v>
      </c>
      <c r="D259" s="99">
        <v>89.86</v>
      </c>
      <c r="E259" s="99">
        <v>70.87</v>
      </c>
      <c r="F259" s="108">
        <f>E259/25*9.81</f>
        <v>27.809388000000002</v>
      </c>
      <c r="G259" s="136">
        <v>49</v>
      </c>
      <c r="H259" s="135">
        <f>G259/25*9.81</f>
        <v>19.227599999999999</v>
      </c>
      <c r="I259" s="92">
        <v>76</v>
      </c>
      <c r="J259" s="109">
        <f>I259/25*9.81</f>
        <v>29.822400000000002</v>
      </c>
      <c r="K259" s="100">
        <v>0</v>
      </c>
      <c r="L259" s="130">
        <v>1</v>
      </c>
      <c r="M259" s="130">
        <v>0</v>
      </c>
      <c r="N259" s="96" t="s">
        <v>208</v>
      </c>
      <c r="P259" s="112"/>
    </row>
    <row r="260" spans="1:16" x14ac:dyDescent="0.3">
      <c r="B260" s="266"/>
      <c r="C260" s="92" t="s">
        <v>211</v>
      </c>
      <c r="D260" s="99">
        <v>22.68</v>
      </c>
      <c r="E260" s="93">
        <v>146.05000000000001</v>
      </c>
      <c r="F260" s="108">
        <f>E260/25*9.81</f>
        <v>57.310020000000009</v>
      </c>
      <c r="G260" s="93">
        <v>129</v>
      </c>
      <c r="H260" s="108">
        <f>G260/25*9.81</f>
        <v>50.619600000000005</v>
      </c>
      <c r="I260" s="102">
        <v>161</v>
      </c>
      <c r="J260" s="109">
        <f>I260/25*9.81</f>
        <v>63.176400000000008</v>
      </c>
      <c r="K260" s="100">
        <v>0</v>
      </c>
      <c r="L260" s="130">
        <v>1</v>
      </c>
      <c r="M260" s="130">
        <v>0</v>
      </c>
      <c r="N260" s="96" t="s">
        <v>208</v>
      </c>
      <c r="P260" s="112" t="s">
        <v>255</v>
      </c>
    </row>
    <row r="261" spans="1:16" ht="15" thickBot="1" x14ac:dyDescent="0.35">
      <c r="B261" s="267"/>
      <c r="C261" s="103" t="s">
        <v>211</v>
      </c>
      <c r="D261" s="103">
        <v>89.77</v>
      </c>
      <c r="E261" s="104">
        <v>101.23</v>
      </c>
      <c r="F261" s="111">
        <f>E261/25*9.81</f>
        <v>39.722652000000004</v>
      </c>
      <c r="G261" s="143">
        <v>91</v>
      </c>
      <c r="H261" s="144">
        <f>G261/25*9.81</f>
        <v>35.708400000000005</v>
      </c>
      <c r="I261" s="104">
        <v>111</v>
      </c>
      <c r="J261" s="110">
        <f>I261/25*9.81</f>
        <v>43.556400000000004</v>
      </c>
      <c r="K261" s="106">
        <v>0</v>
      </c>
      <c r="L261" s="131">
        <v>1</v>
      </c>
      <c r="M261" s="131">
        <v>0</v>
      </c>
      <c r="N261" s="107" t="s">
        <v>208</v>
      </c>
      <c r="P261" s="112" t="s">
        <v>276</v>
      </c>
    </row>
    <row r="262" spans="1:16" ht="15" thickBot="1" x14ac:dyDescent="0.35"/>
    <row r="263" spans="1:16" x14ac:dyDescent="0.3">
      <c r="B263" s="268" t="s">
        <v>184</v>
      </c>
      <c r="C263" s="269"/>
      <c r="D263" s="269"/>
      <c r="E263" s="269"/>
      <c r="F263" s="269"/>
      <c r="G263" s="269"/>
      <c r="H263" s="269"/>
      <c r="I263" s="269"/>
      <c r="J263" s="269"/>
      <c r="K263" s="269"/>
      <c r="L263" s="269"/>
      <c r="M263" s="269"/>
      <c r="N263" s="270"/>
    </row>
    <row r="264" spans="1:16" x14ac:dyDescent="0.3">
      <c r="B264" s="271" t="s">
        <v>186</v>
      </c>
      <c r="C264" s="274"/>
      <c r="D264" s="275"/>
      <c r="E264" s="275"/>
      <c r="F264" s="275"/>
      <c r="G264" s="275"/>
      <c r="H264" s="275"/>
      <c r="I264" s="275"/>
      <c r="J264" s="276"/>
      <c r="K264" s="277" t="s">
        <v>187</v>
      </c>
      <c r="L264" s="278"/>
      <c r="M264" s="279"/>
      <c r="N264" s="280" t="s">
        <v>188</v>
      </c>
    </row>
    <row r="265" spans="1:16" x14ac:dyDescent="0.3">
      <c r="A265" s="145" t="s">
        <v>365</v>
      </c>
      <c r="B265" s="272"/>
      <c r="C265" s="283" t="s">
        <v>194</v>
      </c>
      <c r="D265" s="283" t="s">
        <v>41</v>
      </c>
      <c r="E265" s="88" t="s">
        <v>42</v>
      </c>
      <c r="F265" s="88" t="s">
        <v>43</v>
      </c>
      <c r="G265" s="88" t="s">
        <v>42</v>
      </c>
      <c r="H265" s="88" t="s">
        <v>43</v>
      </c>
      <c r="I265" s="88" t="s">
        <v>42</v>
      </c>
      <c r="J265" s="88" t="s">
        <v>43</v>
      </c>
      <c r="K265" s="285" t="s">
        <v>20</v>
      </c>
      <c r="L265" s="285" t="s">
        <v>195</v>
      </c>
      <c r="M265" s="285" t="s">
        <v>196</v>
      </c>
      <c r="N265" s="281"/>
    </row>
    <row r="266" spans="1:16" x14ac:dyDescent="0.3">
      <c r="A266" s="145" t="s">
        <v>366</v>
      </c>
      <c r="B266" s="273"/>
      <c r="C266" s="284"/>
      <c r="D266" s="284"/>
      <c r="E266" s="88" t="s">
        <v>200</v>
      </c>
      <c r="F266" s="88" t="s">
        <v>200</v>
      </c>
      <c r="G266" s="88" t="s">
        <v>201</v>
      </c>
      <c r="H266" s="88" t="s">
        <v>201</v>
      </c>
      <c r="I266" s="88" t="s">
        <v>202</v>
      </c>
      <c r="J266" s="88" t="s">
        <v>202</v>
      </c>
      <c r="K266" s="286"/>
      <c r="L266" s="286"/>
      <c r="M266" s="286"/>
      <c r="N266" s="282"/>
    </row>
    <row r="267" spans="1:16" x14ac:dyDescent="0.3">
      <c r="A267" s="145">
        <v>1</v>
      </c>
      <c r="B267" s="265" t="s">
        <v>277</v>
      </c>
      <c r="C267" s="92" t="s">
        <v>207</v>
      </c>
      <c r="D267" s="93">
        <v>23.79</v>
      </c>
      <c r="E267" s="93">
        <v>151.69999999999999</v>
      </c>
      <c r="F267" s="108">
        <f>E267/25*9.81</f>
        <v>59.527079999999998</v>
      </c>
      <c r="G267" s="93">
        <v>142</v>
      </c>
      <c r="H267" s="108">
        <f>G267/25*9.81</f>
        <v>55.720799999999997</v>
      </c>
      <c r="I267" s="93">
        <v>162</v>
      </c>
      <c r="J267" s="109">
        <f>I267/25*9.81</f>
        <v>63.56880000000001</v>
      </c>
      <c r="K267" s="95">
        <v>0</v>
      </c>
      <c r="L267" s="130">
        <v>1</v>
      </c>
      <c r="M267" s="130">
        <v>0</v>
      </c>
      <c r="N267" s="96" t="s">
        <v>208</v>
      </c>
    </row>
    <row r="268" spans="1:16" x14ac:dyDescent="0.3">
      <c r="B268" s="266"/>
      <c r="C268" s="92" t="s">
        <v>207</v>
      </c>
      <c r="D268" s="99">
        <v>90.76</v>
      </c>
      <c r="E268" s="99">
        <v>79.92</v>
      </c>
      <c r="F268" s="108">
        <f>E268/25*9.81</f>
        <v>31.360608000000003</v>
      </c>
      <c r="G268" s="136">
        <v>28</v>
      </c>
      <c r="H268" s="135">
        <f>G268/25*9.81</f>
        <v>10.987200000000001</v>
      </c>
      <c r="I268" s="92">
        <v>95</v>
      </c>
      <c r="J268" s="109">
        <f>I268/25*9.81</f>
        <v>37.277999999999999</v>
      </c>
      <c r="K268" s="100">
        <v>0</v>
      </c>
      <c r="L268" s="130">
        <v>1</v>
      </c>
      <c r="M268" s="130">
        <v>0</v>
      </c>
      <c r="N268" s="96" t="s">
        <v>208</v>
      </c>
      <c r="P268" s="112"/>
    </row>
    <row r="269" spans="1:16" x14ac:dyDescent="0.3">
      <c r="B269" s="266"/>
      <c r="C269" s="92" t="s">
        <v>211</v>
      </c>
      <c r="D269" s="99">
        <v>24.52</v>
      </c>
      <c r="E269" s="93">
        <v>139.59</v>
      </c>
      <c r="F269" s="108">
        <f>E269/25*9.81</f>
        <v>54.775116000000011</v>
      </c>
      <c r="G269" s="93">
        <v>129</v>
      </c>
      <c r="H269" s="108">
        <f>G269/25*9.81</f>
        <v>50.619600000000005</v>
      </c>
      <c r="I269" s="102">
        <v>151</v>
      </c>
      <c r="J269" s="109">
        <f>I269/25*9.81</f>
        <v>59.252400000000002</v>
      </c>
      <c r="K269" s="100">
        <v>0</v>
      </c>
      <c r="L269" s="130">
        <v>1</v>
      </c>
      <c r="M269" s="130">
        <v>0</v>
      </c>
      <c r="N269" s="96" t="s">
        <v>208</v>
      </c>
      <c r="P269" s="112" t="s">
        <v>255</v>
      </c>
    </row>
    <row r="270" spans="1:16" ht="15" thickBot="1" x14ac:dyDescent="0.35">
      <c r="B270" s="267"/>
      <c r="C270" s="103" t="s">
        <v>211</v>
      </c>
      <c r="D270" s="103">
        <v>90.98</v>
      </c>
      <c r="E270" s="104">
        <v>70.180000000000007</v>
      </c>
      <c r="F270" s="111">
        <f>E270/25*9.81</f>
        <v>27.538632000000003</v>
      </c>
      <c r="G270" s="143">
        <v>58</v>
      </c>
      <c r="H270" s="144">
        <f>G270/25*9.81</f>
        <v>22.7592</v>
      </c>
      <c r="I270" s="104">
        <v>89</v>
      </c>
      <c r="J270" s="110">
        <f>I270/25*9.81</f>
        <v>34.9236</v>
      </c>
      <c r="K270" s="106">
        <v>0</v>
      </c>
      <c r="L270" s="131">
        <v>1</v>
      </c>
      <c r="M270" s="131">
        <v>0</v>
      </c>
      <c r="N270" s="107" t="s">
        <v>208</v>
      </c>
      <c r="P270" s="112" t="s">
        <v>276</v>
      </c>
    </row>
    <row r="271" spans="1:16" ht="15" thickBot="1" x14ac:dyDescent="0.35"/>
    <row r="272" spans="1:16" x14ac:dyDescent="0.3">
      <c r="B272" s="268" t="s">
        <v>184</v>
      </c>
      <c r="C272" s="269"/>
      <c r="D272" s="269"/>
      <c r="E272" s="269"/>
      <c r="F272" s="269"/>
      <c r="G272" s="269"/>
      <c r="H272" s="269"/>
      <c r="I272" s="269"/>
      <c r="J272" s="269"/>
      <c r="K272" s="269"/>
      <c r="L272" s="269"/>
      <c r="M272" s="269"/>
      <c r="N272" s="270"/>
    </row>
    <row r="273" spans="1:16" x14ac:dyDescent="0.3">
      <c r="B273" s="271" t="s">
        <v>186</v>
      </c>
      <c r="C273" s="274"/>
      <c r="D273" s="275"/>
      <c r="E273" s="275"/>
      <c r="F273" s="275"/>
      <c r="G273" s="275"/>
      <c r="H273" s="275"/>
      <c r="I273" s="275"/>
      <c r="J273" s="276"/>
      <c r="K273" s="277" t="s">
        <v>187</v>
      </c>
      <c r="L273" s="278"/>
      <c r="M273" s="279"/>
      <c r="N273" s="280" t="s">
        <v>188</v>
      </c>
    </row>
    <row r="274" spans="1:16" x14ac:dyDescent="0.3">
      <c r="A274" s="145" t="s">
        <v>365</v>
      </c>
      <c r="B274" s="272"/>
      <c r="C274" s="283" t="s">
        <v>194</v>
      </c>
      <c r="D274" s="283" t="s">
        <v>41</v>
      </c>
      <c r="E274" s="88" t="s">
        <v>42</v>
      </c>
      <c r="F274" s="88" t="s">
        <v>43</v>
      </c>
      <c r="G274" s="88" t="s">
        <v>42</v>
      </c>
      <c r="H274" s="88" t="s">
        <v>43</v>
      </c>
      <c r="I274" s="88" t="s">
        <v>42</v>
      </c>
      <c r="J274" s="88" t="s">
        <v>43</v>
      </c>
      <c r="K274" s="285" t="s">
        <v>20</v>
      </c>
      <c r="L274" s="285" t="s">
        <v>195</v>
      </c>
      <c r="M274" s="285" t="s">
        <v>196</v>
      </c>
      <c r="N274" s="281"/>
    </row>
    <row r="275" spans="1:16" x14ac:dyDescent="0.3">
      <c r="A275" s="145" t="s">
        <v>366</v>
      </c>
      <c r="B275" s="273"/>
      <c r="C275" s="284"/>
      <c r="D275" s="284"/>
      <c r="E275" s="88" t="s">
        <v>200</v>
      </c>
      <c r="F275" s="88" t="s">
        <v>200</v>
      </c>
      <c r="G275" s="88" t="s">
        <v>201</v>
      </c>
      <c r="H275" s="88" t="s">
        <v>201</v>
      </c>
      <c r="I275" s="88" t="s">
        <v>202</v>
      </c>
      <c r="J275" s="88" t="s">
        <v>202</v>
      </c>
      <c r="K275" s="286"/>
      <c r="L275" s="286"/>
      <c r="M275" s="286"/>
      <c r="N275" s="282"/>
    </row>
    <row r="276" spans="1:16" x14ac:dyDescent="0.3">
      <c r="A276" s="145">
        <v>2</v>
      </c>
      <c r="B276" s="265" t="s">
        <v>278</v>
      </c>
      <c r="C276" s="92" t="s">
        <v>207</v>
      </c>
      <c r="D276" s="93">
        <v>23.08</v>
      </c>
      <c r="E276" s="93">
        <v>142.87</v>
      </c>
      <c r="F276" s="108">
        <f>E276/25*9.81</f>
        <v>56.062188000000006</v>
      </c>
      <c r="G276" s="93">
        <v>128</v>
      </c>
      <c r="H276" s="108">
        <f>G276/25*9.81</f>
        <v>50.227200000000003</v>
      </c>
      <c r="I276" s="93">
        <v>164</v>
      </c>
      <c r="J276" s="109">
        <f>I276/25*9.81</f>
        <v>64.3536</v>
      </c>
      <c r="K276" s="95">
        <v>0</v>
      </c>
      <c r="L276" s="130">
        <v>1</v>
      </c>
      <c r="M276" s="130">
        <v>0</v>
      </c>
      <c r="N276" s="96" t="s">
        <v>208</v>
      </c>
    </row>
    <row r="277" spans="1:16" x14ac:dyDescent="0.3">
      <c r="B277" s="266"/>
      <c r="C277" s="92" t="s">
        <v>207</v>
      </c>
      <c r="D277" s="99">
        <v>90.62</v>
      </c>
      <c r="E277" s="99">
        <v>82.22</v>
      </c>
      <c r="F277" s="108">
        <f>E277/25*9.81</f>
        <v>32.263128000000002</v>
      </c>
      <c r="G277" s="136">
        <v>69</v>
      </c>
      <c r="H277" s="135">
        <f>G277/25*9.81</f>
        <v>27.075599999999998</v>
      </c>
      <c r="I277" s="92">
        <v>92</v>
      </c>
      <c r="J277" s="109">
        <f>I277/25*9.81</f>
        <v>36.100800000000007</v>
      </c>
      <c r="K277" s="100">
        <v>0</v>
      </c>
      <c r="L277" s="130">
        <v>1</v>
      </c>
      <c r="M277" s="130">
        <v>0</v>
      </c>
      <c r="N277" s="96" t="s">
        <v>208</v>
      </c>
      <c r="P277" s="112"/>
    </row>
    <row r="278" spans="1:16" x14ac:dyDescent="0.3">
      <c r="B278" s="266"/>
      <c r="C278" s="92" t="s">
        <v>211</v>
      </c>
      <c r="D278" s="99">
        <v>24.14</v>
      </c>
      <c r="E278" s="93">
        <v>140.9</v>
      </c>
      <c r="F278" s="108">
        <f>E278/25*9.81</f>
        <v>55.289160000000003</v>
      </c>
      <c r="G278" s="93">
        <v>124</v>
      </c>
      <c r="H278" s="108">
        <f>G278/25*9.81</f>
        <v>48.657600000000002</v>
      </c>
      <c r="I278" s="102">
        <v>152</v>
      </c>
      <c r="J278" s="109">
        <f>I278/25*9.81</f>
        <v>59.644800000000004</v>
      </c>
      <c r="K278" s="100">
        <v>0</v>
      </c>
      <c r="L278" s="130">
        <v>1</v>
      </c>
      <c r="M278" s="130">
        <v>0</v>
      </c>
      <c r="N278" s="96" t="s">
        <v>208</v>
      </c>
      <c r="P278" s="112" t="s">
        <v>255</v>
      </c>
    </row>
    <row r="279" spans="1:16" ht="15" thickBot="1" x14ac:dyDescent="0.35">
      <c r="B279" s="267"/>
      <c r="C279" s="103" t="s">
        <v>211</v>
      </c>
      <c r="D279" s="103">
        <v>91.52</v>
      </c>
      <c r="E279" s="104">
        <v>86.41</v>
      </c>
      <c r="F279" s="111">
        <f>E279/25*9.81</f>
        <v>33.907284000000004</v>
      </c>
      <c r="G279" s="143">
        <v>73</v>
      </c>
      <c r="H279" s="144">
        <f>G279/25*9.81</f>
        <v>28.645199999999999</v>
      </c>
      <c r="I279" s="104">
        <v>99</v>
      </c>
      <c r="J279" s="110">
        <f>I279/25*9.81</f>
        <v>38.8476</v>
      </c>
      <c r="K279" s="106">
        <v>0</v>
      </c>
      <c r="L279" s="131">
        <v>1</v>
      </c>
      <c r="M279" s="131">
        <v>0</v>
      </c>
      <c r="N279" s="107" t="s">
        <v>208</v>
      </c>
      <c r="P279" s="112" t="s">
        <v>276</v>
      </c>
    </row>
    <row r="280" spans="1:16" ht="15" thickBot="1" x14ac:dyDescent="0.35"/>
    <row r="281" spans="1:16" ht="14.4" customHeight="1" x14ac:dyDescent="0.3">
      <c r="B281" s="268" t="s">
        <v>184</v>
      </c>
      <c r="C281" s="269"/>
      <c r="D281" s="269"/>
      <c r="E281" s="269"/>
      <c r="F281" s="269"/>
      <c r="G281" s="269"/>
      <c r="H281" s="269"/>
      <c r="I281" s="269"/>
      <c r="J281" s="269"/>
      <c r="K281" s="269"/>
      <c r="L281" s="269"/>
      <c r="M281" s="269"/>
      <c r="N281" s="270"/>
    </row>
    <row r="282" spans="1:16" ht="14.4" customHeight="1" x14ac:dyDescent="0.3">
      <c r="A282" s="145" t="s">
        <v>365</v>
      </c>
      <c r="B282" s="271" t="s">
        <v>186</v>
      </c>
      <c r="C282" s="274"/>
      <c r="D282" s="275"/>
      <c r="E282" s="275"/>
      <c r="F282" s="275"/>
      <c r="G282" s="275"/>
      <c r="H282" s="275"/>
      <c r="I282" s="275"/>
      <c r="J282" s="276"/>
      <c r="K282" s="277" t="s">
        <v>187</v>
      </c>
      <c r="L282" s="278"/>
      <c r="M282" s="279"/>
      <c r="N282" s="280" t="s">
        <v>188</v>
      </c>
    </row>
    <row r="283" spans="1:16" ht="14.4" customHeight="1" x14ac:dyDescent="0.3">
      <c r="A283" s="145" t="s">
        <v>366</v>
      </c>
      <c r="B283" s="272"/>
      <c r="C283" s="283" t="s">
        <v>194</v>
      </c>
      <c r="D283" s="283" t="s">
        <v>41</v>
      </c>
      <c r="E283" s="88" t="s">
        <v>42</v>
      </c>
      <c r="F283" s="88" t="s">
        <v>43</v>
      </c>
      <c r="G283" s="88" t="s">
        <v>42</v>
      </c>
      <c r="H283" s="88" t="s">
        <v>43</v>
      </c>
      <c r="I283" s="88" t="s">
        <v>42</v>
      </c>
      <c r="J283" s="88" t="s">
        <v>43</v>
      </c>
      <c r="K283" s="285" t="s">
        <v>20</v>
      </c>
      <c r="L283" s="285" t="s">
        <v>195</v>
      </c>
      <c r="M283" s="285" t="s">
        <v>196</v>
      </c>
      <c r="N283" s="281"/>
    </row>
    <row r="284" spans="1:16" x14ac:dyDescent="0.3">
      <c r="A284" s="145">
        <v>3</v>
      </c>
      <c r="B284" s="273"/>
      <c r="C284" s="284"/>
      <c r="D284" s="284"/>
      <c r="E284" s="88" t="s">
        <v>200</v>
      </c>
      <c r="F284" s="88" t="s">
        <v>200</v>
      </c>
      <c r="G284" s="88" t="s">
        <v>201</v>
      </c>
      <c r="H284" s="88" t="s">
        <v>201</v>
      </c>
      <c r="I284" s="88" t="s">
        <v>202</v>
      </c>
      <c r="J284" s="88" t="s">
        <v>202</v>
      </c>
      <c r="K284" s="286"/>
      <c r="L284" s="286"/>
      <c r="M284" s="286"/>
      <c r="N284" s="282"/>
    </row>
    <row r="285" spans="1:16" x14ac:dyDescent="0.3">
      <c r="B285" s="265" t="s">
        <v>289</v>
      </c>
      <c r="C285" s="92" t="s">
        <v>207</v>
      </c>
      <c r="D285" s="93">
        <v>22.79</v>
      </c>
      <c r="E285" s="93">
        <v>164.15</v>
      </c>
      <c r="F285" s="108">
        <f>E285/25*9.81</f>
        <v>64.412459999999996</v>
      </c>
      <c r="G285" s="93">
        <v>138</v>
      </c>
      <c r="H285" s="108">
        <f>G285/25*9.81</f>
        <v>54.151199999999996</v>
      </c>
      <c r="I285" s="93">
        <v>187</v>
      </c>
      <c r="J285" s="109">
        <f>I285/25*9.81</f>
        <v>73.378800000000012</v>
      </c>
      <c r="K285" s="95">
        <v>0</v>
      </c>
      <c r="L285" s="130">
        <v>1</v>
      </c>
      <c r="M285" s="130">
        <v>0</v>
      </c>
      <c r="N285" s="96" t="s">
        <v>208</v>
      </c>
      <c r="P285" s="112" t="s">
        <v>276</v>
      </c>
    </row>
    <row r="286" spans="1:16" x14ac:dyDescent="0.3">
      <c r="B286" s="266"/>
      <c r="C286" s="92" t="s">
        <v>207</v>
      </c>
      <c r="D286" s="99">
        <v>89.72</v>
      </c>
      <c r="E286" s="99">
        <v>92.85</v>
      </c>
      <c r="F286" s="108">
        <f>E286/25*9.81</f>
        <v>36.434339999999999</v>
      </c>
      <c r="G286" s="136">
        <v>84</v>
      </c>
      <c r="H286" s="109">
        <f>G286/25*9.81</f>
        <v>32.961599999999997</v>
      </c>
      <c r="I286" s="92">
        <v>113</v>
      </c>
      <c r="J286" s="109">
        <f>I286/25*9.81</f>
        <v>44.341200000000001</v>
      </c>
      <c r="K286" s="100">
        <v>0</v>
      </c>
      <c r="L286" s="130">
        <v>1</v>
      </c>
      <c r="M286" s="130">
        <v>0</v>
      </c>
      <c r="N286" s="96" t="s">
        <v>208</v>
      </c>
      <c r="P286" s="112"/>
    </row>
    <row r="287" spans="1:16" x14ac:dyDescent="0.3">
      <c r="B287" s="266"/>
      <c r="C287" s="92" t="s">
        <v>211</v>
      </c>
      <c r="D287" s="99">
        <v>23</v>
      </c>
      <c r="E287" s="93">
        <v>163.54</v>
      </c>
      <c r="F287" s="108">
        <f>E287/25*9.81</f>
        <v>64.173096000000001</v>
      </c>
      <c r="G287" s="93">
        <v>153</v>
      </c>
      <c r="H287" s="135">
        <f>G287/25*9.81</f>
        <v>60.037200000000006</v>
      </c>
      <c r="I287" s="102">
        <v>179</v>
      </c>
      <c r="J287" s="109">
        <f>I287/25*9.81</f>
        <v>70.23960000000001</v>
      </c>
      <c r="K287" s="100">
        <v>0</v>
      </c>
      <c r="L287" s="130">
        <v>1</v>
      </c>
      <c r="M287" s="130">
        <v>0</v>
      </c>
      <c r="N287" s="96" t="s">
        <v>208</v>
      </c>
      <c r="P287" s="112"/>
    </row>
    <row r="288" spans="1:16" ht="15" thickBot="1" x14ac:dyDescent="0.35">
      <c r="B288" s="267"/>
      <c r="C288" s="103" t="s">
        <v>211</v>
      </c>
      <c r="D288" s="103">
        <v>88.77</v>
      </c>
      <c r="E288" s="104">
        <v>98.25</v>
      </c>
      <c r="F288" s="111">
        <f>E288/25*9.81</f>
        <v>38.5533</v>
      </c>
      <c r="G288" s="143">
        <v>57</v>
      </c>
      <c r="H288" s="144">
        <f>G288/25*9.81</f>
        <v>22.366799999999998</v>
      </c>
      <c r="I288" s="104">
        <v>114</v>
      </c>
      <c r="J288" s="110">
        <f>I288/25*9.81</f>
        <v>44.733599999999996</v>
      </c>
      <c r="K288" s="106">
        <v>0</v>
      </c>
      <c r="L288" s="131">
        <v>1</v>
      </c>
      <c r="M288" s="131">
        <v>0</v>
      </c>
      <c r="N288" s="107" t="s">
        <v>208</v>
      </c>
      <c r="P288" s="112"/>
    </row>
    <row r="289" spans="1:16" ht="15" thickBot="1" x14ac:dyDescent="0.35"/>
    <row r="290" spans="1:16" x14ac:dyDescent="0.3">
      <c r="B290" s="268" t="s">
        <v>184</v>
      </c>
      <c r="C290" s="269"/>
      <c r="D290" s="269"/>
      <c r="E290" s="269"/>
      <c r="F290" s="269"/>
      <c r="G290" s="269"/>
      <c r="H290" s="269"/>
      <c r="I290" s="269"/>
      <c r="J290" s="269"/>
      <c r="K290" s="269"/>
      <c r="L290" s="269"/>
      <c r="M290" s="269"/>
      <c r="N290" s="270"/>
    </row>
    <row r="291" spans="1:16" x14ac:dyDescent="0.3">
      <c r="A291" s="145" t="s">
        <v>365</v>
      </c>
      <c r="B291" s="271" t="s">
        <v>186</v>
      </c>
      <c r="C291" s="274"/>
      <c r="D291" s="275"/>
      <c r="E291" s="275"/>
      <c r="F291" s="275"/>
      <c r="G291" s="275"/>
      <c r="H291" s="275"/>
      <c r="I291" s="275"/>
      <c r="J291" s="276"/>
      <c r="K291" s="277" t="s">
        <v>187</v>
      </c>
      <c r="L291" s="278"/>
      <c r="M291" s="279"/>
      <c r="N291" s="280" t="s">
        <v>188</v>
      </c>
    </row>
    <row r="292" spans="1:16" x14ac:dyDescent="0.3">
      <c r="A292" s="145" t="s">
        <v>366</v>
      </c>
      <c r="B292" s="272"/>
      <c r="C292" s="283" t="s">
        <v>194</v>
      </c>
      <c r="D292" s="283" t="s">
        <v>41</v>
      </c>
      <c r="E292" s="88" t="s">
        <v>42</v>
      </c>
      <c r="F292" s="88" t="s">
        <v>43</v>
      </c>
      <c r="G292" s="88" t="s">
        <v>42</v>
      </c>
      <c r="H292" s="88" t="s">
        <v>43</v>
      </c>
      <c r="I292" s="88" t="s">
        <v>42</v>
      </c>
      <c r="J292" s="88" t="s">
        <v>43</v>
      </c>
      <c r="K292" s="285" t="s">
        <v>20</v>
      </c>
      <c r="L292" s="285" t="s">
        <v>195</v>
      </c>
      <c r="M292" s="285" t="s">
        <v>196</v>
      </c>
      <c r="N292" s="281"/>
    </row>
    <row r="293" spans="1:16" x14ac:dyDescent="0.3">
      <c r="A293" s="145">
        <v>4</v>
      </c>
      <c r="B293" s="273"/>
      <c r="C293" s="284"/>
      <c r="D293" s="284"/>
      <c r="E293" s="88" t="s">
        <v>200</v>
      </c>
      <c r="F293" s="88" t="s">
        <v>200</v>
      </c>
      <c r="G293" s="88" t="s">
        <v>201</v>
      </c>
      <c r="H293" s="88" t="s">
        <v>201</v>
      </c>
      <c r="I293" s="88" t="s">
        <v>202</v>
      </c>
      <c r="J293" s="88" t="s">
        <v>202</v>
      </c>
      <c r="K293" s="286"/>
      <c r="L293" s="286"/>
      <c r="M293" s="286"/>
      <c r="N293" s="282"/>
    </row>
    <row r="294" spans="1:16" x14ac:dyDescent="0.3">
      <c r="B294" s="265" t="s">
        <v>297</v>
      </c>
      <c r="C294" s="92" t="s">
        <v>207</v>
      </c>
      <c r="D294" s="93">
        <v>23.43</v>
      </c>
      <c r="E294" s="93">
        <v>142.06</v>
      </c>
      <c r="F294" s="108">
        <f>E294/25*9.81</f>
        <v>55.744344000000005</v>
      </c>
      <c r="G294" s="93">
        <v>56</v>
      </c>
      <c r="H294" s="108">
        <f>G294/25*9.81</f>
        <v>21.974400000000003</v>
      </c>
      <c r="I294" s="93">
        <v>218</v>
      </c>
      <c r="J294" s="109">
        <f>I294/25*9.81</f>
        <v>85.543200000000013</v>
      </c>
      <c r="K294" s="95">
        <v>0</v>
      </c>
      <c r="L294" s="113">
        <v>0.9</v>
      </c>
      <c r="M294" s="113">
        <v>0.1</v>
      </c>
      <c r="N294" s="96" t="s">
        <v>233</v>
      </c>
      <c r="P294" s="112" t="s">
        <v>380</v>
      </c>
    </row>
    <row r="295" spans="1:16" x14ac:dyDescent="0.3">
      <c r="B295" s="266"/>
      <c r="C295" s="92" t="s">
        <v>207</v>
      </c>
      <c r="D295" s="99">
        <v>88.98</v>
      </c>
      <c r="E295" s="99">
        <v>70.36</v>
      </c>
      <c r="F295" s="108">
        <f>E295/25*9.81</f>
        <v>27.609264000000003</v>
      </c>
      <c r="G295" s="136">
        <v>63</v>
      </c>
      <c r="H295" s="135">
        <f>G295/25*9.81</f>
        <v>24.721200000000003</v>
      </c>
      <c r="I295" s="92">
        <v>80</v>
      </c>
      <c r="J295" s="109">
        <f>I295/25*9.81</f>
        <v>31.392000000000003</v>
      </c>
      <c r="K295" s="100">
        <v>0</v>
      </c>
      <c r="L295" s="130">
        <v>1</v>
      </c>
      <c r="M295" s="130">
        <v>0</v>
      </c>
      <c r="N295" s="96" t="s">
        <v>208</v>
      </c>
      <c r="P295" s="112"/>
    </row>
    <row r="296" spans="1:16" x14ac:dyDescent="0.3">
      <c r="B296" s="266"/>
      <c r="C296" s="92" t="s">
        <v>211</v>
      </c>
      <c r="D296" s="99">
        <v>23.38</v>
      </c>
      <c r="E296" s="93">
        <v>150.71</v>
      </c>
      <c r="F296" s="108">
        <f>E296/25*9.81</f>
        <v>59.138604000000008</v>
      </c>
      <c r="G296" s="93">
        <v>129</v>
      </c>
      <c r="H296" s="108">
        <f>G296/25*9.81</f>
        <v>50.619600000000005</v>
      </c>
      <c r="I296" s="102">
        <v>171</v>
      </c>
      <c r="J296" s="109">
        <f>I296/25*9.81</f>
        <v>67.100400000000008</v>
      </c>
      <c r="K296" s="100">
        <v>0</v>
      </c>
      <c r="L296" s="130">
        <v>1</v>
      </c>
      <c r="M296" s="130">
        <v>0</v>
      </c>
      <c r="N296" s="96" t="s">
        <v>208</v>
      </c>
      <c r="P296" s="112"/>
    </row>
    <row r="297" spans="1:16" ht="15" thickBot="1" x14ac:dyDescent="0.35">
      <c r="B297" s="267"/>
      <c r="C297" s="103" t="s">
        <v>211</v>
      </c>
      <c r="D297" s="103">
        <v>89.02</v>
      </c>
      <c r="E297" s="104">
        <v>91.68</v>
      </c>
      <c r="F297" s="111">
        <f>E297/25*9.81</f>
        <v>35.975232000000005</v>
      </c>
      <c r="G297" s="143">
        <v>70</v>
      </c>
      <c r="H297" s="144">
        <f>G297/25*9.81</f>
        <v>27.468</v>
      </c>
      <c r="I297" s="104">
        <v>113</v>
      </c>
      <c r="J297" s="110">
        <f>I297/25*9.81</f>
        <v>44.341200000000001</v>
      </c>
      <c r="K297" s="106">
        <v>0</v>
      </c>
      <c r="L297" s="131">
        <v>1</v>
      </c>
      <c r="M297" s="131">
        <v>0</v>
      </c>
      <c r="N297" s="107" t="s">
        <v>208</v>
      </c>
      <c r="P297" s="112"/>
    </row>
    <row r="298" spans="1:16" ht="15" thickBot="1" x14ac:dyDescent="0.35"/>
    <row r="299" spans="1:16" x14ac:dyDescent="0.3">
      <c r="B299" s="268" t="s">
        <v>184</v>
      </c>
      <c r="C299" s="269"/>
      <c r="D299" s="269"/>
      <c r="E299" s="269"/>
      <c r="F299" s="269"/>
      <c r="G299" s="269"/>
      <c r="H299" s="269"/>
      <c r="I299" s="269"/>
      <c r="J299" s="269"/>
      <c r="K299" s="269"/>
      <c r="L299" s="269"/>
      <c r="M299" s="269"/>
      <c r="N299" s="270"/>
    </row>
    <row r="300" spans="1:16" x14ac:dyDescent="0.3">
      <c r="A300" s="145" t="s">
        <v>365</v>
      </c>
      <c r="B300" s="271" t="s">
        <v>186</v>
      </c>
      <c r="C300" s="274"/>
      <c r="D300" s="275"/>
      <c r="E300" s="275"/>
      <c r="F300" s="275"/>
      <c r="G300" s="275"/>
      <c r="H300" s="275"/>
      <c r="I300" s="275"/>
      <c r="J300" s="276"/>
      <c r="K300" s="277" t="s">
        <v>187</v>
      </c>
      <c r="L300" s="278"/>
      <c r="M300" s="279"/>
      <c r="N300" s="280" t="s">
        <v>188</v>
      </c>
    </row>
    <row r="301" spans="1:16" x14ac:dyDescent="0.3">
      <c r="A301" s="145" t="s">
        <v>366</v>
      </c>
      <c r="B301" s="272"/>
      <c r="C301" s="283" t="s">
        <v>194</v>
      </c>
      <c r="D301" s="283" t="s">
        <v>41</v>
      </c>
      <c r="E301" s="88" t="s">
        <v>42</v>
      </c>
      <c r="F301" s="88" t="s">
        <v>43</v>
      </c>
      <c r="G301" s="88" t="s">
        <v>42</v>
      </c>
      <c r="H301" s="88" t="s">
        <v>43</v>
      </c>
      <c r="I301" s="88" t="s">
        <v>42</v>
      </c>
      <c r="J301" s="88" t="s">
        <v>43</v>
      </c>
      <c r="K301" s="285" t="s">
        <v>20</v>
      </c>
      <c r="L301" s="285" t="s">
        <v>195</v>
      </c>
      <c r="M301" s="285" t="s">
        <v>196</v>
      </c>
      <c r="N301" s="281"/>
    </row>
    <row r="302" spans="1:16" x14ac:dyDescent="0.3">
      <c r="A302" s="145">
        <v>5</v>
      </c>
      <c r="B302" s="273"/>
      <c r="C302" s="284"/>
      <c r="D302" s="284"/>
      <c r="E302" s="88" t="s">
        <v>200</v>
      </c>
      <c r="F302" s="88" t="s">
        <v>200</v>
      </c>
      <c r="G302" s="88" t="s">
        <v>201</v>
      </c>
      <c r="H302" s="88" t="s">
        <v>201</v>
      </c>
      <c r="I302" s="88" t="s">
        <v>202</v>
      </c>
      <c r="J302" s="88" t="s">
        <v>202</v>
      </c>
      <c r="K302" s="286"/>
      <c r="L302" s="286"/>
      <c r="M302" s="286"/>
      <c r="N302" s="282"/>
    </row>
    <row r="303" spans="1:16" x14ac:dyDescent="0.3">
      <c r="B303" s="265" t="s">
        <v>298</v>
      </c>
      <c r="C303" s="92" t="s">
        <v>207</v>
      </c>
      <c r="D303" s="93">
        <v>24.29</v>
      </c>
      <c r="E303" s="93">
        <v>217.94</v>
      </c>
      <c r="F303" s="108">
        <f>E303/25*9.81</f>
        <v>85.519655999999998</v>
      </c>
      <c r="G303" s="93">
        <v>175</v>
      </c>
      <c r="H303" s="108">
        <f>G303/25*9.81</f>
        <v>68.67</v>
      </c>
      <c r="I303" s="93">
        <v>235</v>
      </c>
      <c r="J303" s="109">
        <f>I303/25*9.81</f>
        <v>92.214000000000013</v>
      </c>
      <c r="K303" s="95">
        <v>0</v>
      </c>
      <c r="L303" s="113">
        <v>0.9</v>
      </c>
      <c r="M303" s="113">
        <v>0.1</v>
      </c>
      <c r="N303" s="96" t="s">
        <v>233</v>
      </c>
      <c r="P303" s="112" t="s">
        <v>380</v>
      </c>
    </row>
    <row r="304" spans="1:16" x14ac:dyDescent="0.3">
      <c r="B304" s="266"/>
      <c r="C304" s="92" t="s">
        <v>207</v>
      </c>
      <c r="D304" s="99">
        <v>89.8</v>
      </c>
      <c r="E304" s="99">
        <v>82.19</v>
      </c>
      <c r="F304" s="108">
        <f>E304/25*9.81</f>
        <v>32.251356000000001</v>
      </c>
      <c r="G304" s="136">
        <v>71</v>
      </c>
      <c r="H304" s="135">
        <f>G304/25*9.81</f>
        <v>27.860399999999998</v>
      </c>
      <c r="I304" s="92">
        <v>102</v>
      </c>
      <c r="J304" s="109">
        <f>I304/25*9.81</f>
        <v>40.024800000000006</v>
      </c>
      <c r="K304" s="100">
        <v>0</v>
      </c>
      <c r="L304" s="130">
        <v>1</v>
      </c>
      <c r="M304" s="130">
        <v>0</v>
      </c>
      <c r="N304" s="96" t="s">
        <v>208</v>
      </c>
      <c r="P304" s="112"/>
    </row>
    <row r="305" spans="1:16" x14ac:dyDescent="0.3">
      <c r="B305" s="266"/>
      <c r="C305" s="92" t="s">
        <v>211</v>
      </c>
      <c r="D305" s="99">
        <v>23.44</v>
      </c>
      <c r="E305" s="93">
        <v>154.44</v>
      </c>
      <c r="F305" s="108">
        <f>E305/25*9.81</f>
        <v>60.602256000000004</v>
      </c>
      <c r="G305" s="93">
        <v>136</v>
      </c>
      <c r="H305" s="108">
        <f>G305/25*9.81</f>
        <v>53.366400000000006</v>
      </c>
      <c r="I305" s="102">
        <v>168</v>
      </c>
      <c r="J305" s="109">
        <f>I305/25*9.81</f>
        <v>65.923199999999994</v>
      </c>
      <c r="K305" s="100">
        <v>0</v>
      </c>
      <c r="L305" s="130">
        <v>1</v>
      </c>
      <c r="M305" s="130">
        <v>0</v>
      </c>
      <c r="N305" s="96" t="s">
        <v>208</v>
      </c>
      <c r="P305" s="112"/>
    </row>
    <row r="306" spans="1:16" ht="15" thickBot="1" x14ac:dyDescent="0.35">
      <c r="B306" s="267"/>
      <c r="C306" s="103" t="s">
        <v>211</v>
      </c>
      <c r="D306" s="103">
        <v>89.48</v>
      </c>
      <c r="E306" s="104">
        <v>70.09</v>
      </c>
      <c r="F306" s="111">
        <f>E306/25*9.81</f>
        <v>27.503316000000005</v>
      </c>
      <c r="G306" s="143">
        <v>57</v>
      </c>
      <c r="H306" s="144">
        <f>G306/25*9.81</f>
        <v>22.366799999999998</v>
      </c>
      <c r="I306" s="104">
        <v>85</v>
      </c>
      <c r="J306" s="110">
        <f>I306/25*9.81</f>
        <v>33.353999999999999</v>
      </c>
      <c r="K306" s="106">
        <v>0</v>
      </c>
      <c r="L306" s="131">
        <v>1</v>
      </c>
      <c r="M306" s="131">
        <v>0</v>
      </c>
      <c r="N306" s="107" t="s">
        <v>208</v>
      </c>
      <c r="P306" s="112"/>
    </row>
    <row r="307" spans="1:16" ht="15" thickBot="1" x14ac:dyDescent="0.35"/>
    <row r="308" spans="1:16" x14ac:dyDescent="0.3">
      <c r="B308" s="268" t="s">
        <v>184</v>
      </c>
      <c r="C308" s="269"/>
      <c r="D308" s="269"/>
      <c r="E308" s="269"/>
      <c r="F308" s="269"/>
      <c r="G308" s="269"/>
      <c r="H308" s="269"/>
      <c r="I308" s="269"/>
      <c r="J308" s="269"/>
      <c r="K308" s="269"/>
      <c r="L308" s="269"/>
      <c r="M308" s="269"/>
      <c r="N308" s="270"/>
    </row>
    <row r="309" spans="1:16" x14ac:dyDescent="0.3">
      <c r="A309" s="145" t="s">
        <v>365</v>
      </c>
      <c r="B309" s="271" t="s">
        <v>186</v>
      </c>
      <c r="C309" s="274"/>
      <c r="D309" s="275"/>
      <c r="E309" s="275"/>
      <c r="F309" s="275"/>
      <c r="G309" s="275"/>
      <c r="H309" s="275"/>
      <c r="I309" s="275"/>
      <c r="J309" s="276"/>
      <c r="K309" s="277" t="s">
        <v>187</v>
      </c>
      <c r="L309" s="278"/>
      <c r="M309" s="279"/>
      <c r="N309" s="280" t="s">
        <v>188</v>
      </c>
    </row>
    <row r="310" spans="1:16" x14ac:dyDescent="0.3">
      <c r="A310" s="145" t="s">
        <v>366</v>
      </c>
      <c r="B310" s="272"/>
      <c r="C310" s="283" t="s">
        <v>194</v>
      </c>
      <c r="D310" s="283" t="s">
        <v>41</v>
      </c>
      <c r="E310" s="88" t="s">
        <v>42</v>
      </c>
      <c r="F310" s="88" t="s">
        <v>43</v>
      </c>
      <c r="G310" s="88" t="s">
        <v>42</v>
      </c>
      <c r="H310" s="88" t="s">
        <v>43</v>
      </c>
      <c r="I310" s="88" t="s">
        <v>42</v>
      </c>
      <c r="J310" s="88" t="s">
        <v>43</v>
      </c>
      <c r="K310" s="285" t="s">
        <v>20</v>
      </c>
      <c r="L310" s="285" t="s">
        <v>195</v>
      </c>
      <c r="M310" s="285" t="s">
        <v>196</v>
      </c>
      <c r="N310" s="281"/>
    </row>
    <row r="311" spans="1:16" x14ac:dyDescent="0.3">
      <c r="A311" s="145">
        <v>6</v>
      </c>
      <c r="B311" s="273"/>
      <c r="C311" s="284"/>
      <c r="D311" s="284"/>
      <c r="E311" s="88" t="s">
        <v>200</v>
      </c>
      <c r="F311" s="88" t="s">
        <v>200</v>
      </c>
      <c r="G311" s="88" t="s">
        <v>201</v>
      </c>
      <c r="H311" s="88" t="s">
        <v>201</v>
      </c>
      <c r="I311" s="88" t="s">
        <v>202</v>
      </c>
      <c r="J311" s="88" t="s">
        <v>202</v>
      </c>
      <c r="K311" s="286"/>
      <c r="L311" s="286"/>
      <c r="M311" s="286"/>
      <c r="N311" s="282"/>
    </row>
    <row r="312" spans="1:16" x14ac:dyDescent="0.3">
      <c r="B312" s="265" t="s">
        <v>296</v>
      </c>
      <c r="C312" s="92" t="s">
        <v>207</v>
      </c>
      <c r="D312" s="93">
        <v>22.06</v>
      </c>
      <c r="E312" s="93">
        <v>156.76</v>
      </c>
      <c r="F312" s="108">
        <f>E312/25*9.81</f>
        <v>61.512623999999995</v>
      </c>
      <c r="G312" s="93">
        <v>113</v>
      </c>
      <c r="H312" s="108">
        <f>G312/25*9.81</f>
        <v>44.341200000000001</v>
      </c>
      <c r="I312" s="93">
        <v>237</v>
      </c>
      <c r="J312" s="109">
        <f>I312/25*9.81</f>
        <v>92.998800000000003</v>
      </c>
      <c r="K312" s="95">
        <v>0</v>
      </c>
      <c r="L312" s="130">
        <v>1</v>
      </c>
      <c r="M312" s="130">
        <v>0</v>
      </c>
      <c r="N312" s="96" t="s">
        <v>208</v>
      </c>
      <c r="P312" s="112" t="s">
        <v>380</v>
      </c>
    </row>
    <row r="313" spans="1:16" x14ac:dyDescent="0.3">
      <c r="B313" s="266"/>
      <c r="C313" s="92" t="s">
        <v>207</v>
      </c>
      <c r="D313" s="99">
        <v>89.59</v>
      </c>
      <c r="E313" s="99">
        <v>98.18</v>
      </c>
      <c r="F313" s="108">
        <f>E313/25*9.81</f>
        <v>38.525832000000008</v>
      </c>
      <c r="G313" s="136">
        <v>80</v>
      </c>
      <c r="H313" s="135">
        <f>G313/25*9.81</f>
        <v>31.392000000000003</v>
      </c>
      <c r="I313" s="92">
        <v>108</v>
      </c>
      <c r="J313" s="109">
        <f>I313/25*9.81</f>
        <v>42.379200000000004</v>
      </c>
      <c r="K313" s="100">
        <v>0</v>
      </c>
      <c r="L313" s="130">
        <v>1</v>
      </c>
      <c r="M313" s="130">
        <v>0</v>
      </c>
      <c r="N313" s="96" t="s">
        <v>208</v>
      </c>
      <c r="P313" s="112"/>
    </row>
    <row r="314" spans="1:16" x14ac:dyDescent="0.3">
      <c r="B314" s="266"/>
      <c r="C314" s="92" t="s">
        <v>211</v>
      </c>
      <c r="D314" s="99">
        <v>23.04</v>
      </c>
      <c r="E314" s="93">
        <v>139.03</v>
      </c>
      <c r="F314" s="108">
        <f>E314/25*9.81</f>
        <v>54.555372000000006</v>
      </c>
      <c r="G314" s="93">
        <v>110</v>
      </c>
      <c r="H314" s="108">
        <f>G314/25*9.81</f>
        <v>43.164000000000009</v>
      </c>
      <c r="I314" s="102">
        <v>175</v>
      </c>
      <c r="J314" s="109">
        <f>I314/25*9.81</f>
        <v>68.67</v>
      </c>
      <c r="K314" s="100">
        <v>0</v>
      </c>
      <c r="L314" s="130">
        <v>1</v>
      </c>
      <c r="M314" s="130">
        <v>0</v>
      </c>
      <c r="N314" s="96" t="s">
        <v>208</v>
      </c>
      <c r="P314" s="112"/>
    </row>
    <row r="315" spans="1:16" ht="15" thickBot="1" x14ac:dyDescent="0.35">
      <c r="B315" s="267"/>
      <c r="C315" s="103" t="s">
        <v>211</v>
      </c>
      <c r="D315" s="103">
        <v>89.67</v>
      </c>
      <c r="E315" s="104">
        <v>77.23</v>
      </c>
      <c r="F315" s="111">
        <f>E315/25*9.81</f>
        <v>30.305052</v>
      </c>
      <c r="G315" s="143">
        <v>68</v>
      </c>
      <c r="H315" s="144">
        <f>G315/25*9.81</f>
        <v>26.683200000000003</v>
      </c>
      <c r="I315" s="104">
        <v>89</v>
      </c>
      <c r="J315" s="110">
        <f>I315/25*9.81</f>
        <v>34.9236</v>
      </c>
      <c r="K315" s="106">
        <v>0</v>
      </c>
      <c r="L315" s="131">
        <v>1</v>
      </c>
      <c r="M315" s="131">
        <v>0</v>
      </c>
      <c r="N315" s="107" t="s">
        <v>208</v>
      </c>
      <c r="P315" s="112"/>
    </row>
    <row r="316" spans="1:16" ht="15" thickBot="1" x14ac:dyDescent="0.35"/>
    <row r="317" spans="1:16" x14ac:dyDescent="0.3">
      <c r="B317" s="268" t="s">
        <v>184</v>
      </c>
      <c r="C317" s="269"/>
      <c r="D317" s="269"/>
      <c r="E317" s="269"/>
      <c r="F317" s="269"/>
      <c r="G317" s="269"/>
      <c r="H317" s="269"/>
      <c r="I317" s="269"/>
      <c r="J317" s="269"/>
      <c r="K317" s="269"/>
      <c r="L317" s="269"/>
      <c r="M317" s="269"/>
      <c r="N317" s="270"/>
    </row>
    <row r="318" spans="1:16" x14ac:dyDescent="0.3">
      <c r="A318" s="145" t="s">
        <v>365</v>
      </c>
      <c r="B318" s="271" t="s">
        <v>186</v>
      </c>
      <c r="C318" s="274"/>
      <c r="D318" s="275"/>
      <c r="E318" s="275"/>
      <c r="F318" s="275"/>
      <c r="G318" s="275"/>
      <c r="H318" s="275"/>
      <c r="I318" s="275"/>
      <c r="J318" s="276"/>
      <c r="K318" s="277" t="s">
        <v>187</v>
      </c>
      <c r="L318" s="278"/>
      <c r="M318" s="279"/>
      <c r="N318" s="280" t="s">
        <v>188</v>
      </c>
    </row>
    <row r="319" spans="1:16" x14ac:dyDescent="0.3">
      <c r="A319" s="145" t="s">
        <v>366</v>
      </c>
      <c r="B319" s="272"/>
      <c r="C319" s="283" t="s">
        <v>194</v>
      </c>
      <c r="D319" s="283" t="s">
        <v>41</v>
      </c>
      <c r="E319" s="88" t="s">
        <v>42</v>
      </c>
      <c r="F319" s="88" t="s">
        <v>43</v>
      </c>
      <c r="G319" s="88" t="s">
        <v>42</v>
      </c>
      <c r="H319" s="88" t="s">
        <v>43</v>
      </c>
      <c r="I319" s="88" t="s">
        <v>42</v>
      </c>
      <c r="J319" s="88" t="s">
        <v>43</v>
      </c>
      <c r="K319" s="285" t="s">
        <v>20</v>
      </c>
      <c r="L319" s="285" t="s">
        <v>195</v>
      </c>
      <c r="M319" s="285" t="s">
        <v>196</v>
      </c>
      <c r="N319" s="281"/>
    </row>
    <row r="320" spans="1:16" x14ac:dyDescent="0.3">
      <c r="A320" s="145">
        <v>7</v>
      </c>
      <c r="B320" s="273"/>
      <c r="C320" s="284"/>
      <c r="D320" s="284"/>
      <c r="E320" s="88" t="s">
        <v>200</v>
      </c>
      <c r="F320" s="88" t="s">
        <v>200</v>
      </c>
      <c r="G320" s="88" t="s">
        <v>201</v>
      </c>
      <c r="H320" s="88" t="s">
        <v>201</v>
      </c>
      <c r="I320" s="88" t="s">
        <v>202</v>
      </c>
      <c r="J320" s="88" t="s">
        <v>202</v>
      </c>
      <c r="K320" s="286"/>
      <c r="L320" s="286"/>
      <c r="M320" s="286"/>
      <c r="N320" s="282"/>
    </row>
    <row r="321" spans="1:16" x14ac:dyDescent="0.3">
      <c r="B321" s="265" t="s">
        <v>294</v>
      </c>
      <c r="C321" s="92" t="s">
        <v>207</v>
      </c>
      <c r="D321" s="93">
        <v>25.09</v>
      </c>
      <c r="E321" s="93">
        <v>141.03</v>
      </c>
      <c r="F321" s="108">
        <f>E321/25*9.81</f>
        <v>55.34017200000001</v>
      </c>
      <c r="G321" s="93">
        <v>126</v>
      </c>
      <c r="H321" s="108">
        <f>G321/25*9.81</f>
        <v>49.442400000000006</v>
      </c>
      <c r="I321" s="93">
        <v>167</v>
      </c>
      <c r="J321" s="109">
        <f>I321/25*9.81</f>
        <v>65.530799999999999</v>
      </c>
      <c r="K321" s="95">
        <v>0</v>
      </c>
      <c r="L321" s="130">
        <v>1</v>
      </c>
      <c r="M321" s="130">
        <v>0</v>
      </c>
      <c r="N321" s="96" t="s">
        <v>208</v>
      </c>
    </row>
    <row r="322" spans="1:16" x14ac:dyDescent="0.3">
      <c r="B322" s="266"/>
      <c r="C322" s="92" t="s">
        <v>207</v>
      </c>
      <c r="D322" s="99">
        <v>89.31</v>
      </c>
      <c r="E322" s="99">
        <v>95.43</v>
      </c>
      <c r="F322" s="108">
        <f>E322/25*9.81</f>
        <v>37.446732000000004</v>
      </c>
      <c r="G322" s="136">
        <v>80</v>
      </c>
      <c r="H322" s="135">
        <f>G322/25*9.81</f>
        <v>31.392000000000003</v>
      </c>
      <c r="I322" s="92">
        <v>134</v>
      </c>
      <c r="J322" s="109">
        <f>I322/25*9.81</f>
        <v>52.581600000000009</v>
      </c>
      <c r="K322" s="100">
        <v>0</v>
      </c>
      <c r="L322" s="130">
        <v>1</v>
      </c>
      <c r="M322" s="130">
        <v>0</v>
      </c>
      <c r="N322" s="96" t="s">
        <v>208</v>
      </c>
      <c r="P322" s="112" t="s">
        <v>380</v>
      </c>
    </row>
    <row r="323" spans="1:16" x14ac:dyDescent="0.3">
      <c r="B323" s="266"/>
      <c r="C323" s="92" t="s">
        <v>211</v>
      </c>
      <c r="D323" s="99">
        <v>24.63</v>
      </c>
      <c r="E323" s="93">
        <v>147.27000000000001</v>
      </c>
      <c r="F323" s="108">
        <f>E323/25*9.81</f>
        <v>57.788748000000005</v>
      </c>
      <c r="G323" s="93">
        <v>79</v>
      </c>
      <c r="H323" s="108">
        <f>G323/25*9.81</f>
        <v>30.999600000000004</v>
      </c>
      <c r="I323" s="102">
        <v>201</v>
      </c>
      <c r="J323" s="109">
        <f>I323/25*9.81</f>
        <v>78.872399999999999</v>
      </c>
      <c r="K323" s="100">
        <v>0</v>
      </c>
      <c r="L323" s="113">
        <v>0.9</v>
      </c>
      <c r="M323" s="113">
        <v>0.1</v>
      </c>
      <c r="N323" s="96" t="s">
        <v>233</v>
      </c>
      <c r="P323" s="112" t="s">
        <v>382</v>
      </c>
    </row>
    <row r="324" spans="1:16" ht="15" thickBot="1" x14ac:dyDescent="0.35">
      <c r="B324" s="267"/>
      <c r="C324" s="103" t="s">
        <v>211</v>
      </c>
      <c r="D324" s="111">
        <v>90.3</v>
      </c>
      <c r="E324" s="110">
        <v>83</v>
      </c>
      <c r="F324" s="111">
        <f>E324/25*9.81</f>
        <v>32.569200000000002</v>
      </c>
      <c r="G324" s="143">
        <v>69</v>
      </c>
      <c r="H324" s="144">
        <f>G324/25*9.81</f>
        <v>27.075599999999998</v>
      </c>
      <c r="I324" s="104">
        <v>101</v>
      </c>
      <c r="J324" s="110">
        <f>I324/25*9.81</f>
        <v>39.632400000000004</v>
      </c>
      <c r="K324" s="106">
        <v>0</v>
      </c>
      <c r="L324" s="131">
        <v>1</v>
      </c>
      <c r="M324" s="131">
        <v>0</v>
      </c>
      <c r="N324" s="107" t="s">
        <v>208</v>
      </c>
    </row>
    <row r="325" spans="1:16" ht="15" thickBot="1" x14ac:dyDescent="0.35"/>
    <row r="326" spans="1:16" x14ac:dyDescent="0.3">
      <c r="B326" s="268" t="s">
        <v>184</v>
      </c>
      <c r="C326" s="269"/>
      <c r="D326" s="269"/>
      <c r="E326" s="269"/>
      <c r="F326" s="269"/>
      <c r="G326" s="269"/>
      <c r="H326" s="269"/>
      <c r="I326" s="269"/>
      <c r="J326" s="269"/>
      <c r="K326" s="269"/>
      <c r="L326" s="269"/>
      <c r="M326" s="269"/>
      <c r="N326" s="270"/>
    </row>
    <row r="327" spans="1:16" x14ac:dyDescent="0.3">
      <c r="A327" s="145" t="s">
        <v>365</v>
      </c>
      <c r="B327" s="271" t="s">
        <v>186</v>
      </c>
      <c r="C327" s="274"/>
      <c r="D327" s="275"/>
      <c r="E327" s="275"/>
      <c r="F327" s="275"/>
      <c r="G327" s="275"/>
      <c r="H327" s="275"/>
      <c r="I327" s="275"/>
      <c r="J327" s="276"/>
      <c r="K327" s="277" t="s">
        <v>187</v>
      </c>
      <c r="L327" s="278"/>
      <c r="M327" s="279"/>
      <c r="N327" s="280" t="s">
        <v>188</v>
      </c>
    </row>
    <row r="328" spans="1:16" x14ac:dyDescent="0.3">
      <c r="A328" s="145" t="s">
        <v>366</v>
      </c>
      <c r="B328" s="272"/>
      <c r="C328" s="283" t="s">
        <v>194</v>
      </c>
      <c r="D328" s="283" t="s">
        <v>41</v>
      </c>
      <c r="E328" s="88" t="s">
        <v>42</v>
      </c>
      <c r="F328" s="88" t="s">
        <v>43</v>
      </c>
      <c r="G328" s="88" t="s">
        <v>42</v>
      </c>
      <c r="H328" s="88" t="s">
        <v>43</v>
      </c>
      <c r="I328" s="88" t="s">
        <v>42</v>
      </c>
      <c r="J328" s="88" t="s">
        <v>43</v>
      </c>
      <c r="K328" s="285" t="s">
        <v>20</v>
      </c>
      <c r="L328" s="285" t="s">
        <v>195</v>
      </c>
      <c r="M328" s="285" t="s">
        <v>196</v>
      </c>
      <c r="N328" s="281"/>
    </row>
    <row r="329" spans="1:16" x14ac:dyDescent="0.3">
      <c r="A329" s="145">
        <v>8</v>
      </c>
      <c r="B329" s="273"/>
      <c r="C329" s="284"/>
      <c r="D329" s="284"/>
      <c r="E329" s="88" t="s">
        <v>200</v>
      </c>
      <c r="F329" s="88" t="s">
        <v>200</v>
      </c>
      <c r="G329" s="88" t="s">
        <v>201</v>
      </c>
      <c r="H329" s="88" t="s">
        <v>201</v>
      </c>
      <c r="I329" s="88" t="s">
        <v>202</v>
      </c>
      <c r="J329" s="88" t="s">
        <v>202</v>
      </c>
      <c r="K329" s="286"/>
      <c r="L329" s="286"/>
      <c r="M329" s="286"/>
      <c r="N329" s="282"/>
    </row>
    <row r="330" spans="1:16" x14ac:dyDescent="0.3">
      <c r="B330" s="265" t="s">
        <v>301</v>
      </c>
      <c r="C330" s="92" t="s">
        <v>207</v>
      </c>
      <c r="D330" s="94">
        <v>23.8</v>
      </c>
      <c r="E330" s="93">
        <v>177.9</v>
      </c>
      <c r="F330" s="108">
        <f>E330/25*9.81</f>
        <v>69.807960000000008</v>
      </c>
      <c r="G330" s="93">
        <v>88</v>
      </c>
      <c r="H330" s="108">
        <f>G330/25*9.81</f>
        <v>34.531200000000005</v>
      </c>
      <c r="I330" s="93">
        <v>232</v>
      </c>
      <c r="J330" s="109">
        <f>I330/25*9.81</f>
        <v>91.036799999999999</v>
      </c>
      <c r="K330" s="95">
        <v>0</v>
      </c>
      <c r="L330" s="130">
        <v>1</v>
      </c>
      <c r="M330" s="130">
        <v>0</v>
      </c>
      <c r="N330" s="96" t="s">
        <v>208</v>
      </c>
      <c r="P330" s="112" t="s">
        <v>380</v>
      </c>
    </row>
    <row r="331" spans="1:16" x14ac:dyDescent="0.3">
      <c r="B331" s="266"/>
      <c r="C331" s="92" t="s">
        <v>207</v>
      </c>
      <c r="D331" s="99">
        <v>89.32</v>
      </c>
      <c r="E331" s="136">
        <v>54.59</v>
      </c>
      <c r="F331" s="197">
        <f>E331/25*9.81</f>
        <v>21.421116000000001</v>
      </c>
      <c r="G331" s="136">
        <v>44</v>
      </c>
      <c r="H331" s="135">
        <f>G331/25*9.81</f>
        <v>17.265600000000003</v>
      </c>
      <c r="I331" s="92">
        <v>65</v>
      </c>
      <c r="J331" s="109">
        <f>I331/25*9.81</f>
        <v>25.506000000000004</v>
      </c>
      <c r="K331" s="100">
        <v>0</v>
      </c>
      <c r="L331" s="130">
        <v>1</v>
      </c>
      <c r="M331" s="130">
        <v>0</v>
      </c>
      <c r="N331" s="96" t="s">
        <v>208</v>
      </c>
      <c r="P331" s="112" t="s">
        <v>382</v>
      </c>
    </row>
    <row r="332" spans="1:16" x14ac:dyDescent="0.3">
      <c r="B332" s="266"/>
      <c r="C332" s="92" t="s">
        <v>211</v>
      </c>
      <c r="D332" s="99">
        <v>23.29</v>
      </c>
      <c r="E332" s="198">
        <v>153</v>
      </c>
      <c r="F332" s="108">
        <f>E332/25*9.81</f>
        <v>60.037200000000006</v>
      </c>
      <c r="G332" s="93">
        <v>63</v>
      </c>
      <c r="H332" s="108">
        <f>G332/25*9.81</f>
        <v>24.721200000000003</v>
      </c>
      <c r="I332" s="102">
        <v>187</v>
      </c>
      <c r="J332" s="109">
        <f>I332/25*9.81</f>
        <v>73.378800000000012</v>
      </c>
      <c r="K332" s="100">
        <v>0</v>
      </c>
      <c r="L332" s="113">
        <v>0.9</v>
      </c>
      <c r="M332" s="113">
        <v>0.1</v>
      </c>
      <c r="N332" s="96" t="s">
        <v>233</v>
      </c>
    </row>
    <row r="333" spans="1:16" ht="15" thickBot="1" x14ac:dyDescent="0.35">
      <c r="B333" s="267"/>
      <c r="C333" s="103" t="s">
        <v>211</v>
      </c>
      <c r="D333" s="103">
        <v>89.98</v>
      </c>
      <c r="E333" s="104">
        <v>73.650000000000006</v>
      </c>
      <c r="F333" s="111">
        <f>E333/25*9.81</f>
        <v>28.900260000000003</v>
      </c>
      <c r="G333" s="143">
        <v>64</v>
      </c>
      <c r="H333" s="144">
        <f>G333/25*9.81</f>
        <v>25.113600000000002</v>
      </c>
      <c r="I333" s="104">
        <v>90</v>
      </c>
      <c r="J333" s="110">
        <f>I333/25*9.81</f>
        <v>35.316000000000003</v>
      </c>
      <c r="K333" s="106">
        <v>0</v>
      </c>
      <c r="L333" s="131">
        <v>1</v>
      </c>
      <c r="M333" s="131">
        <v>0</v>
      </c>
      <c r="N333" s="107" t="s">
        <v>208</v>
      </c>
    </row>
    <row r="334" spans="1:16" ht="15" thickBot="1" x14ac:dyDescent="0.35"/>
    <row r="335" spans="1:16" x14ac:dyDescent="0.3">
      <c r="B335" s="268" t="s">
        <v>184</v>
      </c>
      <c r="C335" s="269"/>
      <c r="D335" s="269"/>
      <c r="E335" s="269"/>
      <c r="F335" s="269"/>
      <c r="G335" s="269"/>
      <c r="H335" s="269"/>
      <c r="I335" s="269"/>
      <c r="J335" s="269"/>
      <c r="K335" s="269"/>
      <c r="L335" s="269"/>
      <c r="M335" s="269"/>
      <c r="N335" s="270"/>
    </row>
    <row r="336" spans="1:16" x14ac:dyDescent="0.3">
      <c r="A336" s="145" t="s">
        <v>365</v>
      </c>
      <c r="B336" s="271" t="s">
        <v>186</v>
      </c>
      <c r="C336" s="274"/>
      <c r="D336" s="275"/>
      <c r="E336" s="275"/>
      <c r="F336" s="275"/>
      <c r="G336" s="275"/>
      <c r="H336" s="275"/>
      <c r="I336" s="275"/>
      <c r="J336" s="276"/>
      <c r="K336" s="277" t="s">
        <v>187</v>
      </c>
      <c r="L336" s="278"/>
      <c r="M336" s="279"/>
      <c r="N336" s="280" t="s">
        <v>188</v>
      </c>
    </row>
    <row r="337" spans="1:16" x14ac:dyDescent="0.3">
      <c r="A337" s="145" t="s">
        <v>366</v>
      </c>
      <c r="B337" s="272"/>
      <c r="C337" s="283" t="s">
        <v>194</v>
      </c>
      <c r="D337" s="283" t="s">
        <v>41</v>
      </c>
      <c r="E337" s="88" t="s">
        <v>42</v>
      </c>
      <c r="F337" s="88" t="s">
        <v>43</v>
      </c>
      <c r="G337" s="88" t="s">
        <v>42</v>
      </c>
      <c r="H337" s="88" t="s">
        <v>43</v>
      </c>
      <c r="I337" s="88" t="s">
        <v>42</v>
      </c>
      <c r="J337" s="88" t="s">
        <v>43</v>
      </c>
      <c r="K337" s="285" t="s">
        <v>20</v>
      </c>
      <c r="L337" s="285" t="s">
        <v>195</v>
      </c>
      <c r="M337" s="285" t="s">
        <v>196</v>
      </c>
      <c r="N337" s="281"/>
    </row>
    <row r="338" spans="1:16" x14ac:dyDescent="0.3">
      <c r="A338" s="145">
        <v>9</v>
      </c>
      <c r="B338" s="273"/>
      <c r="C338" s="284"/>
      <c r="D338" s="284"/>
      <c r="E338" s="88" t="s">
        <v>200</v>
      </c>
      <c r="F338" s="88" t="s">
        <v>200</v>
      </c>
      <c r="G338" s="88" t="s">
        <v>201</v>
      </c>
      <c r="H338" s="88" t="s">
        <v>201</v>
      </c>
      <c r="I338" s="88" t="s">
        <v>202</v>
      </c>
      <c r="J338" s="88" t="s">
        <v>202</v>
      </c>
      <c r="K338" s="286"/>
      <c r="L338" s="286"/>
      <c r="M338" s="286"/>
      <c r="N338" s="282"/>
    </row>
    <row r="339" spans="1:16" x14ac:dyDescent="0.3">
      <c r="B339" s="265" t="s">
        <v>290</v>
      </c>
      <c r="C339" s="92" t="s">
        <v>207</v>
      </c>
      <c r="D339" s="93">
        <v>24.05</v>
      </c>
      <c r="E339" s="93">
        <v>162.86000000000001</v>
      </c>
      <c r="F339" s="108">
        <f>E339/25*9.81</f>
        <v>63.906264000000007</v>
      </c>
      <c r="G339" s="93">
        <v>124</v>
      </c>
      <c r="H339" s="108">
        <f>G339/25*9.81</f>
        <v>48.657600000000002</v>
      </c>
      <c r="I339" s="93">
        <v>210</v>
      </c>
      <c r="J339" s="109">
        <f>I339/25*9.81</f>
        <v>82.404000000000011</v>
      </c>
      <c r="K339" s="95">
        <v>0</v>
      </c>
      <c r="L339" s="130">
        <v>1</v>
      </c>
      <c r="M339" s="130">
        <v>0</v>
      </c>
      <c r="N339" s="96" t="s">
        <v>208</v>
      </c>
      <c r="P339" s="112" t="s">
        <v>382</v>
      </c>
    </row>
    <row r="340" spans="1:16" x14ac:dyDescent="0.3">
      <c r="B340" s="266"/>
      <c r="C340" s="92" t="s">
        <v>207</v>
      </c>
      <c r="D340" s="99">
        <v>89.38</v>
      </c>
      <c r="E340" s="136">
        <v>78.08</v>
      </c>
      <c r="F340" s="197">
        <f>E340/25*9.81</f>
        <v>30.638591999999999</v>
      </c>
      <c r="G340" s="136">
        <v>65</v>
      </c>
      <c r="H340" s="135">
        <f>G340/25*9.81</f>
        <v>25.506000000000004</v>
      </c>
      <c r="I340" s="92">
        <v>88</v>
      </c>
      <c r="J340" s="109">
        <f>I340/25*9.81</f>
        <v>34.531200000000005</v>
      </c>
      <c r="K340" s="100">
        <v>0</v>
      </c>
      <c r="L340" s="130">
        <v>1</v>
      </c>
      <c r="M340" s="130">
        <v>0</v>
      </c>
      <c r="N340" s="96" t="s">
        <v>208</v>
      </c>
    </row>
    <row r="341" spans="1:16" x14ac:dyDescent="0.3">
      <c r="B341" s="266"/>
      <c r="C341" s="92" t="s">
        <v>211</v>
      </c>
      <c r="D341" s="99">
        <v>23.44</v>
      </c>
      <c r="E341" s="198">
        <v>146.43</v>
      </c>
      <c r="F341" s="108">
        <f>E341/25*9.81</f>
        <v>57.459132000000011</v>
      </c>
      <c r="G341" s="93">
        <v>76</v>
      </c>
      <c r="H341" s="108">
        <f>G341/25*9.81</f>
        <v>29.822400000000002</v>
      </c>
      <c r="I341" s="102">
        <v>184</v>
      </c>
      <c r="J341" s="109">
        <f>I341/25*9.81</f>
        <v>72.201600000000013</v>
      </c>
      <c r="K341" s="100">
        <v>0</v>
      </c>
      <c r="L341" s="113">
        <v>0.9</v>
      </c>
      <c r="M341" s="113">
        <v>0.1</v>
      </c>
      <c r="N341" s="96" t="s">
        <v>233</v>
      </c>
    </row>
    <row r="342" spans="1:16" ht="15" thickBot="1" x14ac:dyDescent="0.35">
      <c r="B342" s="267"/>
      <c r="C342" s="103" t="s">
        <v>211</v>
      </c>
      <c r="D342" s="103">
        <v>89.64</v>
      </c>
      <c r="E342" s="104">
        <v>83.79</v>
      </c>
      <c r="F342" s="111">
        <f>E342/25*9.81</f>
        <v>32.879196000000007</v>
      </c>
      <c r="G342" s="143">
        <v>71</v>
      </c>
      <c r="H342" s="144">
        <f>G342/25*9.81</f>
        <v>27.860399999999998</v>
      </c>
      <c r="I342" s="104">
        <v>97</v>
      </c>
      <c r="J342" s="110">
        <f>I342/25*9.81</f>
        <v>38.062800000000003</v>
      </c>
      <c r="K342" s="106">
        <v>0</v>
      </c>
      <c r="L342" s="131">
        <v>1</v>
      </c>
      <c r="M342" s="131">
        <v>0</v>
      </c>
      <c r="N342" s="107" t="s">
        <v>208</v>
      </c>
    </row>
    <row r="343" spans="1:16" ht="15" thickBot="1" x14ac:dyDescent="0.35"/>
    <row r="344" spans="1:16" x14ac:dyDescent="0.3">
      <c r="B344" s="268" t="s">
        <v>184</v>
      </c>
      <c r="C344" s="269"/>
      <c r="D344" s="269"/>
      <c r="E344" s="269"/>
      <c r="F344" s="269"/>
      <c r="G344" s="269"/>
      <c r="H344" s="269"/>
      <c r="I344" s="269"/>
      <c r="J344" s="269"/>
      <c r="K344" s="269"/>
      <c r="L344" s="269"/>
      <c r="M344" s="269"/>
      <c r="N344" s="270"/>
    </row>
    <row r="345" spans="1:16" x14ac:dyDescent="0.3">
      <c r="A345" s="145" t="s">
        <v>365</v>
      </c>
      <c r="B345" s="271" t="s">
        <v>186</v>
      </c>
      <c r="C345" s="274"/>
      <c r="D345" s="275"/>
      <c r="E345" s="275"/>
      <c r="F345" s="275"/>
      <c r="G345" s="275"/>
      <c r="H345" s="275"/>
      <c r="I345" s="275"/>
      <c r="J345" s="276"/>
      <c r="K345" s="277" t="s">
        <v>187</v>
      </c>
      <c r="L345" s="278"/>
      <c r="M345" s="279"/>
      <c r="N345" s="280" t="s">
        <v>188</v>
      </c>
    </row>
    <row r="346" spans="1:16" x14ac:dyDescent="0.3">
      <c r="A346" s="145" t="s">
        <v>366</v>
      </c>
      <c r="B346" s="272"/>
      <c r="C346" s="283" t="s">
        <v>194</v>
      </c>
      <c r="D346" s="283" t="s">
        <v>41</v>
      </c>
      <c r="E346" s="88" t="s">
        <v>42</v>
      </c>
      <c r="F346" s="88" t="s">
        <v>43</v>
      </c>
      <c r="G346" s="88" t="s">
        <v>42</v>
      </c>
      <c r="H346" s="88" t="s">
        <v>43</v>
      </c>
      <c r="I346" s="88" t="s">
        <v>42</v>
      </c>
      <c r="J346" s="88" t="s">
        <v>43</v>
      </c>
      <c r="K346" s="285" t="s">
        <v>20</v>
      </c>
      <c r="L346" s="285" t="s">
        <v>195</v>
      </c>
      <c r="M346" s="285" t="s">
        <v>196</v>
      </c>
      <c r="N346" s="281"/>
    </row>
    <row r="347" spans="1:16" x14ac:dyDescent="0.3">
      <c r="A347" s="145">
        <v>10</v>
      </c>
      <c r="B347" s="273"/>
      <c r="C347" s="284"/>
      <c r="D347" s="284"/>
      <c r="E347" s="88" t="s">
        <v>200</v>
      </c>
      <c r="F347" s="88" t="s">
        <v>200</v>
      </c>
      <c r="G347" s="88" t="s">
        <v>201</v>
      </c>
      <c r="H347" s="88" t="s">
        <v>201</v>
      </c>
      <c r="I347" s="88" t="s">
        <v>202</v>
      </c>
      <c r="J347" s="88" t="s">
        <v>202</v>
      </c>
      <c r="K347" s="286"/>
      <c r="L347" s="286"/>
      <c r="M347" s="286"/>
      <c r="N347" s="282"/>
    </row>
    <row r="348" spans="1:16" x14ac:dyDescent="0.3">
      <c r="B348" s="265" t="s">
        <v>308</v>
      </c>
      <c r="C348" s="92" t="s">
        <v>207</v>
      </c>
      <c r="D348" s="93">
        <v>90.02</v>
      </c>
      <c r="E348" s="93">
        <v>79.13</v>
      </c>
      <c r="F348" s="108">
        <f>E348/25*9.81</f>
        <v>31.050612000000001</v>
      </c>
      <c r="G348" s="93">
        <v>61</v>
      </c>
      <c r="H348" s="108">
        <f>G348/25*9.81</f>
        <v>23.936399999999999</v>
      </c>
      <c r="I348" s="93">
        <v>92</v>
      </c>
      <c r="J348" s="109">
        <f>I348/25*9.81</f>
        <v>36.100800000000007</v>
      </c>
      <c r="K348" s="95">
        <v>0</v>
      </c>
      <c r="L348" s="130">
        <v>1</v>
      </c>
      <c r="M348" s="130">
        <v>0</v>
      </c>
      <c r="N348" s="96" t="s">
        <v>208</v>
      </c>
      <c r="P348" s="112" t="s">
        <v>382</v>
      </c>
    </row>
    <row r="349" spans="1:16" x14ac:dyDescent="0.3">
      <c r="B349" s="266"/>
      <c r="C349" s="92" t="s">
        <v>207</v>
      </c>
      <c r="D349" s="99">
        <v>22.99</v>
      </c>
      <c r="E349" s="136">
        <v>155.16999999999999</v>
      </c>
      <c r="F349" s="197">
        <f>E349/25*9.81</f>
        <v>60.888707999999994</v>
      </c>
      <c r="G349" s="136">
        <v>128</v>
      </c>
      <c r="H349" s="135">
        <f>G349/25*9.81</f>
        <v>50.227200000000003</v>
      </c>
      <c r="I349" s="92">
        <v>173</v>
      </c>
      <c r="J349" s="109">
        <f>I349/25*9.81</f>
        <v>67.885199999999998</v>
      </c>
      <c r="K349" s="100">
        <v>0</v>
      </c>
      <c r="L349" s="130">
        <v>1</v>
      </c>
      <c r="M349" s="130">
        <v>0</v>
      </c>
      <c r="N349" s="96" t="s">
        <v>208</v>
      </c>
    </row>
    <row r="350" spans="1:16" x14ac:dyDescent="0.3">
      <c r="B350" s="266"/>
      <c r="C350" s="92" t="s">
        <v>211</v>
      </c>
      <c r="D350" s="99">
        <v>23.32</v>
      </c>
      <c r="E350" s="198">
        <v>141.28</v>
      </c>
      <c r="F350" s="108">
        <f>E350/25*9.81</f>
        <v>55.438272000000005</v>
      </c>
      <c r="G350" s="93">
        <v>128</v>
      </c>
      <c r="H350" s="108">
        <f>G350/25*9.81</f>
        <v>50.227200000000003</v>
      </c>
      <c r="I350" s="102">
        <v>152</v>
      </c>
      <c r="J350" s="109">
        <f>I350/25*9.81</f>
        <v>59.644800000000004</v>
      </c>
      <c r="K350" s="100">
        <v>0</v>
      </c>
      <c r="L350" s="130">
        <v>1</v>
      </c>
      <c r="M350" s="130">
        <v>0</v>
      </c>
      <c r="N350" s="96" t="s">
        <v>208</v>
      </c>
    </row>
    <row r="351" spans="1:16" ht="15" thickBot="1" x14ac:dyDescent="0.35">
      <c r="B351" s="267"/>
      <c r="C351" s="103" t="s">
        <v>211</v>
      </c>
      <c r="D351" s="103">
        <v>88.91</v>
      </c>
      <c r="E351" s="104">
        <v>91.48</v>
      </c>
      <c r="F351" s="111">
        <f>E351/25*9.81</f>
        <v>35.896752000000006</v>
      </c>
      <c r="G351" s="143">
        <v>85</v>
      </c>
      <c r="H351" s="144">
        <f>G351/25*9.81</f>
        <v>33.353999999999999</v>
      </c>
      <c r="I351" s="104">
        <v>107</v>
      </c>
      <c r="J351" s="110">
        <f>I351/25*9.81</f>
        <v>41.986800000000002</v>
      </c>
      <c r="K351" s="106">
        <v>0</v>
      </c>
      <c r="L351" s="131">
        <v>1</v>
      </c>
      <c r="M351" s="131">
        <v>0</v>
      </c>
      <c r="N351" s="107" t="s">
        <v>208</v>
      </c>
    </row>
    <row r="352" spans="1:16" ht="15" thickBot="1" x14ac:dyDescent="0.35"/>
    <row r="353" spans="1:16" x14ac:dyDescent="0.3">
      <c r="B353" s="268" t="s">
        <v>184</v>
      </c>
      <c r="C353" s="269"/>
      <c r="D353" s="269"/>
      <c r="E353" s="269"/>
      <c r="F353" s="269"/>
      <c r="G353" s="269"/>
      <c r="H353" s="269"/>
      <c r="I353" s="269"/>
      <c r="J353" s="269"/>
      <c r="K353" s="269"/>
      <c r="L353" s="269"/>
      <c r="M353" s="269"/>
      <c r="N353" s="270"/>
    </row>
    <row r="354" spans="1:16" x14ac:dyDescent="0.3">
      <c r="A354" s="145" t="s">
        <v>365</v>
      </c>
      <c r="B354" s="271" t="s">
        <v>186</v>
      </c>
      <c r="C354" s="274"/>
      <c r="D354" s="275"/>
      <c r="E354" s="275"/>
      <c r="F354" s="275"/>
      <c r="G354" s="275"/>
      <c r="H354" s="275"/>
      <c r="I354" s="275"/>
      <c r="J354" s="276"/>
      <c r="K354" s="277" t="s">
        <v>187</v>
      </c>
      <c r="L354" s="278"/>
      <c r="M354" s="279"/>
      <c r="N354" s="280" t="s">
        <v>188</v>
      </c>
    </row>
    <row r="355" spans="1:16" x14ac:dyDescent="0.3">
      <c r="A355" s="145" t="s">
        <v>366</v>
      </c>
      <c r="B355" s="272"/>
      <c r="C355" s="283" t="s">
        <v>194</v>
      </c>
      <c r="D355" s="283" t="s">
        <v>41</v>
      </c>
      <c r="E355" s="88" t="s">
        <v>42</v>
      </c>
      <c r="F355" s="88" t="s">
        <v>43</v>
      </c>
      <c r="G355" s="88" t="s">
        <v>42</v>
      </c>
      <c r="H355" s="88" t="s">
        <v>43</v>
      </c>
      <c r="I355" s="88" t="s">
        <v>42</v>
      </c>
      <c r="J355" s="88" t="s">
        <v>43</v>
      </c>
      <c r="K355" s="285" t="s">
        <v>20</v>
      </c>
      <c r="L355" s="285" t="s">
        <v>195</v>
      </c>
      <c r="M355" s="285" t="s">
        <v>196</v>
      </c>
      <c r="N355" s="281"/>
    </row>
    <row r="356" spans="1:16" x14ac:dyDescent="0.3">
      <c r="A356" s="145">
        <v>11</v>
      </c>
      <c r="B356" s="273"/>
      <c r="C356" s="284"/>
      <c r="D356" s="284"/>
      <c r="E356" s="88" t="s">
        <v>200</v>
      </c>
      <c r="F356" s="88" t="s">
        <v>200</v>
      </c>
      <c r="G356" s="88" t="s">
        <v>201</v>
      </c>
      <c r="H356" s="88" t="s">
        <v>201</v>
      </c>
      <c r="I356" s="88" t="s">
        <v>202</v>
      </c>
      <c r="J356" s="88" t="s">
        <v>202</v>
      </c>
      <c r="K356" s="286"/>
      <c r="L356" s="286"/>
      <c r="M356" s="286"/>
      <c r="N356" s="282"/>
    </row>
    <row r="357" spans="1:16" x14ac:dyDescent="0.3">
      <c r="B357" s="265" t="s">
        <v>295</v>
      </c>
      <c r="C357" s="92" t="s">
        <v>207</v>
      </c>
      <c r="D357" s="93">
        <v>22.81</v>
      </c>
      <c r="E357" s="93">
        <v>136.96</v>
      </c>
      <c r="F357" s="108">
        <f>E357/25*9.81</f>
        <v>53.74310400000001</v>
      </c>
      <c r="G357" s="93">
        <v>114</v>
      </c>
      <c r="H357" s="108">
        <f>G357/25*9.81</f>
        <v>44.733599999999996</v>
      </c>
      <c r="I357" s="93">
        <v>162</v>
      </c>
      <c r="J357" s="109">
        <f>I357/25*9.81</f>
        <v>63.56880000000001</v>
      </c>
      <c r="K357" s="95">
        <v>0</v>
      </c>
      <c r="L357" s="130">
        <v>1</v>
      </c>
      <c r="M357" s="130">
        <v>0</v>
      </c>
      <c r="N357" s="96" t="s">
        <v>208</v>
      </c>
      <c r="P357" s="112" t="s">
        <v>382</v>
      </c>
    </row>
    <row r="358" spans="1:16" x14ac:dyDescent="0.3">
      <c r="B358" s="266"/>
      <c r="C358" s="92" t="s">
        <v>207</v>
      </c>
      <c r="D358" s="99">
        <v>89.58</v>
      </c>
      <c r="E358" s="136">
        <v>74.36</v>
      </c>
      <c r="F358" s="197">
        <f>E358/25*9.81</f>
        <v>29.178864000000004</v>
      </c>
      <c r="G358" s="136">
        <v>70</v>
      </c>
      <c r="H358" s="135">
        <f>G358/25*9.81</f>
        <v>27.468</v>
      </c>
      <c r="I358" s="92">
        <v>91</v>
      </c>
      <c r="J358" s="109">
        <f>I358/25*9.81</f>
        <v>35.708400000000005</v>
      </c>
      <c r="K358" s="100">
        <v>0</v>
      </c>
      <c r="L358" s="130">
        <v>1</v>
      </c>
      <c r="M358" s="130">
        <v>0</v>
      </c>
      <c r="N358" s="96" t="s">
        <v>208</v>
      </c>
    </row>
    <row r="359" spans="1:16" x14ac:dyDescent="0.3">
      <c r="B359" s="266"/>
      <c r="C359" s="92" t="s">
        <v>211</v>
      </c>
      <c r="D359" s="99">
        <v>22.2</v>
      </c>
      <c r="E359" s="198">
        <v>168.03</v>
      </c>
      <c r="F359" s="108">
        <f>E359/25*9.81</f>
        <v>65.934972000000002</v>
      </c>
      <c r="G359" s="93">
        <v>97</v>
      </c>
      <c r="H359" s="108">
        <f>G359/25*9.81</f>
        <v>38.062800000000003</v>
      </c>
      <c r="I359" s="102">
        <v>201</v>
      </c>
      <c r="J359" s="109">
        <f>I359/25*9.81</f>
        <v>78.872399999999999</v>
      </c>
      <c r="K359" s="100">
        <v>0</v>
      </c>
      <c r="L359" s="113">
        <v>0.9</v>
      </c>
      <c r="M359" s="113">
        <v>0.1</v>
      </c>
      <c r="N359" s="96" t="s">
        <v>233</v>
      </c>
    </row>
    <row r="360" spans="1:16" ht="15" thickBot="1" x14ac:dyDescent="0.35">
      <c r="B360" s="267"/>
      <c r="C360" s="103" t="s">
        <v>211</v>
      </c>
      <c r="D360" s="103">
        <v>89.83</v>
      </c>
      <c r="E360" s="104">
        <v>82.38</v>
      </c>
      <c r="F360" s="111">
        <f>E360/25*9.81</f>
        <v>32.325912000000002</v>
      </c>
      <c r="G360" s="143">
        <v>68</v>
      </c>
      <c r="H360" s="144">
        <f>G360/25*9.81</f>
        <v>26.683200000000003</v>
      </c>
      <c r="I360" s="104">
        <v>94</v>
      </c>
      <c r="J360" s="110">
        <f>I360/25*9.81</f>
        <v>36.885599999999997</v>
      </c>
      <c r="K360" s="106">
        <v>0</v>
      </c>
      <c r="L360" s="131">
        <v>1</v>
      </c>
      <c r="M360" s="131">
        <v>0</v>
      </c>
      <c r="N360" s="107" t="s">
        <v>208</v>
      </c>
    </row>
    <row r="361" spans="1:16" ht="15" thickBot="1" x14ac:dyDescent="0.35"/>
    <row r="362" spans="1:16" x14ac:dyDescent="0.3">
      <c r="B362" s="268" t="s">
        <v>184</v>
      </c>
      <c r="C362" s="269"/>
      <c r="D362" s="269"/>
      <c r="E362" s="269"/>
      <c r="F362" s="269"/>
      <c r="G362" s="269"/>
      <c r="H362" s="269"/>
      <c r="I362" s="269"/>
      <c r="J362" s="269"/>
      <c r="K362" s="269"/>
      <c r="L362" s="269"/>
      <c r="M362" s="269"/>
      <c r="N362" s="270"/>
    </row>
    <row r="363" spans="1:16" x14ac:dyDescent="0.3">
      <c r="A363" s="145" t="s">
        <v>365</v>
      </c>
      <c r="B363" s="271" t="s">
        <v>186</v>
      </c>
      <c r="C363" s="274"/>
      <c r="D363" s="275"/>
      <c r="E363" s="275"/>
      <c r="F363" s="275"/>
      <c r="G363" s="275"/>
      <c r="H363" s="275"/>
      <c r="I363" s="275"/>
      <c r="J363" s="276"/>
      <c r="K363" s="277" t="s">
        <v>187</v>
      </c>
      <c r="L363" s="278"/>
      <c r="M363" s="279"/>
      <c r="N363" s="280" t="s">
        <v>188</v>
      </c>
    </row>
    <row r="364" spans="1:16" x14ac:dyDescent="0.3">
      <c r="A364" s="145" t="s">
        <v>366</v>
      </c>
      <c r="B364" s="272"/>
      <c r="C364" s="283" t="s">
        <v>194</v>
      </c>
      <c r="D364" s="283" t="s">
        <v>41</v>
      </c>
      <c r="E364" s="88" t="s">
        <v>42</v>
      </c>
      <c r="F364" s="88" t="s">
        <v>43</v>
      </c>
      <c r="G364" s="88" t="s">
        <v>42</v>
      </c>
      <c r="H364" s="88" t="s">
        <v>43</v>
      </c>
      <c r="I364" s="88" t="s">
        <v>42</v>
      </c>
      <c r="J364" s="88" t="s">
        <v>43</v>
      </c>
      <c r="K364" s="285" t="s">
        <v>20</v>
      </c>
      <c r="L364" s="285" t="s">
        <v>195</v>
      </c>
      <c r="M364" s="285" t="s">
        <v>196</v>
      </c>
      <c r="N364" s="281"/>
    </row>
    <row r="365" spans="1:16" x14ac:dyDescent="0.3">
      <c r="A365" s="145">
        <v>12</v>
      </c>
      <c r="B365" s="273"/>
      <c r="C365" s="284"/>
      <c r="D365" s="284"/>
      <c r="E365" s="88" t="s">
        <v>200</v>
      </c>
      <c r="F365" s="88" t="s">
        <v>200</v>
      </c>
      <c r="G365" s="88" t="s">
        <v>201</v>
      </c>
      <c r="H365" s="88" t="s">
        <v>201</v>
      </c>
      <c r="I365" s="88" t="s">
        <v>202</v>
      </c>
      <c r="J365" s="88" t="s">
        <v>202</v>
      </c>
      <c r="K365" s="286"/>
      <c r="L365" s="286"/>
      <c r="M365" s="286"/>
      <c r="N365" s="282"/>
    </row>
    <row r="366" spans="1:16" x14ac:dyDescent="0.3">
      <c r="B366" s="265" t="s">
        <v>293</v>
      </c>
      <c r="C366" s="92" t="s">
        <v>207</v>
      </c>
      <c r="D366" s="93">
        <v>23.35</v>
      </c>
      <c r="E366" s="93">
        <v>140.66</v>
      </c>
      <c r="F366" s="108">
        <f>E366/25*9.81</f>
        <v>55.194984000000005</v>
      </c>
      <c r="G366" s="93">
        <v>84</v>
      </c>
      <c r="H366" s="108">
        <f>G366/25*9.81</f>
        <v>32.961599999999997</v>
      </c>
      <c r="I366" s="93">
        <v>180</v>
      </c>
      <c r="J366" s="109">
        <f>I366/25*9.81</f>
        <v>70.632000000000005</v>
      </c>
      <c r="K366" s="95">
        <v>0</v>
      </c>
      <c r="L366" s="130">
        <v>1</v>
      </c>
      <c r="M366" s="130">
        <v>0</v>
      </c>
      <c r="N366" s="96" t="s">
        <v>208</v>
      </c>
      <c r="P366" s="112" t="s">
        <v>382</v>
      </c>
    </row>
    <row r="367" spans="1:16" x14ac:dyDescent="0.3">
      <c r="B367" s="266"/>
      <c r="C367" s="92" t="s">
        <v>207</v>
      </c>
      <c r="D367" s="99">
        <v>89.66</v>
      </c>
      <c r="E367" s="136">
        <v>79.05</v>
      </c>
      <c r="F367" s="197">
        <f>E367/25*9.81</f>
        <v>31.019220000000001</v>
      </c>
      <c r="G367" s="136">
        <v>60</v>
      </c>
      <c r="H367" s="135">
        <f>G367/25*9.81</f>
        <v>23.544</v>
      </c>
      <c r="I367" s="92">
        <v>98</v>
      </c>
      <c r="J367" s="109">
        <f>I367/25*9.81</f>
        <v>38.455199999999998</v>
      </c>
      <c r="K367" s="100">
        <v>0</v>
      </c>
      <c r="L367" s="130">
        <v>1</v>
      </c>
      <c r="M367" s="130">
        <v>0</v>
      </c>
      <c r="N367" s="96" t="s">
        <v>208</v>
      </c>
    </row>
    <row r="368" spans="1:16" x14ac:dyDescent="0.3">
      <c r="B368" s="266"/>
      <c r="C368" s="92" t="s">
        <v>211</v>
      </c>
      <c r="D368" s="99">
        <v>23.25</v>
      </c>
      <c r="E368" s="198">
        <v>129.41999999999999</v>
      </c>
      <c r="F368" s="108">
        <f>E368/25*9.81</f>
        <v>50.784407999999992</v>
      </c>
      <c r="G368" s="93">
        <v>109</v>
      </c>
      <c r="H368" s="108">
        <f>G368/25*9.81</f>
        <v>42.771600000000007</v>
      </c>
      <c r="I368" s="102">
        <v>143</v>
      </c>
      <c r="J368" s="109">
        <f>I368/25*9.81</f>
        <v>56.113199999999999</v>
      </c>
      <c r="K368" s="100">
        <v>0</v>
      </c>
      <c r="L368" s="130">
        <v>1</v>
      </c>
      <c r="M368" s="130">
        <v>0</v>
      </c>
      <c r="N368" s="96" t="s">
        <v>208</v>
      </c>
    </row>
    <row r="369" spans="1:16" ht="15" thickBot="1" x14ac:dyDescent="0.35">
      <c r="B369" s="267"/>
      <c r="C369" s="103" t="s">
        <v>211</v>
      </c>
      <c r="D369" s="103">
        <v>89.7</v>
      </c>
      <c r="E369" s="104">
        <v>72.349999999999994</v>
      </c>
      <c r="F369" s="111">
        <f>E369/25*9.81</f>
        <v>28.390139999999999</v>
      </c>
      <c r="G369" s="143">
        <v>56</v>
      </c>
      <c r="H369" s="144">
        <f>G369/25*9.81</f>
        <v>21.974400000000003</v>
      </c>
      <c r="I369" s="104">
        <v>80</v>
      </c>
      <c r="J369" s="110">
        <f>I369/25*9.81</f>
        <v>31.392000000000003</v>
      </c>
      <c r="K369" s="106">
        <v>0</v>
      </c>
      <c r="L369" s="131">
        <v>1</v>
      </c>
      <c r="M369" s="131">
        <v>0</v>
      </c>
      <c r="N369" s="107" t="s">
        <v>208</v>
      </c>
    </row>
    <row r="370" spans="1:16" ht="15" thickBot="1" x14ac:dyDescent="0.35"/>
    <row r="371" spans="1:16" x14ac:dyDescent="0.3">
      <c r="B371" s="268" t="s">
        <v>184</v>
      </c>
      <c r="C371" s="269"/>
      <c r="D371" s="269"/>
      <c r="E371" s="269"/>
      <c r="F371" s="269"/>
      <c r="G371" s="269"/>
      <c r="H371" s="269"/>
      <c r="I371" s="269"/>
      <c r="J371" s="269"/>
      <c r="K371" s="269"/>
      <c r="L371" s="269"/>
      <c r="M371" s="269"/>
      <c r="N371" s="270"/>
    </row>
    <row r="372" spans="1:16" x14ac:dyDescent="0.3">
      <c r="A372" s="145" t="s">
        <v>365</v>
      </c>
      <c r="B372" s="271" t="s">
        <v>186</v>
      </c>
      <c r="C372" s="274"/>
      <c r="D372" s="275"/>
      <c r="E372" s="275"/>
      <c r="F372" s="275"/>
      <c r="G372" s="275"/>
      <c r="H372" s="275"/>
      <c r="I372" s="275"/>
      <c r="J372" s="276"/>
      <c r="K372" s="277" t="s">
        <v>187</v>
      </c>
      <c r="L372" s="278"/>
      <c r="M372" s="279"/>
      <c r="N372" s="280" t="s">
        <v>188</v>
      </c>
    </row>
    <row r="373" spans="1:16" x14ac:dyDescent="0.3">
      <c r="A373" s="145" t="s">
        <v>366</v>
      </c>
      <c r="B373" s="272"/>
      <c r="C373" s="283" t="s">
        <v>194</v>
      </c>
      <c r="D373" s="283" t="s">
        <v>41</v>
      </c>
      <c r="E373" s="88" t="s">
        <v>42</v>
      </c>
      <c r="F373" s="88" t="s">
        <v>43</v>
      </c>
      <c r="G373" s="88" t="s">
        <v>42</v>
      </c>
      <c r="H373" s="88" t="s">
        <v>43</v>
      </c>
      <c r="I373" s="88" t="s">
        <v>42</v>
      </c>
      <c r="J373" s="88" t="s">
        <v>43</v>
      </c>
      <c r="K373" s="285" t="s">
        <v>20</v>
      </c>
      <c r="L373" s="285" t="s">
        <v>195</v>
      </c>
      <c r="M373" s="285" t="s">
        <v>196</v>
      </c>
      <c r="N373" s="281"/>
    </row>
    <row r="374" spans="1:16" x14ac:dyDescent="0.3">
      <c r="A374" s="145">
        <v>13</v>
      </c>
      <c r="B374" s="273"/>
      <c r="C374" s="284"/>
      <c r="D374" s="284"/>
      <c r="E374" s="88" t="s">
        <v>200</v>
      </c>
      <c r="F374" s="88" t="s">
        <v>200</v>
      </c>
      <c r="G374" s="88" t="s">
        <v>201</v>
      </c>
      <c r="H374" s="88" t="s">
        <v>201</v>
      </c>
      <c r="I374" s="88" t="s">
        <v>202</v>
      </c>
      <c r="J374" s="88" t="s">
        <v>202</v>
      </c>
      <c r="K374" s="286"/>
      <c r="L374" s="286"/>
      <c r="M374" s="286"/>
      <c r="N374" s="282"/>
    </row>
    <row r="375" spans="1:16" x14ac:dyDescent="0.3">
      <c r="B375" s="265" t="s">
        <v>306</v>
      </c>
      <c r="C375" s="92" t="s">
        <v>207</v>
      </c>
      <c r="D375" s="93">
        <v>22.74</v>
      </c>
      <c r="E375" s="93">
        <v>156.15</v>
      </c>
      <c r="F375" s="108">
        <f>E375/25*9.81</f>
        <v>61.273260000000008</v>
      </c>
      <c r="G375" s="93">
        <v>146</v>
      </c>
      <c r="H375" s="108">
        <f>G375/25*9.81</f>
        <v>57.290399999999998</v>
      </c>
      <c r="I375" s="93">
        <v>172</v>
      </c>
      <c r="J375" s="109">
        <f>I375/25*9.81</f>
        <v>67.492800000000003</v>
      </c>
      <c r="K375" s="95">
        <v>0</v>
      </c>
      <c r="L375" s="130">
        <v>1</v>
      </c>
      <c r="M375" s="130">
        <v>0</v>
      </c>
      <c r="N375" s="96" t="s">
        <v>208</v>
      </c>
      <c r="P375" s="112" t="s">
        <v>398</v>
      </c>
    </row>
    <row r="376" spans="1:16" x14ac:dyDescent="0.3">
      <c r="B376" s="266"/>
      <c r="C376" s="92" t="s">
        <v>207</v>
      </c>
      <c r="D376" s="99">
        <v>87.75</v>
      </c>
      <c r="E376" s="136">
        <v>98.07</v>
      </c>
      <c r="F376" s="197">
        <f>E376/25*9.81</f>
        <v>38.482667999999997</v>
      </c>
      <c r="G376" s="136">
        <v>71</v>
      </c>
      <c r="H376" s="135">
        <f>G376/25*9.81</f>
        <v>27.860399999999998</v>
      </c>
      <c r="I376" s="92">
        <v>120</v>
      </c>
      <c r="J376" s="109">
        <f>I376/25*9.81</f>
        <v>47.088000000000001</v>
      </c>
      <c r="K376" s="100">
        <v>0</v>
      </c>
      <c r="L376" s="130">
        <v>1</v>
      </c>
      <c r="M376" s="130">
        <v>0</v>
      </c>
      <c r="N376" s="96" t="s">
        <v>208</v>
      </c>
    </row>
    <row r="377" spans="1:16" x14ac:dyDescent="0.3">
      <c r="B377" s="266"/>
      <c r="C377" s="92" t="s">
        <v>211</v>
      </c>
      <c r="D377" s="99">
        <v>22.03</v>
      </c>
      <c r="E377" s="198">
        <v>182.4</v>
      </c>
      <c r="F377" s="108">
        <f>E377/25*9.81</f>
        <v>71.573760000000007</v>
      </c>
      <c r="G377" s="93">
        <v>163</v>
      </c>
      <c r="H377" s="108">
        <f>G377/25*9.81</f>
        <v>63.961199999999998</v>
      </c>
      <c r="I377" s="102">
        <v>200</v>
      </c>
      <c r="J377" s="109">
        <f>I377/25*9.81</f>
        <v>78.48</v>
      </c>
      <c r="K377" s="100">
        <v>0</v>
      </c>
      <c r="L377" s="130">
        <v>1</v>
      </c>
      <c r="M377" s="130">
        <v>0</v>
      </c>
      <c r="N377" s="96" t="s">
        <v>208</v>
      </c>
    </row>
    <row r="378" spans="1:16" ht="15" thickBot="1" x14ac:dyDescent="0.35">
      <c r="B378" s="267"/>
      <c r="C378" s="103" t="s">
        <v>211</v>
      </c>
      <c r="D378" s="103">
        <v>89.79</v>
      </c>
      <c r="E378" s="104">
        <v>83.44</v>
      </c>
      <c r="F378" s="111">
        <f>E378/25*9.81</f>
        <v>32.741856000000006</v>
      </c>
      <c r="G378" s="143">
        <v>65</v>
      </c>
      <c r="H378" s="144">
        <f>G378/25*9.81</f>
        <v>25.506000000000004</v>
      </c>
      <c r="I378" s="104">
        <v>100</v>
      </c>
      <c r="J378" s="110">
        <f>I378/25*9.81</f>
        <v>39.24</v>
      </c>
      <c r="K378" s="106">
        <v>0</v>
      </c>
      <c r="L378" s="131">
        <v>1</v>
      </c>
      <c r="M378" s="131">
        <v>0</v>
      </c>
      <c r="N378" s="107" t="s">
        <v>208</v>
      </c>
    </row>
    <row r="379" spans="1:16" ht="15" thickBot="1" x14ac:dyDescent="0.35"/>
    <row r="380" spans="1:16" x14ac:dyDescent="0.3">
      <c r="B380" s="268" t="s">
        <v>184</v>
      </c>
      <c r="C380" s="269"/>
      <c r="D380" s="269"/>
      <c r="E380" s="269"/>
      <c r="F380" s="269"/>
      <c r="G380" s="269"/>
      <c r="H380" s="269"/>
      <c r="I380" s="269"/>
      <c r="J380" s="269"/>
      <c r="K380" s="269"/>
      <c r="L380" s="269"/>
      <c r="M380" s="269"/>
      <c r="N380" s="270"/>
    </row>
    <row r="381" spans="1:16" x14ac:dyDescent="0.3">
      <c r="A381" s="145" t="s">
        <v>365</v>
      </c>
      <c r="B381" s="271" t="s">
        <v>186</v>
      </c>
      <c r="C381" s="274"/>
      <c r="D381" s="275"/>
      <c r="E381" s="275"/>
      <c r="F381" s="275"/>
      <c r="G381" s="275"/>
      <c r="H381" s="275"/>
      <c r="I381" s="275"/>
      <c r="J381" s="276"/>
      <c r="K381" s="277" t="s">
        <v>187</v>
      </c>
      <c r="L381" s="278"/>
      <c r="M381" s="279"/>
      <c r="N381" s="280" t="s">
        <v>188</v>
      </c>
    </row>
    <row r="382" spans="1:16" x14ac:dyDescent="0.3">
      <c r="A382" s="145" t="s">
        <v>366</v>
      </c>
      <c r="B382" s="272"/>
      <c r="C382" s="283" t="s">
        <v>194</v>
      </c>
      <c r="D382" s="283" t="s">
        <v>41</v>
      </c>
      <c r="E382" s="88" t="s">
        <v>42</v>
      </c>
      <c r="F382" s="88" t="s">
        <v>43</v>
      </c>
      <c r="G382" s="88" t="s">
        <v>42</v>
      </c>
      <c r="H382" s="88" t="s">
        <v>43</v>
      </c>
      <c r="I382" s="88" t="s">
        <v>42</v>
      </c>
      <c r="J382" s="88" t="s">
        <v>43</v>
      </c>
      <c r="K382" s="285" t="s">
        <v>20</v>
      </c>
      <c r="L382" s="285" t="s">
        <v>195</v>
      </c>
      <c r="M382" s="285" t="s">
        <v>196</v>
      </c>
      <c r="N382" s="281"/>
    </row>
    <row r="383" spans="1:16" x14ac:dyDescent="0.3">
      <c r="A383" s="145">
        <v>14</v>
      </c>
      <c r="B383" s="273"/>
      <c r="C383" s="284"/>
      <c r="D383" s="284"/>
      <c r="E383" s="88" t="s">
        <v>200</v>
      </c>
      <c r="F383" s="88" t="s">
        <v>200</v>
      </c>
      <c r="G383" s="88" t="s">
        <v>201</v>
      </c>
      <c r="H383" s="88" t="s">
        <v>201</v>
      </c>
      <c r="I383" s="88" t="s">
        <v>202</v>
      </c>
      <c r="J383" s="88" t="s">
        <v>202</v>
      </c>
      <c r="K383" s="286"/>
      <c r="L383" s="286"/>
      <c r="M383" s="286"/>
      <c r="N383" s="282"/>
    </row>
    <row r="384" spans="1:16" x14ac:dyDescent="0.3">
      <c r="B384" s="265" t="s">
        <v>300</v>
      </c>
      <c r="C384" s="92" t="s">
        <v>207</v>
      </c>
      <c r="D384" s="93">
        <v>21.76</v>
      </c>
      <c r="E384" s="93">
        <v>138.11000000000001</v>
      </c>
      <c r="F384" s="108">
        <f>E384/25*9.81</f>
        <v>54.194364000000014</v>
      </c>
      <c r="G384" s="93">
        <v>127</v>
      </c>
      <c r="H384" s="108">
        <f>G384/25*9.81</f>
        <v>49.834800000000001</v>
      </c>
      <c r="I384" s="93">
        <v>147</v>
      </c>
      <c r="J384" s="109">
        <f>I384/25*9.81</f>
        <v>57.6828</v>
      </c>
      <c r="K384" s="95">
        <v>0</v>
      </c>
      <c r="L384" s="130">
        <v>1</v>
      </c>
      <c r="M384" s="130">
        <v>0</v>
      </c>
      <c r="N384" s="96" t="s">
        <v>208</v>
      </c>
      <c r="P384" s="112" t="s">
        <v>398</v>
      </c>
    </row>
    <row r="385" spans="1:16" x14ac:dyDescent="0.3">
      <c r="B385" s="266"/>
      <c r="C385" s="92" t="s">
        <v>207</v>
      </c>
      <c r="D385" s="99">
        <v>89.96</v>
      </c>
      <c r="E385" s="136">
        <v>90.08</v>
      </c>
      <c r="F385" s="197">
        <f>E385/25*9.81</f>
        <v>35.347391999999999</v>
      </c>
      <c r="G385" s="136">
        <v>69</v>
      </c>
      <c r="H385" s="135">
        <f>G385/25*9.81</f>
        <v>27.075599999999998</v>
      </c>
      <c r="I385" s="92">
        <v>108</v>
      </c>
      <c r="J385" s="109">
        <f>I385/25*9.81</f>
        <v>42.379200000000004</v>
      </c>
      <c r="K385" s="100">
        <v>0</v>
      </c>
      <c r="L385" s="130">
        <v>1</v>
      </c>
      <c r="M385" s="130">
        <v>0</v>
      </c>
      <c r="N385" s="96" t="s">
        <v>208</v>
      </c>
    </row>
    <row r="386" spans="1:16" x14ac:dyDescent="0.3">
      <c r="B386" s="266"/>
      <c r="C386" s="92" t="s">
        <v>211</v>
      </c>
      <c r="D386" s="99">
        <v>23</v>
      </c>
      <c r="E386" s="198">
        <v>166.77</v>
      </c>
      <c r="F386" s="108">
        <f>E386/25*9.81</f>
        <v>65.440548000000007</v>
      </c>
      <c r="G386" s="93">
        <v>41</v>
      </c>
      <c r="H386" s="108">
        <f>G386/25*9.81</f>
        <v>16.0884</v>
      </c>
      <c r="I386" s="102">
        <v>214</v>
      </c>
      <c r="J386" s="109">
        <f>I386/25*9.81</f>
        <v>83.973600000000005</v>
      </c>
      <c r="K386" s="100">
        <v>0</v>
      </c>
      <c r="L386" s="113">
        <v>0.9</v>
      </c>
      <c r="M386" s="113">
        <v>0.1</v>
      </c>
      <c r="N386" s="96" t="s">
        <v>233</v>
      </c>
      <c r="P386" s="230" t="s">
        <v>399</v>
      </c>
    </row>
    <row r="387" spans="1:16" ht="15" thickBot="1" x14ac:dyDescent="0.35">
      <c r="B387" s="267"/>
      <c r="C387" s="103" t="s">
        <v>211</v>
      </c>
      <c r="D387" s="103">
        <v>89</v>
      </c>
      <c r="E387" s="104">
        <v>94.36</v>
      </c>
      <c r="F387" s="111">
        <f>E387/25*9.81</f>
        <v>37.026864000000003</v>
      </c>
      <c r="G387" s="143">
        <v>83</v>
      </c>
      <c r="H387" s="144">
        <f>G387/25*9.81</f>
        <v>32.569200000000002</v>
      </c>
      <c r="I387" s="104">
        <v>127</v>
      </c>
      <c r="J387" s="110">
        <f>I387/25*9.81</f>
        <v>49.834800000000001</v>
      </c>
      <c r="K387" s="106">
        <v>0</v>
      </c>
      <c r="L387" s="131">
        <v>1</v>
      </c>
      <c r="M387" s="131">
        <v>0</v>
      </c>
      <c r="N387" s="107" t="s">
        <v>208</v>
      </c>
    </row>
    <row r="388" spans="1:16" ht="15" thickBot="1" x14ac:dyDescent="0.35"/>
    <row r="389" spans="1:16" x14ac:dyDescent="0.3">
      <c r="B389" s="268" t="s">
        <v>184</v>
      </c>
      <c r="C389" s="269"/>
      <c r="D389" s="269"/>
      <c r="E389" s="269"/>
      <c r="F389" s="269"/>
      <c r="G389" s="269"/>
      <c r="H389" s="269"/>
      <c r="I389" s="269"/>
      <c r="J389" s="269"/>
      <c r="K389" s="269"/>
      <c r="L389" s="269"/>
      <c r="M389" s="269"/>
      <c r="N389" s="270"/>
    </row>
    <row r="390" spans="1:16" x14ac:dyDescent="0.3">
      <c r="A390" s="145" t="s">
        <v>365</v>
      </c>
      <c r="B390" s="271" t="s">
        <v>186</v>
      </c>
      <c r="C390" s="274"/>
      <c r="D390" s="275"/>
      <c r="E390" s="275"/>
      <c r="F390" s="275"/>
      <c r="G390" s="275"/>
      <c r="H390" s="275"/>
      <c r="I390" s="275"/>
      <c r="J390" s="276"/>
      <c r="K390" s="277" t="s">
        <v>187</v>
      </c>
      <c r="L390" s="278"/>
      <c r="M390" s="279"/>
      <c r="N390" s="280" t="s">
        <v>188</v>
      </c>
    </row>
    <row r="391" spans="1:16" x14ac:dyDescent="0.3">
      <c r="A391" s="145" t="s">
        <v>366</v>
      </c>
      <c r="B391" s="272"/>
      <c r="C391" s="283" t="s">
        <v>194</v>
      </c>
      <c r="D391" s="283" t="s">
        <v>41</v>
      </c>
      <c r="E391" s="88" t="s">
        <v>42</v>
      </c>
      <c r="F391" s="88" t="s">
        <v>43</v>
      </c>
      <c r="G391" s="88" t="s">
        <v>42</v>
      </c>
      <c r="H391" s="88" t="s">
        <v>43</v>
      </c>
      <c r="I391" s="88" t="s">
        <v>42</v>
      </c>
      <c r="J391" s="88" t="s">
        <v>43</v>
      </c>
      <c r="K391" s="285" t="s">
        <v>20</v>
      </c>
      <c r="L391" s="285" t="s">
        <v>195</v>
      </c>
      <c r="M391" s="285" t="s">
        <v>196</v>
      </c>
      <c r="N391" s="281"/>
    </row>
    <row r="392" spans="1:16" x14ac:dyDescent="0.3">
      <c r="A392" s="145">
        <v>15</v>
      </c>
      <c r="B392" s="273"/>
      <c r="C392" s="284"/>
      <c r="D392" s="284"/>
      <c r="E392" s="88" t="s">
        <v>200</v>
      </c>
      <c r="F392" s="88" t="s">
        <v>200</v>
      </c>
      <c r="G392" s="88" t="s">
        <v>201</v>
      </c>
      <c r="H392" s="88" t="s">
        <v>201</v>
      </c>
      <c r="I392" s="88" t="s">
        <v>202</v>
      </c>
      <c r="J392" s="88" t="s">
        <v>202</v>
      </c>
      <c r="K392" s="286"/>
      <c r="L392" s="286"/>
      <c r="M392" s="286"/>
      <c r="N392" s="282"/>
    </row>
    <row r="393" spans="1:16" x14ac:dyDescent="0.3">
      <c r="B393" s="265" t="s">
        <v>299</v>
      </c>
      <c r="C393" s="92" t="s">
        <v>207</v>
      </c>
      <c r="D393" s="93">
        <v>22.01</v>
      </c>
      <c r="E393" s="93">
        <v>159.97999999999999</v>
      </c>
      <c r="F393" s="108">
        <f>E393/25*9.81</f>
        <v>62.776151999999996</v>
      </c>
      <c r="G393" s="93">
        <v>152</v>
      </c>
      <c r="H393" s="108">
        <f>G393/25*9.81</f>
        <v>59.644800000000004</v>
      </c>
      <c r="I393" s="93">
        <v>170</v>
      </c>
      <c r="J393" s="109">
        <f>I393/25*9.81</f>
        <v>66.707999999999998</v>
      </c>
      <c r="K393" s="95">
        <v>0</v>
      </c>
      <c r="L393" s="130">
        <v>1</v>
      </c>
      <c r="M393" s="130">
        <v>0</v>
      </c>
      <c r="N393" s="96" t="s">
        <v>208</v>
      </c>
      <c r="P393" s="112" t="s">
        <v>401</v>
      </c>
    </row>
    <row r="394" spans="1:16" x14ac:dyDescent="0.3">
      <c r="B394" s="266"/>
      <c r="C394" s="92" t="s">
        <v>207</v>
      </c>
      <c r="D394" s="99">
        <v>89.3</v>
      </c>
      <c r="E394" s="136">
        <v>100.54</v>
      </c>
      <c r="F394" s="197">
        <f>E394/25*9.81</f>
        <v>39.451896000000005</v>
      </c>
      <c r="G394" s="136">
        <v>85</v>
      </c>
      <c r="H394" s="135">
        <f>G394/25*9.81</f>
        <v>33.353999999999999</v>
      </c>
      <c r="I394" s="92">
        <v>120</v>
      </c>
      <c r="J394" s="109">
        <f>I394/25*9.81</f>
        <v>47.088000000000001</v>
      </c>
      <c r="K394" s="100">
        <v>0</v>
      </c>
      <c r="L394" s="130">
        <v>1</v>
      </c>
      <c r="M394" s="130">
        <v>0</v>
      </c>
      <c r="N394" s="96" t="s">
        <v>208</v>
      </c>
    </row>
    <row r="395" spans="1:16" x14ac:dyDescent="0.3">
      <c r="B395" s="266"/>
      <c r="C395" s="92" t="s">
        <v>211</v>
      </c>
      <c r="D395" s="99">
        <v>22.48</v>
      </c>
      <c r="E395" s="198">
        <v>143.63999999999999</v>
      </c>
      <c r="F395" s="108">
        <f>E395/25*9.81</f>
        <v>56.364336000000002</v>
      </c>
      <c r="G395" s="93">
        <v>135</v>
      </c>
      <c r="H395" s="108">
        <f>G395/25*9.81</f>
        <v>52.974000000000004</v>
      </c>
      <c r="I395" s="102">
        <v>154</v>
      </c>
      <c r="J395" s="109">
        <f>I395/25*9.81</f>
        <v>60.429600000000008</v>
      </c>
      <c r="K395" s="100">
        <v>0</v>
      </c>
      <c r="L395" s="130">
        <v>1</v>
      </c>
      <c r="M395" s="130">
        <v>0</v>
      </c>
      <c r="N395" s="96" t="s">
        <v>208</v>
      </c>
      <c r="P395" s="230"/>
    </row>
    <row r="396" spans="1:16" ht="15" thickBot="1" x14ac:dyDescent="0.35">
      <c r="B396" s="267"/>
      <c r="C396" s="103" t="s">
        <v>211</v>
      </c>
      <c r="D396" s="103">
        <v>89.75</v>
      </c>
      <c r="E396" s="104">
        <v>75.64</v>
      </c>
      <c r="F396" s="111">
        <f>E396/25*9.81</f>
        <v>29.681135999999999</v>
      </c>
      <c r="G396" s="143">
        <v>62</v>
      </c>
      <c r="H396" s="144">
        <f>G396/25*9.81</f>
        <v>24.328800000000001</v>
      </c>
      <c r="I396" s="104">
        <v>90</v>
      </c>
      <c r="J396" s="110">
        <f>I396/25*9.81</f>
        <v>35.316000000000003</v>
      </c>
      <c r="K396" s="106">
        <v>0</v>
      </c>
      <c r="L396" s="131">
        <v>1</v>
      </c>
      <c r="M396" s="131">
        <v>0</v>
      </c>
      <c r="N396" s="107" t="s">
        <v>208</v>
      </c>
    </row>
    <row r="397" spans="1:16" ht="15" thickBot="1" x14ac:dyDescent="0.35"/>
    <row r="398" spans="1:16" x14ac:dyDescent="0.3">
      <c r="B398" s="268" t="s">
        <v>184</v>
      </c>
      <c r="C398" s="269"/>
      <c r="D398" s="269"/>
      <c r="E398" s="269"/>
      <c r="F398" s="269"/>
      <c r="G398" s="269"/>
      <c r="H398" s="269"/>
      <c r="I398" s="269"/>
      <c r="J398" s="269"/>
      <c r="K398" s="269"/>
      <c r="L398" s="269"/>
      <c r="M398" s="269"/>
      <c r="N398" s="270"/>
    </row>
    <row r="399" spans="1:16" x14ac:dyDescent="0.3">
      <c r="A399" s="145" t="s">
        <v>365</v>
      </c>
      <c r="B399" s="271" t="s">
        <v>186</v>
      </c>
      <c r="C399" s="274"/>
      <c r="D399" s="275"/>
      <c r="E399" s="275"/>
      <c r="F399" s="275"/>
      <c r="G399" s="275"/>
      <c r="H399" s="275"/>
      <c r="I399" s="275"/>
      <c r="J399" s="276"/>
      <c r="K399" s="277" t="s">
        <v>187</v>
      </c>
      <c r="L399" s="278"/>
      <c r="M399" s="279"/>
      <c r="N399" s="280" t="s">
        <v>188</v>
      </c>
    </row>
    <row r="400" spans="1:16" x14ac:dyDescent="0.3">
      <c r="A400" s="145" t="s">
        <v>366</v>
      </c>
      <c r="B400" s="272"/>
      <c r="C400" s="283" t="s">
        <v>194</v>
      </c>
      <c r="D400" s="283" t="s">
        <v>41</v>
      </c>
      <c r="E400" s="88" t="s">
        <v>42</v>
      </c>
      <c r="F400" s="88" t="s">
        <v>43</v>
      </c>
      <c r="G400" s="88" t="s">
        <v>42</v>
      </c>
      <c r="H400" s="88" t="s">
        <v>43</v>
      </c>
      <c r="I400" s="88" t="s">
        <v>42</v>
      </c>
      <c r="J400" s="88" t="s">
        <v>43</v>
      </c>
      <c r="K400" s="285" t="s">
        <v>20</v>
      </c>
      <c r="L400" s="285" t="s">
        <v>195</v>
      </c>
      <c r="M400" s="285" t="s">
        <v>196</v>
      </c>
      <c r="N400" s="281"/>
    </row>
    <row r="401" spans="1:16" x14ac:dyDescent="0.3">
      <c r="A401" s="145">
        <v>16</v>
      </c>
      <c r="B401" s="273"/>
      <c r="C401" s="284"/>
      <c r="D401" s="284"/>
      <c r="E401" s="88" t="s">
        <v>200</v>
      </c>
      <c r="F401" s="88" t="s">
        <v>200</v>
      </c>
      <c r="G401" s="88" t="s">
        <v>201</v>
      </c>
      <c r="H401" s="88" t="s">
        <v>201</v>
      </c>
      <c r="I401" s="88" t="s">
        <v>202</v>
      </c>
      <c r="J401" s="88" t="s">
        <v>202</v>
      </c>
      <c r="K401" s="286"/>
      <c r="L401" s="286"/>
      <c r="M401" s="286"/>
      <c r="N401" s="282"/>
    </row>
    <row r="402" spans="1:16" x14ac:dyDescent="0.3">
      <c r="B402" s="265" t="s">
        <v>288</v>
      </c>
      <c r="C402" s="92" t="s">
        <v>207</v>
      </c>
      <c r="D402" s="93">
        <v>24.26</v>
      </c>
      <c r="E402" s="93">
        <v>156.06</v>
      </c>
      <c r="F402" s="108">
        <f>E402/25*9.81</f>
        <v>61.237944000000006</v>
      </c>
      <c r="G402" s="93">
        <v>84</v>
      </c>
      <c r="H402" s="108">
        <f>G402/25*9.81</f>
        <v>32.961599999999997</v>
      </c>
      <c r="I402" s="93">
        <v>230</v>
      </c>
      <c r="J402" s="109">
        <f>I402/25*9.81</f>
        <v>90.251999999999995</v>
      </c>
      <c r="K402" s="95">
        <v>0</v>
      </c>
      <c r="L402" s="113">
        <v>0.9</v>
      </c>
      <c r="M402" s="113">
        <v>0.1</v>
      </c>
      <c r="N402" s="96" t="s">
        <v>233</v>
      </c>
      <c r="P402" s="112" t="s">
        <v>404</v>
      </c>
    </row>
    <row r="403" spans="1:16" x14ac:dyDescent="0.3">
      <c r="B403" s="266"/>
      <c r="C403" s="92" t="s">
        <v>207</v>
      </c>
      <c r="D403" s="92">
        <v>89.07</v>
      </c>
      <c r="E403" s="99">
        <v>113.48</v>
      </c>
      <c r="F403" s="108">
        <f>E403/25*9.81</f>
        <v>44.529552000000002</v>
      </c>
      <c r="G403" s="136">
        <v>64</v>
      </c>
      <c r="H403" s="237">
        <f>G403/25*9.81</f>
        <v>25.113600000000002</v>
      </c>
      <c r="I403" s="99">
        <v>129</v>
      </c>
      <c r="J403" s="142">
        <f>I403/25*9.81</f>
        <v>50.619600000000005</v>
      </c>
      <c r="K403" s="100">
        <v>0</v>
      </c>
      <c r="L403" s="130">
        <v>1</v>
      </c>
      <c r="M403" s="130">
        <v>0</v>
      </c>
      <c r="N403" s="96" t="s">
        <v>208</v>
      </c>
    </row>
    <row r="404" spans="1:16" x14ac:dyDescent="0.3">
      <c r="B404" s="266"/>
      <c r="C404" s="92" t="s">
        <v>211</v>
      </c>
      <c r="D404" s="233">
        <v>22.71</v>
      </c>
      <c r="E404" s="198">
        <v>141.55000000000001</v>
      </c>
      <c r="F404" s="234">
        <f>E404/25*9.81</f>
        <v>55.54422000000001</v>
      </c>
      <c r="G404" s="198">
        <v>129</v>
      </c>
      <c r="H404" s="234">
        <f>G404/25*9.81</f>
        <v>50.619600000000005</v>
      </c>
      <c r="I404" s="235">
        <v>158</v>
      </c>
      <c r="J404" s="236">
        <f>I404/25*9.81</f>
        <v>61.999200000000009</v>
      </c>
      <c r="K404" s="100">
        <v>0</v>
      </c>
      <c r="L404" s="130">
        <v>1</v>
      </c>
      <c r="M404" s="130">
        <v>0</v>
      </c>
      <c r="N404" s="96" t="s">
        <v>208</v>
      </c>
      <c r="P404" s="230"/>
    </row>
    <row r="405" spans="1:16" ht="15" thickBot="1" x14ac:dyDescent="0.35">
      <c r="B405" s="267"/>
      <c r="C405" s="103" t="s">
        <v>211</v>
      </c>
      <c r="D405" s="103">
        <v>88.57</v>
      </c>
      <c r="E405" s="104">
        <v>78.08</v>
      </c>
      <c r="F405" s="111">
        <f>E405/25*9.81</f>
        <v>30.638591999999999</v>
      </c>
      <c r="G405" s="143">
        <v>71</v>
      </c>
      <c r="H405" s="144">
        <f>G405/25*9.81</f>
        <v>27.860399999999998</v>
      </c>
      <c r="I405" s="104">
        <v>102</v>
      </c>
      <c r="J405" s="110">
        <f>I405/25*9.81</f>
        <v>40.024800000000006</v>
      </c>
      <c r="K405" s="106">
        <v>0</v>
      </c>
      <c r="L405" s="131">
        <v>1</v>
      </c>
      <c r="M405" s="131">
        <v>0</v>
      </c>
      <c r="N405" s="107" t="s">
        <v>208</v>
      </c>
    </row>
    <row r="406" spans="1:16" ht="15" thickBot="1" x14ac:dyDescent="0.35"/>
    <row r="407" spans="1:16" x14ac:dyDescent="0.3">
      <c r="B407" s="268" t="s">
        <v>184</v>
      </c>
      <c r="C407" s="269"/>
      <c r="D407" s="269"/>
      <c r="E407" s="269"/>
      <c r="F407" s="269"/>
      <c r="G407" s="269"/>
      <c r="H407" s="269"/>
      <c r="I407" s="269"/>
      <c r="J407" s="269"/>
      <c r="K407" s="269"/>
      <c r="L407" s="269"/>
      <c r="M407" s="269"/>
      <c r="N407" s="270"/>
    </row>
    <row r="408" spans="1:16" x14ac:dyDescent="0.3">
      <c r="A408" s="145" t="s">
        <v>365</v>
      </c>
      <c r="B408" s="271" t="s">
        <v>186</v>
      </c>
      <c r="C408" s="274"/>
      <c r="D408" s="275"/>
      <c r="E408" s="275"/>
      <c r="F408" s="275"/>
      <c r="G408" s="275"/>
      <c r="H408" s="275"/>
      <c r="I408" s="275"/>
      <c r="J408" s="276"/>
      <c r="K408" s="277" t="s">
        <v>187</v>
      </c>
      <c r="L408" s="278"/>
      <c r="M408" s="279"/>
      <c r="N408" s="280" t="s">
        <v>188</v>
      </c>
    </row>
    <row r="409" spans="1:16" x14ac:dyDescent="0.3">
      <c r="A409" s="145" t="s">
        <v>366</v>
      </c>
      <c r="B409" s="272"/>
      <c r="C409" s="283" t="s">
        <v>194</v>
      </c>
      <c r="D409" s="283" t="s">
        <v>41</v>
      </c>
      <c r="E409" s="88" t="s">
        <v>42</v>
      </c>
      <c r="F409" s="88" t="s">
        <v>43</v>
      </c>
      <c r="G409" s="88" t="s">
        <v>42</v>
      </c>
      <c r="H409" s="88" t="s">
        <v>43</v>
      </c>
      <c r="I409" s="88" t="s">
        <v>42</v>
      </c>
      <c r="J409" s="88" t="s">
        <v>43</v>
      </c>
      <c r="K409" s="285" t="s">
        <v>20</v>
      </c>
      <c r="L409" s="285" t="s">
        <v>195</v>
      </c>
      <c r="M409" s="285" t="s">
        <v>196</v>
      </c>
      <c r="N409" s="281"/>
    </row>
    <row r="410" spans="1:16" x14ac:dyDescent="0.3">
      <c r="A410" s="145">
        <v>17</v>
      </c>
      <c r="B410" s="273"/>
      <c r="C410" s="284"/>
      <c r="D410" s="284"/>
      <c r="E410" s="88" t="s">
        <v>200</v>
      </c>
      <c r="F410" s="88" t="s">
        <v>200</v>
      </c>
      <c r="G410" s="88" t="s">
        <v>201</v>
      </c>
      <c r="H410" s="88" t="s">
        <v>201</v>
      </c>
      <c r="I410" s="88" t="s">
        <v>202</v>
      </c>
      <c r="J410" s="88" t="s">
        <v>202</v>
      </c>
      <c r="K410" s="286"/>
      <c r="L410" s="286"/>
      <c r="M410" s="286"/>
      <c r="N410" s="282"/>
    </row>
    <row r="411" spans="1:16" x14ac:dyDescent="0.3">
      <c r="B411" s="265" t="s">
        <v>291</v>
      </c>
      <c r="C411" s="92" t="s">
        <v>207</v>
      </c>
      <c r="D411" s="93">
        <v>25.05</v>
      </c>
      <c r="E411" s="93">
        <v>165.31</v>
      </c>
      <c r="F411" s="108">
        <f>E411/25*9.81</f>
        <v>64.867643999999999</v>
      </c>
      <c r="G411" s="93">
        <v>139</v>
      </c>
      <c r="H411" s="108">
        <f>G411/25*9.81</f>
        <v>54.543599999999998</v>
      </c>
      <c r="I411" s="93">
        <v>182</v>
      </c>
      <c r="J411" s="109">
        <f>I411/25*9.81</f>
        <v>71.416800000000009</v>
      </c>
      <c r="K411" s="95">
        <v>0</v>
      </c>
      <c r="L411" s="129">
        <v>1</v>
      </c>
      <c r="M411" s="129">
        <v>0</v>
      </c>
      <c r="N411" s="96" t="s">
        <v>235</v>
      </c>
      <c r="P411" s="112" t="s">
        <v>404</v>
      </c>
    </row>
    <row r="412" spans="1:16" x14ac:dyDescent="0.3">
      <c r="B412" s="266"/>
      <c r="C412" s="92" t="s">
        <v>207</v>
      </c>
      <c r="D412" s="92">
        <v>88.7</v>
      </c>
      <c r="E412" s="99">
        <v>98.02</v>
      </c>
      <c r="F412" s="108">
        <f>E412/25*9.81</f>
        <v>38.463048000000001</v>
      </c>
      <c r="G412" s="136">
        <v>87</v>
      </c>
      <c r="H412" s="237">
        <f>G412/25*9.81</f>
        <v>34.138800000000003</v>
      </c>
      <c r="I412" s="99">
        <v>112</v>
      </c>
      <c r="J412" s="142">
        <f>I412/25*9.81</f>
        <v>43.948800000000006</v>
      </c>
      <c r="K412" s="100">
        <v>0</v>
      </c>
      <c r="L412" s="130">
        <v>1</v>
      </c>
      <c r="M412" s="130">
        <v>0</v>
      </c>
      <c r="N412" s="96" t="s">
        <v>208</v>
      </c>
    </row>
    <row r="413" spans="1:16" x14ac:dyDescent="0.3">
      <c r="B413" s="266"/>
      <c r="C413" s="92" t="s">
        <v>211</v>
      </c>
      <c r="D413" s="233">
        <v>24.78</v>
      </c>
      <c r="E413" s="198">
        <v>148.97999999999999</v>
      </c>
      <c r="F413" s="234">
        <f>E413/25*9.81</f>
        <v>58.459751999999995</v>
      </c>
      <c r="G413" s="198">
        <v>120</v>
      </c>
      <c r="H413" s="234">
        <f>G413/25*9.81</f>
        <v>47.088000000000001</v>
      </c>
      <c r="I413" s="235">
        <v>173</v>
      </c>
      <c r="J413" s="236">
        <f>I413/25*9.81</f>
        <v>67.885199999999998</v>
      </c>
      <c r="K413" s="100">
        <v>0</v>
      </c>
      <c r="L413" s="130">
        <v>1</v>
      </c>
      <c r="M413" s="130">
        <v>0</v>
      </c>
      <c r="N413" s="96" t="s">
        <v>208</v>
      </c>
      <c r="P413" s="230"/>
    </row>
    <row r="414" spans="1:16" ht="15" thickBot="1" x14ac:dyDescent="0.35">
      <c r="B414" s="267"/>
      <c r="C414" s="103" t="s">
        <v>211</v>
      </c>
      <c r="D414" s="103">
        <v>88.78</v>
      </c>
      <c r="E414" s="104">
        <v>85.04</v>
      </c>
      <c r="F414" s="111">
        <f>E414/25*9.81</f>
        <v>33.369696000000005</v>
      </c>
      <c r="G414" s="143">
        <v>75</v>
      </c>
      <c r="H414" s="144">
        <f>G414/25*9.81</f>
        <v>29.43</v>
      </c>
      <c r="I414" s="104">
        <v>92</v>
      </c>
      <c r="J414" s="110">
        <f>I414/25*9.81</f>
        <v>36.100800000000007</v>
      </c>
      <c r="K414" s="106">
        <v>0</v>
      </c>
      <c r="L414" s="131">
        <v>1</v>
      </c>
      <c r="M414" s="131">
        <v>0</v>
      </c>
      <c r="N414" s="107" t="s">
        <v>208</v>
      </c>
    </row>
    <row r="415" spans="1:16" ht="15" thickBot="1" x14ac:dyDescent="0.35"/>
    <row r="416" spans="1:16" x14ac:dyDescent="0.3">
      <c r="B416" s="268" t="s">
        <v>184</v>
      </c>
      <c r="C416" s="269"/>
      <c r="D416" s="269"/>
      <c r="E416" s="269"/>
      <c r="F416" s="269"/>
      <c r="G416" s="269"/>
      <c r="H416" s="269"/>
      <c r="I416" s="269"/>
      <c r="J416" s="269"/>
      <c r="K416" s="269"/>
      <c r="L416" s="269"/>
      <c r="M416" s="269"/>
      <c r="N416" s="270"/>
    </row>
    <row r="417" spans="1:16" x14ac:dyDescent="0.3">
      <c r="A417" s="145" t="s">
        <v>365</v>
      </c>
      <c r="B417" s="271" t="s">
        <v>186</v>
      </c>
      <c r="C417" s="274"/>
      <c r="D417" s="275"/>
      <c r="E417" s="275"/>
      <c r="F417" s="275"/>
      <c r="G417" s="275"/>
      <c r="H417" s="275"/>
      <c r="I417" s="275"/>
      <c r="J417" s="276"/>
      <c r="K417" s="277" t="s">
        <v>187</v>
      </c>
      <c r="L417" s="278"/>
      <c r="M417" s="279"/>
      <c r="N417" s="280" t="s">
        <v>188</v>
      </c>
    </row>
    <row r="418" spans="1:16" x14ac:dyDescent="0.3">
      <c r="A418" s="145" t="s">
        <v>366</v>
      </c>
      <c r="B418" s="272"/>
      <c r="C418" s="283" t="s">
        <v>194</v>
      </c>
      <c r="D418" s="283" t="s">
        <v>41</v>
      </c>
      <c r="E418" s="88" t="s">
        <v>42</v>
      </c>
      <c r="F418" s="88" t="s">
        <v>43</v>
      </c>
      <c r="G418" s="88" t="s">
        <v>42</v>
      </c>
      <c r="H418" s="88" t="s">
        <v>43</v>
      </c>
      <c r="I418" s="88" t="s">
        <v>42</v>
      </c>
      <c r="J418" s="88" t="s">
        <v>43</v>
      </c>
      <c r="K418" s="285" t="s">
        <v>20</v>
      </c>
      <c r="L418" s="285" t="s">
        <v>195</v>
      </c>
      <c r="M418" s="285" t="s">
        <v>196</v>
      </c>
      <c r="N418" s="281"/>
    </row>
    <row r="419" spans="1:16" x14ac:dyDescent="0.3">
      <c r="A419" s="145">
        <v>18</v>
      </c>
      <c r="B419" s="273"/>
      <c r="C419" s="284"/>
      <c r="D419" s="284"/>
      <c r="E419" s="88" t="s">
        <v>200</v>
      </c>
      <c r="F419" s="88" t="s">
        <v>200</v>
      </c>
      <c r="G419" s="88" t="s">
        <v>201</v>
      </c>
      <c r="H419" s="88" t="s">
        <v>201</v>
      </c>
      <c r="I419" s="88" t="s">
        <v>202</v>
      </c>
      <c r="J419" s="88" t="s">
        <v>202</v>
      </c>
      <c r="K419" s="286"/>
      <c r="L419" s="286"/>
      <c r="M419" s="286"/>
      <c r="N419" s="282"/>
    </row>
    <row r="420" spans="1:16" x14ac:dyDescent="0.3">
      <c r="B420" s="265" t="s">
        <v>307</v>
      </c>
      <c r="C420" s="92" t="s">
        <v>207</v>
      </c>
      <c r="D420" s="93">
        <v>22.78</v>
      </c>
      <c r="E420" s="93">
        <v>149.78</v>
      </c>
      <c r="F420" s="108">
        <f>E420/25*9.81</f>
        <v>58.773672000000005</v>
      </c>
      <c r="G420" s="93">
        <v>133</v>
      </c>
      <c r="H420" s="108">
        <f>G420/25*9.81</f>
        <v>52.189200000000007</v>
      </c>
      <c r="I420" s="93">
        <v>177</v>
      </c>
      <c r="J420" s="109">
        <f>I420/25*9.81</f>
        <v>69.454800000000006</v>
      </c>
      <c r="K420" s="95">
        <v>0</v>
      </c>
      <c r="L420" s="129">
        <v>1</v>
      </c>
      <c r="M420" s="129">
        <v>0</v>
      </c>
      <c r="N420" s="96" t="s">
        <v>235</v>
      </c>
      <c r="P420" s="112" t="s">
        <v>404</v>
      </c>
    </row>
    <row r="421" spans="1:16" x14ac:dyDescent="0.3">
      <c r="B421" s="266"/>
      <c r="C421" s="92" t="s">
        <v>207</v>
      </c>
      <c r="D421" s="92">
        <v>87.91</v>
      </c>
      <c r="E421" s="99">
        <v>87.74</v>
      </c>
      <c r="F421" s="108">
        <f>E421/25*9.81</f>
        <v>34.429175999999998</v>
      </c>
      <c r="G421" s="136">
        <v>31</v>
      </c>
      <c r="H421" s="237">
        <f>G421/25*9.81</f>
        <v>12.164400000000001</v>
      </c>
      <c r="I421" s="99">
        <v>104</v>
      </c>
      <c r="J421" s="142">
        <f>I421/25*9.81</f>
        <v>40.809600000000003</v>
      </c>
      <c r="K421" s="100">
        <v>0</v>
      </c>
      <c r="L421" s="130">
        <v>1</v>
      </c>
      <c r="M421" s="130">
        <v>0</v>
      </c>
      <c r="N421" s="96" t="s">
        <v>208</v>
      </c>
    </row>
    <row r="422" spans="1:16" x14ac:dyDescent="0.3">
      <c r="B422" s="266"/>
      <c r="C422" s="92" t="s">
        <v>211</v>
      </c>
      <c r="D422" s="233">
        <v>22.73</v>
      </c>
      <c r="E422" s="198">
        <v>105.33</v>
      </c>
      <c r="F422" s="234">
        <f>E422/25*9.81</f>
        <v>41.331491999999997</v>
      </c>
      <c r="G422" s="198">
        <v>80</v>
      </c>
      <c r="H422" s="234">
        <f>G422/25*9.81</f>
        <v>31.392000000000003</v>
      </c>
      <c r="I422" s="235">
        <v>134</v>
      </c>
      <c r="J422" s="236">
        <f>I422/25*9.81</f>
        <v>52.581600000000009</v>
      </c>
      <c r="K422" s="100">
        <v>0</v>
      </c>
      <c r="L422" s="130">
        <v>1</v>
      </c>
      <c r="M422" s="130">
        <v>0</v>
      </c>
      <c r="N422" s="96" t="s">
        <v>208</v>
      </c>
      <c r="P422" s="230"/>
    </row>
    <row r="423" spans="1:16" ht="15" thickBot="1" x14ac:dyDescent="0.35">
      <c r="B423" s="267"/>
      <c r="C423" s="103" t="s">
        <v>211</v>
      </c>
      <c r="D423" s="103">
        <v>88.83</v>
      </c>
      <c r="E423" s="104">
        <v>85.69</v>
      </c>
      <c r="F423" s="111">
        <f>E423/25*9.81</f>
        <v>33.624756000000005</v>
      </c>
      <c r="G423" s="143">
        <v>72</v>
      </c>
      <c r="H423" s="144">
        <f>G423/25*9.81</f>
        <v>28.252800000000001</v>
      </c>
      <c r="I423" s="104">
        <v>112</v>
      </c>
      <c r="J423" s="110">
        <f>I423/25*9.81</f>
        <v>43.948800000000006</v>
      </c>
      <c r="K423" s="106">
        <v>0</v>
      </c>
      <c r="L423" s="131">
        <v>1</v>
      </c>
      <c r="M423" s="131">
        <v>0</v>
      </c>
      <c r="N423" s="107" t="s">
        <v>208</v>
      </c>
    </row>
    <row r="424" spans="1:16" ht="15" thickBot="1" x14ac:dyDescent="0.35"/>
    <row r="425" spans="1:16" x14ac:dyDescent="0.3">
      <c r="B425" s="268" t="s">
        <v>184</v>
      </c>
      <c r="C425" s="269"/>
      <c r="D425" s="269"/>
      <c r="E425" s="269"/>
      <c r="F425" s="269"/>
      <c r="G425" s="269"/>
      <c r="H425" s="269"/>
      <c r="I425" s="269"/>
      <c r="J425" s="269"/>
      <c r="K425" s="269"/>
      <c r="L425" s="269"/>
      <c r="M425" s="269"/>
      <c r="N425" s="270"/>
    </row>
    <row r="426" spans="1:16" x14ac:dyDescent="0.3">
      <c r="A426" s="145" t="s">
        <v>365</v>
      </c>
      <c r="B426" s="271" t="s">
        <v>186</v>
      </c>
      <c r="C426" s="274"/>
      <c r="D426" s="275"/>
      <c r="E426" s="275"/>
      <c r="F426" s="275"/>
      <c r="G426" s="275"/>
      <c r="H426" s="275"/>
      <c r="I426" s="275"/>
      <c r="J426" s="276"/>
      <c r="K426" s="277" t="s">
        <v>187</v>
      </c>
      <c r="L426" s="278"/>
      <c r="M426" s="279"/>
      <c r="N426" s="280" t="s">
        <v>188</v>
      </c>
    </row>
    <row r="427" spans="1:16" x14ac:dyDescent="0.3">
      <c r="A427" s="145" t="s">
        <v>366</v>
      </c>
      <c r="B427" s="272"/>
      <c r="C427" s="283" t="s">
        <v>194</v>
      </c>
      <c r="D427" s="283" t="s">
        <v>41</v>
      </c>
      <c r="E427" s="88" t="s">
        <v>42</v>
      </c>
      <c r="F427" s="88" t="s">
        <v>43</v>
      </c>
      <c r="G427" s="88" t="s">
        <v>42</v>
      </c>
      <c r="H427" s="88" t="s">
        <v>43</v>
      </c>
      <c r="I427" s="88" t="s">
        <v>42</v>
      </c>
      <c r="J427" s="88" t="s">
        <v>43</v>
      </c>
      <c r="K427" s="285" t="s">
        <v>20</v>
      </c>
      <c r="L427" s="285" t="s">
        <v>195</v>
      </c>
      <c r="M427" s="285" t="s">
        <v>196</v>
      </c>
      <c r="N427" s="281"/>
    </row>
    <row r="428" spans="1:16" x14ac:dyDescent="0.3">
      <c r="A428" s="145">
        <v>19</v>
      </c>
      <c r="B428" s="273"/>
      <c r="C428" s="284"/>
      <c r="D428" s="284"/>
      <c r="E428" s="88" t="s">
        <v>200</v>
      </c>
      <c r="F428" s="88" t="s">
        <v>200</v>
      </c>
      <c r="G428" s="88" t="s">
        <v>201</v>
      </c>
      <c r="H428" s="88" t="s">
        <v>201</v>
      </c>
      <c r="I428" s="88" t="s">
        <v>202</v>
      </c>
      <c r="J428" s="88" t="s">
        <v>202</v>
      </c>
      <c r="K428" s="286"/>
      <c r="L428" s="286"/>
      <c r="M428" s="286"/>
      <c r="N428" s="282"/>
    </row>
    <row r="429" spans="1:16" x14ac:dyDescent="0.3">
      <c r="B429" s="265" t="s">
        <v>302</v>
      </c>
      <c r="C429" s="92" t="s">
        <v>207</v>
      </c>
      <c r="D429" s="93">
        <v>23.66</v>
      </c>
      <c r="E429" s="93">
        <v>155.11000000000001</v>
      </c>
      <c r="F429" s="108">
        <f>E429/25*9.81</f>
        <v>60.865164000000007</v>
      </c>
      <c r="G429" s="93">
        <v>140</v>
      </c>
      <c r="H429" s="108">
        <f>G429/25*9.81</f>
        <v>54.936</v>
      </c>
      <c r="I429" s="93">
        <v>178</v>
      </c>
      <c r="J429" s="109">
        <f>I429/25*9.81</f>
        <v>69.847200000000001</v>
      </c>
      <c r="K429" s="95">
        <v>0</v>
      </c>
      <c r="L429" s="129">
        <v>1</v>
      </c>
      <c r="M429" s="129">
        <v>0</v>
      </c>
      <c r="N429" s="96" t="s">
        <v>235</v>
      </c>
      <c r="P429" s="112" t="s">
        <v>404</v>
      </c>
    </row>
    <row r="430" spans="1:16" x14ac:dyDescent="0.3">
      <c r="B430" s="266"/>
      <c r="C430" s="92" t="s">
        <v>207</v>
      </c>
      <c r="D430" s="92">
        <v>89.6</v>
      </c>
      <c r="E430" s="99">
        <v>92.53</v>
      </c>
      <c r="F430" s="108">
        <f>E430/25*9.81</f>
        <v>36.308772000000005</v>
      </c>
      <c r="G430" s="136">
        <v>70</v>
      </c>
      <c r="H430" s="237">
        <f>G430/25*9.81</f>
        <v>27.468</v>
      </c>
      <c r="I430" s="99">
        <v>112</v>
      </c>
      <c r="J430" s="142">
        <f>I430/25*9.81</f>
        <v>43.948800000000006</v>
      </c>
      <c r="K430" s="100">
        <v>0</v>
      </c>
      <c r="L430" s="130">
        <v>1</v>
      </c>
      <c r="M430" s="130">
        <v>0</v>
      </c>
      <c r="N430" s="96" t="s">
        <v>208</v>
      </c>
    </row>
    <row r="431" spans="1:16" x14ac:dyDescent="0.3">
      <c r="B431" s="266"/>
      <c r="C431" s="92" t="s">
        <v>211</v>
      </c>
      <c r="D431" s="233">
        <v>23.11</v>
      </c>
      <c r="E431" s="198">
        <v>158.52000000000001</v>
      </c>
      <c r="F431" s="234">
        <f>E431/25*9.81</f>
        <v>62.203248000000009</v>
      </c>
      <c r="G431" s="198">
        <v>87</v>
      </c>
      <c r="H431" s="234">
        <f>G431/25*9.81</f>
        <v>34.138800000000003</v>
      </c>
      <c r="I431" s="235">
        <v>219</v>
      </c>
      <c r="J431" s="236">
        <f>I431/25*9.81</f>
        <v>85.935600000000008</v>
      </c>
      <c r="K431" s="100">
        <v>0</v>
      </c>
      <c r="L431" s="130">
        <v>1</v>
      </c>
      <c r="M431" s="130">
        <v>0</v>
      </c>
      <c r="N431" s="96" t="s">
        <v>208</v>
      </c>
      <c r="P431" s="230"/>
    </row>
    <row r="432" spans="1:16" ht="15" thickBot="1" x14ac:dyDescent="0.35">
      <c r="B432" s="267"/>
      <c r="C432" s="103" t="s">
        <v>211</v>
      </c>
      <c r="D432" s="103">
        <v>88.71</v>
      </c>
      <c r="E432" s="104">
        <v>86.67</v>
      </c>
      <c r="F432" s="111">
        <f>E432/25*9.81</f>
        <v>34.009308000000004</v>
      </c>
      <c r="G432" s="143">
        <v>75</v>
      </c>
      <c r="H432" s="144">
        <f>G432/25*9.81</f>
        <v>29.43</v>
      </c>
      <c r="I432" s="104">
        <v>98</v>
      </c>
      <c r="J432" s="110">
        <f>I432/25*9.81</f>
        <v>38.455199999999998</v>
      </c>
      <c r="K432" s="106">
        <v>0</v>
      </c>
      <c r="L432" s="131">
        <v>1</v>
      </c>
      <c r="M432" s="131">
        <v>0</v>
      </c>
      <c r="N432" s="107" t="s">
        <v>208</v>
      </c>
    </row>
    <row r="433" spans="1:16" ht="15" thickBot="1" x14ac:dyDescent="0.35"/>
    <row r="434" spans="1:16" x14ac:dyDescent="0.3">
      <c r="B434" s="268" t="s">
        <v>184</v>
      </c>
      <c r="C434" s="269"/>
      <c r="D434" s="269"/>
      <c r="E434" s="269"/>
      <c r="F434" s="269"/>
      <c r="G434" s="269"/>
      <c r="H434" s="269"/>
      <c r="I434" s="269"/>
      <c r="J434" s="269"/>
      <c r="K434" s="269"/>
      <c r="L434" s="269"/>
      <c r="M434" s="269"/>
      <c r="N434" s="270"/>
    </row>
    <row r="435" spans="1:16" x14ac:dyDescent="0.3">
      <c r="A435" s="145" t="s">
        <v>365</v>
      </c>
      <c r="B435" s="271" t="s">
        <v>186</v>
      </c>
      <c r="C435" s="274"/>
      <c r="D435" s="275"/>
      <c r="E435" s="275"/>
      <c r="F435" s="275"/>
      <c r="G435" s="275"/>
      <c r="H435" s="275"/>
      <c r="I435" s="275"/>
      <c r="J435" s="276"/>
      <c r="K435" s="277" t="s">
        <v>187</v>
      </c>
      <c r="L435" s="278"/>
      <c r="M435" s="279"/>
      <c r="N435" s="280" t="s">
        <v>188</v>
      </c>
    </row>
    <row r="436" spans="1:16" x14ac:dyDescent="0.3">
      <c r="A436" s="145" t="s">
        <v>366</v>
      </c>
      <c r="B436" s="272"/>
      <c r="C436" s="283" t="s">
        <v>194</v>
      </c>
      <c r="D436" s="283" t="s">
        <v>41</v>
      </c>
      <c r="E436" s="88" t="s">
        <v>42</v>
      </c>
      <c r="F436" s="88" t="s">
        <v>43</v>
      </c>
      <c r="G436" s="88" t="s">
        <v>42</v>
      </c>
      <c r="H436" s="88" t="s">
        <v>43</v>
      </c>
      <c r="I436" s="88" t="s">
        <v>42</v>
      </c>
      <c r="J436" s="88" t="s">
        <v>43</v>
      </c>
      <c r="K436" s="285" t="s">
        <v>20</v>
      </c>
      <c r="L436" s="285" t="s">
        <v>195</v>
      </c>
      <c r="M436" s="285" t="s">
        <v>196</v>
      </c>
      <c r="N436" s="281"/>
    </row>
    <row r="437" spans="1:16" x14ac:dyDescent="0.3">
      <c r="A437" s="145">
        <v>20</v>
      </c>
      <c r="B437" s="273"/>
      <c r="C437" s="284"/>
      <c r="D437" s="284"/>
      <c r="E437" s="88" t="s">
        <v>200</v>
      </c>
      <c r="F437" s="88" t="s">
        <v>200</v>
      </c>
      <c r="G437" s="88" t="s">
        <v>201</v>
      </c>
      <c r="H437" s="88" t="s">
        <v>201</v>
      </c>
      <c r="I437" s="88" t="s">
        <v>202</v>
      </c>
      <c r="J437" s="88" t="s">
        <v>202</v>
      </c>
      <c r="K437" s="286"/>
      <c r="L437" s="286"/>
      <c r="M437" s="286"/>
      <c r="N437" s="282"/>
    </row>
    <row r="438" spans="1:16" x14ac:dyDescent="0.3">
      <c r="B438" s="265" t="s">
        <v>303</v>
      </c>
      <c r="C438" s="92" t="s">
        <v>207</v>
      </c>
      <c r="D438" s="93">
        <v>24.47</v>
      </c>
      <c r="E438" s="93">
        <v>194.51</v>
      </c>
      <c r="F438" s="108">
        <f>E438/25*9.81</f>
        <v>76.325723999999994</v>
      </c>
      <c r="G438" s="93">
        <v>173</v>
      </c>
      <c r="H438" s="108">
        <f>G438/25*9.81</f>
        <v>67.885199999999998</v>
      </c>
      <c r="I438" s="93">
        <v>204</v>
      </c>
      <c r="J438" s="109">
        <f>I438/25*9.81</f>
        <v>80.049600000000012</v>
      </c>
      <c r="K438" s="95">
        <v>0</v>
      </c>
      <c r="L438" s="113">
        <v>0.9</v>
      </c>
      <c r="M438" s="113">
        <v>0.1</v>
      </c>
      <c r="N438" s="96" t="s">
        <v>233</v>
      </c>
      <c r="P438" s="112" t="s">
        <v>407</v>
      </c>
    </row>
    <row r="439" spans="1:16" x14ac:dyDescent="0.3">
      <c r="B439" s="266"/>
      <c r="C439" s="92" t="s">
        <v>207</v>
      </c>
      <c r="D439" s="92">
        <v>89.86</v>
      </c>
      <c r="E439" s="99">
        <v>77.849999999999994</v>
      </c>
      <c r="F439" s="108">
        <f>E439/25*9.81</f>
        <v>30.54834</v>
      </c>
      <c r="G439" s="136">
        <v>67</v>
      </c>
      <c r="H439" s="237">
        <f>G439/25*9.81</f>
        <v>26.290800000000004</v>
      </c>
      <c r="I439" s="99">
        <v>93</v>
      </c>
      <c r="J439" s="142">
        <f>I439/25*9.81</f>
        <v>36.493200000000002</v>
      </c>
      <c r="K439" s="100">
        <v>0</v>
      </c>
      <c r="L439" s="130">
        <v>1</v>
      </c>
      <c r="M439" s="130">
        <v>0</v>
      </c>
      <c r="N439" s="96" t="s">
        <v>208</v>
      </c>
    </row>
    <row r="440" spans="1:16" x14ac:dyDescent="0.3">
      <c r="B440" s="266"/>
      <c r="C440" s="92" t="s">
        <v>211</v>
      </c>
      <c r="D440" s="93">
        <v>23.26</v>
      </c>
      <c r="E440" s="93">
        <v>157.97999999999999</v>
      </c>
      <c r="F440" s="108">
        <f>E440/25*9.81</f>
        <v>61.991351999999999</v>
      </c>
      <c r="G440" s="93">
        <v>149</v>
      </c>
      <c r="H440" s="108">
        <f>G440/25*9.81</f>
        <v>58.467600000000004</v>
      </c>
      <c r="I440" s="93">
        <v>168</v>
      </c>
      <c r="J440" s="109">
        <f>I440/25*9.81</f>
        <v>65.923199999999994</v>
      </c>
      <c r="K440" s="100">
        <v>0</v>
      </c>
      <c r="L440" s="130">
        <v>1</v>
      </c>
      <c r="M440" s="130">
        <v>0</v>
      </c>
      <c r="N440" s="96" t="s">
        <v>208</v>
      </c>
      <c r="P440" s="230"/>
    </row>
    <row r="441" spans="1:16" ht="15" thickBot="1" x14ac:dyDescent="0.35">
      <c r="B441" s="267"/>
      <c r="C441" s="103" t="s">
        <v>211</v>
      </c>
      <c r="D441" s="103">
        <v>89.77</v>
      </c>
      <c r="E441" s="104">
        <v>92.56</v>
      </c>
      <c r="F441" s="111">
        <f>E441/25*9.81</f>
        <v>36.320543999999998</v>
      </c>
      <c r="G441" s="143">
        <v>78</v>
      </c>
      <c r="H441" s="144">
        <f>G441/25*9.81</f>
        <v>30.607200000000002</v>
      </c>
      <c r="I441" s="104">
        <v>106</v>
      </c>
      <c r="J441" s="110">
        <f>I441/25*9.81</f>
        <v>41.594400000000007</v>
      </c>
      <c r="K441" s="106">
        <v>0</v>
      </c>
      <c r="L441" s="131">
        <v>1</v>
      </c>
      <c r="M441" s="131">
        <v>0</v>
      </c>
      <c r="N441" s="107" t="s">
        <v>208</v>
      </c>
    </row>
    <row r="442" spans="1:16" ht="15" thickBot="1" x14ac:dyDescent="0.35"/>
    <row r="443" spans="1:16" x14ac:dyDescent="0.3">
      <c r="B443" s="268" t="s">
        <v>184</v>
      </c>
      <c r="C443" s="269"/>
      <c r="D443" s="269"/>
      <c r="E443" s="269"/>
      <c r="F443" s="269"/>
      <c r="G443" s="269"/>
      <c r="H443" s="269"/>
      <c r="I443" s="269"/>
      <c r="J443" s="269"/>
      <c r="K443" s="269"/>
      <c r="L443" s="269"/>
      <c r="M443" s="269"/>
      <c r="N443" s="270"/>
    </row>
    <row r="444" spans="1:16" x14ac:dyDescent="0.3">
      <c r="A444" s="145" t="s">
        <v>365</v>
      </c>
      <c r="B444" s="271" t="s">
        <v>186</v>
      </c>
      <c r="C444" s="274"/>
      <c r="D444" s="275"/>
      <c r="E444" s="275"/>
      <c r="F444" s="275"/>
      <c r="G444" s="275"/>
      <c r="H444" s="275"/>
      <c r="I444" s="275"/>
      <c r="J444" s="276"/>
      <c r="K444" s="277" t="s">
        <v>187</v>
      </c>
      <c r="L444" s="278"/>
      <c r="M444" s="279"/>
      <c r="N444" s="280" t="s">
        <v>188</v>
      </c>
    </row>
    <row r="445" spans="1:16" x14ac:dyDescent="0.3">
      <c r="A445" s="145" t="s">
        <v>366</v>
      </c>
      <c r="B445" s="272"/>
      <c r="C445" s="283" t="s">
        <v>194</v>
      </c>
      <c r="D445" s="283" t="s">
        <v>41</v>
      </c>
      <c r="E445" s="88" t="s">
        <v>42</v>
      </c>
      <c r="F445" s="88" t="s">
        <v>43</v>
      </c>
      <c r="G445" s="88" t="s">
        <v>42</v>
      </c>
      <c r="H445" s="88" t="s">
        <v>43</v>
      </c>
      <c r="I445" s="88" t="s">
        <v>42</v>
      </c>
      <c r="J445" s="88" t="s">
        <v>43</v>
      </c>
      <c r="K445" s="285" t="s">
        <v>20</v>
      </c>
      <c r="L445" s="285" t="s">
        <v>195</v>
      </c>
      <c r="M445" s="285" t="s">
        <v>196</v>
      </c>
      <c r="N445" s="281"/>
    </row>
    <row r="446" spans="1:16" x14ac:dyDescent="0.3">
      <c r="A446" s="145">
        <v>21</v>
      </c>
      <c r="B446" s="273"/>
      <c r="C446" s="284"/>
      <c r="D446" s="284"/>
      <c r="E446" s="88" t="s">
        <v>200</v>
      </c>
      <c r="F446" s="88" t="s">
        <v>200</v>
      </c>
      <c r="G446" s="88" t="s">
        <v>201</v>
      </c>
      <c r="H446" s="88" t="s">
        <v>201</v>
      </c>
      <c r="I446" s="88" t="s">
        <v>202</v>
      </c>
      <c r="J446" s="88" t="s">
        <v>202</v>
      </c>
      <c r="K446" s="286"/>
      <c r="L446" s="286"/>
      <c r="M446" s="286"/>
      <c r="N446" s="282"/>
    </row>
    <row r="447" spans="1:16" x14ac:dyDescent="0.3">
      <c r="B447" s="265" t="s">
        <v>305</v>
      </c>
      <c r="C447" s="92" t="s">
        <v>207</v>
      </c>
      <c r="D447" s="93">
        <v>23.32</v>
      </c>
      <c r="E447" s="93">
        <v>106.92</v>
      </c>
      <c r="F447" s="108">
        <f>E447/25*9.81</f>
        <v>41.955407999999998</v>
      </c>
      <c r="G447" s="93">
        <v>76</v>
      </c>
      <c r="H447" s="108">
        <f>G447/25*9.81</f>
        <v>29.822400000000002</v>
      </c>
      <c r="I447" s="93">
        <v>119</v>
      </c>
      <c r="J447" s="109">
        <f>I447/25*9.81</f>
        <v>46.695599999999999</v>
      </c>
      <c r="K447" s="95">
        <v>0</v>
      </c>
      <c r="L447" s="129">
        <v>1</v>
      </c>
      <c r="M447" s="129">
        <v>0</v>
      </c>
      <c r="N447" s="96" t="s">
        <v>235</v>
      </c>
      <c r="P447" s="112" t="s">
        <v>407</v>
      </c>
    </row>
    <row r="448" spans="1:16" x14ac:dyDescent="0.3">
      <c r="B448" s="266"/>
      <c r="C448" s="92" t="s">
        <v>207</v>
      </c>
      <c r="D448" s="92">
        <v>89.77</v>
      </c>
      <c r="E448" s="99">
        <v>77.86</v>
      </c>
      <c r="F448" s="108">
        <f>E448/25*9.81</f>
        <v>30.552264000000001</v>
      </c>
      <c r="G448" s="136">
        <v>63</v>
      </c>
      <c r="H448" s="237">
        <f>G448/25*9.81</f>
        <v>24.721200000000003</v>
      </c>
      <c r="I448" s="99">
        <v>96</v>
      </c>
      <c r="J448" s="142">
        <f>I448/25*9.81</f>
        <v>37.670400000000001</v>
      </c>
      <c r="K448" s="100">
        <v>0</v>
      </c>
      <c r="L448" s="130">
        <v>1</v>
      </c>
      <c r="M448" s="130">
        <v>0</v>
      </c>
      <c r="N448" s="96" t="s">
        <v>208</v>
      </c>
    </row>
    <row r="449" spans="1:16" x14ac:dyDescent="0.3">
      <c r="B449" s="266"/>
      <c r="C449" s="92" t="s">
        <v>211</v>
      </c>
      <c r="D449" s="233">
        <v>25.09</v>
      </c>
      <c r="E449" s="198">
        <v>167</v>
      </c>
      <c r="F449" s="234">
        <f>E449/25*9.81</f>
        <v>65.530799999999999</v>
      </c>
      <c r="G449" s="198">
        <v>143</v>
      </c>
      <c r="H449" s="234">
        <f>G449/25*9.81</f>
        <v>56.113199999999999</v>
      </c>
      <c r="I449" s="235">
        <v>191</v>
      </c>
      <c r="J449" s="236">
        <f>I449/25*9.81</f>
        <v>74.948400000000007</v>
      </c>
      <c r="K449" s="100">
        <v>0</v>
      </c>
      <c r="L449" s="130">
        <v>1</v>
      </c>
      <c r="M449" s="130">
        <v>0</v>
      </c>
      <c r="N449" s="96" t="s">
        <v>208</v>
      </c>
      <c r="P449" s="230"/>
    </row>
    <row r="450" spans="1:16" ht="15" thickBot="1" x14ac:dyDescent="0.35">
      <c r="B450" s="267"/>
      <c r="C450" s="103" t="s">
        <v>211</v>
      </c>
      <c r="D450" s="103">
        <v>89.65</v>
      </c>
      <c r="E450" s="104">
        <v>83.23</v>
      </c>
      <c r="F450" s="111">
        <f>E450/25*9.81</f>
        <v>32.659452000000002</v>
      </c>
      <c r="G450" s="143">
        <v>67</v>
      </c>
      <c r="H450" s="144">
        <f>G450/25*9.81</f>
        <v>26.290800000000004</v>
      </c>
      <c r="I450" s="104">
        <v>98</v>
      </c>
      <c r="J450" s="110">
        <f>I450/25*9.81</f>
        <v>38.455199999999998</v>
      </c>
      <c r="K450" s="106">
        <v>0</v>
      </c>
      <c r="L450" s="131">
        <v>1</v>
      </c>
      <c r="M450" s="131">
        <v>0</v>
      </c>
      <c r="N450" s="107" t="s">
        <v>208</v>
      </c>
    </row>
    <row r="451" spans="1:16" ht="15" thickBot="1" x14ac:dyDescent="0.35"/>
    <row r="452" spans="1:16" x14ac:dyDescent="0.3">
      <c r="B452" s="268" t="s">
        <v>184</v>
      </c>
      <c r="C452" s="269"/>
      <c r="D452" s="269"/>
      <c r="E452" s="269"/>
      <c r="F452" s="269"/>
      <c r="G452" s="269"/>
      <c r="H452" s="269"/>
      <c r="I452" s="269"/>
      <c r="J452" s="269"/>
      <c r="K452" s="269"/>
      <c r="L452" s="269"/>
      <c r="M452" s="269"/>
      <c r="N452" s="270"/>
    </row>
    <row r="453" spans="1:16" x14ac:dyDescent="0.3">
      <c r="A453" s="145" t="s">
        <v>365</v>
      </c>
      <c r="B453" s="271" t="s">
        <v>186</v>
      </c>
      <c r="C453" s="274"/>
      <c r="D453" s="275"/>
      <c r="E453" s="275"/>
      <c r="F453" s="275"/>
      <c r="G453" s="275"/>
      <c r="H453" s="275"/>
      <c r="I453" s="275"/>
      <c r="J453" s="276"/>
      <c r="K453" s="277" t="s">
        <v>187</v>
      </c>
      <c r="L453" s="278"/>
      <c r="M453" s="279"/>
      <c r="N453" s="280" t="s">
        <v>188</v>
      </c>
    </row>
    <row r="454" spans="1:16" x14ac:dyDescent="0.3">
      <c r="A454" s="145" t="s">
        <v>366</v>
      </c>
      <c r="B454" s="272"/>
      <c r="C454" s="283" t="s">
        <v>194</v>
      </c>
      <c r="D454" s="283" t="s">
        <v>41</v>
      </c>
      <c r="E454" s="88" t="s">
        <v>42</v>
      </c>
      <c r="F454" s="88" t="s">
        <v>43</v>
      </c>
      <c r="G454" s="88" t="s">
        <v>42</v>
      </c>
      <c r="H454" s="88" t="s">
        <v>43</v>
      </c>
      <c r="I454" s="88" t="s">
        <v>42</v>
      </c>
      <c r="J454" s="88" t="s">
        <v>43</v>
      </c>
      <c r="K454" s="285" t="s">
        <v>20</v>
      </c>
      <c r="L454" s="285" t="s">
        <v>195</v>
      </c>
      <c r="M454" s="285" t="s">
        <v>196</v>
      </c>
      <c r="N454" s="281"/>
    </row>
    <row r="455" spans="1:16" x14ac:dyDescent="0.3">
      <c r="A455" s="145">
        <v>22</v>
      </c>
      <c r="B455" s="273"/>
      <c r="C455" s="284"/>
      <c r="D455" s="284"/>
      <c r="E455" s="88" t="s">
        <v>200</v>
      </c>
      <c r="F455" s="88" t="s">
        <v>200</v>
      </c>
      <c r="G455" s="88" t="s">
        <v>201</v>
      </c>
      <c r="H455" s="88" t="s">
        <v>201</v>
      </c>
      <c r="I455" s="88" t="s">
        <v>202</v>
      </c>
      <c r="J455" s="88" t="s">
        <v>202</v>
      </c>
      <c r="K455" s="286"/>
      <c r="L455" s="286"/>
      <c r="M455" s="286"/>
      <c r="N455" s="282"/>
    </row>
    <row r="456" spans="1:16" x14ac:dyDescent="0.3">
      <c r="B456" s="265" t="s">
        <v>304</v>
      </c>
      <c r="C456" s="92" t="s">
        <v>207</v>
      </c>
      <c r="D456" s="93">
        <v>23.12</v>
      </c>
      <c r="E456" s="93">
        <v>176.16</v>
      </c>
      <c r="F456" s="108">
        <f>E456/25*9.81</f>
        <v>69.125184000000004</v>
      </c>
      <c r="G456" s="93">
        <v>110</v>
      </c>
      <c r="H456" s="108">
        <f>G456/25*9.81</f>
        <v>43.164000000000009</v>
      </c>
      <c r="I456" s="93">
        <v>208</v>
      </c>
      <c r="J456" s="109">
        <f>I456/25*9.81</f>
        <v>81.619200000000006</v>
      </c>
      <c r="K456" s="95">
        <v>0</v>
      </c>
      <c r="L456" s="113">
        <v>0.9</v>
      </c>
      <c r="M456" s="113">
        <v>0.1</v>
      </c>
      <c r="N456" s="96" t="s">
        <v>233</v>
      </c>
      <c r="P456" s="112" t="s">
        <v>407</v>
      </c>
    </row>
    <row r="457" spans="1:16" x14ac:dyDescent="0.3">
      <c r="B457" s="266"/>
      <c r="C457" s="92" t="s">
        <v>207</v>
      </c>
      <c r="D457" s="92">
        <v>89.79</v>
      </c>
      <c r="E457" s="99">
        <v>73.38</v>
      </c>
      <c r="F457" s="108">
        <f>E457/25*9.81</f>
        <v>28.794312000000001</v>
      </c>
      <c r="G457" s="136">
        <v>56</v>
      </c>
      <c r="H457" s="237">
        <f>G457/25*9.81</f>
        <v>21.974400000000003</v>
      </c>
      <c r="I457" s="99">
        <v>87</v>
      </c>
      <c r="J457" s="142">
        <f>I457/25*9.81</f>
        <v>34.138800000000003</v>
      </c>
      <c r="K457" s="100">
        <v>0</v>
      </c>
      <c r="L457" s="130">
        <v>1</v>
      </c>
      <c r="M457" s="130">
        <v>0</v>
      </c>
      <c r="N457" s="96" t="s">
        <v>208</v>
      </c>
    </row>
    <row r="458" spans="1:16" x14ac:dyDescent="0.3">
      <c r="B458" s="266"/>
      <c r="C458" s="92" t="s">
        <v>211</v>
      </c>
      <c r="D458" s="233">
        <v>24.84</v>
      </c>
      <c r="E458" s="198">
        <v>159.37</v>
      </c>
      <c r="F458" s="234">
        <f>E458/25*9.81</f>
        <v>62.536788000000008</v>
      </c>
      <c r="G458" s="198">
        <v>143</v>
      </c>
      <c r="H458" s="234">
        <f>G458/25*9.81</f>
        <v>56.113199999999999</v>
      </c>
      <c r="I458" s="235">
        <v>172</v>
      </c>
      <c r="J458" s="236">
        <f>I458/25*9.81</f>
        <v>67.492800000000003</v>
      </c>
      <c r="K458" s="100">
        <v>0</v>
      </c>
      <c r="L458" s="130">
        <v>1</v>
      </c>
      <c r="M458" s="130">
        <v>0</v>
      </c>
      <c r="N458" s="96" t="s">
        <v>208</v>
      </c>
      <c r="P458" s="230"/>
    </row>
    <row r="459" spans="1:16" ht="15" thickBot="1" x14ac:dyDescent="0.35">
      <c r="B459" s="267"/>
      <c r="C459" s="103" t="s">
        <v>211</v>
      </c>
      <c r="D459" s="103">
        <v>88.96</v>
      </c>
      <c r="E459" s="104">
        <v>72.3</v>
      </c>
      <c r="F459" s="111">
        <f>E459/25*9.81</f>
        <v>28.370519999999999</v>
      </c>
      <c r="G459" s="143">
        <v>55</v>
      </c>
      <c r="H459" s="144">
        <f>G459/25*9.81</f>
        <v>21.582000000000004</v>
      </c>
      <c r="I459" s="104">
        <v>91</v>
      </c>
      <c r="J459" s="110">
        <f>I459/25*9.81</f>
        <v>35.708400000000005</v>
      </c>
      <c r="K459" s="106">
        <v>0</v>
      </c>
      <c r="L459" s="131">
        <v>1</v>
      </c>
      <c r="M459" s="131">
        <v>0</v>
      </c>
      <c r="N459" s="107" t="s">
        <v>208</v>
      </c>
    </row>
    <row r="460" spans="1:16" ht="15" thickBot="1" x14ac:dyDescent="0.35"/>
    <row r="461" spans="1:16" x14ac:dyDescent="0.3">
      <c r="B461" s="268" t="s">
        <v>184</v>
      </c>
      <c r="C461" s="269"/>
      <c r="D461" s="269"/>
      <c r="E461" s="269"/>
      <c r="F461" s="269"/>
      <c r="G461" s="269"/>
      <c r="H461" s="269"/>
      <c r="I461" s="269"/>
      <c r="J461" s="269"/>
      <c r="K461" s="269"/>
      <c r="L461" s="269"/>
      <c r="M461" s="269"/>
      <c r="N461" s="270"/>
    </row>
    <row r="462" spans="1:16" x14ac:dyDescent="0.3">
      <c r="A462" s="145" t="s">
        <v>365</v>
      </c>
      <c r="B462" s="271" t="s">
        <v>186</v>
      </c>
      <c r="C462" s="274"/>
      <c r="D462" s="275"/>
      <c r="E462" s="275"/>
      <c r="F462" s="275"/>
      <c r="G462" s="275"/>
      <c r="H462" s="275"/>
      <c r="I462" s="275"/>
      <c r="J462" s="276"/>
      <c r="K462" s="277" t="s">
        <v>187</v>
      </c>
      <c r="L462" s="278"/>
      <c r="M462" s="279"/>
      <c r="N462" s="280" t="s">
        <v>188</v>
      </c>
    </row>
    <row r="463" spans="1:16" x14ac:dyDescent="0.3">
      <c r="A463" s="145" t="s">
        <v>366</v>
      </c>
      <c r="B463" s="272"/>
      <c r="C463" s="283" t="s">
        <v>194</v>
      </c>
      <c r="D463" s="283" t="s">
        <v>41</v>
      </c>
      <c r="E463" s="88" t="s">
        <v>42</v>
      </c>
      <c r="F463" s="88" t="s">
        <v>43</v>
      </c>
      <c r="G463" s="88" t="s">
        <v>42</v>
      </c>
      <c r="H463" s="88" t="s">
        <v>43</v>
      </c>
      <c r="I463" s="88" t="s">
        <v>42</v>
      </c>
      <c r="J463" s="88" t="s">
        <v>43</v>
      </c>
      <c r="K463" s="285" t="s">
        <v>20</v>
      </c>
      <c r="L463" s="285" t="s">
        <v>195</v>
      </c>
      <c r="M463" s="285" t="s">
        <v>196</v>
      </c>
      <c r="N463" s="281"/>
    </row>
    <row r="464" spans="1:16" x14ac:dyDescent="0.3">
      <c r="A464" s="145">
        <v>23</v>
      </c>
      <c r="B464" s="273"/>
      <c r="C464" s="284"/>
      <c r="D464" s="284"/>
      <c r="E464" s="88" t="s">
        <v>200</v>
      </c>
      <c r="F464" s="88" t="s">
        <v>200</v>
      </c>
      <c r="G464" s="88" t="s">
        <v>201</v>
      </c>
      <c r="H464" s="88" t="s">
        <v>201</v>
      </c>
      <c r="I464" s="88" t="s">
        <v>202</v>
      </c>
      <c r="J464" s="88" t="s">
        <v>202</v>
      </c>
      <c r="K464" s="286"/>
      <c r="L464" s="286"/>
      <c r="M464" s="286"/>
      <c r="N464" s="282"/>
    </row>
    <row r="465" spans="1:16" x14ac:dyDescent="0.3">
      <c r="B465" s="265" t="s">
        <v>283</v>
      </c>
      <c r="C465" s="92" t="s">
        <v>207</v>
      </c>
      <c r="D465" s="93">
        <v>22.71</v>
      </c>
      <c r="E465" s="93">
        <v>127.34</v>
      </c>
      <c r="F465" s="108">
        <f>E465/25*9.81</f>
        <v>49.968216000000005</v>
      </c>
      <c r="G465" s="93">
        <v>69</v>
      </c>
      <c r="H465" s="108">
        <f>G465/25*9.81</f>
        <v>27.075599999999998</v>
      </c>
      <c r="I465" s="93">
        <v>167</v>
      </c>
      <c r="J465" s="109">
        <f>I465/25*9.81</f>
        <v>65.530799999999999</v>
      </c>
      <c r="K465" s="95">
        <v>0</v>
      </c>
      <c r="L465" s="113">
        <v>0.9</v>
      </c>
      <c r="M465" s="113">
        <v>0.1</v>
      </c>
      <c r="N465" s="96" t="s">
        <v>233</v>
      </c>
      <c r="P465" s="112" t="s">
        <v>417</v>
      </c>
    </row>
    <row r="466" spans="1:16" x14ac:dyDescent="0.3">
      <c r="B466" s="266"/>
      <c r="C466" s="92" t="s">
        <v>207</v>
      </c>
      <c r="D466" s="92">
        <v>88.99</v>
      </c>
      <c r="E466" s="99">
        <v>68.650000000000006</v>
      </c>
      <c r="F466" s="108">
        <f>E466/25*9.81</f>
        <v>26.938260000000007</v>
      </c>
      <c r="G466" s="136">
        <v>62</v>
      </c>
      <c r="H466" s="237">
        <f>G466/25*9.81</f>
        <v>24.328800000000001</v>
      </c>
      <c r="I466" s="99">
        <v>77</v>
      </c>
      <c r="J466" s="142">
        <f>I466/25*9.81</f>
        <v>30.214800000000004</v>
      </c>
      <c r="K466" s="100">
        <v>0</v>
      </c>
      <c r="L466" s="130">
        <v>1</v>
      </c>
      <c r="M466" s="130">
        <v>0</v>
      </c>
      <c r="N466" s="96" t="s">
        <v>208</v>
      </c>
      <c r="P466" s="112" t="s">
        <v>418</v>
      </c>
    </row>
    <row r="467" spans="1:16" x14ac:dyDescent="0.3">
      <c r="B467" s="266"/>
      <c r="C467" s="92" t="s">
        <v>211</v>
      </c>
      <c r="D467" s="233">
        <v>24.92</v>
      </c>
      <c r="E467" s="198">
        <v>130.4</v>
      </c>
      <c r="F467" s="234">
        <f>E467/25*9.81</f>
        <v>51.168960000000006</v>
      </c>
      <c r="G467" s="198">
        <v>61</v>
      </c>
      <c r="H467" s="234">
        <f>G467/25*9.81</f>
        <v>23.936399999999999</v>
      </c>
      <c r="I467" s="235">
        <v>196</v>
      </c>
      <c r="J467" s="236">
        <f>I467/25*9.81</f>
        <v>76.910399999999996</v>
      </c>
      <c r="K467" s="100">
        <v>0</v>
      </c>
      <c r="L467" s="113">
        <v>0.9</v>
      </c>
      <c r="M467" s="113">
        <v>0.1</v>
      </c>
      <c r="N467" s="96" t="s">
        <v>233</v>
      </c>
      <c r="P467" s="230"/>
    </row>
    <row r="468" spans="1:16" ht="15" thickBot="1" x14ac:dyDescent="0.35">
      <c r="B468" s="267"/>
      <c r="C468" s="103" t="s">
        <v>211</v>
      </c>
      <c r="D468" s="103">
        <v>88.82</v>
      </c>
      <c r="E468" s="104">
        <v>85.54</v>
      </c>
      <c r="F468" s="111">
        <f>E468/25*9.81</f>
        <v>33.565896000000002</v>
      </c>
      <c r="G468" s="143">
        <v>75</v>
      </c>
      <c r="H468" s="144">
        <f>G468/25*9.81</f>
        <v>29.43</v>
      </c>
      <c r="I468" s="104">
        <v>96</v>
      </c>
      <c r="J468" s="110">
        <f>I468/25*9.81</f>
        <v>37.670400000000001</v>
      </c>
      <c r="K468" s="106">
        <v>0</v>
      </c>
      <c r="L468" s="131">
        <v>1</v>
      </c>
      <c r="M468" s="131">
        <v>0</v>
      </c>
      <c r="N468" s="107" t="s">
        <v>208</v>
      </c>
    </row>
    <row r="469" spans="1:16" ht="15" thickBot="1" x14ac:dyDescent="0.35"/>
    <row r="470" spans="1:16" x14ac:dyDescent="0.3">
      <c r="B470" s="268" t="s">
        <v>184</v>
      </c>
      <c r="C470" s="269"/>
      <c r="D470" s="269"/>
      <c r="E470" s="269"/>
      <c r="F470" s="269"/>
      <c r="G470" s="269"/>
      <c r="H470" s="269"/>
      <c r="I470" s="269"/>
      <c r="J470" s="269"/>
      <c r="K470" s="269"/>
      <c r="L470" s="269"/>
      <c r="M470" s="269"/>
      <c r="N470" s="270"/>
    </row>
    <row r="471" spans="1:16" x14ac:dyDescent="0.3">
      <c r="A471" s="145" t="s">
        <v>365</v>
      </c>
      <c r="B471" s="271" t="s">
        <v>186</v>
      </c>
      <c r="C471" s="274"/>
      <c r="D471" s="275"/>
      <c r="E471" s="275"/>
      <c r="F471" s="275"/>
      <c r="G471" s="275"/>
      <c r="H471" s="275"/>
      <c r="I471" s="275"/>
      <c r="J471" s="276"/>
      <c r="K471" s="277" t="s">
        <v>187</v>
      </c>
      <c r="L471" s="278"/>
      <c r="M471" s="279"/>
      <c r="N471" s="280" t="s">
        <v>188</v>
      </c>
    </row>
    <row r="472" spans="1:16" x14ac:dyDescent="0.3">
      <c r="A472" s="145" t="s">
        <v>366</v>
      </c>
      <c r="B472" s="272"/>
      <c r="C472" s="283" t="s">
        <v>194</v>
      </c>
      <c r="D472" s="283" t="s">
        <v>41</v>
      </c>
      <c r="E472" s="88" t="s">
        <v>42</v>
      </c>
      <c r="F472" s="88" t="s">
        <v>43</v>
      </c>
      <c r="G472" s="88" t="s">
        <v>42</v>
      </c>
      <c r="H472" s="88" t="s">
        <v>43</v>
      </c>
      <c r="I472" s="88" t="s">
        <v>42</v>
      </c>
      <c r="J472" s="88" t="s">
        <v>43</v>
      </c>
      <c r="K472" s="285" t="s">
        <v>20</v>
      </c>
      <c r="L472" s="285" t="s">
        <v>195</v>
      </c>
      <c r="M472" s="285" t="s">
        <v>196</v>
      </c>
      <c r="N472" s="281"/>
    </row>
    <row r="473" spans="1:16" x14ac:dyDescent="0.3">
      <c r="A473" s="145">
        <v>24</v>
      </c>
      <c r="B473" s="273"/>
      <c r="C473" s="284"/>
      <c r="D473" s="284"/>
      <c r="E473" s="88" t="s">
        <v>200</v>
      </c>
      <c r="F473" s="88" t="s">
        <v>200</v>
      </c>
      <c r="G473" s="88" t="s">
        <v>201</v>
      </c>
      <c r="H473" s="88" t="s">
        <v>201</v>
      </c>
      <c r="I473" s="88" t="s">
        <v>202</v>
      </c>
      <c r="J473" s="88" t="s">
        <v>202</v>
      </c>
      <c r="K473" s="286"/>
      <c r="L473" s="286"/>
      <c r="M473" s="286"/>
      <c r="N473" s="282"/>
    </row>
    <row r="474" spans="1:16" x14ac:dyDescent="0.3">
      <c r="B474" s="265" t="s">
        <v>280</v>
      </c>
      <c r="C474" s="92" t="s">
        <v>207</v>
      </c>
      <c r="D474" s="93">
        <v>23.34</v>
      </c>
      <c r="E474" s="93">
        <v>126.45</v>
      </c>
      <c r="F474" s="108">
        <f>E474/25*9.81</f>
        <v>49.618980000000001</v>
      </c>
      <c r="G474" s="93">
        <v>118</v>
      </c>
      <c r="H474" s="108">
        <f>G474/25*9.81</f>
        <v>46.303199999999997</v>
      </c>
      <c r="I474" s="93">
        <v>140</v>
      </c>
      <c r="J474" s="109">
        <f>I474/25*9.81</f>
        <v>54.936</v>
      </c>
      <c r="K474" s="95">
        <v>0</v>
      </c>
      <c r="L474" s="130">
        <v>1</v>
      </c>
      <c r="M474" s="130">
        <v>0</v>
      </c>
      <c r="N474" s="96" t="s">
        <v>208</v>
      </c>
      <c r="P474" s="112" t="s">
        <v>417</v>
      </c>
    </row>
    <row r="475" spans="1:16" x14ac:dyDescent="0.3">
      <c r="B475" s="266"/>
      <c r="C475" s="92" t="s">
        <v>207</v>
      </c>
      <c r="D475" s="92">
        <v>89.32</v>
      </c>
      <c r="E475" s="99">
        <v>78.47</v>
      </c>
      <c r="F475" s="108">
        <f>E475/25*9.81</f>
        <v>30.791627999999999</v>
      </c>
      <c r="G475" s="136">
        <v>71</v>
      </c>
      <c r="H475" s="237">
        <f>G475/25*9.81</f>
        <v>27.860399999999998</v>
      </c>
      <c r="I475" s="99">
        <v>87</v>
      </c>
      <c r="J475" s="142">
        <f>I475/25*9.81</f>
        <v>34.138800000000003</v>
      </c>
      <c r="K475" s="100">
        <v>0</v>
      </c>
      <c r="L475" s="130">
        <v>1</v>
      </c>
      <c r="M475" s="130">
        <v>0</v>
      </c>
      <c r="N475" s="96" t="s">
        <v>208</v>
      </c>
      <c r="P475" s="112" t="s">
        <v>418</v>
      </c>
    </row>
    <row r="476" spans="1:16" x14ac:dyDescent="0.3">
      <c r="B476" s="266"/>
      <c r="C476" s="92" t="s">
        <v>211</v>
      </c>
      <c r="D476" s="233">
        <v>23.65</v>
      </c>
      <c r="E476" s="198">
        <v>131.31</v>
      </c>
      <c r="F476" s="234">
        <f>E476/25*9.81</f>
        <v>51.526043999999999</v>
      </c>
      <c r="G476" s="198">
        <v>109</v>
      </c>
      <c r="H476" s="234">
        <f>G476/25*9.81</f>
        <v>42.771600000000007</v>
      </c>
      <c r="I476" s="235">
        <v>151</v>
      </c>
      <c r="J476" s="236">
        <f>I476/25*9.81</f>
        <v>59.252400000000002</v>
      </c>
      <c r="K476" s="100">
        <v>0</v>
      </c>
      <c r="L476" s="130">
        <v>1</v>
      </c>
      <c r="M476" s="130">
        <v>0</v>
      </c>
      <c r="N476" s="96" t="s">
        <v>208</v>
      </c>
      <c r="P476" s="230"/>
    </row>
    <row r="477" spans="1:16" ht="15" thickBot="1" x14ac:dyDescent="0.35">
      <c r="B477" s="267"/>
      <c r="C477" s="103" t="s">
        <v>211</v>
      </c>
      <c r="D477" s="103">
        <v>89.29</v>
      </c>
      <c r="E477" s="104">
        <v>85.66</v>
      </c>
      <c r="F477" s="111">
        <f>E477/25*9.81</f>
        <v>33.612983999999997</v>
      </c>
      <c r="G477" s="143">
        <v>79</v>
      </c>
      <c r="H477" s="144">
        <f>G477/25*9.81</f>
        <v>30.999600000000004</v>
      </c>
      <c r="I477" s="104">
        <v>94</v>
      </c>
      <c r="J477" s="110">
        <f>I477/25*9.81</f>
        <v>36.885599999999997</v>
      </c>
      <c r="K477" s="106">
        <v>0</v>
      </c>
      <c r="L477" s="131">
        <v>1</v>
      </c>
      <c r="M477" s="131">
        <v>0</v>
      </c>
      <c r="N477" s="107" t="s">
        <v>208</v>
      </c>
    </row>
    <row r="478" spans="1:16" ht="15" thickBot="1" x14ac:dyDescent="0.35"/>
    <row r="479" spans="1:16" x14ac:dyDescent="0.3">
      <c r="B479" s="268" t="s">
        <v>184</v>
      </c>
      <c r="C479" s="269"/>
      <c r="D479" s="269"/>
      <c r="E479" s="269"/>
      <c r="F479" s="269"/>
      <c r="G479" s="269"/>
      <c r="H479" s="269"/>
      <c r="I479" s="269"/>
      <c r="J479" s="269"/>
      <c r="K479" s="269"/>
      <c r="L479" s="269"/>
      <c r="M479" s="269"/>
      <c r="N479" s="270"/>
    </row>
    <row r="480" spans="1:16" x14ac:dyDescent="0.3">
      <c r="A480" s="145" t="s">
        <v>365</v>
      </c>
      <c r="B480" s="271" t="s">
        <v>186</v>
      </c>
      <c r="C480" s="274"/>
      <c r="D480" s="275"/>
      <c r="E480" s="275"/>
      <c r="F480" s="275"/>
      <c r="G480" s="275"/>
      <c r="H480" s="275"/>
      <c r="I480" s="275"/>
      <c r="J480" s="276"/>
      <c r="K480" s="277" t="s">
        <v>187</v>
      </c>
      <c r="L480" s="278"/>
      <c r="M480" s="279"/>
      <c r="N480" s="280" t="s">
        <v>188</v>
      </c>
    </row>
    <row r="481" spans="1:16" x14ac:dyDescent="0.3">
      <c r="A481" s="145" t="s">
        <v>366</v>
      </c>
      <c r="B481" s="272"/>
      <c r="C481" s="283" t="s">
        <v>194</v>
      </c>
      <c r="D481" s="283" t="s">
        <v>41</v>
      </c>
      <c r="E481" s="88" t="s">
        <v>42</v>
      </c>
      <c r="F481" s="88" t="s">
        <v>43</v>
      </c>
      <c r="G481" s="88" t="s">
        <v>42</v>
      </c>
      <c r="H481" s="88" t="s">
        <v>43</v>
      </c>
      <c r="I481" s="88" t="s">
        <v>42</v>
      </c>
      <c r="J481" s="88" t="s">
        <v>43</v>
      </c>
      <c r="K481" s="285" t="s">
        <v>20</v>
      </c>
      <c r="L481" s="285" t="s">
        <v>195</v>
      </c>
      <c r="M481" s="285" t="s">
        <v>196</v>
      </c>
      <c r="N481" s="281"/>
    </row>
    <row r="482" spans="1:16" x14ac:dyDescent="0.3">
      <c r="A482" s="145">
        <v>25</v>
      </c>
      <c r="B482" s="273"/>
      <c r="C482" s="284"/>
      <c r="D482" s="284"/>
      <c r="E482" s="88" t="s">
        <v>200</v>
      </c>
      <c r="F482" s="88" t="s">
        <v>200</v>
      </c>
      <c r="G482" s="88" t="s">
        <v>201</v>
      </c>
      <c r="H482" s="88" t="s">
        <v>201</v>
      </c>
      <c r="I482" s="88" t="s">
        <v>202</v>
      </c>
      <c r="J482" s="88" t="s">
        <v>202</v>
      </c>
      <c r="K482" s="286"/>
      <c r="L482" s="286"/>
      <c r="M482" s="286"/>
      <c r="N482" s="282"/>
    </row>
    <row r="483" spans="1:16" x14ac:dyDescent="0.3">
      <c r="B483" s="265" t="s">
        <v>286</v>
      </c>
      <c r="C483" s="92" t="s">
        <v>207</v>
      </c>
      <c r="D483" s="93">
        <v>24.45</v>
      </c>
      <c r="E483" s="93">
        <v>121.23</v>
      </c>
      <c r="F483" s="108">
        <f>E483/25*9.81</f>
        <v>47.570652000000003</v>
      </c>
      <c r="G483" s="93">
        <v>102</v>
      </c>
      <c r="H483" s="108">
        <f>G483/25*9.81</f>
        <v>40.024800000000006</v>
      </c>
      <c r="I483" s="93">
        <v>177</v>
      </c>
      <c r="J483" s="109">
        <f>I483/25*9.81</f>
        <v>69.454800000000006</v>
      </c>
      <c r="K483" s="95">
        <v>0</v>
      </c>
      <c r="L483" s="130">
        <v>1</v>
      </c>
      <c r="M483" s="130">
        <v>0</v>
      </c>
      <c r="N483" s="96" t="s">
        <v>208</v>
      </c>
      <c r="P483" s="112"/>
    </row>
    <row r="484" spans="1:16" x14ac:dyDescent="0.3">
      <c r="B484" s="266"/>
      <c r="C484" s="92" t="s">
        <v>207</v>
      </c>
      <c r="D484" s="108">
        <v>89.1</v>
      </c>
      <c r="E484" s="99">
        <v>80.84</v>
      </c>
      <c r="F484" s="108">
        <f>E484/25*9.81</f>
        <v>31.721616000000001</v>
      </c>
      <c r="G484" s="136">
        <v>70</v>
      </c>
      <c r="H484" s="237">
        <f>G484/25*9.81</f>
        <v>27.468</v>
      </c>
      <c r="I484" s="99">
        <v>91</v>
      </c>
      <c r="J484" s="142">
        <f>I484/25*9.81</f>
        <v>35.708400000000005</v>
      </c>
      <c r="K484" s="100">
        <v>0</v>
      </c>
      <c r="L484" s="130">
        <v>1</v>
      </c>
      <c r="M484" s="130">
        <v>0</v>
      </c>
      <c r="N484" s="96" t="s">
        <v>208</v>
      </c>
      <c r="P484" s="112" t="s">
        <v>418</v>
      </c>
    </row>
    <row r="485" spans="1:16" x14ac:dyDescent="0.3">
      <c r="B485" s="266"/>
      <c r="C485" s="92" t="s">
        <v>211</v>
      </c>
      <c r="D485" s="233">
        <v>23.9</v>
      </c>
      <c r="E485" s="198">
        <v>148.22</v>
      </c>
      <c r="F485" s="234">
        <f>E485/25*9.81</f>
        <v>58.161528000000004</v>
      </c>
      <c r="G485" s="198">
        <v>138</v>
      </c>
      <c r="H485" s="234">
        <f>G485/25*9.81</f>
        <v>54.151199999999996</v>
      </c>
      <c r="I485" s="235">
        <v>162</v>
      </c>
      <c r="J485" s="236">
        <f>I485/25*9.81</f>
        <v>63.56880000000001</v>
      </c>
      <c r="K485" s="100">
        <v>0</v>
      </c>
      <c r="L485" s="130">
        <v>1</v>
      </c>
      <c r="M485" s="130">
        <v>0</v>
      </c>
      <c r="N485" s="96" t="s">
        <v>208</v>
      </c>
      <c r="P485" s="230"/>
    </row>
    <row r="486" spans="1:16" ht="15" thickBot="1" x14ac:dyDescent="0.35">
      <c r="B486" s="267"/>
      <c r="C486" s="103" t="s">
        <v>211</v>
      </c>
      <c r="D486" s="103">
        <v>89.27</v>
      </c>
      <c r="E486" s="104">
        <v>86.02</v>
      </c>
      <c r="F486" s="111">
        <f>E486/25*9.81</f>
        <v>33.754247999999997</v>
      </c>
      <c r="G486" s="143">
        <v>72</v>
      </c>
      <c r="H486" s="144">
        <f>G486/25*9.81</f>
        <v>28.252800000000001</v>
      </c>
      <c r="I486" s="104">
        <v>97</v>
      </c>
      <c r="J486" s="110">
        <f>I486/25*9.81</f>
        <v>38.062800000000003</v>
      </c>
      <c r="K486" s="106">
        <v>0</v>
      </c>
      <c r="L486" s="131">
        <v>1</v>
      </c>
      <c r="M486" s="131">
        <v>0</v>
      </c>
      <c r="N486" s="107" t="s">
        <v>208</v>
      </c>
    </row>
    <row r="487" spans="1:16" ht="15" thickBot="1" x14ac:dyDescent="0.35"/>
    <row r="488" spans="1:16" x14ac:dyDescent="0.3">
      <c r="B488" s="268" t="s">
        <v>184</v>
      </c>
      <c r="C488" s="269"/>
      <c r="D488" s="269"/>
      <c r="E488" s="269"/>
      <c r="F488" s="269"/>
      <c r="G488" s="269"/>
      <c r="H488" s="269"/>
      <c r="I488" s="269"/>
      <c r="J488" s="269"/>
      <c r="K488" s="269"/>
      <c r="L488" s="269"/>
      <c r="M488" s="269"/>
      <c r="N488" s="270"/>
    </row>
    <row r="489" spans="1:16" x14ac:dyDescent="0.3">
      <c r="A489" s="145" t="s">
        <v>365</v>
      </c>
      <c r="B489" s="271" t="s">
        <v>186</v>
      </c>
      <c r="C489" s="274"/>
      <c r="D489" s="275"/>
      <c r="E489" s="275"/>
      <c r="F489" s="275"/>
      <c r="G489" s="275"/>
      <c r="H489" s="275"/>
      <c r="I489" s="275"/>
      <c r="J489" s="276"/>
      <c r="K489" s="277" t="s">
        <v>187</v>
      </c>
      <c r="L489" s="278"/>
      <c r="M489" s="279"/>
      <c r="N489" s="280" t="s">
        <v>188</v>
      </c>
    </row>
    <row r="490" spans="1:16" x14ac:dyDescent="0.3">
      <c r="A490" s="145" t="s">
        <v>366</v>
      </c>
      <c r="B490" s="272"/>
      <c r="C490" s="283" t="s">
        <v>194</v>
      </c>
      <c r="D490" s="283" t="s">
        <v>41</v>
      </c>
      <c r="E490" s="88" t="s">
        <v>42</v>
      </c>
      <c r="F490" s="88" t="s">
        <v>43</v>
      </c>
      <c r="G490" s="88" t="s">
        <v>42</v>
      </c>
      <c r="H490" s="88" t="s">
        <v>43</v>
      </c>
      <c r="I490" s="88" t="s">
        <v>42</v>
      </c>
      <c r="J490" s="88" t="s">
        <v>43</v>
      </c>
      <c r="K490" s="285" t="s">
        <v>20</v>
      </c>
      <c r="L490" s="285" t="s">
        <v>195</v>
      </c>
      <c r="M490" s="285" t="s">
        <v>196</v>
      </c>
      <c r="N490" s="281"/>
    </row>
    <row r="491" spans="1:16" x14ac:dyDescent="0.3">
      <c r="A491" s="145">
        <v>26</v>
      </c>
      <c r="B491" s="273"/>
      <c r="C491" s="284"/>
      <c r="D491" s="284"/>
      <c r="E491" s="88" t="s">
        <v>200</v>
      </c>
      <c r="F491" s="88" t="s">
        <v>200</v>
      </c>
      <c r="G491" s="88" t="s">
        <v>201</v>
      </c>
      <c r="H491" s="88" t="s">
        <v>201</v>
      </c>
      <c r="I491" s="88" t="s">
        <v>202</v>
      </c>
      <c r="J491" s="88" t="s">
        <v>202</v>
      </c>
      <c r="K491" s="286"/>
      <c r="L491" s="286"/>
      <c r="M491" s="286"/>
      <c r="N491" s="282"/>
    </row>
    <row r="492" spans="1:16" x14ac:dyDescent="0.3">
      <c r="B492" s="265" t="s">
        <v>287</v>
      </c>
      <c r="C492" s="92" t="s">
        <v>207</v>
      </c>
      <c r="D492" s="233">
        <v>24.15</v>
      </c>
      <c r="E492" s="198">
        <v>160.86000000000001</v>
      </c>
      <c r="F492" s="234">
        <f>E492/25*9.81</f>
        <v>63.121464000000003</v>
      </c>
      <c r="G492" s="198">
        <v>87</v>
      </c>
      <c r="H492" s="234">
        <f>G492/25*9.81</f>
        <v>34.138800000000003</v>
      </c>
      <c r="I492" s="235">
        <v>208</v>
      </c>
      <c r="J492" s="236">
        <f>I492/25*9.81</f>
        <v>81.619200000000006</v>
      </c>
      <c r="K492" s="95">
        <v>0</v>
      </c>
      <c r="L492" s="130">
        <v>1</v>
      </c>
      <c r="M492" s="130">
        <v>0</v>
      </c>
      <c r="N492" s="96" t="s">
        <v>208</v>
      </c>
      <c r="P492" s="112"/>
    </row>
    <row r="493" spans="1:16" x14ac:dyDescent="0.3">
      <c r="B493" s="266"/>
      <c r="C493" s="92" t="s">
        <v>207</v>
      </c>
      <c r="D493" s="99">
        <v>89.49</v>
      </c>
      <c r="E493" s="93">
        <v>97.08</v>
      </c>
      <c r="F493" s="108">
        <f>E493/25*9.81</f>
        <v>38.094192</v>
      </c>
      <c r="G493" s="93">
        <v>85</v>
      </c>
      <c r="H493" s="108">
        <f>G493/25*9.81</f>
        <v>33.353999999999999</v>
      </c>
      <c r="I493" s="102">
        <v>106</v>
      </c>
      <c r="J493" s="109">
        <f>I493/25*9.81</f>
        <v>41.594400000000007</v>
      </c>
      <c r="K493" s="100">
        <v>0</v>
      </c>
      <c r="L493" s="130">
        <v>1</v>
      </c>
      <c r="M493" s="130">
        <v>0</v>
      </c>
      <c r="N493" s="96" t="s">
        <v>208</v>
      </c>
      <c r="P493" s="112" t="s">
        <v>418</v>
      </c>
    </row>
    <row r="494" spans="1:16" x14ac:dyDescent="0.3">
      <c r="B494" s="266"/>
      <c r="C494" s="92" t="s">
        <v>211</v>
      </c>
      <c r="D494" s="261">
        <v>25.4</v>
      </c>
      <c r="E494" s="198">
        <v>190.81</v>
      </c>
      <c r="F494" s="234">
        <f>E494/25*9.81</f>
        <v>74.873844000000005</v>
      </c>
      <c r="G494" s="198">
        <v>159</v>
      </c>
      <c r="H494" s="234">
        <f>G494/25*9.81</f>
        <v>62.391600000000004</v>
      </c>
      <c r="I494" s="235">
        <v>210</v>
      </c>
      <c r="J494" s="236">
        <f>I494/25*9.81</f>
        <v>82.404000000000011</v>
      </c>
      <c r="K494" s="100">
        <v>0</v>
      </c>
      <c r="L494" s="113">
        <v>0.9</v>
      </c>
      <c r="M494" s="113">
        <v>0.1</v>
      </c>
      <c r="N494" s="96" t="s">
        <v>233</v>
      </c>
      <c r="P494" s="230"/>
    </row>
    <row r="495" spans="1:16" ht="15" thickBot="1" x14ac:dyDescent="0.35">
      <c r="B495" s="267"/>
      <c r="C495" s="103" t="s">
        <v>211</v>
      </c>
      <c r="D495" s="110">
        <v>89.4</v>
      </c>
      <c r="E495" s="105">
        <v>93.7</v>
      </c>
      <c r="F495" s="111">
        <f>E495/25*9.81</f>
        <v>36.767880000000005</v>
      </c>
      <c r="G495" s="259">
        <v>80</v>
      </c>
      <c r="H495" s="111">
        <f>G495/25*9.81</f>
        <v>31.392000000000003</v>
      </c>
      <c r="I495" s="125">
        <v>102</v>
      </c>
      <c r="J495" s="126">
        <f>I495/25*9.81</f>
        <v>40.024800000000006</v>
      </c>
      <c r="K495" s="106">
        <v>0</v>
      </c>
      <c r="L495" s="131">
        <v>1</v>
      </c>
      <c r="M495" s="131">
        <v>0</v>
      </c>
      <c r="N495" s="107" t="s">
        <v>208</v>
      </c>
    </row>
    <row r="496" spans="1:16" ht="15" thickBot="1" x14ac:dyDescent="0.35"/>
    <row r="497" spans="1:16" x14ac:dyDescent="0.3">
      <c r="B497" s="268" t="s">
        <v>184</v>
      </c>
      <c r="C497" s="269"/>
      <c r="D497" s="269"/>
      <c r="E497" s="269"/>
      <c r="F497" s="269"/>
      <c r="G497" s="269"/>
      <c r="H497" s="269"/>
      <c r="I497" s="269"/>
      <c r="J497" s="269"/>
      <c r="K497" s="269"/>
      <c r="L497" s="269"/>
      <c r="M497" s="269"/>
      <c r="N497" s="270"/>
    </row>
    <row r="498" spans="1:16" x14ac:dyDescent="0.3">
      <c r="A498" s="145" t="s">
        <v>365</v>
      </c>
      <c r="B498" s="271" t="s">
        <v>186</v>
      </c>
      <c r="C498" s="274"/>
      <c r="D498" s="275"/>
      <c r="E498" s="275"/>
      <c r="F498" s="275"/>
      <c r="G498" s="275"/>
      <c r="H498" s="275"/>
      <c r="I498" s="275"/>
      <c r="J498" s="276"/>
      <c r="K498" s="277" t="s">
        <v>187</v>
      </c>
      <c r="L498" s="278"/>
      <c r="M498" s="279"/>
      <c r="N498" s="280" t="s">
        <v>188</v>
      </c>
    </row>
    <row r="499" spans="1:16" x14ac:dyDescent="0.3">
      <c r="A499" s="145" t="s">
        <v>366</v>
      </c>
      <c r="B499" s="272"/>
      <c r="C499" s="283" t="s">
        <v>194</v>
      </c>
      <c r="D499" s="283" t="s">
        <v>41</v>
      </c>
      <c r="E499" s="88" t="s">
        <v>42</v>
      </c>
      <c r="F499" s="88" t="s">
        <v>43</v>
      </c>
      <c r="G499" s="88" t="s">
        <v>42</v>
      </c>
      <c r="H499" s="88" t="s">
        <v>43</v>
      </c>
      <c r="I499" s="88" t="s">
        <v>42</v>
      </c>
      <c r="J499" s="88" t="s">
        <v>43</v>
      </c>
      <c r="K499" s="285" t="s">
        <v>20</v>
      </c>
      <c r="L499" s="285" t="s">
        <v>195</v>
      </c>
      <c r="M499" s="285" t="s">
        <v>196</v>
      </c>
      <c r="N499" s="281"/>
    </row>
    <row r="500" spans="1:16" x14ac:dyDescent="0.3">
      <c r="A500" s="145">
        <v>27</v>
      </c>
      <c r="B500" s="273"/>
      <c r="C500" s="284"/>
      <c r="D500" s="284"/>
      <c r="E500" s="88" t="s">
        <v>200</v>
      </c>
      <c r="F500" s="88" t="s">
        <v>200</v>
      </c>
      <c r="G500" s="88" t="s">
        <v>201</v>
      </c>
      <c r="H500" s="88" t="s">
        <v>201</v>
      </c>
      <c r="I500" s="88" t="s">
        <v>202</v>
      </c>
      <c r="J500" s="88" t="s">
        <v>202</v>
      </c>
      <c r="K500" s="286"/>
      <c r="L500" s="286"/>
      <c r="M500" s="286"/>
      <c r="N500" s="282"/>
    </row>
    <row r="501" spans="1:16" x14ac:dyDescent="0.3">
      <c r="B501" s="265" t="s">
        <v>281</v>
      </c>
      <c r="C501" s="92" t="s">
        <v>207</v>
      </c>
      <c r="D501" s="233">
        <v>23.11</v>
      </c>
      <c r="E501" s="198">
        <v>134.12</v>
      </c>
      <c r="F501" s="234">
        <f>E501/25*9.81</f>
        <v>52.628688000000004</v>
      </c>
      <c r="G501" s="198">
        <v>58</v>
      </c>
      <c r="H501" s="234">
        <f>G501/25*9.81</f>
        <v>22.7592</v>
      </c>
      <c r="I501" s="235">
        <v>221</v>
      </c>
      <c r="J501" s="236">
        <f>I501/25*9.81</f>
        <v>86.720399999999998</v>
      </c>
      <c r="K501" s="95">
        <v>0</v>
      </c>
      <c r="L501" s="113">
        <v>0.9</v>
      </c>
      <c r="M501" s="113">
        <v>0.1</v>
      </c>
      <c r="N501" s="96" t="s">
        <v>233</v>
      </c>
      <c r="P501" s="112"/>
    </row>
    <row r="502" spans="1:16" x14ac:dyDescent="0.3">
      <c r="B502" s="266"/>
      <c r="C502" s="92" t="s">
        <v>207</v>
      </c>
      <c r="D502" s="99">
        <v>88.21</v>
      </c>
      <c r="E502" s="93">
        <v>80.540000000000006</v>
      </c>
      <c r="F502" s="108">
        <f>E502/25*9.81</f>
        <v>31.603896000000006</v>
      </c>
      <c r="G502" s="93">
        <v>64</v>
      </c>
      <c r="H502" s="108">
        <f>G502/25*9.81</f>
        <v>25.113600000000002</v>
      </c>
      <c r="I502" s="102">
        <v>97</v>
      </c>
      <c r="J502" s="109">
        <f>I502/25*9.81</f>
        <v>38.062800000000003</v>
      </c>
      <c r="K502" s="100">
        <v>0</v>
      </c>
      <c r="L502" s="130">
        <v>1</v>
      </c>
      <c r="M502" s="130">
        <v>0</v>
      </c>
      <c r="N502" s="96" t="s">
        <v>208</v>
      </c>
      <c r="P502" s="112" t="s">
        <v>418</v>
      </c>
    </row>
    <row r="503" spans="1:16" x14ac:dyDescent="0.3">
      <c r="B503" s="266"/>
      <c r="C503" s="92" t="s">
        <v>211</v>
      </c>
      <c r="D503" s="261">
        <v>22.16</v>
      </c>
      <c r="E503" s="198">
        <v>133.54</v>
      </c>
      <c r="F503" s="234">
        <f>E503/25*9.81</f>
        <v>52.401096000000003</v>
      </c>
      <c r="G503" s="198">
        <v>106</v>
      </c>
      <c r="H503" s="234">
        <f>G503/25*9.81</f>
        <v>41.594400000000007</v>
      </c>
      <c r="I503" s="235">
        <v>153</v>
      </c>
      <c r="J503" s="236">
        <f>I503/25*9.81</f>
        <v>60.037200000000006</v>
      </c>
      <c r="K503" s="100">
        <v>0</v>
      </c>
      <c r="L503" s="130">
        <v>1</v>
      </c>
      <c r="M503" s="130">
        <v>0</v>
      </c>
      <c r="N503" s="96" t="s">
        <v>208</v>
      </c>
      <c r="P503" s="230"/>
    </row>
    <row r="504" spans="1:16" ht="15" thickBot="1" x14ac:dyDescent="0.35">
      <c r="B504" s="267"/>
      <c r="C504" s="103" t="s">
        <v>211</v>
      </c>
      <c r="D504" s="110">
        <v>89.19</v>
      </c>
      <c r="E504" s="105">
        <v>72.430000000000007</v>
      </c>
      <c r="F504" s="111">
        <f>E504/25*9.81</f>
        <v>28.421532000000003</v>
      </c>
      <c r="G504" s="259">
        <v>63</v>
      </c>
      <c r="H504" s="111">
        <f>G504/25*9.81</f>
        <v>24.721200000000003</v>
      </c>
      <c r="I504" s="125">
        <v>79</v>
      </c>
      <c r="J504" s="126">
        <f>I504/25*9.81</f>
        <v>30.999600000000004</v>
      </c>
      <c r="K504" s="106">
        <v>0</v>
      </c>
      <c r="L504" s="131">
        <v>1</v>
      </c>
      <c r="M504" s="131">
        <v>0</v>
      </c>
      <c r="N504" s="107" t="s">
        <v>208</v>
      </c>
    </row>
    <row r="505" spans="1:16" ht="15" thickBot="1" x14ac:dyDescent="0.35"/>
    <row r="506" spans="1:16" x14ac:dyDescent="0.3">
      <c r="B506" s="268" t="s">
        <v>184</v>
      </c>
      <c r="C506" s="269"/>
      <c r="D506" s="269"/>
      <c r="E506" s="269"/>
      <c r="F506" s="269"/>
      <c r="G506" s="269"/>
      <c r="H506" s="269"/>
      <c r="I506" s="269"/>
      <c r="J506" s="269"/>
      <c r="K506" s="269"/>
      <c r="L506" s="269"/>
      <c r="M506" s="269"/>
      <c r="N506" s="270"/>
    </row>
    <row r="507" spans="1:16" x14ac:dyDescent="0.3">
      <c r="A507" s="145" t="s">
        <v>365</v>
      </c>
      <c r="B507" s="271" t="s">
        <v>186</v>
      </c>
      <c r="C507" s="274"/>
      <c r="D507" s="275"/>
      <c r="E507" s="275"/>
      <c r="F507" s="275"/>
      <c r="G507" s="275"/>
      <c r="H507" s="275"/>
      <c r="I507" s="275"/>
      <c r="J507" s="276"/>
      <c r="K507" s="277" t="s">
        <v>187</v>
      </c>
      <c r="L507" s="278"/>
      <c r="M507" s="279"/>
      <c r="N507" s="280" t="s">
        <v>188</v>
      </c>
    </row>
    <row r="508" spans="1:16" x14ac:dyDescent="0.3">
      <c r="A508" s="145" t="s">
        <v>366</v>
      </c>
      <c r="B508" s="272"/>
      <c r="C508" s="283" t="s">
        <v>194</v>
      </c>
      <c r="D508" s="283" t="s">
        <v>41</v>
      </c>
      <c r="E508" s="88" t="s">
        <v>42</v>
      </c>
      <c r="F508" s="88" t="s">
        <v>43</v>
      </c>
      <c r="G508" s="88" t="s">
        <v>42</v>
      </c>
      <c r="H508" s="88" t="s">
        <v>43</v>
      </c>
      <c r="I508" s="88" t="s">
        <v>42</v>
      </c>
      <c r="J508" s="88" t="s">
        <v>43</v>
      </c>
      <c r="K508" s="285" t="s">
        <v>20</v>
      </c>
      <c r="L508" s="285" t="s">
        <v>195</v>
      </c>
      <c r="M508" s="285" t="s">
        <v>196</v>
      </c>
      <c r="N508" s="281"/>
    </row>
    <row r="509" spans="1:16" x14ac:dyDescent="0.3">
      <c r="A509" s="145">
        <v>28</v>
      </c>
      <c r="B509" s="273"/>
      <c r="C509" s="284"/>
      <c r="D509" s="284"/>
      <c r="E509" s="88" t="s">
        <v>200</v>
      </c>
      <c r="F509" s="88" t="s">
        <v>200</v>
      </c>
      <c r="G509" s="88" t="s">
        <v>201</v>
      </c>
      <c r="H509" s="88" t="s">
        <v>201</v>
      </c>
      <c r="I509" s="88" t="s">
        <v>202</v>
      </c>
      <c r="J509" s="88" t="s">
        <v>202</v>
      </c>
      <c r="K509" s="286"/>
      <c r="L509" s="286"/>
      <c r="M509" s="286"/>
      <c r="N509" s="282"/>
    </row>
    <row r="510" spans="1:16" x14ac:dyDescent="0.3">
      <c r="B510" s="265" t="s">
        <v>282</v>
      </c>
      <c r="C510" s="92" t="s">
        <v>207</v>
      </c>
      <c r="D510" s="261">
        <v>23.11</v>
      </c>
      <c r="E510" s="198">
        <v>133.55000000000001</v>
      </c>
      <c r="F510" s="234">
        <f>E510/25*9.81</f>
        <v>52.405020000000007</v>
      </c>
      <c r="G510" s="198">
        <v>88</v>
      </c>
      <c r="H510" s="234">
        <f>G510/25*9.81</f>
        <v>34.531200000000005</v>
      </c>
      <c r="I510" s="235">
        <v>213</v>
      </c>
      <c r="J510" s="236">
        <f>I510/25*9.81</f>
        <v>83.581199999999995</v>
      </c>
      <c r="K510" s="95">
        <v>0</v>
      </c>
      <c r="L510" s="113">
        <v>0.9</v>
      </c>
      <c r="M510" s="113">
        <v>0.1</v>
      </c>
      <c r="N510" s="96" t="s">
        <v>233</v>
      </c>
      <c r="P510" s="112"/>
    </row>
    <row r="511" spans="1:16" x14ac:dyDescent="0.3">
      <c r="B511" s="266"/>
      <c r="C511" s="92" t="s">
        <v>207</v>
      </c>
      <c r="D511" s="142">
        <v>89.1</v>
      </c>
      <c r="E511" s="94">
        <v>72.349999999999994</v>
      </c>
      <c r="F511" s="108">
        <f>E511/25*9.81</f>
        <v>28.390139999999999</v>
      </c>
      <c r="G511" s="93">
        <v>61</v>
      </c>
      <c r="H511" s="108">
        <f>G511/25*9.81</f>
        <v>23.936399999999999</v>
      </c>
      <c r="I511" s="102">
        <v>85</v>
      </c>
      <c r="J511" s="109">
        <f>I511/25*9.81</f>
        <v>33.353999999999999</v>
      </c>
      <c r="K511" s="100">
        <v>0</v>
      </c>
      <c r="L511" s="130">
        <v>1</v>
      </c>
      <c r="M511" s="130">
        <v>0</v>
      </c>
      <c r="N511" s="96" t="s">
        <v>208</v>
      </c>
      <c r="P511" s="112" t="s">
        <v>418</v>
      </c>
    </row>
    <row r="512" spans="1:16" x14ac:dyDescent="0.3">
      <c r="B512" s="266"/>
      <c r="C512" s="92" t="s">
        <v>211</v>
      </c>
      <c r="D512" s="233">
        <v>23.87</v>
      </c>
      <c r="E512" s="198">
        <v>150.69</v>
      </c>
      <c r="F512" s="234">
        <f>E512/25*9.81</f>
        <v>59.130755999999998</v>
      </c>
      <c r="G512" s="198">
        <v>135</v>
      </c>
      <c r="H512" s="234">
        <f>G512/25*9.81</f>
        <v>52.974000000000004</v>
      </c>
      <c r="I512" s="235">
        <v>179</v>
      </c>
      <c r="J512" s="236">
        <f>I512/25*9.81</f>
        <v>70.23960000000001</v>
      </c>
      <c r="K512" s="100">
        <v>0</v>
      </c>
      <c r="L512" s="130">
        <v>1</v>
      </c>
      <c r="M512" s="130">
        <v>0</v>
      </c>
      <c r="N512" s="96" t="s">
        <v>208</v>
      </c>
      <c r="P512" s="112" t="s">
        <v>420</v>
      </c>
    </row>
    <row r="513" spans="1:16" ht="15" thickBot="1" x14ac:dyDescent="0.35">
      <c r="B513" s="267"/>
      <c r="C513" s="103" t="s">
        <v>211</v>
      </c>
      <c r="D513" s="104">
        <v>89.51</v>
      </c>
      <c r="E513" s="259">
        <v>91.5</v>
      </c>
      <c r="F513" s="111">
        <f>E513/25*9.81</f>
        <v>35.904600000000002</v>
      </c>
      <c r="G513" s="259">
        <v>74</v>
      </c>
      <c r="H513" s="111">
        <f>G513/25*9.81</f>
        <v>29.037600000000001</v>
      </c>
      <c r="I513" s="125">
        <v>102</v>
      </c>
      <c r="J513" s="126">
        <f>I513/25*9.81</f>
        <v>40.024800000000006</v>
      </c>
      <c r="K513" s="106">
        <v>0</v>
      </c>
      <c r="L513" s="131">
        <v>1</v>
      </c>
      <c r="M513" s="131">
        <v>0</v>
      </c>
      <c r="N513" s="107" t="s">
        <v>208</v>
      </c>
    </row>
    <row r="514" spans="1:16" ht="15" thickBot="1" x14ac:dyDescent="0.35"/>
    <row r="515" spans="1:16" x14ac:dyDescent="0.3">
      <c r="B515" s="268" t="s">
        <v>184</v>
      </c>
      <c r="C515" s="269"/>
      <c r="D515" s="269"/>
      <c r="E515" s="269"/>
      <c r="F515" s="269"/>
      <c r="G515" s="269"/>
      <c r="H515" s="269"/>
      <c r="I515" s="269"/>
      <c r="J515" s="269"/>
      <c r="K515" s="269"/>
      <c r="L515" s="269"/>
      <c r="M515" s="269"/>
      <c r="N515" s="270"/>
    </row>
    <row r="516" spans="1:16" x14ac:dyDescent="0.3">
      <c r="A516" s="145" t="s">
        <v>365</v>
      </c>
      <c r="B516" s="271" t="s">
        <v>186</v>
      </c>
      <c r="C516" s="274"/>
      <c r="D516" s="275"/>
      <c r="E516" s="275"/>
      <c r="F516" s="275"/>
      <c r="G516" s="275"/>
      <c r="H516" s="275"/>
      <c r="I516" s="275"/>
      <c r="J516" s="276"/>
      <c r="K516" s="277" t="s">
        <v>187</v>
      </c>
      <c r="L516" s="278"/>
      <c r="M516" s="279"/>
      <c r="N516" s="280" t="s">
        <v>188</v>
      </c>
    </row>
    <row r="517" spans="1:16" x14ac:dyDescent="0.3">
      <c r="A517" s="145" t="s">
        <v>366</v>
      </c>
      <c r="B517" s="272"/>
      <c r="C517" s="283" t="s">
        <v>194</v>
      </c>
      <c r="D517" s="283" t="s">
        <v>41</v>
      </c>
      <c r="E517" s="88" t="s">
        <v>42</v>
      </c>
      <c r="F517" s="88" t="s">
        <v>43</v>
      </c>
      <c r="G517" s="88" t="s">
        <v>42</v>
      </c>
      <c r="H517" s="88" t="s">
        <v>43</v>
      </c>
      <c r="I517" s="88" t="s">
        <v>42</v>
      </c>
      <c r="J517" s="88" t="s">
        <v>43</v>
      </c>
      <c r="K517" s="285" t="s">
        <v>20</v>
      </c>
      <c r="L517" s="285" t="s">
        <v>195</v>
      </c>
      <c r="M517" s="285" t="s">
        <v>196</v>
      </c>
      <c r="N517" s="281"/>
    </row>
    <row r="518" spans="1:16" x14ac:dyDescent="0.3">
      <c r="A518" s="145">
        <v>29</v>
      </c>
      <c r="B518" s="273"/>
      <c r="C518" s="284"/>
      <c r="D518" s="284"/>
      <c r="E518" s="88" t="s">
        <v>200</v>
      </c>
      <c r="F518" s="88" t="s">
        <v>200</v>
      </c>
      <c r="G518" s="88" t="s">
        <v>201</v>
      </c>
      <c r="H518" s="88" t="s">
        <v>201</v>
      </c>
      <c r="I518" s="88" t="s">
        <v>202</v>
      </c>
      <c r="J518" s="88" t="s">
        <v>202</v>
      </c>
      <c r="K518" s="286"/>
      <c r="L518" s="286"/>
      <c r="M518" s="286"/>
      <c r="N518" s="282"/>
    </row>
    <row r="519" spans="1:16" x14ac:dyDescent="0.3">
      <c r="B519" s="265" t="s">
        <v>284</v>
      </c>
      <c r="C519" s="92" t="s">
        <v>207</v>
      </c>
      <c r="D519" s="261">
        <v>24.39</v>
      </c>
      <c r="E519" s="198">
        <v>132.18</v>
      </c>
      <c r="F519" s="234">
        <f>E519/25*9.81</f>
        <v>51.867432000000008</v>
      </c>
      <c r="G519" s="198">
        <v>75</v>
      </c>
      <c r="H519" s="234">
        <f>G519/25*9.81</f>
        <v>29.43</v>
      </c>
      <c r="I519" s="235">
        <v>189</v>
      </c>
      <c r="J519" s="236">
        <f>I519/25*9.81</f>
        <v>74.163600000000002</v>
      </c>
      <c r="K519" s="95">
        <v>0</v>
      </c>
      <c r="L519" s="130">
        <v>1</v>
      </c>
      <c r="M519" s="130">
        <v>0</v>
      </c>
      <c r="N519" s="96" t="s">
        <v>208</v>
      </c>
      <c r="P519" s="112"/>
    </row>
    <row r="520" spans="1:16" x14ac:dyDescent="0.3">
      <c r="B520" s="266"/>
      <c r="C520" s="92" t="s">
        <v>207</v>
      </c>
      <c r="D520" s="142">
        <v>88.87</v>
      </c>
      <c r="E520" s="94">
        <v>76.819999999999993</v>
      </c>
      <c r="F520" s="108">
        <f>E520/25*9.81</f>
        <v>30.144167999999997</v>
      </c>
      <c r="G520" s="93">
        <v>70</v>
      </c>
      <c r="H520" s="108">
        <f>G520/25*9.81</f>
        <v>27.468</v>
      </c>
      <c r="I520" s="102">
        <v>83</v>
      </c>
      <c r="J520" s="109">
        <f>I520/25*9.81</f>
        <v>32.569200000000002</v>
      </c>
      <c r="K520" s="100">
        <v>0</v>
      </c>
      <c r="L520" s="130">
        <v>1</v>
      </c>
      <c r="M520" s="130">
        <v>0</v>
      </c>
      <c r="N520" s="96" t="s">
        <v>208</v>
      </c>
      <c r="P520" s="112" t="s">
        <v>420</v>
      </c>
    </row>
    <row r="521" spans="1:16" x14ac:dyDescent="0.3">
      <c r="B521" s="266"/>
      <c r="C521" s="92" t="s">
        <v>211</v>
      </c>
      <c r="D521" s="261">
        <v>22.68</v>
      </c>
      <c r="E521" s="198">
        <v>157.68</v>
      </c>
      <c r="F521" s="234">
        <f>E521/25*9.81</f>
        <v>61.873632000000001</v>
      </c>
      <c r="G521" s="198">
        <v>84</v>
      </c>
      <c r="H521" s="234">
        <f>G521/25*9.81</f>
        <v>32.961599999999997</v>
      </c>
      <c r="I521" s="235">
        <v>208</v>
      </c>
      <c r="J521" s="236">
        <f>I521/25*9.81</f>
        <v>81.619200000000006</v>
      </c>
      <c r="K521" s="100">
        <v>0</v>
      </c>
      <c r="L521" s="113">
        <v>0.9</v>
      </c>
      <c r="M521" s="113">
        <v>0.1</v>
      </c>
      <c r="N521" s="96" t="s">
        <v>233</v>
      </c>
      <c r="P521" s="230"/>
    </row>
    <row r="522" spans="1:16" ht="15" thickBot="1" x14ac:dyDescent="0.35">
      <c r="B522" s="267"/>
      <c r="C522" s="103" t="s">
        <v>211</v>
      </c>
      <c r="D522" s="110">
        <v>87.2</v>
      </c>
      <c r="E522" s="105">
        <v>86.15</v>
      </c>
      <c r="F522" s="111">
        <f>E522/25*9.81</f>
        <v>33.805260000000004</v>
      </c>
      <c r="G522" s="259">
        <v>78</v>
      </c>
      <c r="H522" s="111">
        <f>G522/25*9.81</f>
        <v>30.607200000000002</v>
      </c>
      <c r="I522" s="125">
        <v>96</v>
      </c>
      <c r="J522" s="126">
        <f>I522/25*9.81</f>
        <v>37.670400000000001</v>
      </c>
      <c r="K522" s="106">
        <v>0</v>
      </c>
      <c r="L522" s="131">
        <v>1</v>
      </c>
      <c r="M522" s="131">
        <v>0</v>
      </c>
      <c r="N522" s="107" t="s">
        <v>208</v>
      </c>
    </row>
    <row r="523" spans="1:16" ht="15" thickBot="1" x14ac:dyDescent="0.35"/>
    <row r="524" spans="1:16" x14ac:dyDescent="0.3">
      <c r="B524" s="268" t="s">
        <v>184</v>
      </c>
      <c r="C524" s="269"/>
      <c r="D524" s="269"/>
      <c r="E524" s="269"/>
      <c r="F524" s="269"/>
      <c r="G524" s="269"/>
      <c r="H524" s="269"/>
      <c r="I524" s="269"/>
      <c r="J524" s="269"/>
      <c r="K524" s="269"/>
      <c r="L524" s="269"/>
      <c r="M524" s="269"/>
      <c r="N524" s="270"/>
    </row>
    <row r="525" spans="1:16" x14ac:dyDescent="0.3">
      <c r="A525" s="145" t="s">
        <v>365</v>
      </c>
      <c r="B525" s="271" t="s">
        <v>186</v>
      </c>
      <c r="C525" s="274"/>
      <c r="D525" s="275"/>
      <c r="E525" s="275"/>
      <c r="F525" s="275"/>
      <c r="G525" s="275"/>
      <c r="H525" s="275"/>
      <c r="I525" s="275"/>
      <c r="J525" s="276"/>
      <c r="K525" s="277" t="s">
        <v>187</v>
      </c>
      <c r="L525" s="278"/>
      <c r="M525" s="279"/>
      <c r="N525" s="280" t="s">
        <v>188</v>
      </c>
    </row>
    <row r="526" spans="1:16" x14ac:dyDescent="0.3">
      <c r="A526" s="145" t="s">
        <v>366</v>
      </c>
      <c r="B526" s="272"/>
      <c r="C526" s="283" t="s">
        <v>194</v>
      </c>
      <c r="D526" s="283" t="s">
        <v>41</v>
      </c>
      <c r="E526" s="88" t="s">
        <v>42</v>
      </c>
      <c r="F526" s="88" t="s">
        <v>43</v>
      </c>
      <c r="G526" s="88" t="s">
        <v>42</v>
      </c>
      <c r="H526" s="88" t="s">
        <v>43</v>
      </c>
      <c r="I526" s="88" t="s">
        <v>42</v>
      </c>
      <c r="J526" s="88" t="s">
        <v>43</v>
      </c>
      <c r="K526" s="285" t="s">
        <v>20</v>
      </c>
      <c r="L526" s="285" t="s">
        <v>195</v>
      </c>
      <c r="M526" s="285" t="s">
        <v>196</v>
      </c>
      <c r="N526" s="281"/>
    </row>
    <row r="527" spans="1:16" x14ac:dyDescent="0.3">
      <c r="A527" s="145">
        <v>30</v>
      </c>
      <c r="B527" s="273"/>
      <c r="C527" s="284"/>
      <c r="D527" s="284"/>
      <c r="E527" s="88" t="s">
        <v>200</v>
      </c>
      <c r="F527" s="88" t="s">
        <v>200</v>
      </c>
      <c r="G527" s="88" t="s">
        <v>201</v>
      </c>
      <c r="H527" s="88" t="s">
        <v>201</v>
      </c>
      <c r="I527" s="88" t="s">
        <v>202</v>
      </c>
      <c r="J527" s="88" t="s">
        <v>202</v>
      </c>
      <c r="K527" s="286"/>
      <c r="L527" s="286"/>
      <c r="M527" s="286"/>
      <c r="N527" s="282"/>
    </row>
    <row r="528" spans="1:16" x14ac:dyDescent="0.3">
      <c r="B528" s="265" t="s">
        <v>285</v>
      </c>
      <c r="C528" s="92" t="s">
        <v>207</v>
      </c>
      <c r="D528" s="261">
        <v>23.7</v>
      </c>
      <c r="E528" s="198">
        <v>146.68</v>
      </c>
      <c r="F528" s="234">
        <f>E528/25*9.81</f>
        <v>57.557232000000006</v>
      </c>
      <c r="G528" s="198">
        <v>79</v>
      </c>
      <c r="H528" s="234">
        <f>G528/25*9.81</f>
        <v>30.999600000000004</v>
      </c>
      <c r="I528" s="235">
        <v>202</v>
      </c>
      <c r="J528" s="236">
        <f>I528/25*9.81</f>
        <v>79.264800000000008</v>
      </c>
      <c r="K528" s="95">
        <v>0</v>
      </c>
      <c r="L528" s="113">
        <v>0.9</v>
      </c>
      <c r="M528" s="113">
        <v>0.1</v>
      </c>
      <c r="N528" s="96" t="s">
        <v>233</v>
      </c>
      <c r="P528" s="112"/>
    </row>
    <row r="529" spans="1:16" x14ac:dyDescent="0.3">
      <c r="B529" s="266"/>
      <c r="C529" s="92" t="s">
        <v>207</v>
      </c>
      <c r="D529" s="261">
        <v>88.55</v>
      </c>
      <c r="E529" s="198">
        <v>75.87</v>
      </c>
      <c r="F529" s="234">
        <f>E529/25*9.81</f>
        <v>29.771388000000002</v>
      </c>
      <c r="G529" s="198">
        <v>63</v>
      </c>
      <c r="H529" s="234">
        <f>G529/25*9.81</f>
        <v>24.721200000000003</v>
      </c>
      <c r="I529" s="235">
        <v>94</v>
      </c>
      <c r="J529" s="109">
        <f>I529/25*9.81</f>
        <v>36.885599999999997</v>
      </c>
      <c r="K529" s="100">
        <v>0</v>
      </c>
      <c r="L529" s="130">
        <v>1</v>
      </c>
      <c r="M529" s="130">
        <v>0</v>
      </c>
      <c r="N529" s="96" t="s">
        <v>208</v>
      </c>
      <c r="P529" s="112" t="s">
        <v>420</v>
      </c>
    </row>
    <row r="530" spans="1:16" x14ac:dyDescent="0.3">
      <c r="B530" s="266"/>
      <c r="C530" s="92" t="s">
        <v>211</v>
      </c>
      <c r="D530" s="261">
        <v>23.59</v>
      </c>
      <c r="E530" s="198">
        <v>156.38</v>
      </c>
      <c r="F530" s="234">
        <f>E530/25*9.81</f>
        <v>61.363512</v>
      </c>
      <c r="G530" s="198">
        <v>130</v>
      </c>
      <c r="H530" s="234">
        <f>G530/25*9.81</f>
        <v>51.012000000000008</v>
      </c>
      <c r="I530" s="235">
        <v>198</v>
      </c>
      <c r="J530" s="236">
        <f>I530/25*9.81</f>
        <v>77.6952</v>
      </c>
      <c r="K530" s="100">
        <v>0</v>
      </c>
      <c r="L530" s="130">
        <v>1</v>
      </c>
      <c r="M530" s="130">
        <v>0</v>
      </c>
      <c r="N530" s="96" t="s">
        <v>208</v>
      </c>
      <c r="P530" s="112" t="s">
        <v>421</v>
      </c>
    </row>
    <row r="531" spans="1:16" ht="15" thickBot="1" x14ac:dyDescent="0.35">
      <c r="B531" s="267"/>
      <c r="C531" s="103" t="s">
        <v>211</v>
      </c>
      <c r="D531" s="110">
        <v>89.13</v>
      </c>
      <c r="E531" s="105">
        <v>86.67</v>
      </c>
      <c r="F531" s="111">
        <f>E531/25*9.81</f>
        <v>34.009308000000004</v>
      </c>
      <c r="G531" s="259">
        <v>80</v>
      </c>
      <c r="H531" s="111">
        <f>G531/25*9.81</f>
        <v>31.392000000000003</v>
      </c>
      <c r="I531" s="125">
        <v>94</v>
      </c>
      <c r="J531" s="126">
        <f>I531/25*9.81</f>
        <v>36.885599999999997</v>
      </c>
      <c r="K531" s="106">
        <v>0</v>
      </c>
      <c r="L531" s="131">
        <v>1</v>
      </c>
      <c r="M531" s="131">
        <v>0</v>
      </c>
      <c r="N531" s="107" t="s">
        <v>208</v>
      </c>
    </row>
    <row r="532" spans="1:16" ht="15" thickBot="1" x14ac:dyDescent="0.35"/>
    <row r="533" spans="1:16" x14ac:dyDescent="0.3">
      <c r="B533" s="268" t="s">
        <v>184</v>
      </c>
      <c r="C533" s="269"/>
      <c r="D533" s="269"/>
      <c r="E533" s="269"/>
      <c r="F533" s="269"/>
      <c r="G533" s="269"/>
      <c r="H533" s="269"/>
      <c r="I533" s="269"/>
      <c r="J533" s="269"/>
      <c r="K533" s="269"/>
      <c r="L533" s="269"/>
      <c r="M533" s="269"/>
      <c r="N533" s="270"/>
    </row>
    <row r="534" spans="1:16" x14ac:dyDescent="0.3">
      <c r="A534" s="145" t="s">
        <v>365</v>
      </c>
      <c r="B534" s="271" t="s">
        <v>186</v>
      </c>
      <c r="C534" s="274"/>
      <c r="D534" s="275"/>
      <c r="E534" s="275"/>
      <c r="F534" s="275"/>
      <c r="G534" s="275"/>
      <c r="H534" s="275"/>
      <c r="I534" s="275"/>
      <c r="J534" s="276"/>
      <c r="K534" s="277" t="s">
        <v>187</v>
      </c>
      <c r="L534" s="278"/>
      <c r="M534" s="279"/>
      <c r="N534" s="280" t="s">
        <v>188</v>
      </c>
    </row>
    <row r="535" spans="1:16" x14ac:dyDescent="0.3">
      <c r="A535" s="145" t="s">
        <v>366</v>
      </c>
      <c r="B535" s="272"/>
      <c r="C535" s="283" t="s">
        <v>194</v>
      </c>
      <c r="D535" s="283" t="s">
        <v>41</v>
      </c>
      <c r="E535" s="88" t="s">
        <v>42</v>
      </c>
      <c r="F535" s="88" t="s">
        <v>43</v>
      </c>
      <c r="G535" s="88" t="s">
        <v>42</v>
      </c>
      <c r="H535" s="88" t="s">
        <v>43</v>
      </c>
      <c r="I535" s="88" t="s">
        <v>42</v>
      </c>
      <c r="J535" s="88" t="s">
        <v>43</v>
      </c>
      <c r="K535" s="285" t="s">
        <v>20</v>
      </c>
      <c r="L535" s="285" t="s">
        <v>195</v>
      </c>
      <c r="M535" s="285" t="s">
        <v>196</v>
      </c>
      <c r="N535" s="281"/>
    </row>
    <row r="536" spans="1:16" x14ac:dyDescent="0.3">
      <c r="A536" s="145">
        <v>31</v>
      </c>
      <c r="B536" s="273"/>
      <c r="C536" s="284"/>
      <c r="D536" s="284"/>
      <c r="E536" s="88" t="s">
        <v>200</v>
      </c>
      <c r="F536" s="88" t="s">
        <v>200</v>
      </c>
      <c r="G536" s="88" t="s">
        <v>201</v>
      </c>
      <c r="H536" s="88" t="s">
        <v>201</v>
      </c>
      <c r="I536" s="88" t="s">
        <v>202</v>
      </c>
      <c r="J536" s="88" t="s">
        <v>202</v>
      </c>
      <c r="K536" s="286"/>
      <c r="L536" s="286"/>
      <c r="M536" s="286"/>
      <c r="N536" s="282"/>
    </row>
    <row r="537" spans="1:16" x14ac:dyDescent="0.3">
      <c r="B537" s="265" t="s">
        <v>279</v>
      </c>
      <c r="C537" s="92" t="s">
        <v>207</v>
      </c>
      <c r="D537" s="261">
        <v>20.3</v>
      </c>
      <c r="E537" s="198">
        <v>157.21</v>
      </c>
      <c r="F537" s="234">
        <f>E537/25*9.81</f>
        <v>61.689204000000004</v>
      </c>
      <c r="G537" s="198">
        <v>123</v>
      </c>
      <c r="H537" s="234">
        <f>G537/25*9.81</f>
        <v>48.2652</v>
      </c>
      <c r="I537" s="235">
        <v>191</v>
      </c>
      <c r="J537" s="236">
        <f>I537/25*9.81</f>
        <v>74.948400000000007</v>
      </c>
      <c r="K537" s="95">
        <v>0</v>
      </c>
      <c r="L537" s="113">
        <v>0.9</v>
      </c>
      <c r="M537" s="113">
        <v>0.1</v>
      </c>
      <c r="N537" s="96" t="s">
        <v>233</v>
      </c>
      <c r="P537" s="112"/>
    </row>
    <row r="538" spans="1:16" x14ac:dyDescent="0.3">
      <c r="B538" s="266"/>
      <c r="C538" s="92" t="s">
        <v>207</v>
      </c>
      <c r="D538" s="99">
        <v>89.18</v>
      </c>
      <c r="E538" s="93">
        <v>73.94</v>
      </c>
      <c r="F538" s="108">
        <f>E538/25*9.81</f>
        <v>29.014056</v>
      </c>
      <c r="G538" s="93">
        <v>62</v>
      </c>
      <c r="H538" s="108">
        <f>G538/25*9.81</f>
        <v>24.328800000000001</v>
      </c>
      <c r="I538" s="102">
        <v>82</v>
      </c>
      <c r="J538" s="109">
        <f>I538/25*9.81</f>
        <v>32.1768</v>
      </c>
      <c r="K538" s="100">
        <v>0</v>
      </c>
      <c r="L538" s="130">
        <v>1</v>
      </c>
      <c r="M538" s="130">
        <v>0</v>
      </c>
      <c r="N538" s="96" t="s">
        <v>208</v>
      </c>
      <c r="P538" s="112" t="s">
        <v>421</v>
      </c>
    </row>
    <row r="539" spans="1:16" x14ac:dyDescent="0.3">
      <c r="B539" s="266"/>
      <c r="C539" s="92" t="s">
        <v>211</v>
      </c>
      <c r="D539" s="261">
        <v>22.25</v>
      </c>
      <c r="E539" s="198">
        <v>149.93</v>
      </c>
      <c r="F539" s="234">
        <f>E539/25*9.81</f>
        <v>58.832532000000008</v>
      </c>
      <c r="G539" s="198">
        <v>138</v>
      </c>
      <c r="H539" s="234">
        <f>G539/25*9.81</f>
        <v>54.151199999999996</v>
      </c>
      <c r="I539" s="235">
        <v>159</v>
      </c>
      <c r="J539" s="236">
        <f>I539/25*9.81</f>
        <v>62.391600000000004</v>
      </c>
      <c r="K539" s="100">
        <v>0</v>
      </c>
      <c r="L539" s="130">
        <v>1</v>
      </c>
      <c r="M539" s="130">
        <v>0</v>
      </c>
      <c r="N539" s="96" t="s">
        <v>208</v>
      </c>
      <c r="P539" s="112"/>
    </row>
    <row r="540" spans="1:16" ht="15" thickBot="1" x14ac:dyDescent="0.35">
      <c r="B540" s="267"/>
      <c r="C540" s="103" t="s">
        <v>211</v>
      </c>
      <c r="D540" s="110">
        <v>87.7</v>
      </c>
      <c r="E540" s="105">
        <v>101.43</v>
      </c>
      <c r="F540" s="111">
        <f>E540/25*9.81</f>
        <v>39.801132000000003</v>
      </c>
      <c r="G540" s="259">
        <v>92</v>
      </c>
      <c r="H540" s="111">
        <f>G540/25*9.81</f>
        <v>36.100800000000007</v>
      </c>
      <c r="I540" s="125">
        <v>116</v>
      </c>
      <c r="J540" s="126">
        <f>I540/25*9.81</f>
        <v>45.5184</v>
      </c>
      <c r="K540" s="106">
        <v>0</v>
      </c>
      <c r="L540" s="131">
        <v>1</v>
      </c>
      <c r="M540" s="131">
        <v>0</v>
      </c>
      <c r="N540" s="107" t="s">
        <v>208</v>
      </c>
    </row>
  </sheetData>
  <mergeCells count="671">
    <mergeCell ref="B537:B540"/>
    <mergeCell ref="B528:B531"/>
    <mergeCell ref="B533:N533"/>
    <mergeCell ref="B534:B536"/>
    <mergeCell ref="C534:J534"/>
    <mergeCell ref="K534:M534"/>
    <mergeCell ref="N534:N536"/>
    <mergeCell ref="C535:C536"/>
    <mergeCell ref="D535:D536"/>
    <mergeCell ref="K535:K536"/>
    <mergeCell ref="L535:L536"/>
    <mergeCell ref="M535:M536"/>
    <mergeCell ref="B519:B522"/>
    <mergeCell ref="B524:N524"/>
    <mergeCell ref="B525:B527"/>
    <mergeCell ref="C525:J525"/>
    <mergeCell ref="K525:M525"/>
    <mergeCell ref="N525:N527"/>
    <mergeCell ref="C526:C527"/>
    <mergeCell ref="D526:D527"/>
    <mergeCell ref="K526:K527"/>
    <mergeCell ref="L526:L527"/>
    <mergeCell ref="M526:M527"/>
    <mergeCell ref="B510:B513"/>
    <mergeCell ref="B515:N515"/>
    <mergeCell ref="B516:B518"/>
    <mergeCell ref="C516:J516"/>
    <mergeCell ref="K516:M516"/>
    <mergeCell ref="N516:N518"/>
    <mergeCell ref="C517:C518"/>
    <mergeCell ref="D517:D518"/>
    <mergeCell ref="K517:K518"/>
    <mergeCell ref="L517:L518"/>
    <mergeCell ref="M517:M518"/>
    <mergeCell ref="B506:N506"/>
    <mergeCell ref="B507:B509"/>
    <mergeCell ref="C507:J507"/>
    <mergeCell ref="K507:M507"/>
    <mergeCell ref="N507:N509"/>
    <mergeCell ref="C508:C509"/>
    <mergeCell ref="D508:D509"/>
    <mergeCell ref="K508:K509"/>
    <mergeCell ref="L508:L509"/>
    <mergeCell ref="M508:M509"/>
    <mergeCell ref="B501:B504"/>
    <mergeCell ref="B497:N497"/>
    <mergeCell ref="B498:B500"/>
    <mergeCell ref="C498:J498"/>
    <mergeCell ref="K498:M498"/>
    <mergeCell ref="N498:N500"/>
    <mergeCell ref="C499:C500"/>
    <mergeCell ref="D499:D500"/>
    <mergeCell ref="K499:K500"/>
    <mergeCell ref="L499:L500"/>
    <mergeCell ref="M499:M500"/>
    <mergeCell ref="B465:B468"/>
    <mergeCell ref="B461:N461"/>
    <mergeCell ref="B462:B464"/>
    <mergeCell ref="C462:J462"/>
    <mergeCell ref="K462:M462"/>
    <mergeCell ref="N462:N464"/>
    <mergeCell ref="C463:C464"/>
    <mergeCell ref="D463:D464"/>
    <mergeCell ref="K463:K464"/>
    <mergeCell ref="L463:L464"/>
    <mergeCell ref="M463:M464"/>
    <mergeCell ref="B456:B459"/>
    <mergeCell ref="B452:N452"/>
    <mergeCell ref="B453:B455"/>
    <mergeCell ref="C453:J453"/>
    <mergeCell ref="K453:M453"/>
    <mergeCell ref="N453:N455"/>
    <mergeCell ref="C454:C455"/>
    <mergeCell ref="D454:D455"/>
    <mergeCell ref="K454:K455"/>
    <mergeCell ref="L454:L455"/>
    <mergeCell ref="M454:M455"/>
    <mergeCell ref="B429:B432"/>
    <mergeCell ref="B420:B423"/>
    <mergeCell ref="B425:N425"/>
    <mergeCell ref="B426:B428"/>
    <mergeCell ref="C426:J426"/>
    <mergeCell ref="K426:M426"/>
    <mergeCell ref="N426:N428"/>
    <mergeCell ref="C427:C428"/>
    <mergeCell ref="D427:D428"/>
    <mergeCell ref="K427:K428"/>
    <mergeCell ref="L427:L428"/>
    <mergeCell ref="M427:M428"/>
    <mergeCell ref="B416:N416"/>
    <mergeCell ref="B417:B419"/>
    <mergeCell ref="C417:J417"/>
    <mergeCell ref="K417:M417"/>
    <mergeCell ref="N417:N419"/>
    <mergeCell ref="C418:C419"/>
    <mergeCell ref="D418:D419"/>
    <mergeCell ref="K418:K419"/>
    <mergeCell ref="L418:L419"/>
    <mergeCell ref="M418:M419"/>
    <mergeCell ref="B357:B360"/>
    <mergeCell ref="B348:B351"/>
    <mergeCell ref="B353:N353"/>
    <mergeCell ref="B354:B356"/>
    <mergeCell ref="C354:J354"/>
    <mergeCell ref="K354:M354"/>
    <mergeCell ref="N354:N356"/>
    <mergeCell ref="C355:C356"/>
    <mergeCell ref="D355:D356"/>
    <mergeCell ref="K355:K356"/>
    <mergeCell ref="L355:L356"/>
    <mergeCell ref="M355:M356"/>
    <mergeCell ref="B339:B342"/>
    <mergeCell ref="B344:N344"/>
    <mergeCell ref="B345:B347"/>
    <mergeCell ref="C345:J345"/>
    <mergeCell ref="K345:M345"/>
    <mergeCell ref="N345:N347"/>
    <mergeCell ref="C346:C347"/>
    <mergeCell ref="D346:D347"/>
    <mergeCell ref="K346:K347"/>
    <mergeCell ref="L346:L347"/>
    <mergeCell ref="M346:M347"/>
    <mergeCell ref="B335:N335"/>
    <mergeCell ref="B336:B338"/>
    <mergeCell ref="C336:J336"/>
    <mergeCell ref="K336:M336"/>
    <mergeCell ref="N336:N338"/>
    <mergeCell ref="C337:C338"/>
    <mergeCell ref="D337:D338"/>
    <mergeCell ref="K337:K338"/>
    <mergeCell ref="L337:L338"/>
    <mergeCell ref="M337:M338"/>
    <mergeCell ref="B285:B288"/>
    <mergeCell ref="B276:B279"/>
    <mergeCell ref="B281:N281"/>
    <mergeCell ref="B282:B284"/>
    <mergeCell ref="C282:J282"/>
    <mergeCell ref="K282:M282"/>
    <mergeCell ref="N282:N284"/>
    <mergeCell ref="C283:C284"/>
    <mergeCell ref="D283:D284"/>
    <mergeCell ref="K283:K284"/>
    <mergeCell ref="L283:L284"/>
    <mergeCell ref="M283:M284"/>
    <mergeCell ref="B267:B270"/>
    <mergeCell ref="B272:N272"/>
    <mergeCell ref="B273:B275"/>
    <mergeCell ref="C273:J273"/>
    <mergeCell ref="K273:M273"/>
    <mergeCell ref="N273:N275"/>
    <mergeCell ref="C274:C275"/>
    <mergeCell ref="D274:D275"/>
    <mergeCell ref="K274:K275"/>
    <mergeCell ref="L274:L275"/>
    <mergeCell ref="M274:M275"/>
    <mergeCell ref="B263:N263"/>
    <mergeCell ref="B264:B266"/>
    <mergeCell ref="C264:J264"/>
    <mergeCell ref="K264:M264"/>
    <mergeCell ref="N264:N266"/>
    <mergeCell ref="C265:C266"/>
    <mergeCell ref="D265:D266"/>
    <mergeCell ref="K265:K266"/>
    <mergeCell ref="L265:L266"/>
    <mergeCell ref="M265:M266"/>
    <mergeCell ref="B240:B243"/>
    <mergeCell ref="B236:N236"/>
    <mergeCell ref="B237:B239"/>
    <mergeCell ref="C237:J237"/>
    <mergeCell ref="K237:M237"/>
    <mergeCell ref="N237:N239"/>
    <mergeCell ref="C238:C239"/>
    <mergeCell ref="D238:D239"/>
    <mergeCell ref="K238:K239"/>
    <mergeCell ref="L238:L239"/>
    <mergeCell ref="M238:M239"/>
    <mergeCell ref="B204:B207"/>
    <mergeCell ref="B195:B198"/>
    <mergeCell ref="B200:N200"/>
    <mergeCell ref="B201:B203"/>
    <mergeCell ref="C201:J201"/>
    <mergeCell ref="K201:M201"/>
    <mergeCell ref="N201:N203"/>
    <mergeCell ref="C202:C203"/>
    <mergeCell ref="D202:D203"/>
    <mergeCell ref="K202:K203"/>
    <mergeCell ref="L202:L203"/>
    <mergeCell ref="M202:M203"/>
    <mergeCell ref="B186:B189"/>
    <mergeCell ref="B191:N191"/>
    <mergeCell ref="B192:B194"/>
    <mergeCell ref="C192:J192"/>
    <mergeCell ref="K192:M192"/>
    <mergeCell ref="N192:N194"/>
    <mergeCell ref="C193:C194"/>
    <mergeCell ref="D193:D194"/>
    <mergeCell ref="K193:K194"/>
    <mergeCell ref="L193:L194"/>
    <mergeCell ref="M193:M194"/>
    <mergeCell ref="B177:B180"/>
    <mergeCell ref="B182:N182"/>
    <mergeCell ref="B183:B185"/>
    <mergeCell ref="C183:J183"/>
    <mergeCell ref="K183:M183"/>
    <mergeCell ref="N183:N185"/>
    <mergeCell ref="C184:C185"/>
    <mergeCell ref="D184:D185"/>
    <mergeCell ref="K184:K185"/>
    <mergeCell ref="L184:L185"/>
    <mergeCell ref="M184:M185"/>
    <mergeCell ref="B168:B171"/>
    <mergeCell ref="B173:N173"/>
    <mergeCell ref="B174:B176"/>
    <mergeCell ref="C174:J174"/>
    <mergeCell ref="K174:M174"/>
    <mergeCell ref="N174:N176"/>
    <mergeCell ref="C175:C176"/>
    <mergeCell ref="D175:D176"/>
    <mergeCell ref="K175:K176"/>
    <mergeCell ref="L175:L176"/>
    <mergeCell ref="M175:M176"/>
    <mergeCell ref="B159:B162"/>
    <mergeCell ref="B164:N164"/>
    <mergeCell ref="B165:B167"/>
    <mergeCell ref="C165:J165"/>
    <mergeCell ref="K165:M165"/>
    <mergeCell ref="N165:N167"/>
    <mergeCell ref="C166:C167"/>
    <mergeCell ref="D166:D167"/>
    <mergeCell ref="K166:K167"/>
    <mergeCell ref="L166:L167"/>
    <mergeCell ref="M166:M167"/>
    <mergeCell ref="B150:B153"/>
    <mergeCell ref="B155:N155"/>
    <mergeCell ref="B156:B158"/>
    <mergeCell ref="C156:J156"/>
    <mergeCell ref="K156:M156"/>
    <mergeCell ref="N156:N158"/>
    <mergeCell ref="C157:C158"/>
    <mergeCell ref="D157:D158"/>
    <mergeCell ref="K157:K158"/>
    <mergeCell ref="L157:L158"/>
    <mergeCell ref="M157:M158"/>
    <mergeCell ref="B146:N146"/>
    <mergeCell ref="B147:B149"/>
    <mergeCell ref="C147:J147"/>
    <mergeCell ref="K147:M147"/>
    <mergeCell ref="N147:N149"/>
    <mergeCell ref="C148:C149"/>
    <mergeCell ref="D148:D149"/>
    <mergeCell ref="K148:K149"/>
    <mergeCell ref="L148:L149"/>
    <mergeCell ref="M148:M149"/>
    <mergeCell ref="B87:B90"/>
    <mergeCell ref="V3:X3"/>
    <mergeCell ref="V4:X4"/>
    <mergeCell ref="V5:X5"/>
    <mergeCell ref="B84:B86"/>
    <mergeCell ref="C84:J84"/>
    <mergeCell ref="K84:M84"/>
    <mergeCell ref="N84:N86"/>
    <mergeCell ref="C85:C86"/>
    <mergeCell ref="D85:D86"/>
    <mergeCell ref="K85:K86"/>
    <mergeCell ref="L85:L86"/>
    <mergeCell ref="M85:M86"/>
    <mergeCell ref="B78:B81"/>
    <mergeCell ref="B51:B54"/>
    <mergeCell ref="B56:N56"/>
    <mergeCell ref="B57:B59"/>
    <mergeCell ref="C57:J57"/>
    <mergeCell ref="K57:M57"/>
    <mergeCell ref="N57:N59"/>
    <mergeCell ref="C58:C59"/>
    <mergeCell ref="D58:D59"/>
    <mergeCell ref="K58:K59"/>
    <mergeCell ref="L58:L59"/>
    <mergeCell ref="V2:Y2"/>
    <mergeCell ref="B83:N83"/>
    <mergeCell ref="B69:B72"/>
    <mergeCell ref="B74:N74"/>
    <mergeCell ref="B75:B77"/>
    <mergeCell ref="C75:J75"/>
    <mergeCell ref="K75:M75"/>
    <mergeCell ref="N75:N77"/>
    <mergeCell ref="C76:C77"/>
    <mergeCell ref="D76:D77"/>
    <mergeCell ref="K76:K77"/>
    <mergeCell ref="L76:L77"/>
    <mergeCell ref="M76:M77"/>
    <mergeCell ref="B60:B63"/>
    <mergeCell ref="B65:N65"/>
    <mergeCell ref="B66:B68"/>
    <mergeCell ref="C66:J66"/>
    <mergeCell ref="K66:M66"/>
    <mergeCell ref="N66:N68"/>
    <mergeCell ref="C67:C68"/>
    <mergeCell ref="D67:D68"/>
    <mergeCell ref="K67:K68"/>
    <mergeCell ref="L67:L68"/>
    <mergeCell ref="M67:M68"/>
    <mergeCell ref="M58:M59"/>
    <mergeCell ref="B42:B45"/>
    <mergeCell ref="B47:N47"/>
    <mergeCell ref="B48:B50"/>
    <mergeCell ref="C48:J48"/>
    <mergeCell ref="K48:M48"/>
    <mergeCell ref="N48:N50"/>
    <mergeCell ref="C49:C50"/>
    <mergeCell ref="D49:D50"/>
    <mergeCell ref="K49:K50"/>
    <mergeCell ref="L49:L50"/>
    <mergeCell ref="M49:M50"/>
    <mergeCell ref="B38:N38"/>
    <mergeCell ref="B39:B41"/>
    <mergeCell ref="C39:J39"/>
    <mergeCell ref="K39:M39"/>
    <mergeCell ref="N39:N41"/>
    <mergeCell ref="C40:C41"/>
    <mergeCell ref="D40:D41"/>
    <mergeCell ref="K40:K41"/>
    <mergeCell ref="L40:L41"/>
    <mergeCell ref="M40:M41"/>
    <mergeCell ref="B2:N2"/>
    <mergeCell ref="P2:T2"/>
    <mergeCell ref="B3:B5"/>
    <mergeCell ref="C3:J3"/>
    <mergeCell ref="K3:M3"/>
    <mergeCell ref="N3:N5"/>
    <mergeCell ref="C4:C5"/>
    <mergeCell ref="D4:D5"/>
    <mergeCell ref="K4:K5"/>
    <mergeCell ref="L4:L5"/>
    <mergeCell ref="B20:N20"/>
    <mergeCell ref="M4:M5"/>
    <mergeCell ref="Q4:R4"/>
    <mergeCell ref="B6:B9"/>
    <mergeCell ref="Q6:R6"/>
    <mergeCell ref="B11:N11"/>
    <mergeCell ref="B12:B14"/>
    <mergeCell ref="C12:J12"/>
    <mergeCell ref="K12:M12"/>
    <mergeCell ref="N12:N14"/>
    <mergeCell ref="C13:C14"/>
    <mergeCell ref="D13:D14"/>
    <mergeCell ref="K13:K14"/>
    <mergeCell ref="L13:L14"/>
    <mergeCell ref="M13:M14"/>
    <mergeCell ref="B15:B18"/>
    <mergeCell ref="B21:B23"/>
    <mergeCell ref="C21:J21"/>
    <mergeCell ref="K21:M21"/>
    <mergeCell ref="N21:N23"/>
    <mergeCell ref="C22:C23"/>
    <mergeCell ref="D22:D23"/>
    <mergeCell ref="K22:K23"/>
    <mergeCell ref="L22:L23"/>
    <mergeCell ref="M22:M23"/>
    <mergeCell ref="M31:M32"/>
    <mergeCell ref="B33:B36"/>
    <mergeCell ref="B24:B27"/>
    <mergeCell ref="B29:N29"/>
    <mergeCell ref="B30:B32"/>
    <mergeCell ref="C30:J30"/>
    <mergeCell ref="K30:M30"/>
    <mergeCell ref="N30:N32"/>
    <mergeCell ref="C31:C32"/>
    <mergeCell ref="D31:D32"/>
    <mergeCell ref="K31:K32"/>
    <mergeCell ref="L31:L32"/>
    <mergeCell ref="B92:N92"/>
    <mergeCell ref="B93:B95"/>
    <mergeCell ref="C93:J93"/>
    <mergeCell ref="K93:M93"/>
    <mergeCell ref="N93:N95"/>
    <mergeCell ref="C94:C95"/>
    <mergeCell ref="D94:D95"/>
    <mergeCell ref="K94:K95"/>
    <mergeCell ref="L94:L95"/>
    <mergeCell ref="M94:M95"/>
    <mergeCell ref="B96:B99"/>
    <mergeCell ref="B101:N101"/>
    <mergeCell ref="B102:B104"/>
    <mergeCell ref="C102:J102"/>
    <mergeCell ref="K102:M102"/>
    <mergeCell ref="N102:N104"/>
    <mergeCell ref="C103:C104"/>
    <mergeCell ref="D103:D104"/>
    <mergeCell ref="K103:K104"/>
    <mergeCell ref="L103:L104"/>
    <mergeCell ref="M103:M104"/>
    <mergeCell ref="B105:B108"/>
    <mergeCell ref="B110:N110"/>
    <mergeCell ref="B111:B113"/>
    <mergeCell ref="C111:J111"/>
    <mergeCell ref="K111:M111"/>
    <mergeCell ref="N111:N113"/>
    <mergeCell ref="C112:C113"/>
    <mergeCell ref="D112:D113"/>
    <mergeCell ref="K112:K113"/>
    <mergeCell ref="L112:L113"/>
    <mergeCell ref="M112:M113"/>
    <mergeCell ref="B114:B117"/>
    <mergeCell ref="B119:N119"/>
    <mergeCell ref="B120:B122"/>
    <mergeCell ref="C120:J120"/>
    <mergeCell ref="K120:M120"/>
    <mergeCell ref="N120:N122"/>
    <mergeCell ref="C121:C122"/>
    <mergeCell ref="D121:D122"/>
    <mergeCell ref="K121:K122"/>
    <mergeCell ref="L121:L122"/>
    <mergeCell ref="M121:M122"/>
    <mergeCell ref="B123:B126"/>
    <mergeCell ref="B128:N128"/>
    <mergeCell ref="B129:B131"/>
    <mergeCell ref="C129:J129"/>
    <mergeCell ref="K129:M129"/>
    <mergeCell ref="N129:N131"/>
    <mergeCell ref="C130:C131"/>
    <mergeCell ref="D130:D131"/>
    <mergeCell ref="K130:K131"/>
    <mergeCell ref="L130:L131"/>
    <mergeCell ref="M130:M131"/>
    <mergeCell ref="B141:B144"/>
    <mergeCell ref="B132:B135"/>
    <mergeCell ref="B137:N137"/>
    <mergeCell ref="B138:B140"/>
    <mergeCell ref="C138:J138"/>
    <mergeCell ref="K138:M138"/>
    <mergeCell ref="N138:N140"/>
    <mergeCell ref="C139:C140"/>
    <mergeCell ref="D139:D140"/>
    <mergeCell ref="K139:K140"/>
    <mergeCell ref="L139:L140"/>
    <mergeCell ref="M139:M140"/>
    <mergeCell ref="B209:N209"/>
    <mergeCell ref="B210:B212"/>
    <mergeCell ref="C210:J210"/>
    <mergeCell ref="K210:M210"/>
    <mergeCell ref="N210:N212"/>
    <mergeCell ref="C211:C212"/>
    <mergeCell ref="D211:D212"/>
    <mergeCell ref="K211:K212"/>
    <mergeCell ref="L211:L212"/>
    <mergeCell ref="M211:M212"/>
    <mergeCell ref="B213:B216"/>
    <mergeCell ref="B218:N218"/>
    <mergeCell ref="B219:B221"/>
    <mergeCell ref="C219:J219"/>
    <mergeCell ref="K219:M219"/>
    <mergeCell ref="N219:N221"/>
    <mergeCell ref="C220:C221"/>
    <mergeCell ref="D220:D221"/>
    <mergeCell ref="K220:K221"/>
    <mergeCell ref="L220:L221"/>
    <mergeCell ref="M220:M221"/>
    <mergeCell ref="B231:B234"/>
    <mergeCell ref="B222:B225"/>
    <mergeCell ref="B227:N227"/>
    <mergeCell ref="B228:B230"/>
    <mergeCell ref="C228:J228"/>
    <mergeCell ref="K228:M228"/>
    <mergeCell ref="N228:N230"/>
    <mergeCell ref="C229:C230"/>
    <mergeCell ref="D229:D230"/>
    <mergeCell ref="K229:K230"/>
    <mergeCell ref="L229:L230"/>
    <mergeCell ref="M229:M230"/>
    <mergeCell ref="B245:N245"/>
    <mergeCell ref="B246:B248"/>
    <mergeCell ref="C246:J246"/>
    <mergeCell ref="K246:M246"/>
    <mergeCell ref="N246:N248"/>
    <mergeCell ref="C247:C248"/>
    <mergeCell ref="D247:D248"/>
    <mergeCell ref="K247:K248"/>
    <mergeCell ref="L247:L248"/>
    <mergeCell ref="M247:M248"/>
    <mergeCell ref="B258:B261"/>
    <mergeCell ref="B249:B252"/>
    <mergeCell ref="B254:N254"/>
    <mergeCell ref="B255:B257"/>
    <mergeCell ref="C255:J255"/>
    <mergeCell ref="K255:M255"/>
    <mergeCell ref="N255:N257"/>
    <mergeCell ref="C256:C257"/>
    <mergeCell ref="D256:D257"/>
    <mergeCell ref="K256:K257"/>
    <mergeCell ref="L256:L257"/>
    <mergeCell ref="M256:M257"/>
    <mergeCell ref="B290:N290"/>
    <mergeCell ref="B291:B293"/>
    <mergeCell ref="C291:J291"/>
    <mergeCell ref="K291:M291"/>
    <mergeCell ref="N291:N293"/>
    <mergeCell ref="C292:C293"/>
    <mergeCell ref="D292:D293"/>
    <mergeCell ref="K292:K293"/>
    <mergeCell ref="L292:L293"/>
    <mergeCell ref="M292:M293"/>
    <mergeCell ref="B294:B297"/>
    <mergeCell ref="B299:N299"/>
    <mergeCell ref="B300:B302"/>
    <mergeCell ref="C300:J300"/>
    <mergeCell ref="K300:M300"/>
    <mergeCell ref="N300:N302"/>
    <mergeCell ref="C301:C302"/>
    <mergeCell ref="D301:D302"/>
    <mergeCell ref="K301:K302"/>
    <mergeCell ref="L301:L302"/>
    <mergeCell ref="M301:M302"/>
    <mergeCell ref="K319:K320"/>
    <mergeCell ref="L319:L320"/>
    <mergeCell ref="M319:M320"/>
    <mergeCell ref="B303:B306"/>
    <mergeCell ref="B308:N308"/>
    <mergeCell ref="B309:B311"/>
    <mergeCell ref="C309:J309"/>
    <mergeCell ref="K309:M309"/>
    <mergeCell ref="N309:N311"/>
    <mergeCell ref="C310:C311"/>
    <mergeCell ref="D310:D311"/>
    <mergeCell ref="K310:K311"/>
    <mergeCell ref="L310:L311"/>
    <mergeCell ref="M310:M311"/>
    <mergeCell ref="B330:B333"/>
    <mergeCell ref="V7:Y7"/>
    <mergeCell ref="V8:X8"/>
    <mergeCell ref="V9:X9"/>
    <mergeCell ref="V10:X10"/>
    <mergeCell ref="B321:B324"/>
    <mergeCell ref="B326:N326"/>
    <mergeCell ref="B327:B329"/>
    <mergeCell ref="C327:J327"/>
    <mergeCell ref="K327:M327"/>
    <mergeCell ref="N327:N329"/>
    <mergeCell ref="C328:C329"/>
    <mergeCell ref="D328:D329"/>
    <mergeCell ref="K328:K329"/>
    <mergeCell ref="L328:L329"/>
    <mergeCell ref="M328:M329"/>
    <mergeCell ref="B312:B315"/>
    <mergeCell ref="B317:N317"/>
    <mergeCell ref="B318:B320"/>
    <mergeCell ref="C318:J318"/>
    <mergeCell ref="K318:M318"/>
    <mergeCell ref="N318:N320"/>
    <mergeCell ref="C319:C320"/>
    <mergeCell ref="D319:D320"/>
    <mergeCell ref="B366:B369"/>
    <mergeCell ref="B362:N362"/>
    <mergeCell ref="B363:B365"/>
    <mergeCell ref="C363:J363"/>
    <mergeCell ref="K363:M363"/>
    <mergeCell ref="N363:N365"/>
    <mergeCell ref="C364:C365"/>
    <mergeCell ref="D364:D365"/>
    <mergeCell ref="K364:K365"/>
    <mergeCell ref="L364:L365"/>
    <mergeCell ref="M364:M365"/>
    <mergeCell ref="B371:N371"/>
    <mergeCell ref="B372:B374"/>
    <mergeCell ref="C372:J372"/>
    <mergeCell ref="K372:M372"/>
    <mergeCell ref="N372:N374"/>
    <mergeCell ref="C373:C374"/>
    <mergeCell ref="D373:D374"/>
    <mergeCell ref="K373:K374"/>
    <mergeCell ref="L373:L374"/>
    <mergeCell ref="M373:M374"/>
    <mergeCell ref="B384:B387"/>
    <mergeCell ref="B375:B378"/>
    <mergeCell ref="B380:N380"/>
    <mergeCell ref="B381:B383"/>
    <mergeCell ref="C381:J381"/>
    <mergeCell ref="K381:M381"/>
    <mergeCell ref="N381:N383"/>
    <mergeCell ref="C382:C383"/>
    <mergeCell ref="D382:D383"/>
    <mergeCell ref="K382:K383"/>
    <mergeCell ref="L382:L383"/>
    <mergeCell ref="M382:M383"/>
    <mergeCell ref="B393:B396"/>
    <mergeCell ref="B389:N389"/>
    <mergeCell ref="B390:B392"/>
    <mergeCell ref="C390:J390"/>
    <mergeCell ref="K390:M390"/>
    <mergeCell ref="N390:N392"/>
    <mergeCell ref="C391:C392"/>
    <mergeCell ref="D391:D392"/>
    <mergeCell ref="K391:K392"/>
    <mergeCell ref="L391:L392"/>
    <mergeCell ref="M391:M392"/>
    <mergeCell ref="B398:N398"/>
    <mergeCell ref="B399:B401"/>
    <mergeCell ref="C399:J399"/>
    <mergeCell ref="K399:M399"/>
    <mergeCell ref="N399:N401"/>
    <mergeCell ref="C400:C401"/>
    <mergeCell ref="D400:D401"/>
    <mergeCell ref="K400:K401"/>
    <mergeCell ref="L400:L401"/>
    <mergeCell ref="M400:M401"/>
    <mergeCell ref="B411:B414"/>
    <mergeCell ref="B402:B405"/>
    <mergeCell ref="B407:N407"/>
    <mergeCell ref="B408:B410"/>
    <mergeCell ref="C408:J408"/>
    <mergeCell ref="K408:M408"/>
    <mergeCell ref="N408:N410"/>
    <mergeCell ref="C409:C410"/>
    <mergeCell ref="D409:D410"/>
    <mergeCell ref="K409:K410"/>
    <mergeCell ref="L409:L410"/>
    <mergeCell ref="M409:M410"/>
    <mergeCell ref="B434:N434"/>
    <mergeCell ref="B435:B437"/>
    <mergeCell ref="C435:J435"/>
    <mergeCell ref="K435:M435"/>
    <mergeCell ref="N435:N437"/>
    <mergeCell ref="C436:C437"/>
    <mergeCell ref="D436:D437"/>
    <mergeCell ref="K436:K437"/>
    <mergeCell ref="L436:L437"/>
    <mergeCell ref="M436:M437"/>
    <mergeCell ref="B447:B450"/>
    <mergeCell ref="B438:B441"/>
    <mergeCell ref="B443:N443"/>
    <mergeCell ref="B444:B446"/>
    <mergeCell ref="C444:J444"/>
    <mergeCell ref="K444:M444"/>
    <mergeCell ref="N444:N446"/>
    <mergeCell ref="C445:C446"/>
    <mergeCell ref="D445:D446"/>
    <mergeCell ref="K445:K446"/>
    <mergeCell ref="L445:L446"/>
    <mergeCell ref="M445:M446"/>
    <mergeCell ref="B470:N470"/>
    <mergeCell ref="B471:B473"/>
    <mergeCell ref="C471:J471"/>
    <mergeCell ref="K471:M471"/>
    <mergeCell ref="N471:N473"/>
    <mergeCell ref="C472:C473"/>
    <mergeCell ref="D472:D473"/>
    <mergeCell ref="K472:K473"/>
    <mergeCell ref="L472:L473"/>
    <mergeCell ref="M472:M473"/>
    <mergeCell ref="B474:B477"/>
    <mergeCell ref="B479:N479"/>
    <mergeCell ref="B480:B482"/>
    <mergeCell ref="C480:J480"/>
    <mergeCell ref="K480:M480"/>
    <mergeCell ref="N480:N482"/>
    <mergeCell ref="C481:C482"/>
    <mergeCell ref="D481:D482"/>
    <mergeCell ref="K481:K482"/>
    <mergeCell ref="L481:L482"/>
    <mergeCell ref="M481:M482"/>
    <mergeCell ref="B492:B495"/>
    <mergeCell ref="B483:B486"/>
    <mergeCell ref="B488:N488"/>
    <mergeCell ref="B489:B491"/>
    <mergeCell ref="C489:J489"/>
    <mergeCell ref="K489:M489"/>
    <mergeCell ref="N489:N491"/>
    <mergeCell ref="C490:C491"/>
    <mergeCell ref="D490:D491"/>
    <mergeCell ref="K490:K491"/>
    <mergeCell ref="L490:L491"/>
    <mergeCell ref="M490:M491"/>
  </mergeCells>
  <phoneticPr fontId="25" type="noConversion"/>
  <conditionalFormatting sqref="B6:B9 B15:B18 B24:B27 B33:B36 B42:B45">
    <cfRule type="duplicateValues" dxfId="843" priority="1084"/>
  </conditionalFormatting>
  <conditionalFormatting sqref="B51:B54">
    <cfRule type="duplicateValues" dxfId="842" priority="1083"/>
  </conditionalFormatting>
  <conditionalFormatting sqref="B60:B63">
    <cfRule type="duplicateValues" dxfId="841" priority="1082"/>
  </conditionalFormatting>
  <conditionalFormatting sqref="B69:B72">
    <cfRule type="duplicateValues" dxfId="840" priority="1081"/>
  </conditionalFormatting>
  <conditionalFormatting sqref="B78:B81">
    <cfRule type="duplicateValues" dxfId="839" priority="1080"/>
  </conditionalFormatting>
  <conditionalFormatting sqref="B87:B90">
    <cfRule type="duplicateValues" dxfId="838" priority="1079"/>
  </conditionalFormatting>
  <conditionalFormatting sqref="B96:B99">
    <cfRule type="duplicateValues" dxfId="837" priority="1078"/>
  </conditionalFormatting>
  <conditionalFormatting sqref="B105:B108">
    <cfRule type="duplicateValues" dxfId="836" priority="1077"/>
  </conditionalFormatting>
  <conditionalFormatting sqref="B114:B117">
    <cfRule type="duplicateValues" dxfId="835" priority="1076"/>
  </conditionalFormatting>
  <conditionalFormatting sqref="B123:B126">
    <cfRule type="duplicateValues" dxfId="834" priority="1075"/>
  </conditionalFormatting>
  <conditionalFormatting sqref="B132:B135">
    <cfRule type="duplicateValues" dxfId="833" priority="1074"/>
  </conditionalFormatting>
  <conditionalFormatting sqref="B141:B144">
    <cfRule type="duplicateValues" dxfId="832" priority="1085"/>
  </conditionalFormatting>
  <conditionalFormatting sqref="B150:B153">
    <cfRule type="duplicateValues" dxfId="831" priority="1008"/>
  </conditionalFormatting>
  <conditionalFormatting sqref="B159:B162">
    <cfRule type="duplicateValues" dxfId="830" priority="989"/>
  </conditionalFormatting>
  <conditionalFormatting sqref="B168:B171">
    <cfRule type="duplicateValues" dxfId="829" priority="957"/>
  </conditionalFormatting>
  <conditionalFormatting sqref="B177:B180">
    <cfRule type="duplicateValues" dxfId="828" priority="934"/>
  </conditionalFormatting>
  <conditionalFormatting sqref="B186:B189">
    <cfRule type="duplicateValues" dxfId="827" priority="911"/>
  </conditionalFormatting>
  <conditionalFormatting sqref="B195:B198">
    <cfRule type="duplicateValues" dxfId="826" priority="888"/>
  </conditionalFormatting>
  <conditionalFormatting sqref="B204:B207">
    <cfRule type="duplicateValues" dxfId="825" priority="865"/>
  </conditionalFormatting>
  <conditionalFormatting sqref="B213:B216">
    <cfRule type="duplicateValues" dxfId="824" priority="840"/>
  </conditionalFormatting>
  <conditionalFormatting sqref="B222:B225">
    <cfRule type="duplicateValues" dxfId="823" priority="821"/>
  </conditionalFormatting>
  <conditionalFormatting sqref="B231:B234">
    <cfRule type="duplicateValues" dxfId="822" priority="783"/>
  </conditionalFormatting>
  <conditionalFormatting sqref="B240:B243">
    <cfRule type="duplicateValues" dxfId="821" priority="764"/>
  </conditionalFormatting>
  <conditionalFormatting sqref="B249:B252">
    <cfRule type="duplicateValues" dxfId="820" priority="632"/>
  </conditionalFormatting>
  <conditionalFormatting sqref="B258:B261">
    <cfRule type="duplicateValues" dxfId="819" priority="620"/>
  </conditionalFormatting>
  <conditionalFormatting sqref="B267:B270">
    <cfRule type="duplicateValues" dxfId="818" priority="710"/>
  </conditionalFormatting>
  <conditionalFormatting sqref="B276:B279">
    <cfRule type="duplicateValues" dxfId="817" priority="692"/>
  </conditionalFormatting>
  <conditionalFormatting sqref="B285:B288">
    <cfRule type="duplicateValues" dxfId="816" priority="650"/>
  </conditionalFormatting>
  <conditionalFormatting sqref="B294:B297">
    <cfRule type="duplicateValues" dxfId="815" priority="578"/>
  </conditionalFormatting>
  <conditionalFormatting sqref="B303:B306">
    <cfRule type="duplicateValues" dxfId="814" priority="560"/>
  </conditionalFormatting>
  <conditionalFormatting sqref="B312:B315">
    <cfRule type="duplicateValues" dxfId="813" priority="542"/>
  </conditionalFormatting>
  <conditionalFormatting sqref="B321:B324">
    <cfRule type="duplicateValues" dxfId="812" priority="524"/>
  </conditionalFormatting>
  <conditionalFormatting sqref="B330:B333">
    <cfRule type="duplicateValues" dxfId="811" priority="506"/>
  </conditionalFormatting>
  <conditionalFormatting sqref="B339:B342">
    <cfRule type="duplicateValues" dxfId="810" priority="468"/>
  </conditionalFormatting>
  <conditionalFormatting sqref="B348:B351">
    <cfRule type="duplicateValues" dxfId="809" priority="449"/>
  </conditionalFormatting>
  <conditionalFormatting sqref="B357:B360">
    <cfRule type="duplicateValues" dxfId="808" priority="430"/>
  </conditionalFormatting>
  <conditionalFormatting sqref="B366:B369">
    <cfRule type="duplicateValues" dxfId="807" priority="411"/>
  </conditionalFormatting>
  <conditionalFormatting sqref="B375:B378">
    <cfRule type="duplicateValues" dxfId="806" priority="393"/>
  </conditionalFormatting>
  <conditionalFormatting sqref="B384:B387">
    <cfRule type="duplicateValues" dxfId="805" priority="375"/>
  </conditionalFormatting>
  <conditionalFormatting sqref="B393:B396">
    <cfRule type="duplicateValues" dxfId="804" priority="354"/>
  </conditionalFormatting>
  <conditionalFormatting sqref="B402:B405">
    <cfRule type="duplicateValues" dxfId="803" priority="334"/>
  </conditionalFormatting>
  <conditionalFormatting sqref="B411:B414">
    <cfRule type="duplicateValues" dxfId="802" priority="311"/>
  </conditionalFormatting>
  <conditionalFormatting sqref="B420:B423">
    <cfRule type="duplicateValues" dxfId="801" priority="290"/>
  </conditionalFormatting>
  <conditionalFormatting sqref="B429:B432">
    <cfRule type="duplicateValues" dxfId="800" priority="270"/>
  </conditionalFormatting>
  <conditionalFormatting sqref="B438:B441">
    <cfRule type="duplicateValues" dxfId="799" priority="250"/>
  </conditionalFormatting>
  <conditionalFormatting sqref="B447:B450">
    <cfRule type="duplicateValues" dxfId="798" priority="230"/>
  </conditionalFormatting>
  <conditionalFormatting sqref="B456:B459">
    <cfRule type="duplicateValues" dxfId="797" priority="204"/>
  </conditionalFormatting>
  <conditionalFormatting sqref="B465:B468">
    <cfRule type="duplicateValues" dxfId="796" priority="184"/>
  </conditionalFormatting>
  <conditionalFormatting sqref="B474:B477">
    <cfRule type="duplicateValues" dxfId="795" priority="164"/>
  </conditionalFormatting>
  <conditionalFormatting sqref="B483:B486">
    <cfRule type="duplicateValues" dxfId="794" priority="144"/>
  </conditionalFormatting>
  <conditionalFormatting sqref="B492:B495">
    <cfRule type="duplicateValues" dxfId="793" priority="124"/>
  </conditionalFormatting>
  <conditionalFormatting sqref="B501:B504">
    <cfRule type="duplicateValues" dxfId="792" priority="104"/>
  </conditionalFormatting>
  <conditionalFormatting sqref="B510:B513">
    <cfRule type="duplicateValues" dxfId="791" priority="94"/>
  </conditionalFormatting>
  <conditionalFormatting sqref="B519:B522">
    <cfRule type="duplicateValues" dxfId="790" priority="84"/>
  </conditionalFormatting>
  <conditionalFormatting sqref="B528:B531">
    <cfRule type="duplicateValues" dxfId="789" priority="74"/>
  </conditionalFormatting>
  <conditionalFormatting sqref="B537:B540">
    <cfRule type="duplicateValues" dxfId="788" priority="64"/>
  </conditionalFormatting>
  <conditionalFormatting sqref="E123">
    <cfRule type="cellIs" dxfId="787" priority="1049" operator="lessThan">
      <formula>63.71</formula>
    </cfRule>
  </conditionalFormatting>
  <conditionalFormatting sqref="E124">
    <cfRule type="cellIs" dxfId="786" priority="1045" operator="lessThan">
      <formula>15.29</formula>
    </cfRule>
  </conditionalFormatting>
  <conditionalFormatting sqref="E125">
    <cfRule type="cellIs" dxfId="785" priority="1041" operator="lessThan">
      <formula>63.71</formula>
    </cfRule>
  </conditionalFormatting>
  <conditionalFormatting sqref="E126">
    <cfRule type="cellIs" dxfId="784" priority="1037" operator="lessThan">
      <formula>15.29</formula>
    </cfRule>
  </conditionalFormatting>
  <conditionalFormatting sqref="E132 E141">
    <cfRule type="cellIs" dxfId="783" priority="1073" operator="lessThan">
      <formula>63.71</formula>
    </cfRule>
  </conditionalFormatting>
  <conditionalFormatting sqref="E132:E135 E141:E144">
    <cfRule type="cellIs" dxfId="782" priority="1067" operator="lessThan">
      <formula>63.71</formula>
    </cfRule>
  </conditionalFormatting>
  <conditionalFormatting sqref="E133">
    <cfRule type="cellIs" dxfId="781" priority="1063" operator="lessThan">
      <formula>15.29</formula>
    </cfRule>
  </conditionalFormatting>
  <conditionalFormatting sqref="E134">
    <cfRule type="cellIs" dxfId="780" priority="1057" operator="lessThan">
      <formula>63.71</formula>
    </cfRule>
    <cfRule type="cellIs" dxfId="779" priority="1059" operator="lessThan">
      <formula>63.71</formula>
    </cfRule>
  </conditionalFormatting>
  <conditionalFormatting sqref="E135">
    <cfRule type="cellIs" dxfId="778" priority="1053" operator="lessThan">
      <formula>15.29</formula>
    </cfRule>
  </conditionalFormatting>
  <conditionalFormatting sqref="E142">
    <cfRule type="cellIs" dxfId="777" priority="1022" operator="lessThan">
      <formula>15.29</formula>
    </cfRule>
  </conditionalFormatting>
  <conditionalFormatting sqref="E143">
    <cfRule type="cellIs" dxfId="776" priority="1018" operator="lessThan">
      <formula>63.71</formula>
    </cfRule>
    <cfRule type="cellIs" dxfId="775" priority="1016" operator="lessThan">
      <formula>63.71</formula>
    </cfRule>
  </conditionalFormatting>
  <conditionalFormatting sqref="E144">
    <cfRule type="cellIs" dxfId="774" priority="1012" operator="lessThan">
      <formula>15.29</formula>
    </cfRule>
  </conditionalFormatting>
  <conditionalFormatting sqref="E150">
    <cfRule type="cellIs" dxfId="773" priority="1007" operator="lessThan">
      <formula>63.71</formula>
    </cfRule>
  </conditionalFormatting>
  <conditionalFormatting sqref="E150:E153">
    <cfRule type="cellIs" dxfId="772" priority="1005" operator="lessThan">
      <formula>63.71</formula>
    </cfRule>
  </conditionalFormatting>
  <conditionalFormatting sqref="E151">
    <cfRule type="cellIs" dxfId="771" priority="1003" operator="lessThan">
      <formula>15.29</formula>
    </cfRule>
  </conditionalFormatting>
  <conditionalFormatting sqref="E152">
    <cfRule type="cellIs" dxfId="770" priority="997" operator="lessThan">
      <formula>63.71</formula>
    </cfRule>
    <cfRule type="cellIs" dxfId="769" priority="999" operator="lessThan">
      <formula>63.71</formula>
    </cfRule>
  </conditionalFormatting>
  <conditionalFormatting sqref="E153">
    <cfRule type="cellIs" dxfId="768" priority="993" operator="lessThan">
      <formula>15.29</formula>
    </cfRule>
  </conditionalFormatting>
  <conditionalFormatting sqref="E159">
    <cfRule type="cellIs" dxfId="767" priority="988" operator="lessThan">
      <formula>63.71</formula>
    </cfRule>
  </conditionalFormatting>
  <conditionalFormatting sqref="E159:E161">
    <cfRule type="cellIs" dxfId="766" priority="970" operator="lessThan">
      <formula>63.71</formula>
    </cfRule>
  </conditionalFormatting>
  <conditionalFormatting sqref="E160">
    <cfRule type="cellIs" dxfId="765" priority="968" operator="lessThan">
      <formula>15.29</formula>
    </cfRule>
  </conditionalFormatting>
  <conditionalFormatting sqref="E161">
    <cfRule type="cellIs" dxfId="764" priority="980" operator="lessThan">
      <formula>63.71</formula>
    </cfRule>
  </conditionalFormatting>
  <conditionalFormatting sqref="E161:E162">
    <cfRule type="cellIs" dxfId="763" priority="986" operator="lessThan">
      <formula>63.71</formula>
    </cfRule>
  </conditionalFormatting>
  <conditionalFormatting sqref="E162">
    <cfRule type="cellIs" dxfId="762" priority="974" operator="lessThan">
      <formula>15.29</formula>
    </cfRule>
  </conditionalFormatting>
  <conditionalFormatting sqref="E168">
    <cfRule type="cellIs" dxfId="761" priority="956" operator="lessThan">
      <formula>63.71</formula>
    </cfRule>
  </conditionalFormatting>
  <conditionalFormatting sqref="E168:E170">
    <cfRule type="cellIs" dxfId="760" priority="940" operator="lessThan">
      <formula>63.71</formula>
    </cfRule>
  </conditionalFormatting>
  <conditionalFormatting sqref="E169">
    <cfRule type="cellIs" dxfId="759" priority="938" operator="lessThan">
      <formula>15.29</formula>
    </cfRule>
  </conditionalFormatting>
  <conditionalFormatting sqref="E170">
    <cfRule type="cellIs" dxfId="758" priority="950" operator="lessThan">
      <formula>63.71</formula>
    </cfRule>
  </conditionalFormatting>
  <conditionalFormatting sqref="E170:E171">
    <cfRule type="cellIs" dxfId="757" priority="954" operator="lessThan">
      <formula>63.71</formula>
    </cfRule>
  </conditionalFormatting>
  <conditionalFormatting sqref="E171">
    <cfRule type="cellIs" dxfId="756" priority="944" operator="lessThan">
      <formula>15.29</formula>
    </cfRule>
  </conditionalFormatting>
  <conditionalFormatting sqref="E177">
    <cfRule type="cellIs" dxfId="755" priority="933" operator="lessThan">
      <formula>63.71</formula>
    </cfRule>
  </conditionalFormatting>
  <conditionalFormatting sqref="E177:E179">
    <cfRule type="cellIs" dxfId="754" priority="917" operator="lessThan">
      <formula>63.71</formula>
    </cfRule>
  </conditionalFormatting>
  <conditionalFormatting sqref="E178">
    <cfRule type="cellIs" dxfId="753" priority="915" operator="lessThan">
      <formula>15.29</formula>
    </cfRule>
  </conditionalFormatting>
  <conditionalFormatting sqref="E179">
    <cfRule type="cellIs" dxfId="752" priority="927" operator="lessThan">
      <formula>63.71</formula>
    </cfRule>
  </conditionalFormatting>
  <conditionalFormatting sqref="E179:E180">
    <cfRule type="cellIs" dxfId="751" priority="931" operator="lessThan">
      <formula>63.71</formula>
    </cfRule>
  </conditionalFormatting>
  <conditionalFormatting sqref="E180">
    <cfRule type="cellIs" dxfId="750" priority="921" operator="lessThan">
      <formula>15.29</formula>
    </cfRule>
  </conditionalFormatting>
  <conditionalFormatting sqref="E186">
    <cfRule type="cellIs" dxfId="749" priority="910" operator="lessThan">
      <formula>63.71</formula>
    </cfRule>
  </conditionalFormatting>
  <conditionalFormatting sqref="E186:E188">
    <cfRule type="cellIs" dxfId="748" priority="894" operator="lessThan">
      <formula>63.71</formula>
    </cfRule>
  </conditionalFormatting>
  <conditionalFormatting sqref="E187">
    <cfRule type="cellIs" dxfId="747" priority="892" operator="lessThan">
      <formula>15.29</formula>
    </cfRule>
  </conditionalFormatting>
  <conditionalFormatting sqref="E188">
    <cfRule type="cellIs" dxfId="746" priority="904" operator="lessThan">
      <formula>63.71</formula>
    </cfRule>
  </conditionalFormatting>
  <conditionalFormatting sqref="E188:E189">
    <cfRule type="cellIs" dxfId="745" priority="908" operator="lessThan">
      <formula>63.71</formula>
    </cfRule>
  </conditionalFormatting>
  <conditionalFormatting sqref="E189">
    <cfRule type="cellIs" dxfId="744" priority="898" operator="lessThan">
      <formula>15.29</formula>
    </cfRule>
  </conditionalFormatting>
  <conditionalFormatting sqref="E195">
    <cfRule type="cellIs" dxfId="743" priority="887" operator="lessThan">
      <formula>63.71</formula>
    </cfRule>
  </conditionalFormatting>
  <conditionalFormatting sqref="E195:E197">
    <cfRule type="cellIs" dxfId="742" priority="871" operator="lessThan">
      <formula>63.71</formula>
    </cfRule>
  </conditionalFormatting>
  <conditionalFormatting sqref="E196">
    <cfRule type="cellIs" dxfId="741" priority="869" operator="lessThan">
      <formula>15.29</formula>
    </cfRule>
  </conditionalFormatting>
  <conditionalFormatting sqref="E197">
    <cfRule type="cellIs" dxfId="740" priority="881" operator="lessThan">
      <formula>63.71</formula>
    </cfRule>
  </conditionalFormatting>
  <conditionalFormatting sqref="E197:E198">
    <cfRule type="cellIs" dxfId="739" priority="885" operator="lessThan">
      <formula>63.71</formula>
    </cfRule>
  </conditionalFormatting>
  <conditionalFormatting sqref="E198">
    <cfRule type="cellIs" dxfId="738" priority="875" operator="lessThan">
      <formula>15.29</formula>
    </cfRule>
  </conditionalFormatting>
  <conditionalFormatting sqref="E204">
    <cfRule type="cellIs" dxfId="737" priority="864" operator="lessThan">
      <formula>63.71</formula>
    </cfRule>
  </conditionalFormatting>
  <conditionalFormatting sqref="E204:E206">
    <cfRule type="cellIs" dxfId="736" priority="848" operator="lessThan">
      <formula>63.71</formula>
    </cfRule>
  </conditionalFormatting>
  <conditionalFormatting sqref="E205">
    <cfRule type="cellIs" dxfId="735" priority="846" operator="lessThan">
      <formula>15.29</formula>
    </cfRule>
  </conditionalFormatting>
  <conditionalFormatting sqref="E206">
    <cfRule type="cellIs" dxfId="734" priority="858" operator="lessThan">
      <formula>63.71</formula>
    </cfRule>
  </conditionalFormatting>
  <conditionalFormatting sqref="E206:E207">
    <cfRule type="cellIs" dxfId="733" priority="862" operator="lessThan">
      <formula>63.71</formula>
    </cfRule>
  </conditionalFormatting>
  <conditionalFormatting sqref="E207">
    <cfRule type="cellIs" dxfId="732" priority="852" operator="lessThan">
      <formula>15.29</formula>
    </cfRule>
  </conditionalFormatting>
  <conditionalFormatting sqref="E213">
    <cfRule type="cellIs" dxfId="731" priority="839" operator="lessThan">
      <formula>63.71</formula>
    </cfRule>
  </conditionalFormatting>
  <conditionalFormatting sqref="E213:E215">
    <cfRule type="cellIs" dxfId="730" priority="829" operator="lessThan">
      <formula>63.71</formula>
    </cfRule>
  </conditionalFormatting>
  <conditionalFormatting sqref="E214">
    <cfRule type="cellIs" dxfId="729" priority="827" operator="lessThan">
      <formula>15.29</formula>
    </cfRule>
  </conditionalFormatting>
  <conditionalFormatting sqref="E215">
    <cfRule type="cellIs" dxfId="728" priority="835" operator="lessThan">
      <formula>63.71</formula>
    </cfRule>
  </conditionalFormatting>
  <conditionalFormatting sqref="E215:E216">
    <cfRule type="cellIs" dxfId="727" priority="837" operator="lessThan">
      <formula>63.71</formula>
    </cfRule>
  </conditionalFormatting>
  <conditionalFormatting sqref="E216">
    <cfRule type="cellIs" dxfId="726" priority="831" operator="lessThan">
      <formula>15.29</formula>
    </cfRule>
  </conditionalFormatting>
  <conditionalFormatting sqref="E222">
    <cfRule type="cellIs" dxfId="725" priority="820" operator="lessThan">
      <formula>63.71</formula>
    </cfRule>
  </conditionalFormatting>
  <conditionalFormatting sqref="E222:E224">
    <cfRule type="cellIs" dxfId="724" priority="810" operator="lessThan">
      <formula>63.71</formula>
    </cfRule>
  </conditionalFormatting>
  <conditionalFormatting sqref="E223">
    <cfRule type="cellIs" dxfId="723" priority="808" operator="lessThan">
      <formula>15.29</formula>
    </cfRule>
  </conditionalFormatting>
  <conditionalFormatting sqref="E224">
    <cfRule type="cellIs" dxfId="722" priority="816" operator="lessThan">
      <formula>63.71</formula>
    </cfRule>
  </conditionalFormatting>
  <conditionalFormatting sqref="E224:E225">
    <cfRule type="cellIs" dxfId="721" priority="818" operator="lessThan">
      <formula>63.71</formula>
    </cfRule>
  </conditionalFormatting>
  <conditionalFormatting sqref="E225">
    <cfRule type="cellIs" dxfId="720" priority="812" operator="lessThan">
      <formula>15.29</formula>
    </cfRule>
  </conditionalFormatting>
  <conditionalFormatting sqref="E231">
    <cfRule type="cellIs" dxfId="719" priority="782" operator="lessThan">
      <formula>63.71</formula>
    </cfRule>
  </conditionalFormatting>
  <conditionalFormatting sqref="E231:E233">
    <cfRule type="cellIs" dxfId="718" priority="772" operator="lessThan">
      <formula>63.71</formula>
    </cfRule>
  </conditionalFormatting>
  <conditionalFormatting sqref="E232">
    <cfRule type="cellIs" dxfId="717" priority="770" operator="lessThan">
      <formula>15.29</formula>
    </cfRule>
  </conditionalFormatting>
  <conditionalFormatting sqref="E233">
    <cfRule type="cellIs" dxfId="716" priority="778" operator="lessThan">
      <formula>63.71</formula>
    </cfRule>
  </conditionalFormatting>
  <conditionalFormatting sqref="E233:E234">
    <cfRule type="cellIs" dxfId="715" priority="780" operator="lessThan">
      <formula>63.71</formula>
    </cfRule>
  </conditionalFormatting>
  <conditionalFormatting sqref="E234">
    <cfRule type="cellIs" dxfId="714" priority="774" operator="lessThan">
      <formula>15.29</formula>
    </cfRule>
  </conditionalFormatting>
  <conditionalFormatting sqref="E240">
    <cfRule type="cellIs" dxfId="713" priority="763" operator="lessThan">
      <formula>63.71</formula>
    </cfRule>
  </conditionalFormatting>
  <conditionalFormatting sqref="E240:E242">
    <cfRule type="cellIs" dxfId="712" priority="753" operator="lessThan">
      <formula>63.71</formula>
    </cfRule>
  </conditionalFormatting>
  <conditionalFormatting sqref="E241">
    <cfRule type="cellIs" dxfId="711" priority="751" operator="lessThan">
      <formula>15.29</formula>
    </cfRule>
  </conditionalFormatting>
  <conditionalFormatting sqref="E242">
    <cfRule type="cellIs" dxfId="710" priority="759" operator="lessThan">
      <formula>63.71</formula>
    </cfRule>
  </conditionalFormatting>
  <conditionalFormatting sqref="E242:E243">
    <cfRule type="cellIs" dxfId="709" priority="761" operator="lessThan">
      <formula>63.71</formula>
    </cfRule>
  </conditionalFormatting>
  <conditionalFormatting sqref="E243">
    <cfRule type="cellIs" dxfId="708" priority="755" operator="lessThan">
      <formula>15.29</formula>
    </cfRule>
  </conditionalFormatting>
  <conditionalFormatting sqref="E249">
    <cfRule type="cellIs" dxfId="707" priority="631" operator="lessThan">
      <formula>63.71</formula>
    </cfRule>
  </conditionalFormatting>
  <conditionalFormatting sqref="E249:E251">
    <cfRule type="cellIs" dxfId="706" priority="602" operator="lessThan">
      <formula>63.71</formula>
    </cfRule>
  </conditionalFormatting>
  <conditionalFormatting sqref="E250">
    <cfRule type="cellIs" dxfId="705" priority="600" operator="lessThan">
      <formula>15.29</formula>
    </cfRule>
  </conditionalFormatting>
  <conditionalFormatting sqref="E251">
    <cfRule type="cellIs" dxfId="704" priority="627" operator="lessThan">
      <formula>63.71</formula>
    </cfRule>
  </conditionalFormatting>
  <conditionalFormatting sqref="E251:E252">
    <cfRule type="cellIs" dxfId="703" priority="629" operator="lessThan">
      <formula>63.71</formula>
    </cfRule>
  </conditionalFormatting>
  <conditionalFormatting sqref="E252">
    <cfRule type="cellIs" dxfId="702" priority="623" operator="lessThan">
      <formula>15.29</formula>
    </cfRule>
  </conditionalFormatting>
  <conditionalFormatting sqref="E258">
    <cfRule type="cellIs" dxfId="701" priority="619" operator="lessThan">
      <formula>63.71</formula>
    </cfRule>
  </conditionalFormatting>
  <conditionalFormatting sqref="E258:E260">
    <cfRule type="cellIs" dxfId="700" priority="609" operator="lessThan">
      <formula>63.71</formula>
    </cfRule>
  </conditionalFormatting>
  <conditionalFormatting sqref="E259">
    <cfRule type="cellIs" dxfId="699" priority="607" operator="lessThan">
      <formula>15.29</formula>
    </cfRule>
  </conditionalFormatting>
  <conditionalFormatting sqref="E260">
    <cfRule type="cellIs" dxfId="698" priority="615" operator="lessThan">
      <formula>63.71</formula>
    </cfRule>
  </conditionalFormatting>
  <conditionalFormatting sqref="E260:E261">
    <cfRule type="cellIs" dxfId="697" priority="617" operator="lessThan">
      <formula>63.71</formula>
    </cfRule>
  </conditionalFormatting>
  <conditionalFormatting sqref="E261">
    <cfRule type="cellIs" dxfId="696" priority="611" operator="lessThan">
      <formula>15.29</formula>
    </cfRule>
  </conditionalFormatting>
  <conditionalFormatting sqref="E267">
    <cfRule type="cellIs" dxfId="695" priority="709" operator="lessThan">
      <formula>63.71</formula>
    </cfRule>
  </conditionalFormatting>
  <conditionalFormatting sqref="E267:E269">
    <cfRule type="cellIs" dxfId="694" priority="699" operator="lessThan">
      <formula>63.71</formula>
    </cfRule>
  </conditionalFormatting>
  <conditionalFormatting sqref="E268">
    <cfRule type="cellIs" dxfId="693" priority="697" operator="lessThan">
      <formula>15.29</formula>
    </cfRule>
  </conditionalFormatting>
  <conditionalFormatting sqref="E269">
    <cfRule type="cellIs" dxfId="692" priority="705" operator="lessThan">
      <formula>63.71</formula>
    </cfRule>
  </conditionalFormatting>
  <conditionalFormatting sqref="E269:E270">
    <cfRule type="cellIs" dxfId="691" priority="707" operator="lessThan">
      <formula>63.71</formula>
    </cfRule>
  </conditionalFormatting>
  <conditionalFormatting sqref="E270">
    <cfRule type="cellIs" dxfId="690" priority="701" operator="lessThan">
      <formula>15.29</formula>
    </cfRule>
  </conditionalFormatting>
  <conditionalFormatting sqref="E276">
    <cfRule type="cellIs" dxfId="689" priority="691" operator="lessThan">
      <formula>63.71</formula>
    </cfRule>
  </conditionalFormatting>
  <conditionalFormatting sqref="E276:E278">
    <cfRule type="cellIs" dxfId="688" priority="681" operator="lessThan">
      <formula>63.71</formula>
    </cfRule>
  </conditionalFormatting>
  <conditionalFormatting sqref="E277">
    <cfRule type="cellIs" dxfId="687" priority="679" operator="lessThan">
      <formula>15.29</formula>
    </cfRule>
  </conditionalFormatting>
  <conditionalFormatting sqref="E278">
    <cfRule type="cellIs" dxfId="686" priority="687" operator="lessThan">
      <formula>63.71</formula>
    </cfRule>
  </conditionalFormatting>
  <conditionalFormatting sqref="E278:E279">
    <cfRule type="cellIs" dxfId="685" priority="689" operator="lessThan">
      <formula>63.71</formula>
    </cfRule>
  </conditionalFormatting>
  <conditionalFormatting sqref="E279">
    <cfRule type="cellIs" dxfId="684" priority="683" operator="lessThan">
      <formula>15.29</formula>
    </cfRule>
  </conditionalFormatting>
  <conditionalFormatting sqref="E285">
    <cfRule type="cellIs" dxfId="683" priority="649" operator="lessThan">
      <formula>63.71</formula>
    </cfRule>
  </conditionalFormatting>
  <conditionalFormatting sqref="E285:E287">
    <cfRule type="cellIs" dxfId="682" priority="639" operator="lessThan">
      <formula>63.71</formula>
    </cfRule>
  </conditionalFormatting>
  <conditionalFormatting sqref="E286">
    <cfRule type="cellIs" dxfId="681" priority="637" operator="lessThan">
      <formula>15.29</formula>
    </cfRule>
  </conditionalFormatting>
  <conditionalFormatting sqref="E287">
    <cfRule type="cellIs" dxfId="680" priority="645" operator="lessThan">
      <formula>63.71</formula>
    </cfRule>
  </conditionalFormatting>
  <conditionalFormatting sqref="E287:E288">
    <cfRule type="cellIs" dxfId="679" priority="647" operator="lessThan">
      <formula>63.71</formula>
    </cfRule>
  </conditionalFormatting>
  <conditionalFormatting sqref="E288">
    <cfRule type="cellIs" dxfId="678" priority="641" operator="lessThan">
      <formula>15.29</formula>
    </cfRule>
  </conditionalFormatting>
  <conditionalFormatting sqref="E294">
    <cfRule type="cellIs" dxfId="677" priority="577" operator="lessThan">
      <formula>63.71</formula>
    </cfRule>
  </conditionalFormatting>
  <conditionalFormatting sqref="E294:E296">
    <cfRule type="cellIs" dxfId="676" priority="567" operator="lessThan">
      <formula>63.71</formula>
    </cfRule>
  </conditionalFormatting>
  <conditionalFormatting sqref="E295">
    <cfRule type="cellIs" dxfId="675" priority="565" operator="lessThan">
      <formula>15.29</formula>
    </cfRule>
  </conditionalFormatting>
  <conditionalFormatting sqref="E296">
    <cfRule type="cellIs" dxfId="674" priority="573" operator="lessThan">
      <formula>63.71</formula>
    </cfRule>
  </conditionalFormatting>
  <conditionalFormatting sqref="E296:E297">
    <cfRule type="cellIs" dxfId="673" priority="575" operator="lessThan">
      <formula>63.71</formula>
    </cfRule>
  </conditionalFormatting>
  <conditionalFormatting sqref="E297">
    <cfRule type="cellIs" dxfId="672" priority="569" operator="lessThan">
      <formula>15.29</formula>
    </cfRule>
  </conditionalFormatting>
  <conditionalFormatting sqref="E303">
    <cfRule type="cellIs" dxfId="671" priority="559" operator="lessThan">
      <formula>63.71</formula>
    </cfRule>
  </conditionalFormatting>
  <conditionalFormatting sqref="E303:E305">
    <cfRule type="cellIs" dxfId="670" priority="549" operator="lessThan">
      <formula>63.71</formula>
    </cfRule>
  </conditionalFormatting>
  <conditionalFormatting sqref="E304">
    <cfRule type="cellIs" dxfId="669" priority="547" operator="lessThan">
      <formula>15.29</formula>
    </cfRule>
  </conditionalFormatting>
  <conditionalFormatting sqref="E305">
    <cfRule type="cellIs" dxfId="668" priority="555" operator="lessThan">
      <formula>63.71</formula>
    </cfRule>
  </conditionalFormatting>
  <conditionalFormatting sqref="E305:E306">
    <cfRule type="cellIs" dxfId="667" priority="557" operator="lessThan">
      <formula>63.71</formula>
    </cfRule>
  </conditionalFormatting>
  <conditionalFormatting sqref="E306">
    <cfRule type="cellIs" dxfId="666" priority="551" operator="lessThan">
      <formula>15.29</formula>
    </cfRule>
  </conditionalFormatting>
  <conditionalFormatting sqref="E312">
    <cfRule type="cellIs" dxfId="665" priority="541" operator="lessThan">
      <formula>63.71</formula>
    </cfRule>
  </conditionalFormatting>
  <conditionalFormatting sqref="E312:E314">
    <cfRule type="cellIs" dxfId="664" priority="531" operator="lessThan">
      <formula>63.71</formula>
    </cfRule>
  </conditionalFormatting>
  <conditionalFormatting sqref="E313">
    <cfRule type="cellIs" dxfId="663" priority="529" operator="lessThan">
      <formula>15.29</formula>
    </cfRule>
  </conditionalFormatting>
  <conditionalFormatting sqref="E314">
    <cfRule type="cellIs" dxfId="662" priority="537" operator="lessThan">
      <formula>63.71</formula>
    </cfRule>
  </conditionalFormatting>
  <conditionalFormatting sqref="E314:E315">
    <cfRule type="cellIs" dxfId="661" priority="539" operator="lessThan">
      <formula>63.71</formula>
    </cfRule>
  </conditionalFormatting>
  <conditionalFormatting sqref="E315">
    <cfRule type="cellIs" dxfId="660" priority="533" operator="lessThan">
      <formula>15.29</formula>
    </cfRule>
  </conditionalFormatting>
  <conditionalFormatting sqref="E321">
    <cfRule type="cellIs" dxfId="659" priority="523" operator="lessThan">
      <formula>63.71</formula>
    </cfRule>
  </conditionalFormatting>
  <conditionalFormatting sqref="E321:E323">
    <cfRule type="cellIs" dxfId="658" priority="513" operator="lessThan">
      <formula>63.71</formula>
    </cfRule>
  </conditionalFormatting>
  <conditionalFormatting sqref="E322">
    <cfRule type="cellIs" dxfId="657" priority="511" operator="lessThan">
      <formula>15.29</formula>
    </cfRule>
  </conditionalFormatting>
  <conditionalFormatting sqref="E323">
    <cfRule type="cellIs" dxfId="656" priority="519" operator="lessThan">
      <formula>63.71</formula>
    </cfRule>
  </conditionalFormatting>
  <conditionalFormatting sqref="E323:E324">
    <cfRule type="cellIs" dxfId="655" priority="521" operator="lessThan">
      <formula>63.71</formula>
    </cfRule>
  </conditionalFormatting>
  <conditionalFormatting sqref="E324">
    <cfRule type="cellIs" dxfId="654" priority="515" operator="lessThan">
      <formula>15.29</formula>
    </cfRule>
  </conditionalFormatting>
  <conditionalFormatting sqref="E330 E332">
    <cfRule type="cellIs" dxfId="653" priority="478" operator="lessThan">
      <formula>63.71</formula>
    </cfRule>
  </conditionalFormatting>
  <conditionalFormatting sqref="E330">
    <cfRule type="cellIs" dxfId="652" priority="488" operator="lessThan">
      <formula>63.71</formula>
    </cfRule>
  </conditionalFormatting>
  <conditionalFormatting sqref="E331">
    <cfRule type="cellIs" dxfId="651" priority="470" operator="lessThan">
      <formula>15.29</formula>
    </cfRule>
  </conditionalFormatting>
  <conditionalFormatting sqref="E332">
    <cfRule type="cellIs" dxfId="650" priority="484" operator="lessThan">
      <formula>63.71</formula>
    </cfRule>
  </conditionalFormatting>
  <conditionalFormatting sqref="E332:E333">
    <cfRule type="cellIs" dxfId="649" priority="486" operator="lessThan">
      <formula>63.71</formula>
    </cfRule>
  </conditionalFormatting>
  <conditionalFormatting sqref="E333">
    <cfRule type="cellIs" dxfId="648" priority="480" operator="lessThan">
      <formula>15.29</formula>
    </cfRule>
  </conditionalFormatting>
  <conditionalFormatting sqref="E339 E341">
    <cfRule type="cellIs" dxfId="647" priority="457" operator="lessThan">
      <formula>63.71</formula>
    </cfRule>
  </conditionalFormatting>
  <conditionalFormatting sqref="E339">
    <cfRule type="cellIs" dxfId="646" priority="467" operator="lessThan">
      <formula>63.71</formula>
    </cfRule>
  </conditionalFormatting>
  <conditionalFormatting sqref="E340">
    <cfRule type="cellIs" dxfId="645" priority="451" operator="lessThan">
      <formula>15.29</formula>
    </cfRule>
  </conditionalFormatting>
  <conditionalFormatting sqref="E341">
    <cfRule type="cellIs" dxfId="644" priority="463" operator="lessThan">
      <formula>63.71</formula>
    </cfRule>
  </conditionalFormatting>
  <conditionalFormatting sqref="E341:E342">
    <cfRule type="cellIs" dxfId="643" priority="465" operator="lessThan">
      <formula>63.71</formula>
    </cfRule>
  </conditionalFormatting>
  <conditionalFormatting sqref="E342">
    <cfRule type="cellIs" dxfId="642" priority="459" operator="lessThan">
      <formula>15.29</formula>
    </cfRule>
  </conditionalFormatting>
  <conditionalFormatting sqref="E348 E350">
    <cfRule type="cellIs" dxfId="641" priority="438" operator="lessThan">
      <formula>63.71</formula>
    </cfRule>
  </conditionalFormatting>
  <conditionalFormatting sqref="E348">
    <cfRule type="cellIs" dxfId="640" priority="448" operator="lessThan">
      <formula>63.71</formula>
    </cfRule>
  </conditionalFormatting>
  <conditionalFormatting sqref="E349">
    <cfRule type="cellIs" dxfId="639" priority="432" operator="lessThan">
      <formula>15.29</formula>
    </cfRule>
  </conditionalFormatting>
  <conditionalFormatting sqref="E350">
    <cfRule type="cellIs" dxfId="638" priority="444" operator="lessThan">
      <formula>63.71</formula>
    </cfRule>
  </conditionalFormatting>
  <conditionalFormatting sqref="E350:E351">
    <cfRule type="cellIs" dxfId="637" priority="446" operator="lessThan">
      <formula>63.71</formula>
    </cfRule>
  </conditionalFormatting>
  <conditionalFormatting sqref="E351">
    <cfRule type="cellIs" dxfId="636" priority="440" operator="lessThan">
      <formula>15.29</formula>
    </cfRule>
  </conditionalFormatting>
  <conditionalFormatting sqref="E357 E359">
    <cfRule type="cellIs" dxfId="635" priority="419" operator="lessThan">
      <formula>63.71</formula>
    </cfRule>
  </conditionalFormatting>
  <conditionalFormatting sqref="E357">
    <cfRule type="cellIs" dxfId="634" priority="429" operator="lessThan">
      <formula>63.71</formula>
    </cfRule>
  </conditionalFormatting>
  <conditionalFormatting sqref="E358">
    <cfRule type="cellIs" dxfId="633" priority="413" operator="lessThan">
      <formula>15.29</formula>
    </cfRule>
  </conditionalFormatting>
  <conditionalFormatting sqref="E359">
    <cfRule type="cellIs" dxfId="632" priority="425" operator="lessThan">
      <formula>63.71</formula>
    </cfRule>
  </conditionalFormatting>
  <conditionalFormatting sqref="E359:E360">
    <cfRule type="cellIs" dxfId="631" priority="427" operator="lessThan">
      <formula>63.71</formula>
    </cfRule>
  </conditionalFormatting>
  <conditionalFormatting sqref="E360">
    <cfRule type="cellIs" dxfId="630" priority="421" operator="lessThan">
      <formula>15.29</formula>
    </cfRule>
  </conditionalFormatting>
  <conditionalFormatting sqref="E366 E368">
    <cfRule type="cellIs" dxfId="629" priority="400" operator="lessThan">
      <formula>63.71</formula>
    </cfRule>
  </conditionalFormatting>
  <conditionalFormatting sqref="E366">
    <cfRule type="cellIs" dxfId="628" priority="410" operator="lessThan">
      <formula>63.71</formula>
    </cfRule>
  </conditionalFormatting>
  <conditionalFormatting sqref="E367">
    <cfRule type="cellIs" dxfId="627" priority="395" operator="lessThan">
      <formula>15.29</formula>
    </cfRule>
  </conditionalFormatting>
  <conditionalFormatting sqref="E368">
    <cfRule type="cellIs" dxfId="626" priority="406" operator="lessThan">
      <formula>63.71</formula>
    </cfRule>
  </conditionalFormatting>
  <conditionalFormatting sqref="E368:E369">
    <cfRule type="cellIs" dxfId="625" priority="408" operator="lessThan">
      <formula>63.71</formula>
    </cfRule>
  </conditionalFormatting>
  <conditionalFormatting sqref="E369">
    <cfRule type="cellIs" dxfId="624" priority="402" operator="lessThan">
      <formula>15.29</formula>
    </cfRule>
  </conditionalFormatting>
  <conditionalFormatting sqref="E375 E377">
    <cfRule type="cellIs" dxfId="623" priority="382" operator="lessThan">
      <formula>63.71</formula>
    </cfRule>
  </conditionalFormatting>
  <conditionalFormatting sqref="E375">
    <cfRule type="cellIs" dxfId="622" priority="392" operator="lessThan">
      <formula>63.71</formula>
    </cfRule>
  </conditionalFormatting>
  <conditionalFormatting sqref="E376">
    <cfRule type="cellIs" dxfId="621" priority="377" operator="lessThan">
      <formula>15.29</formula>
    </cfRule>
  </conditionalFormatting>
  <conditionalFormatting sqref="E377">
    <cfRule type="cellIs" dxfId="620" priority="388" operator="lessThan">
      <formula>63.71</formula>
    </cfRule>
  </conditionalFormatting>
  <conditionalFormatting sqref="E377:E378">
    <cfRule type="cellIs" dxfId="619" priority="390" operator="lessThan">
      <formula>63.71</formula>
    </cfRule>
  </conditionalFormatting>
  <conditionalFormatting sqref="E378">
    <cfRule type="cellIs" dxfId="618" priority="384" operator="lessThan">
      <formula>15.29</formula>
    </cfRule>
  </conditionalFormatting>
  <conditionalFormatting sqref="E384 E386">
    <cfRule type="cellIs" dxfId="617" priority="364" operator="lessThan">
      <formula>63.71</formula>
    </cfRule>
  </conditionalFormatting>
  <conditionalFormatting sqref="E384">
    <cfRule type="cellIs" dxfId="616" priority="374" operator="lessThan">
      <formula>63.71</formula>
    </cfRule>
  </conditionalFormatting>
  <conditionalFormatting sqref="E385">
    <cfRule type="cellIs" dxfId="615" priority="359" operator="lessThan">
      <formula>15.29</formula>
    </cfRule>
  </conditionalFormatting>
  <conditionalFormatting sqref="E386">
    <cfRule type="cellIs" dxfId="614" priority="370" operator="lessThan">
      <formula>63.71</formula>
    </cfRule>
  </conditionalFormatting>
  <conditionalFormatting sqref="E386:E387">
    <cfRule type="cellIs" dxfId="613" priority="372" operator="lessThan">
      <formula>63.71</formula>
    </cfRule>
  </conditionalFormatting>
  <conditionalFormatting sqref="E387">
    <cfRule type="cellIs" dxfId="612" priority="366" operator="lessThan">
      <formula>15.29</formula>
    </cfRule>
  </conditionalFormatting>
  <conditionalFormatting sqref="E393 E395">
    <cfRule type="cellIs" dxfId="611" priority="343" operator="lessThan">
      <formula>63.71</formula>
    </cfRule>
  </conditionalFormatting>
  <conditionalFormatting sqref="E393">
    <cfRule type="cellIs" dxfId="610" priority="353" operator="lessThan">
      <formula>63.71</formula>
    </cfRule>
  </conditionalFormatting>
  <conditionalFormatting sqref="E394">
    <cfRule type="cellIs" dxfId="609" priority="339" operator="lessThan">
      <formula>15.29</formula>
    </cfRule>
  </conditionalFormatting>
  <conditionalFormatting sqref="E395">
    <cfRule type="cellIs" dxfId="608" priority="349" operator="lessThan">
      <formula>63.71</formula>
    </cfRule>
  </conditionalFormatting>
  <conditionalFormatting sqref="E395:E396">
    <cfRule type="cellIs" dxfId="607" priority="351" operator="lessThan">
      <formula>63.71</formula>
    </cfRule>
  </conditionalFormatting>
  <conditionalFormatting sqref="E396">
    <cfRule type="cellIs" dxfId="606" priority="345" operator="lessThan">
      <formula>15.29</formula>
    </cfRule>
  </conditionalFormatting>
  <conditionalFormatting sqref="E402 E404">
    <cfRule type="cellIs" dxfId="605" priority="323" operator="lessThan">
      <formula>63.71</formula>
    </cfRule>
  </conditionalFormatting>
  <conditionalFormatting sqref="E402">
    <cfRule type="cellIs" dxfId="604" priority="333" operator="lessThan">
      <formula>63.71</formula>
    </cfRule>
  </conditionalFormatting>
  <conditionalFormatting sqref="E403">
    <cfRule type="cellIs" dxfId="603" priority="314" operator="lessThan">
      <formula>15.29</formula>
    </cfRule>
  </conditionalFormatting>
  <conditionalFormatting sqref="E403:E405">
    <cfRule type="cellIs" dxfId="602" priority="331" operator="lessThan">
      <formula>63.71</formula>
    </cfRule>
  </conditionalFormatting>
  <conditionalFormatting sqref="E404">
    <cfRule type="cellIs" dxfId="601" priority="329" operator="lessThan">
      <formula>63.71</formula>
    </cfRule>
  </conditionalFormatting>
  <conditionalFormatting sqref="E405">
    <cfRule type="cellIs" dxfId="600" priority="325" operator="lessThan">
      <formula>15.29</formula>
    </cfRule>
  </conditionalFormatting>
  <conditionalFormatting sqref="E411 E413">
    <cfRule type="cellIs" dxfId="599" priority="300" operator="lessThan">
      <formula>63.71</formula>
    </cfRule>
  </conditionalFormatting>
  <conditionalFormatting sqref="E411">
    <cfRule type="cellIs" dxfId="598" priority="310" operator="lessThan">
      <formula>63.71</formula>
    </cfRule>
  </conditionalFormatting>
  <conditionalFormatting sqref="E412">
    <cfRule type="cellIs" dxfId="597" priority="293" operator="lessThan">
      <formula>15.29</formula>
    </cfRule>
  </conditionalFormatting>
  <conditionalFormatting sqref="E412:E414">
    <cfRule type="cellIs" dxfId="596" priority="308" operator="lessThan">
      <formula>63.71</formula>
    </cfRule>
  </conditionalFormatting>
  <conditionalFormatting sqref="E413">
    <cfRule type="cellIs" dxfId="595" priority="306" operator="lessThan">
      <formula>63.71</formula>
    </cfRule>
  </conditionalFormatting>
  <conditionalFormatting sqref="E414">
    <cfRule type="cellIs" dxfId="594" priority="302" operator="lessThan">
      <formula>15.29</formula>
    </cfRule>
  </conditionalFormatting>
  <conditionalFormatting sqref="E420 E422">
    <cfRule type="cellIs" dxfId="593" priority="279" operator="lessThan">
      <formula>63.71</formula>
    </cfRule>
  </conditionalFormatting>
  <conditionalFormatting sqref="E420">
    <cfRule type="cellIs" dxfId="592" priority="289" operator="lessThan">
      <formula>63.71</formula>
    </cfRule>
  </conditionalFormatting>
  <conditionalFormatting sqref="E421">
    <cfRule type="cellIs" dxfId="591" priority="273" operator="lessThan">
      <formula>15.29</formula>
    </cfRule>
  </conditionalFormatting>
  <conditionalFormatting sqref="E421:E423">
    <cfRule type="cellIs" dxfId="590" priority="287" operator="lessThan">
      <formula>63.71</formula>
    </cfRule>
  </conditionalFormatting>
  <conditionalFormatting sqref="E422">
    <cfRule type="cellIs" dxfId="589" priority="285" operator="lessThan">
      <formula>63.71</formula>
    </cfRule>
  </conditionalFormatting>
  <conditionalFormatting sqref="E423">
    <cfRule type="cellIs" dxfId="588" priority="281" operator="lessThan">
      <formula>15.29</formula>
    </cfRule>
  </conditionalFormatting>
  <conditionalFormatting sqref="E429 E431">
    <cfRule type="cellIs" dxfId="587" priority="259" operator="lessThan">
      <formula>63.71</formula>
    </cfRule>
  </conditionalFormatting>
  <conditionalFormatting sqref="E429">
    <cfRule type="cellIs" dxfId="586" priority="269" operator="lessThan">
      <formula>63.71</formula>
    </cfRule>
  </conditionalFormatting>
  <conditionalFormatting sqref="E430">
    <cfRule type="cellIs" dxfId="585" priority="253" operator="lessThan">
      <formula>15.29</formula>
    </cfRule>
  </conditionalFormatting>
  <conditionalFormatting sqref="E430:E432">
    <cfRule type="cellIs" dxfId="584" priority="267" operator="lessThan">
      <formula>63.71</formula>
    </cfRule>
  </conditionalFormatting>
  <conditionalFormatting sqref="E431">
    <cfRule type="cellIs" dxfId="583" priority="265" operator="lessThan">
      <formula>63.71</formula>
    </cfRule>
  </conditionalFormatting>
  <conditionalFormatting sqref="E432">
    <cfRule type="cellIs" dxfId="582" priority="261" operator="lessThan">
      <formula>15.29</formula>
    </cfRule>
  </conditionalFormatting>
  <conditionalFormatting sqref="E438">
    <cfRule type="cellIs" dxfId="581" priority="249" operator="lessThan">
      <formula>63.71</formula>
    </cfRule>
  </conditionalFormatting>
  <conditionalFormatting sqref="E438:E441">
    <cfRule type="cellIs" dxfId="580" priority="239" operator="lessThan">
      <formula>63.71</formula>
    </cfRule>
  </conditionalFormatting>
  <conditionalFormatting sqref="E439">
    <cfRule type="cellIs" dxfId="579" priority="233" operator="lessThan">
      <formula>15.29</formula>
    </cfRule>
  </conditionalFormatting>
  <conditionalFormatting sqref="E440">
    <cfRule type="cellIs" dxfId="578" priority="210" operator="lessThan">
      <formula>63.71</formula>
    </cfRule>
  </conditionalFormatting>
  <conditionalFormatting sqref="E441">
    <cfRule type="cellIs" dxfId="577" priority="206" operator="lessThan">
      <formula>15.29</formula>
    </cfRule>
  </conditionalFormatting>
  <conditionalFormatting sqref="E447 E449">
    <cfRule type="cellIs" dxfId="576" priority="219" operator="lessThan">
      <formula>63.71</formula>
    </cfRule>
  </conditionalFormatting>
  <conditionalFormatting sqref="E447">
    <cfRule type="cellIs" dxfId="575" priority="229" operator="lessThan">
      <formula>63.71</formula>
    </cfRule>
  </conditionalFormatting>
  <conditionalFormatting sqref="E448">
    <cfRule type="cellIs" dxfId="574" priority="213" operator="lessThan">
      <formula>15.29</formula>
    </cfRule>
  </conditionalFormatting>
  <conditionalFormatting sqref="E448:E450">
    <cfRule type="cellIs" dxfId="573" priority="227" operator="lessThan">
      <formula>63.71</formula>
    </cfRule>
  </conditionalFormatting>
  <conditionalFormatting sqref="E449">
    <cfRule type="cellIs" dxfId="572" priority="225" operator="lessThan">
      <formula>63.71</formula>
    </cfRule>
  </conditionalFormatting>
  <conditionalFormatting sqref="E450">
    <cfRule type="cellIs" dxfId="571" priority="221" operator="lessThan">
      <formula>15.29</formula>
    </cfRule>
  </conditionalFormatting>
  <conditionalFormatting sqref="E456 E458">
    <cfRule type="cellIs" dxfId="570" priority="193" operator="lessThan">
      <formula>63.71</formula>
    </cfRule>
  </conditionalFormatting>
  <conditionalFormatting sqref="E456">
    <cfRule type="cellIs" dxfId="569" priority="203" operator="lessThan">
      <formula>63.71</formula>
    </cfRule>
  </conditionalFormatting>
  <conditionalFormatting sqref="E457">
    <cfRule type="cellIs" dxfId="568" priority="187" operator="lessThan">
      <formula>15.29</formula>
    </cfRule>
  </conditionalFormatting>
  <conditionalFormatting sqref="E457:E459">
    <cfRule type="cellIs" dxfId="567" priority="201" operator="lessThan">
      <formula>63.71</formula>
    </cfRule>
  </conditionalFormatting>
  <conditionalFormatting sqref="E458">
    <cfRule type="cellIs" dxfId="566" priority="199" operator="lessThan">
      <formula>63.71</formula>
    </cfRule>
  </conditionalFormatting>
  <conditionalFormatting sqref="E459">
    <cfRule type="cellIs" dxfId="565" priority="195" operator="lessThan">
      <formula>15.29</formula>
    </cfRule>
  </conditionalFormatting>
  <conditionalFormatting sqref="E465 E467">
    <cfRule type="cellIs" dxfId="564" priority="173" operator="lessThan">
      <formula>63.71</formula>
    </cfRule>
  </conditionalFormatting>
  <conditionalFormatting sqref="E465">
    <cfRule type="cellIs" dxfId="563" priority="183" operator="lessThan">
      <formula>63.71</formula>
    </cfRule>
  </conditionalFormatting>
  <conditionalFormatting sqref="E466">
    <cfRule type="cellIs" dxfId="562" priority="167" operator="lessThan">
      <formula>15.29</formula>
    </cfRule>
  </conditionalFormatting>
  <conditionalFormatting sqref="E466:E468">
    <cfRule type="cellIs" dxfId="561" priority="181" operator="lessThan">
      <formula>63.71</formula>
    </cfRule>
  </conditionalFormatting>
  <conditionalFormatting sqref="E467">
    <cfRule type="cellIs" dxfId="560" priority="179" operator="lessThan">
      <formula>63.71</formula>
    </cfRule>
  </conditionalFormatting>
  <conditionalFormatting sqref="E468">
    <cfRule type="cellIs" dxfId="559" priority="175" operator="lessThan">
      <formula>15.29</formula>
    </cfRule>
  </conditionalFormatting>
  <conditionalFormatting sqref="E474 E476">
    <cfRule type="cellIs" dxfId="558" priority="153" operator="lessThan">
      <formula>63.71</formula>
    </cfRule>
  </conditionalFormatting>
  <conditionalFormatting sqref="E474">
    <cfRule type="cellIs" dxfId="557" priority="163" operator="lessThan">
      <formula>63.71</formula>
    </cfRule>
  </conditionalFormatting>
  <conditionalFormatting sqref="E475">
    <cfRule type="cellIs" dxfId="556" priority="147" operator="lessThan">
      <formula>15.29</formula>
    </cfRule>
  </conditionalFormatting>
  <conditionalFormatting sqref="E475:E477">
    <cfRule type="cellIs" dxfId="555" priority="161" operator="lessThan">
      <formula>63.71</formula>
    </cfRule>
  </conditionalFormatting>
  <conditionalFormatting sqref="E476">
    <cfRule type="cellIs" dxfId="554" priority="159" operator="lessThan">
      <formula>63.71</formula>
    </cfRule>
  </conditionalFormatting>
  <conditionalFormatting sqref="E477">
    <cfRule type="cellIs" dxfId="553" priority="155" operator="lessThan">
      <formula>15.29</formula>
    </cfRule>
  </conditionalFormatting>
  <conditionalFormatting sqref="E483 E485">
    <cfRule type="cellIs" dxfId="552" priority="133" operator="lessThan">
      <formula>63.71</formula>
    </cfRule>
  </conditionalFormatting>
  <conditionalFormatting sqref="E483">
    <cfRule type="cellIs" dxfId="551" priority="143" operator="lessThan">
      <formula>63.71</formula>
    </cfRule>
  </conditionalFormatting>
  <conditionalFormatting sqref="E484">
    <cfRule type="cellIs" dxfId="550" priority="127" operator="lessThan">
      <formula>15.29</formula>
    </cfRule>
  </conditionalFormatting>
  <conditionalFormatting sqref="E484:E486">
    <cfRule type="cellIs" dxfId="549" priority="141" operator="lessThan">
      <formula>63.71</formula>
    </cfRule>
  </conditionalFormatting>
  <conditionalFormatting sqref="E485">
    <cfRule type="cellIs" dxfId="548" priority="139" operator="lessThan">
      <formula>63.71</formula>
    </cfRule>
  </conditionalFormatting>
  <conditionalFormatting sqref="E486">
    <cfRule type="cellIs" dxfId="547" priority="135" operator="lessThan">
      <formula>15.29</formula>
    </cfRule>
  </conditionalFormatting>
  <conditionalFormatting sqref="E492:E495">
    <cfRule type="cellIs" dxfId="546" priority="113" operator="lessThan">
      <formula>63.71</formula>
    </cfRule>
    <cfRule type="cellIs" dxfId="545" priority="121" operator="lessThan">
      <formula>63.71</formula>
    </cfRule>
    <cfRule type="cellIs" dxfId="544" priority="119" operator="lessThan">
      <formula>63.71</formula>
    </cfRule>
  </conditionalFormatting>
  <conditionalFormatting sqref="E501:E504">
    <cfRule type="cellIs" dxfId="543" priority="101" operator="lessThan">
      <formula>63.71</formula>
    </cfRule>
    <cfRule type="cellIs" dxfId="542" priority="103" operator="lessThan">
      <formula>63.71</formula>
    </cfRule>
    <cfRule type="cellIs" dxfId="541" priority="99" operator="lessThan">
      <formula>63.71</formula>
    </cfRule>
  </conditionalFormatting>
  <conditionalFormatting sqref="E510:E511">
    <cfRule type="cellIs" dxfId="540" priority="23" operator="lessThan">
      <formula>63.71</formula>
    </cfRule>
    <cfRule type="cellIs" dxfId="539" priority="25" operator="lessThan">
      <formula>63.71</formula>
    </cfRule>
  </conditionalFormatting>
  <conditionalFormatting sqref="E510:E513">
    <cfRule type="cellIs" dxfId="538" priority="27" operator="lessThan">
      <formula>63.71</formula>
    </cfRule>
  </conditionalFormatting>
  <conditionalFormatting sqref="E512:E513">
    <cfRule type="cellIs" dxfId="537" priority="43" operator="lessThan">
      <formula>63.71</formula>
    </cfRule>
    <cfRule type="cellIs" dxfId="536" priority="45" operator="lessThan">
      <formula>63.71</formula>
    </cfRule>
  </conditionalFormatting>
  <conditionalFormatting sqref="E519:E520">
    <cfRule type="cellIs" dxfId="535" priority="34" operator="lessThan">
      <formula>63.71</formula>
    </cfRule>
    <cfRule type="cellIs" dxfId="534" priority="32" operator="lessThan">
      <formula>63.71</formula>
    </cfRule>
  </conditionalFormatting>
  <conditionalFormatting sqref="E519:E522">
    <cfRule type="cellIs" dxfId="533" priority="36" operator="lessThan">
      <formula>63.71</formula>
    </cfRule>
  </conditionalFormatting>
  <conditionalFormatting sqref="E521:E522">
    <cfRule type="cellIs" dxfId="532" priority="81" operator="lessThan">
      <formula>63.71</formula>
    </cfRule>
    <cfRule type="cellIs" dxfId="531" priority="83" operator="lessThan">
      <formula>63.71</formula>
    </cfRule>
  </conditionalFormatting>
  <conditionalFormatting sqref="E528 E530">
    <cfRule type="cellIs" dxfId="530" priority="71" operator="lessThan">
      <formula>63.71</formula>
    </cfRule>
    <cfRule type="cellIs" dxfId="529" priority="73" operator="lessThan">
      <formula>63.71</formula>
    </cfRule>
  </conditionalFormatting>
  <conditionalFormatting sqref="E528:E530">
    <cfRule type="cellIs" dxfId="528" priority="18" operator="lessThan">
      <formula>63.71</formula>
    </cfRule>
  </conditionalFormatting>
  <conditionalFormatting sqref="E529">
    <cfRule type="cellIs" dxfId="527" priority="14" operator="lessThan">
      <formula>63.71</formula>
    </cfRule>
    <cfRule type="cellIs" dxfId="526" priority="16" operator="lessThan">
      <formula>63.71</formula>
    </cfRule>
  </conditionalFormatting>
  <conditionalFormatting sqref="E531">
    <cfRule type="cellIs" dxfId="525" priority="5" operator="lessThan">
      <formula>63.71</formula>
    </cfRule>
    <cfRule type="cellIs" dxfId="524" priority="7" operator="lessThan">
      <formula>63.71</formula>
    </cfRule>
    <cfRule type="cellIs" dxfId="523" priority="9" operator="lessThan">
      <formula>63.71</formula>
    </cfRule>
  </conditionalFormatting>
  <conditionalFormatting sqref="E537:E540">
    <cfRule type="cellIs" dxfId="522" priority="59" operator="lessThan">
      <formula>63.71</formula>
    </cfRule>
    <cfRule type="cellIs" dxfId="521" priority="61" operator="lessThan">
      <formula>63.71</formula>
    </cfRule>
    <cfRule type="cellIs" dxfId="520" priority="63" operator="lessThan">
      <formula>63.71</formula>
    </cfRule>
  </conditionalFormatting>
  <conditionalFormatting sqref="F123">
    <cfRule type="cellIs" dxfId="519" priority="1048" operator="lessThan">
      <formula>25</formula>
    </cfRule>
  </conditionalFormatting>
  <conditionalFormatting sqref="F124">
    <cfRule type="cellIs" dxfId="518" priority="1044" operator="lessThan">
      <formula>6</formula>
    </cfRule>
  </conditionalFormatting>
  <conditionalFormatting sqref="F125">
    <cfRule type="cellIs" dxfId="517" priority="1040" operator="lessThan">
      <formula>25</formula>
    </cfRule>
  </conditionalFormatting>
  <conditionalFormatting sqref="F126">
    <cfRule type="cellIs" dxfId="516" priority="1036" operator="lessThan">
      <formula>6</formula>
    </cfRule>
  </conditionalFormatting>
  <conditionalFormatting sqref="F132 F141">
    <cfRule type="cellIs" dxfId="515" priority="1072" operator="lessThan">
      <formula>25</formula>
    </cfRule>
  </conditionalFormatting>
  <conditionalFormatting sqref="F132:F135 F141:F144">
    <cfRule type="cellIs" dxfId="514" priority="1066" operator="lessThan">
      <formula>25</formula>
    </cfRule>
  </conditionalFormatting>
  <conditionalFormatting sqref="F133">
    <cfRule type="cellIs" dxfId="513" priority="1062" operator="lessThan">
      <formula>6</formula>
    </cfRule>
  </conditionalFormatting>
  <conditionalFormatting sqref="F134">
    <cfRule type="cellIs" dxfId="512" priority="1058" operator="lessThan">
      <formula>25</formula>
    </cfRule>
    <cfRule type="cellIs" dxfId="511" priority="1056" operator="lessThan">
      <formula>25</formula>
    </cfRule>
  </conditionalFormatting>
  <conditionalFormatting sqref="F135">
    <cfRule type="cellIs" dxfId="510" priority="1052" operator="lessThan">
      <formula>6</formula>
    </cfRule>
  </conditionalFormatting>
  <conditionalFormatting sqref="F142">
    <cfRule type="cellIs" dxfId="509" priority="1021" operator="lessThan">
      <formula>6</formula>
    </cfRule>
  </conditionalFormatting>
  <conditionalFormatting sqref="F143">
    <cfRule type="cellIs" dxfId="508" priority="1015" operator="lessThan">
      <formula>25</formula>
    </cfRule>
    <cfRule type="cellIs" dxfId="507" priority="1017" operator="lessThan">
      <formula>25</formula>
    </cfRule>
  </conditionalFormatting>
  <conditionalFormatting sqref="F144">
    <cfRule type="cellIs" dxfId="506" priority="1011" operator="lessThan">
      <formula>6</formula>
    </cfRule>
  </conditionalFormatting>
  <conditionalFormatting sqref="F150">
    <cfRule type="cellIs" dxfId="505" priority="1006" operator="lessThan">
      <formula>25</formula>
    </cfRule>
  </conditionalFormatting>
  <conditionalFormatting sqref="F150:F153">
    <cfRule type="cellIs" dxfId="504" priority="1004" operator="lessThan">
      <formula>25</formula>
    </cfRule>
  </conditionalFormatting>
  <conditionalFormatting sqref="F151">
    <cfRule type="cellIs" dxfId="503" priority="1002" operator="lessThan">
      <formula>6</formula>
    </cfRule>
  </conditionalFormatting>
  <conditionalFormatting sqref="F152">
    <cfRule type="cellIs" dxfId="502" priority="998" operator="lessThan">
      <formula>25</formula>
    </cfRule>
    <cfRule type="cellIs" dxfId="501" priority="996" operator="lessThan">
      <formula>25</formula>
    </cfRule>
  </conditionalFormatting>
  <conditionalFormatting sqref="F153">
    <cfRule type="cellIs" dxfId="500" priority="992" operator="lessThan">
      <formula>6</formula>
    </cfRule>
  </conditionalFormatting>
  <conditionalFormatting sqref="F159">
    <cfRule type="cellIs" dxfId="499" priority="987" operator="lessThan">
      <formula>25</formula>
    </cfRule>
  </conditionalFormatting>
  <conditionalFormatting sqref="F159:F160">
    <cfRule type="cellIs" dxfId="498" priority="967" operator="lessThan">
      <formula>6</formula>
    </cfRule>
  </conditionalFormatting>
  <conditionalFormatting sqref="F159:F161">
    <cfRule type="cellIs" dxfId="497" priority="969" operator="lessThan">
      <formula>25</formula>
    </cfRule>
  </conditionalFormatting>
  <conditionalFormatting sqref="F161">
    <cfRule type="cellIs" dxfId="496" priority="979" operator="lessThan">
      <formula>25</formula>
    </cfRule>
  </conditionalFormatting>
  <conditionalFormatting sqref="F161:F162">
    <cfRule type="cellIs" dxfId="495" priority="985" operator="lessThan">
      <formula>25</formula>
    </cfRule>
  </conditionalFormatting>
  <conditionalFormatting sqref="F162">
    <cfRule type="cellIs" dxfId="494" priority="973" operator="lessThan">
      <formula>6</formula>
    </cfRule>
  </conditionalFormatting>
  <conditionalFormatting sqref="F168">
    <cfRule type="cellIs" dxfId="493" priority="955" operator="lessThan">
      <formula>25</formula>
    </cfRule>
  </conditionalFormatting>
  <conditionalFormatting sqref="F168:F169">
    <cfRule type="cellIs" dxfId="492" priority="937" operator="lessThan">
      <formula>6</formula>
    </cfRule>
  </conditionalFormatting>
  <conditionalFormatting sqref="F168:F170">
    <cfRule type="cellIs" dxfId="491" priority="939" operator="lessThan">
      <formula>25</formula>
    </cfRule>
  </conditionalFormatting>
  <conditionalFormatting sqref="F170">
    <cfRule type="cellIs" dxfId="490" priority="949" operator="lessThan">
      <formula>25</formula>
    </cfRule>
  </conditionalFormatting>
  <conditionalFormatting sqref="F170:F171">
    <cfRule type="cellIs" dxfId="489" priority="953" operator="lessThan">
      <formula>25</formula>
    </cfRule>
  </conditionalFormatting>
  <conditionalFormatting sqref="F171">
    <cfRule type="cellIs" dxfId="488" priority="943" operator="lessThan">
      <formula>6</formula>
    </cfRule>
  </conditionalFormatting>
  <conditionalFormatting sqref="F177">
    <cfRule type="cellIs" dxfId="487" priority="932" operator="lessThan">
      <formula>25</formula>
    </cfRule>
  </conditionalFormatting>
  <conditionalFormatting sqref="F177:F178">
    <cfRule type="cellIs" dxfId="486" priority="914" operator="lessThan">
      <formula>6</formula>
    </cfRule>
  </conditionalFormatting>
  <conditionalFormatting sqref="F177:F179">
    <cfRule type="cellIs" dxfId="485" priority="916" operator="lessThan">
      <formula>25</formula>
    </cfRule>
  </conditionalFormatting>
  <conditionalFormatting sqref="F179">
    <cfRule type="cellIs" dxfId="484" priority="926" operator="lessThan">
      <formula>25</formula>
    </cfRule>
  </conditionalFormatting>
  <conditionalFormatting sqref="F179:F180">
    <cfRule type="cellIs" dxfId="483" priority="930" operator="lessThan">
      <formula>25</formula>
    </cfRule>
  </conditionalFormatting>
  <conditionalFormatting sqref="F180">
    <cfRule type="cellIs" dxfId="482" priority="920" operator="lessThan">
      <formula>6</formula>
    </cfRule>
  </conditionalFormatting>
  <conditionalFormatting sqref="F186">
    <cfRule type="cellIs" dxfId="481" priority="909" operator="lessThan">
      <formula>25</formula>
    </cfRule>
  </conditionalFormatting>
  <conditionalFormatting sqref="F186:F187">
    <cfRule type="cellIs" dxfId="480" priority="891" operator="lessThan">
      <formula>6</formula>
    </cfRule>
  </conditionalFormatting>
  <conditionalFormatting sqref="F186:F188">
    <cfRule type="cellIs" dxfId="479" priority="893" operator="lessThan">
      <formula>25</formula>
    </cfRule>
  </conditionalFormatting>
  <conditionalFormatting sqref="F188">
    <cfRule type="cellIs" dxfId="478" priority="903" operator="lessThan">
      <formula>25</formula>
    </cfRule>
  </conditionalFormatting>
  <conditionalFormatting sqref="F188:F189">
    <cfRule type="cellIs" dxfId="477" priority="907" operator="lessThan">
      <formula>25</formula>
    </cfRule>
  </conditionalFormatting>
  <conditionalFormatting sqref="F189">
    <cfRule type="cellIs" dxfId="476" priority="897" operator="lessThan">
      <formula>6</formula>
    </cfRule>
  </conditionalFormatting>
  <conditionalFormatting sqref="F195">
    <cfRule type="cellIs" dxfId="475" priority="886" operator="lessThan">
      <formula>25</formula>
    </cfRule>
  </conditionalFormatting>
  <conditionalFormatting sqref="F195:F196">
    <cfRule type="cellIs" dxfId="474" priority="868" operator="lessThan">
      <formula>6</formula>
    </cfRule>
  </conditionalFormatting>
  <conditionalFormatting sqref="F195:F197">
    <cfRule type="cellIs" dxfId="473" priority="870" operator="lessThan">
      <formula>25</formula>
    </cfRule>
  </conditionalFormatting>
  <conditionalFormatting sqref="F197">
    <cfRule type="cellIs" dxfId="472" priority="880" operator="lessThan">
      <formula>25</formula>
    </cfRule>
  </conditionalFormatting>
  <conditionalFormatting sqref="F197:F198">
    <cfRule type="cellIs" dxfId="471" priority="884" operator="lessThan">
      <formula>25</formula>
    </cfRule>
  </conditionalFormatting>
  <conditionalFormatting sqref="F198">
    <cfRule type="cellIs" dxfId="470" priority="874" operator="lessThan">
      <formula>6</formula>
    </cfRule>
  </conditionalFormatting>
  <conditionalFormatting sqref="F204">
    <cfRule type="cellIs" dxfId="469" priority="863" operator="lessThan">
      <formula>25</formula>
    </cfRule>
  </conditionalFormatting>
  <conditionalFormatting sqref="F204:F205">
    <cfRule type="cellIs" dxfId="468" priority="845" operator="lessThan">
      <formula>6</formula>
    </cfRule>
  </conditionalFormatting>
  <conditionalFormatting sqref="F204:F206">
    <cfRule type="cellIs" dxfId="467" priority="847" operator="lessThan">
      <formula>25</formula>
    </cfRule>
  </conditionalFormatting>
  <conditionalFormatting sqref="F206">
    <cfRule type="cellIs" dxfId="466" priority="857" operator="lessThan">
      <formula>25</formula>
    </cfRule>
  </conditionalFormatting>
  <conditionalFormatting sqref="F206:F207">
    <cfRule type="cellIs" dxfId="465" priority="861" operator="lessThan">
      <formula>25</formula>
    </cfRule>
  </conditionalFormatting>
  <conditionalFormatting sqref="F207">
    <cfRule type="cellIs" dxfId="464" priority="851" operator="lessThan">
      <formula>6</formula>
    </cfRule>
  </conditionalFormatting>
  <conditionalFormatting sqref="F213">
    <cfRule type="cellIs" dxfId="463" priority="838" operator="lessThan">
      <formula>25</formula>
    </cfRule>
  </conditionalFormatting>
  <conditionalFormatting sqref="F213:F214">
    <cfRule type="cellIs" dxfId="462" priority="826" operator="lessThan">
      <formula>6</formula>
    </cfRule>
  </conditionalFormatting>
  <conditionalFormatting sqref="F213:F215">
    <cfRule type="cellIs" dxfId="461" priority="828" operator="lessThan">
      <formula>25</formula>
    </cfRule>
  </conditionalFormatting>
  <conditionalFormatting sqref="F215">
    <cfRule type="cellIs" dxfId="460" priority="834" operator="lessThan">
      <formula>25</formula>
    </cfRule>
  </conditionalFormatting>
  <conditionalFormatting sqref="F215:F216">
    <cfRule type="cellIs" dxfId="459" priority="836" operator="lessThan">
      <formula>25</formula>
    </cfRule>
  </conditionalFormatting>
  <conditionalFormatting sqref="F216">
    <cfRule type="cellIs" dxfId="458" priority="830" operator="lessThan">
      <formula>6</formula>
    </cfRule>
  </conditionalFormatting>
  <conditionalFormatting sqref="F222">
    <cfRule type="cellIs" dxfId="457" priority="819" operator="lessThan">
      <formula>25</formula>
    </cfRule>
  </conditionalFormatting>
  <conditionalFormatting sqref="F222:F223">
    <cfRule type="cellIs" dxfId="456" priority="807" operator="lessThan">
      <formula>6</formula>
    </cfRule>
  </conditionalFormatting>
  <conditionalFormatting sqref="F222:F224">
    <cfRule type="cellIs" dxfId="455" priority="809" operator="lessThan">
      <formula>25</formula>
    </cfRule>
  </conditionalFormatting>
  <conditionalFormatting sqref="F224">
    <cfRule type="cellIs" dxfId="454" priority="815" operator="lessThan">
      <formula>25</formula>
    </cfRule>
  </conditionalFormatting>
  <conditionalFormatting sqref="F224:F225">
    <cfRule type="cellIs" dxfId="453" priority="817" operator="lessThan">
      <formula>25</formula>
    </cfRule>
  </conditionalFormatting>
  <conditionalFormatting sqref="F225">
    <cfRule type="cellIs" dxfId="452" priority="811" operator="lessThan">
      <formula>6</formula>
    </cfRule>
  </conditionalFormatting>
  <conditionalFormatting sqref="F231">
    <cfRule type="cellIs" dxfId="451" priority="781" operator="lessThan">
      <formula>25</formula>
    </cfRule>
  </conditionalFormatting>
  <conditionalFormatting sqref="F231:F232">
    <cfRule type="cellIs" dxfId="450" priority="769" operator="lessThan">
      <formula>6</formula>
    </cfRule>
  </conditionalFormatting>
  <conditionalFormatting sqref="F231:F233">
    <cfRule type="cellIs" dxfId="449" priority="771" operator="lessThan">
      <formula>25</formula>
    </cfRule>
  </conditionalFormatting>
  <conditionalFormatting sqref="F233">
    <cfRule type="cellIs" dxfId="448" priority="777" operator="lessThan">
      <formula>25</formula>
    </cfRule>
  </conditionalFormatting>
  <conditionalFormatting sqref="F233:F234">
    <cfRule type="cellIs" dxfId="447" priority="779" operator="lessThan">
      <formula>25</formula>
    </cfRule>
  </conditionalFormatting>
  <conditionalFormatting sqref="F234">
    <cfRule type="cellIs" dxfId="446" priority="773" operator="lessThan">
      <formula>6</formula>
    </cfRule>
  </conditionalFormatting>
  <conditionalFormatting sqref="F240">
    <cfRule type="cellIs" dxfId="445" priority="762" operator="lessThan">
      <formula>25</formula>
    </cfRule>
  </conditionalFormatting>
  <conditionalFormatting sqref="F240:F241">
    <cfRule type="cellIs" dxfId="444" priority="750" operator="lessThan">
      <formula>6</formula>
    </cfRule>
  </conditionalFormatting>
  <conditionalFormatting sqref="F240:F242">
    <cfRule type="cellIs" dxfId="443" priority="752" operator="lessThan">
      <formula>25</formula>
    </cfRule>
  </conditionalFormatting>
  <conditionalFormatting sqref="F242">
    <cfRule type="cellIs" dxfId="442" priority="758" operator="lessThan">
      <formula>25</formula>
    </cfRule>
  </conditionalFormatting>
  <conditionalFormatting sqref="F242:F243">
    <cfRule type="cellIs" dxfId="441" priority="760" operator="lessThan">
      <formula>25</formula>
    </cfRule>
  </conditionalFormatting>
  <conditionalFormatting sqref="F243">
    <cfRule type="cellIs" dxfId="440" priority="754" operator="lessThan">
      <formula>6</formula>
    </cfRule>
  </conditionalFormatting>
  <conditionalFormatting sqref="F249">
    <cfRule type="cellIs" dxfId="439" priority="630" operator="lessThan">
      <formula>25</formula>
    </cfRule>
  </conditionalFormatting>
  <conditionalFormatting sqref="F249:F250">
    <cfRule type="cellIs" dxfId="438" priority="599" operator="lessThan">
      <formula>6</formula>
    </cfRule>
  </conditionalFormatting>
  <conditionalFormatting sqref="F249:F251">
    <cfRule type="cellIs" dxfId="437" priority="601" operator="lessThan">
      <formula>25</formula>
    </cfRule>
  </conditionalFormatting>
  <conditionalFormatting sqref="F251">
    <cfRule type="cellIs" dxfId="436" priority="626" operator="lessThan">
      <formula>25</formula>
    </cfRule>
  </conditionalFormatting>
  <conditionalFormatting sqref="F251:F252">
    <cfRule type="cellIs" dxfId="435" priority="628" operator="lessThan">
      <formula>25</formula>
    </cfRule>
  </conditionalFormatting>
  <conditionalFormatting sqref="F252">
    <cfRule type="cellIs" dxfId="434" priority="622" operator="lessThan">
      <formula>6</formula>
    </cfRule>
  </conditionalFormatting>
  <conditionalFormatting sqref="F258">
    <cfRule type="cellIs" dxfId="433" priority="618" operator="lessThan">
      <formula>25</formula>
    </cfRule>
  </conditionalFormatting>
  <conditionalFormatting sqref="F258:F259">
    <cfRule type="cellIs" dxfId="432" priority="606" operator="lessThan">
      <formula>6</formula>
    </cfRule>
  </conditionalFormatting>
  <conditionalFormatting sqref="F258:F260">
    <cfRule type="cellIs" dxfId="431" priority="608" operator="lessThan">
      <formula>25</formula>
    </cfRule>
  </conditionalFormatting>
  <conditionalFormatting sqref="F260">
    <cfRule type="cellIs" dxfId="430" priority="614" operator="lessThan">
      <formula>25</formula>
    </cfRule>
  </conditionalFormatting>
  <conditionalFormatting sqref="F260:F261">
    <cfRule type="cellIs" dxfId="429" priority="616" operator="lessThan">
      <formula>25</formula>
    </cfRule>
  </conditionalFormatting>
  <conditionalFormatting sqref="F261">
    <cfRule type="cellIs" dxfId="428" priority="610" operator="lessThan">
      <formula>6</formula>
    </cfRule>
  </conditionalFormatting>
  <conditionalFormatting sqref="F267">
    <cfRule type="cellIs" dxfId="427" priority="708" operator="lessThan">
      <formula>25</formula>
    </cfRule>
  </conditionalFormatting>
  <conditionalFormatting sqref="F267:F268">
    <cfRule type="cellIs" dxfId="426" priority="696" operator="lessThan">
      <formula>6</formula>
    </cfRule>
  </conditionalFormatting>
  <conditionalFormatting sqref="F267:F269">
    <cfRule type="cellIs" dxfId="425" priority="698" operator="lessThan">
      <formula>25</formula>
    </cfRule>
  </conditionalFormatting>
  <conditionalFormatting sqref="F269">
    <cfRule type="cellIs" dxfId="424" priority="704" operator="lessThan">
      <formula>25</formula>
    </cfRule>
  </conditionalFormatting>
  <conditionalFormatting sqref="F269:F270">
    <cfRule type="cellIs" dxfId="423" priority="706" operator="lessThan">
      <formula>25</formula>
    </cfRule>
  </conditionalFormatting>
  <conditionalFormatting sqref="F270">
    <cfRule type="cellIs" dxfId="422" priority="700" operator="lessThan">
      <formula>6</formula>
    </cfRule>
  </conditionalFormatting>
  <conditionalFormatting sqref="F276">
    <cfRule type="cellIs" dxfId="421" priority="690" operator="lessThan">
      <formula>25</formula>
    </cfRule>
  </conditionalFormatting>
  <conditionalFormatting sqref="F276:F277">
    <cfRule type="cellIs" dxfId="420" priority="678" operator="lessThan">
      <formula>6</formula>
    </cfRule>
  </conditionalFormatting>
  <conditionalFormatting sqref="F276:F278">
    <cfRule type="cellIs" dxfId="419" priority="680" operator="lessThan">
      <formula>25</formula>
    </cfRule>
  </conditionalFormatting>
  <conditionalFormatting sqref="F278">
    <cfRule type="cellIs" dxfId="418" priority="686" operator="lessThan">
      <formula>25</formula>
    </cfRule>
  </conditionalFormatting>
  <conditionalFormatting sqref="F278:F279">
    <cfRule type="cellIs" dxfId="417" priority="688" operator="lessThan">
      <formula>25</formula>
    </cfRule>
  </conditionalFormatting>
  <conditionalFormatting sqref="F279">
    <cfRule type="cellIs" dxfId="416" priority="682" operator="lessThan">
      <formula>6</formula>
    </cfRule>
  </conditionalFormatting>
  <conditionalFormatting sqref="F285">
    <cfRule type="cellIs" dxfId="415" priority="648" operator="lessThan">
      <formula>25</formula>
    </cfRule>
  </conditionalFormatting>
  <conditionalFormatting sqref="F285:F286">
    <cfRule type="cellIs" dxfId="414" priority="636" operator="lessThan">
      <formula>6</formula>
    </cfRule>
  </conditionalFormatting>
  <conditionalFormatting sqref="F285:F287">
    <cfRule type="cellIs" dxfId="413" priority="638" operator="lessThan">
      <formula>25</formula>
    </cfRule>
  </conditionalFormatting>
  <conditionalFormatting sqref="F287">
    <cfRule type="cellIs" dxfId="412" priority="644" operator="lessThan">
      <formula>25</formula>
    </cfRule>
  </conditionalFormatting>
  <conditionalFormatting sqref="F287:F288">
    <cfRule type="cellIs" dxfId="411" priority="646" operator="lessThan">
      <formula>25</formula>
    </cfRule>
  </conditionalFormatting>
  <conditionalFormatting sqref="F288">
    <cfRule type="cellIs" dxfId="410" priority="640" operator="lessThan">
      <formula>6</formula>
    </cfRule>
  </conditionalFormatting>
  <conditionalFormatting sqref="F294">
    <cfRule type="cellIs" dxfId="409" priority="576" operator="lessThan">
      <formula>25</formula>
    </cfRule>
  </conditionalFormatting>
  <conditionalFormatting sqref="F294:F295">
    <cfRule type="cellIs" dxfId="408" priority="564" operator="lessThan">
      <formula>6</formula>
    </cfRule>
  </conditionalFormatting>
  <conditionalFormatting sqref="F294:F297">
    <cfRule type="cellIs" dxfId="407" priority="566" operator="lessThan">
      <formula>25</formula>
    </cfRule>
  </conditionalFormatting>
  <conditionalFormatting sqref="F296:F297">
    <cfRule type="cellIs" dxfId="406" priority="572" operator="lessThan">
      <formula>25</formula>
    </cfRule>
    <cfRule type="cellIs" dxfId="405" priority="574" operator="lessThan">
      <formula>25</formula>
    </cfRule>
  </conditionalFormatting>
  <conditionalFormatting sqref="F297">
    <cfRule type="cellIs" dxfId="404" priority="568" operator="lessThan">
      <formula>6</formula>
    </cfRule>
  </conditionalFormatting>
  <conditionalFormatting sqref="F303">
    <cfRule type="cellIs" dxfId="403" priority="558" operator="lessThan">
      <formula>25</formula>
    </cfRule>
  </conditionalFormatting>
  <conditionalFormatting sqref="F303:F304">
    <cfRule type="cellIs" dxfId="402" priority="546" operator="lessThan">
      <formula>6</formula>
    </cfRule>
  </conditionalFormatting>
  <conditionalFormatting sqref="F303:F305">
    <cfRule type="cellIs" dxfId="401" priority="548" operator="lessThan">
      <formula>25</formula>
    </cfRule>
  </conditionalFormatting>
  <conditionalFormatting sqref="F305">
    <cfRule type="cellIs" dxfId="400" priority="554" operator="lessThan">
      <formula>25</formula>
    </cfRule>
  </conditionalFormatting>
  <conditionalFormatting sqref="F305:F306">
    <cfRule type="cellIs" dxfId="399" priority="556" operator="lessThan">
      <formula>25</formula>
    </cfRule>
  </conditionalFormatting>
  <conditionalFormatting sqref="F306">
    <cfRule type="cellIs" dxfId="398" priority="550" operator="lessThan">
      <formula>6</formula>
    </cfRule>
  </conditionalFormatting>
  <conditionalFormatting sqref="F312">
    <cfRule type="cellIs" dxfId="397" priority="540" operator="lessThan">
      <formula>25</formula>
    </cfRule>
  </conditionalFormatting>
  <conditionalFormatting sqref="F312:F313">
    <cfRule type="cellIs" dxfId="396" priority="528" operator="lessThan">
      <formula>6</formula>
    </cfRule>
  </conditionalFormatting>
  <conditionalFormatting sqref="F312:F314">
    <cfRule type="cellIs" dxfId="395" priority="530" operator="lessThan">
      <formula>25</formula>
    </cfRule>
  </conditionalFormatting>
  <conditionalFormatting sqref="F314">
    <cfRule type="cellIs" dxfId="394" priority="536" operator="lessThan">
      <formula>25</formula>
    </cfRule>
  </conditionalFormatting>
  <conditionalFormatting sqref="F314:F315">
    <cfRule type="cellIs" dxfId="393" priority="538" operator="lessThan">
      <formula>25</formula>
    </cfRule>
  </conditionalFormatting>
  <conditionalFormatting sqref="F315">
    <cfRule type="cellIs" dxfId="392" priority="532" operator="lessThan">
      <formula>6</formula>
    </cfRule>
  </conditionalFormatting>
  <conditionalFormatting sqref="F321">
    <cfRule type="cellIs" dxfId="391" priority="522" operator="lessThan">
      <formula>25</formula>
    </cfRule>
  </conditionalFormatting>
  <conditionalFormatting sqref="F321:F322">
    <cfRule type="cellIs" dxfId="390" priority="510" operator="lessThan">
      <formula>6</formula>
    </cfRule>
  </conditionalFormatting>
  <conditionalFormatting sqref="F321:F323">
    <cfRule type="cellIs" dxfId="389" priority="512" operator="lessThan">
      <formula>25</formula>
    </cfRule>
  </conditionalFormatting>
  <conditionalFormatting sqref="F323">
    <cfRule type="cellIs" dxfId="388" priority="518" operator="lessThan">
      <formula>25</formula>
    </cfRule>
  </conditionalFormatting>
  <conditionalFormatting sqref="F323:F324">
    <cfRule type="cellIs" dxfId="387" priority="520" operator="lessThan">
      <formula>25</formula>
    </cfRule>
  </conditionalFormatting>
  <conditionalFormatting sqref="F324">
    <cfRule type="cellIs" dxfId="386" priority="514" operator="lessThan">
      <formula>6</formula>
    </cfRule>
  </conditionalFormatting>
  <conditionalFormatting sqref="F330 F332">
    <cfRule type="cellIs" dxfId="385" priority="477" operator="lessThan">
      <formula>25</formula>
    </cfRule>
  </conditionalFormatting>
  <conditionalFormatting sqref="F330">
    <cfRule type="cellIs" dxfId="384" priority="487" operator="lessThan">
      <formula>25</formula>
    </cfRule>
  </conditionalFormatting>
  <conditionalFormatting sqref="F330:F331">
    <cfRule type="cellIs" dxfId="383" priority="469" operator="lessThan">
      <formula>6</formula>
    </cfRule>
  </conditionalFormatting>
  <conditionalFormatting sqref="F332">
    <cfRule type="cellIs" dxfId="382" priority="483" operator="lessThan">
      <formula>25</formula>
    </cfRule>
  </conditionalFormatting>
  <conditionalFormatting sqref="F332:F333">
    <cfRule type="cellIs" dxfId="381" priority="485" operator="lessThan">
      <formula>25</formula>
    </cfRule>
  </conditionalFormatting>
  <conditionalFormatting sqref="F333">
    <cfRule type="cellIs" dxfId="380" priority="479" operator="lessThan">
      <formula>6</formula>
    </cfRule>
  </conditionalFormatting>
  <conditionalFormatting sqref="F339 F341">
    <cfRule type="cellIs" dxfId="379" priority="456" operator="lessThan">
      <formula>25</formula>
    </cfRule>
  </conditionalFormatting>
  <conditionalFormatting sqref="F339">
    <cfRule type="cellIs" dxfId="378" priority="466" operator="lessThan">
      <formula>25</formula>
    </cfRule>
  </conditionalFormatting>
  <conditionalFormatting sqref="F339:F340">
    <cfRule type="cellIs" dxfId="377" priority="450" operator="lessThan">
      <formula>6</formula>
    </cfRule>
  </conditionalFormatting>
  <conditionalFormatting sqref="F341">
    <cfRule type="cellIs" dxfId="376" priority="462" operator="lessThan">
      <formula>25</formula>
    </cfRule>
  </conditionalFormatting>
  <conditionalFormatting sqref="F341:F342">
    <cfRule type="cellIs" dxfId="375" priority="464" operator="lessThan">
      <formula>25</formula>
    </cfRule>
  </conditionalFormatting>
  <conditionalFormatting sqref="F342">
    <cfRule type="cellIs" dxfId="374" priority="458" operator="lessThan">
      <formula>6</formula>
    </cfRule>
  </conditionalFormatting>
  <conditionalFormatting sqref="F348 F350">
    <cfRule type="cellIs" dxfId="373" priority="437" operator="lessThan">
      <formula>25</formula>
    </cfRule>
  </conditionalFormatting>
  <conditionalFormatting sqref="F348">
    <cfRule type="cellIs" dxfId="372" priority="447" operator="lessThan">
      <formula>25</formula>
    </cfRule>
  </conditionalFormatting>
  <conditionalFormatting sqref="F348:F349">
    <cfRule type="cellIs" dxfId="371" priority="431" operator="lessThan">
      <formula>6</formula>
    </cfRule>
  </conditionalFormatting>
  <conditionalFormatting sqref="F350">
    <cfRule type="cellIs" dxfId="370" priority="443" operator="lessThan">
      <formula>25</formula>
    </cfRule>
  </conditionalFormatting>
  <conditionalFormatting sqref="F350:F351">
    <cfRule type="cellIs" dxfId="369" priority="445" operator="lessThan">
      <formula>25</formula>
    </cfRule>
  </conditionalFormatting>
  <conditionalFormatting sqref="F351">
    <cfRule type="cellIs" dxfId="368" priority="439" operator="lessThan">
      <formula>6</formula>
    </cfRule>
  </conditionalFormatting>
  <conditionalFormatting sqref="F357 F359">
    <cfRule type="cellIs" dxfId="367" priority="418" operator="lessThan">
      <formula>25</formula>
    </cfRule>
  </conditionalFormatting>
  <conditionalFormatting sqref="F357">
    <cfRule type="cellIs" dxfId="366" priority="428" operator="lessThan">
      <formula>25</formula>
    </cfRule>
  </conditionalFormatting>
  <conditionalFormatting sqref="F357:F358">
    <cfRule type="cellIs" dxfId="365" priority="412" operator="lessThan">
      <formula>6</formula>
    </cfRule>
  </conditionalFormatting>
  <conditionalFormatting sqref="F359">
    <cfRule type="cellIs" dxfId="364" priority="424" operator="lessThan">
      <formula>25</formula>
    </cfRule>
  </conditionalFormatting>
  <conditionalFormatting sqref="F359:F360">
    <cfRule type="cellIs" dxfId="363" priority="426" operator="lessThan">
      <formula>25</formula>
    </cfRule>
  </conditionalFormatting>
  <conditionalFormatting sqref="F360">
    <cfRule type="cellIs" dxfId="362" priority="420" operator="lessThan">
      <formula>6</formula>
    </cfRule>
  </conditionalFormatting>
  <conditionalFormatting sqref="F366 F368">
    <cfRule type="cellIs" dxfId="361" priority="399" operator="lessThan">
      <formula>25</formula>
    </cfRule>
  </conditionalFormatting>
  <conditionalFormatting sqref="F366">
    <cfRule type="cellIs" dxfId="360" priority="409" operator="lessThan">
      <formula>25</formula>
    </cfRule>
  </conditionalFormatting>
  <conditionalFormatting sqref="F366:F367">
    <cfRule type="cellIs" dxfId="359" priority="394" operator="lessThan">
      <formula>6</formula>
    </cfRule>
  </conditionalFormatting>
  <conditionalFormatting sqref="F368">
    <cfRule type="cellIs" dxfId="358" priority="405" operator="lessThan">
      <formula>25</formula>
    </cfRule>
  </conditionalFormatting>
  <conditionalFormatting sqref="F368:F369">
    <cfRule type="cellIs" dxfId="357" priority="407" operator="lessThan">
      <formula>25</formula>
    </cfRule>
  </conditionalFormatting>
  <conditionalFormatting sqref="F369">
    <cfRule type="cellIs" dxfId="356" priority="401" operator="lessThan">
      <formula>6</formula>
    </cfRule>
  </conditionalFormatting>
  <conditionalFormatting sqref="F375 F377">
    <cfRule type="cellIs" dxfId="355" priority="381" operator="lessThan">
      <formula>25</formula>
    </cfRule>
  </conditionalFormatting>
  <conditionalFormatting sqref="F375">
    <cfRule type="cellIs" dxfId="354" priority="391" operator="lessThan">
      <formula>25</formula>
    </cfRule>
  </conditionalFormatting>
  <conditionalFormatting sqref="F375:F376">
    <cfRule type="cellIs" dxfId="353" priority="376" operator="lessThan">
      <formula>6</formula>
    </cfRule>
  </conditionalFormatting>
  <conditionalFormatting sqref="F377">
    <cfRule type="cellIs" dxfId="352" priority="387" operator="lessThan">
      <formula>25</formula>
    </cfRule>
  </conditionalFormatting>
  <conditionalFormatting sqref="F377:F378">
    <cfRule type="cellIs" dxfId="351" priority="389" operator="lessThan">
      <formula>25</formula>
    </cfRule>
  </conditionalFormatting>
  <conditionalFormatting sqref="F378">
    <cfRule type="cellIs" dxfId="350" priority="383" operator="lessThan">
      <formula>6</formula>
    </cfRule>
  </conditionalFormatting>
  <conditionalFormatting sqref="F384 F386">
    <cfRule type="cellIs" dxfId="349" priority="363" operator="lessThan">
      <formula>25</formula>
    </cfRule>
  </conditionalFormatting>
  <conditionalFormatting sqref="F384">
    <cfRule type="cellIs" dxfId="348" priority="373" operator="lessThan">
      <formula>25</formula>
    </cfRule>
  </conditionalFormatting>
  <conditionalFormatting sqref="F384:F385">
    <cfRule type="cellIs" dxfId="347" priority="358" operator="lessThan">
      <formula>6</formula>
    </cfRule>
  </conditionalFormatting>
  <conditionalFormatting sqref="F386">
    <cfRule type="cellIs" dxfId="346" priority="369" operator="lessThan">
      <formula>25</formula>
    </cfRule>
  </conditionalFormatting>
  <conditionalFormatting sqref="F386:F387">
    <cfRule type="cellIs" dxfId="345" priority="371" operator="lessThan">
      <formula>25</formula>
    </cfRule>
  </conditionalFormatting>
  <conditionalFormatting sqref="F387">
    <cfRule type="cellIs" dxfId="344" priority="365" operator="lessThan">
      <formula>6</formula>
    </cfRule>
  </conditionalFormatting>
  <conditionalFormatting sqref="F393 F395">
    <cfRule type="cellIs" dxfId="343" priority="342" operator="lessThan">
      <formula>25</formula>
    </cfRule>
  </conditionalFormatting>
  <conditionalFormatting sqref="F393">
    <cfRule type="cellIs" dxfId="342" priority="352" operator="lessThan">
      <formula>25</formula>
    </cfRule>
  </conditionalFormatting>
  <conditionalFormatting sqref="F393:F394">
    <cfRule type="cellIs" dxfId="341" priority="338" operator="lessThan">
      <formula>6</formula>
    </cfRule>
  </conditionalFormatting>
  <conditionalFormatting sqref="F395">
    <cfRule type="cellIs" dxfId="340" priority="348" operator="lessThan">
      <formula>25</formula>
    </cfRule>
  </conditionalFormatting>
  <conditionalFormatting sqref="F395:F396">
    <cfRule type="cellIs" dxfId="339" priority="350" operator="lessThan">
      <formula>25</formula>
    </cfRule>
  </conditionalFormatting>
  <conditionalFormatting sqref="F396">
    <cfRule type="cellIs" dxfId="338" priority="344" operator="lessThan">
      <formula>6</formula>
    </cfRule>
  </conditionalFormatting>
  <conditionalFormatting sqref="F402 F404">
    <cfRule type="cellIs" dxfId="337" priority="322" operator="lessThan">
      <formula>25</formula>
    </cfRule>
  </conditionalFormatting>
  <conditionalFormatting sqref="F402">
    <cfRule type="cellIs" dxfId="336" priority="332" operator="lessThan">
      <formula>25</formula>
    </cfRule>
  </conditionalFormatting>
  <conditionalFormatting sqref="F402:F403">
    <cfRule type="cellIs" dxfId="335" priority="313" operator="lessThan">
      <formula>6</formula>
    </cfRule>
  </conditionalFormatting>
  <conditionalFormatting sqref="F403:F405">
    <cfRule type="cellIs" dxfId="334" priority="330" operator="lessThan">
      <formula>25</formula>
    </cfRule>
  </conditionalFormatting>
  <conditionalFormatting sqref="F404">
    <cfRule type="cellIs" dxfId="333" priority="328" operator="lessThan">
      <formula>25</formula>
    </cfRule>
  </conditionalFormatting>
  <conditionalFormatting sqref="F405">
    <cfRule type="cellIs" dxfId="332" priority="324" operator="lessThan">
      <formula>6</formula>
    </cfRule>
  </conditionalFormatting>
  <conditionalFormatting sqref="F411 F413">
    <cfRule type="cellIs" dxfId="331" priority="299" operator="lessThan">
      <formula>25</formula>
    </cfRule>
  </conditionalFormatting>
  <conditionalFormatting sqref="F411">
    <cfRule type="cellIs" dxfId="330" priority="309" operator="lessThan">
      <formula>25</formula>
    </cfRule>
  </conditionalFormatting>
  <conditionalFormatting sqref="F411:F412">
    <cfRule type="cellIs" dxfId="329" priority="292" operator="lessThan">
      <formula>6</formula>
    </cfRule>
  </conditionalFormatting>
  <conditionalFormatting sqref="F412:F414">
    <cfRule type="cellIs" dxfId="328" priority="307" operator="lessThan">
      <formula>25</formula>
    </cfRule>
  </conditionalFormatting>
  <conditionalFormatting sqref="F413">
    <cfRule type="cellIs" dxfId="327" priority="305" operator="lessThan">
      <formula>25</formula>
    </cfRule>
  </conditionalFormatting>
  <conditionalFormatting sqref="F414">
    <cfRule type="cellIs" dxfId="326" priority="301" operator="lessThan">
      <formula>6</formula>
    </cfRule>
  </conditionalFormatting>
  <conditionalFormatting sqref="F420 F422">
    <cfRule type="cellIs" dxfId="325" priority="278" operator="lessThan">
      <formula>25</formula>
    </cfRule>
  </conditionalFormatting>
  <conditionalFormatting sqref="F420">
    <cfRule type="cellIs" dxfId="324" priority="288" operator="lessThan">
      <formula>25</formula>
    </cfRule>
  </conditionalFormatting>
  <conditionalFormatting sqref="F420:F421">
    <cfRule type="cellIs" dxfId="323" priority="272" operator="lessThan">
      <formula>6</formula>
    </cfRule>
  </conditionalFormatting>
  <conditionalFormatting sqref="F421:F423">
    <cfRule type="cellIs" dxfId="322" priority="286" operator="lessThan">
      <formula>25</formula>
    </cfRule>
  </conditionalFormatting>
  <conditionalFormatting sqref="F422">
    <cfRule type="cellIs" dxfId="321" priority="284" operator="lessThan">
      <formula>25</formula>
    </cfRule>
  </conditionalFormatting>
  <conditionalFormatting sqref="F423">
    <cfRule type="cellIs" dxfId="320" priority="280" operator="lessThan">
      <formula>6</formula>
    </cfRule>
  </conditionalFormatting>
  <conditionalFormatting sqref="F429 F431">
    <cfRule type="cellIs" dxfId="319" priority="258" operator="lessThan">
      <formula>25</formula>
    </cfRule>
  </conditionalFormatting>
  <conditionalFormatting sqref="F429">
    <cfRule type="cellIs" dxfId="318" priority="268" operator="lessThan">
      <formula>25</formula>
    </cfRule>
  </conditionalFormatting>
  <conditionalFormatting sqref="F429:F430">
    <cfRule type="cellIs" dxfId="317" priority="252" operator="lessThan">
      <formula>6</formula>
    </cfRule>
  </conditionalFormatting>
  <conditionalFormatting sqref="F430:F432">
    <cfRule type="cellIs" dxfId="316" priority="266" operator="lessThan">
      <formula>25</formula>
    </cfRule>
  </conditionalFormatting>
  <conditionalFormatting sqref="F431">
    <cfRule type="cellIs" dxfId="315" priority="264" operator="lessThan">
      <formula>25</formula>
    </cfRule>
  </conditionalFormatting>
  <conditionalFormatting sqref="F432">
    <cfRule type="cellIs" dxfId="314" priority="260" operator="lessThan">
      <formula>6</formula>
    </cfRule>
  </conditionalFormatting>
  <conditionalFormatting sqref="F438">
    <cfRule type="cellIs" dxfId="313" priority="248" operator="lessThan">
      <formula>25</formula>
    </cfRule>
  </conditionalFormatting>
  <conditionalFormatting sqref="F438:F441">
    <cfRule type="cellIs" dxfId="312" priority="232" operator="lessThan">
      <formula>6</formula>
    </cfRule>
    <cfRule type="cellIs" dxfId="311" priority="238" operator="lessThan">
      <formula>25</formula>
    </cfRule>
  </conditionalFormatting>
  <conditionalFormatting sqref="F440">
    <cfRule type="cellIs" dxfId="310" priority="209" operator="lessThan">
      <formula>25</formula>
    </cfRule>
  </conditionalFormatting>
  <conditionalFormatting sqref="F447 F449">
    <cfRule type="cellIs" dxfId="309" priority="218" operator="lessThan">
      <formula>25</formula>
    </cfRule>
  </conditionalFormatting>
  <conditionalFormatting sqref="F447">
    <cfRule type="cellIs" dxfId="308" priority="228" operator="lessThan">
      <formula>25</formula>
    </cfRule>
  </conditionalFormatting>
  <conditionalFormatting sqref="F447:F448">
    <cfRule type="cellIs" dxfId="307" priority="212" operator="lessThan">
      <formula>6</formula>
    </cfRule>
  </conditionalFormatting>
  <conditionalFormatting sqref="F448:F450">
    <cfRule type="cellIs" dxfId="306" priority="226" operator="lessThan">
      <formula>25</formula>
    </cfRule>
  </conditionalFormatting>
  <conditionalFormatting sqref="F449">
    <cfRule type="cellIs" dxfId="305" priority="224" operator="lessThan">
      <formula>25</formula>
    </cfRule>
  </conditionalFormatting>
  <conditionalFormatting sqref="F450">
    <cfRule type="cellIs" dxfId="304" priority="220" operator="lessThan">
      <formula>6</formula>
    </cfRule>
  </conditionalFormatting>
  <conditionalFormatting sqref="F456 F458">
    <cfRule type="cellIs" dxfId="303" priority="192" operator="lessThan">
      <formula>25</formula>
    </cfRule>
  </conditionalFormatting>
  <conditionalFormatting sqref="F456">
    <cfRule type="cellIs" dxfId="302" priority="202" operator="lessThan">
      <formula>25</formula>
    </cfRule>
  </conditionalFormatting>
  <conditionalFormatting sqref="F456:F457">
    <cfRule type="cellIs" dxfId="301" priority="186" operator="lessThan">
      <formula>6</formula>
    </cfRule>
  </conditionalFormatting>
  <conditionalFormatting sqref="F457:F459">
    <cfRule type="cellIs" dxfId="300" priority="200" operator="lessThan">
      <formula>25</formula>
    </cfRule>
  </conditionalFormatting>
  <conditionalFormatting sqref="F458">
    <cfRule type="cellIs" dxfId="299" priority="198" operator="lessThan">
      <formula>25</formula>
    </cfRule>
  </conditionalFormatting>
  <conditionalFormatting sqref="F459">
    <cfRule type="cellIs" dxfId="298" priority="194" operator="lessThan">
      <formula>6</formula>
    </cfRule>
  </conditionalFormatting>
  <conditionalFormatting sqref="F465 F467">
    <cfRule type="cellIs" dxfId="297" priority="172" operator="lessThan">
      <formula>25</formula>
    </cfRule>
  </conditionalFormatting>
  <conditionalFormatting sqref="F465">
    <cfRule type="cellIs" dxfId="296" priority="182" operator="lessThan">
      <formula>25</formula>
    </cfRule>
  </conditionalFormatting>
  <conditionalFormatting sqref="F465:F466">
    <cfRule type="cellIs" dxfId="295" priority="166" operator="lessThan">
      <formula>6</formula>
    </cfRule>
  </conditionalFormatting>
  <conditionalFormatting sqref="F466:F468">
    <cfRule type="cellIs" dxfId="294" priority="180" operator="lessThan">
      <formula>25</formula>
    </cfRule>
  </conditionalFormatting>
  <conditionalFormatting sqref="F467">
    <cfRule type="cellIs" dxfId="293" priority="178" operator="lessThan">
      <formula>25</formula>
    </cfRule>
  </conditionalFormatting>
  <conditionalFormatting sqref="F468">
    <cfRule type="cellIs" dxfId="292" priority="174" operator="lessThan">
      <formula>6</formula>
    </cfRule>
  </conditionalFormatting>
  <conditionalFormatting sqref="F474 F476">
    <cfRule type="cellIs" dxfId="291" priority="152" operator="lessThan">
      <formula>25</formula>
    </cfRule>
  </conditionalFormatting>
  <conditionalFormatting sqref="F474">
    <cfRule type="cellIs" dxfId="290" priority="162" operator="lessThan">
      <formula>25</formula>
    </cfRule>
  </conditionalFormatting>
  <conditionalFormatting sqref="F474:F475">
    <cfRule type="cellIs" dxfId="289" priority="146" operator="lessThan">
      <formula>6</formula>
    </cfRule>
  </conditionalFormatting>
  <conditionalFormatting sqref="F475:F477">
    <cfRule type="cellIs" dxfId="288" priority="160" operator="lessThan">
      <formula>25</formula>
    </cfRule>
  </conditionalFormatting>
  <conditionalFormatting sqref="F476">
    <cfRule type="cellIs" dxfId="287" priority="158" operator="lessThan">
      <formula>25</formula>
    </cfRule>
  </conditionalFormatting>
  <conditionalFormatting sqref="F477">
    <cfRule type="cellIs" dxfId="286" priority="154" operator="lessThan">
      <formula>6</formula>
    </cfRule>
  </conditionalFormatting>
  <conditionalFormatting sqref="F483 F485">
    <cfRule type="cellIs" dxfId="285" priority="132" operator="lessThan">
      <formula>25</formula>
    </cfRule>
  </conditionalFormatting>
  <conditionalFormatting sqref="F483">
    <cfRule type="cellIs" dxfId="284" priority="142" operator="lessThan">
      <formula>25</formula>
    </cfRule>
  </conditionalFormatting>
  <conditionalFormatting sqref="F483:F484">
    <cfRule type="cellIs" dxfId="283" priority="126" operator="lessThan">
      <formula>6</formula>
    </cfRule>
  </conditionalFormatting>
  <conditionalFormatting sqref="F484:F486">
    <cfRule type="cellIs" dxfId="282" priority="140" operator="lessThan">
      <formula>25</formula>
    </cfRule>
  </conditionalFormatting>
  <conditionalFormatting sqref="F485">
    <cfRule type="cellIs" dxfId="281" priority="138" operator="lessThan">
      <formula>25</formula>
    </cfRule>
  </conditionalFormatting>
  <conditionalFormatting sqref="F486">
    <cfRule type="cellIs" dxfId="280" priority="134" operator="lessThan">
      <formula>6</formula>
    </cfRule>
  </conditionalFormatting>
  <conditionalFormatting sqref="F492:F495">
    <cfRule type="cellIs" dxfId="279" priority="112" operator="lessThan">
      <formula>25</formula>
    </cfRule>
    <cfRule type="cellIs" dxfId="278" priority="118" operator="lessThan">
      <formula>25</formula>
    </cfRule>
    <cfRule type="cellIs" dxfId="277" priority="120" operator="lessThan">
      <formula>25</formula>
    </cfRule>
  </conditionalFormatting>
  <conditionalFormatting sqref="F501:F504">
    <cfRule type="cellIs" dxfId="276" priority="98" operator="lessThan">
      <formula>25</formula>
    </cfRule>
    <cfRule type="cellIs" dxfId="275" priority="100" operator="lessThan">
      <formula>25</formula>
    </cfRule>
    <cfRule type="cellIs" dxfId="274" priority="102" operator="lessThan">
      <formula>25</formula>
    </cfRule>
  </conditionalFormatting>
  <conditionalFormatting sqref="F510:F511">
    <cfRule type="cellIs" dxfId="273" priority="24" operator="lessThan">
      <formula>25</formula>
    </cfRule>
    <cfRule type="cellIs" dxfId="272" priority="22" operator="lessThan">
      <formula>25</formula>
    </cfRule>
  </conditionalFormatting>
  <conditionalFormatting sqref="F510:F513">
    <cfRule type="cellIs" dxfId="271" priority="26" operator="lessThan">
      <formula>25</formula>
    </cfRule>
  </conditionalFormatting>
  <conditionalFormatting sqref="F512:F513">
    <cfRule type="cellIs" dxfId="270" priority="44" operator="lessThan">
      <formula>25</formula>
    </cfRule>
    <cfRule type="cellIs" dxfId="269" priority="42" operator="lessThan">
      <formula>25</formula>
    </cfRule>
  </conditionalFormatting>
  <conditionalFormatting sqref="F519:F520">
    <cfRule type="cellIs" dxfId="268" priority="33" operator="lessThan">
      <formula>25</formula>
    </cfRule>
    <cfRule type="cellIs" dxfId="267" priority="31" operator="lessThan">
      <formula>25</formula>
    </cfRule>
  </conditionalFormatting>
  <conditionalFormatting sqref="F519:F522">
    <cfRule type="cellIs" dxfId="266" priority="35" operator="lessThan">
      <formula>25</formula>
    </cfRule>
  </conditionalFormatting>
  <conditionalFormatting sqref="F521:F522">
    <cfRule type="cellIs" dxfId="265" priority="80" operator="lessThan">
      <formula>25</formula>
    </cfRule>
    <cfRule type="cellIs" dxfId="264" priority="82" operator="lessThan">
      <formula>25</formula>
    </cfRule>
  </conditionalFormatting>
  <conditionalFormatting sqref="F528 F530">
    <cfRule type="cellIs" dxfId="263" priority="70" operator="lessThan">
      <formula>25</formula>
    </cfRule>
    <cfRule type="cellIs" dxfId="262" priority="72" operator="lessThan">
      <formula>25</formula>
    </cfRule>
  </conditionalFormatting>
  <conditionalFormatting sqref="F528:F530">
    <cfRule type="cellIs" dxfId="261" priority="17" operator="lessThan">
      <formula>25</formula>
    </cfRule>
  </conditionalFormatting>
  <conditionalFormatting sqref="F529">
    <cfRule type="cellIs" dxfId="260" priority="13" operator="lessThan">
      <formula>25</formula>
    </cfRule>
    <cfRule type="cellIs" dxfId="259" priority="15" operator="lessThan">
      <formula>25</formula>
    </cfRule>
  </conditionalFormatting>
  <conditionalFormatting sqref="F531">
    <cfRule type="cellIs" dxfId="258" priority="4" operator="lessThan">
      <formula>25</formula>
    </cfRule>
    <cfRule type="cellIs" dxfId="257" priority="6" operator="lessThan">
      <formula>25</formula>
    </cfRule>
    <cfRule type="cellIs" dxfId="256" priority="8" operator="lessThan">
      <formula>25</formula>
    </cfRule>
  </conditionalFormatting>
  <conditionalFormatting sqref="F537:F540">
    <cfRule type="cellIs" dxfId="255" priority="58" operator="lessThan">
      <formula>25</formula>
    </cfRule>
    <cfRule type="cellIs" dxfId="254" priority="60" operator="lessThan">
      <formula>25</formula>
    </cfRule>
    <cfRule type="cellIs" dxfId="253" priority="62" operator="lessThan">
      <formula>25</formula>
    </cfRule>
  </conditionalFormatting>
  <conditionalFormatting sqref="G123">
    <cfRule type="cellIs" dxfId="252" priority="1047" operator="lessThan">
      <formula>50.96</formula>
    </cfRule>
  </conditionalFormatting>
  <conditionalFormatting sqref="G124">
    <cfRule type="cellIs" dxfId="251" priority="1043" operator="lessThan">
      <formula>10.7</formula>
    </cfRule>
  </conditionalFormatting>
  <conditionalFormatting sqref="G125">
    <cfRule type="cellIs" dxfId="250" priority="1039" operator="lessThan">
      <formula>50.96</formula>
    </cfRule>
  </conditionalFormatting>
  <conditionalFormatting sqref="G126">
    <cfRule type="cellIs" dxfId="249" priority="1035" operator="lessThan">
      <formula>10.7</formula>
    </cfRule>
  </conditionalFormatting>
  <conditionalFormatting sqref="G132:G135">
    <cfRule type="cellIs" dxfId="248" priority="1055" operator="lessThan">
      <formula>50.96</formula>
    </cfRule>
  </conditionalFormatting>
  <conditionalFormatting sqref="G133">
    <cfRule type="cellIs" dxfId="247" priority="1061" operator="lessThan">
      <formula>10.7</formula>
    </cfRule>
  </conditionalFormatting>
  <conditionalFormatting sqref="G135">
    <cfRule type="cellIs" dxfId="246" priority="1051" operator="lessThan">
      <formula>10.7</formula>
    </cfRule>
  </conditionalFormatting>
  <conditionalFormatting sqref="G141:G144">
    <cfRule type="cellIs" dxfId="245" priority="1014" operator="lessThan">
      <formula>50.96</formula>
    </cfRule>
  </conditionalFormatting>
  <conditionalFormatting sqref="G142">
    <cfRule type="cellIs" dxfId="244" priority="1020" operator="lessThan">
      <formula>10.7</formula>
    </cfRule>
  </conditionalFormatting>
  <conditionalFormatting sqref="G144">
    <cfRule type="cellIs" dxfId="243" priority="1010" operator="lessThan">
      <formula>10.7</formula>
    </cfRule>
  </conditionalFormatting>
  <conditionalFormatting sqref="G150:G153">
    <cfRule type="cellIs" dxfId="242" priority="995" operator="lessThan">
      <formula>50.96</formula>
    </cfRule>
  </conditionalFormatting>
  <conditionalFormatting sqref="G151">
    <cfRule type="cellIs" dxfId="241" priority="1001" operator="lessThan">
      <formula>10.7</formula>
    </cfRule>
  </conditionalFormatting>
  <conditionalFormatting sqref="G153">
    <cfRule type="cellIs" dxfId="240" priority="991" operator="lessThan">
      <formula>10.7</formula>
    </cfRule>
  </conditionalFormatting>
  <conditionalFormatting sqref="G159 G161:G162">
    <cfRule type="cellIs" dxfId="239" priority="976" operator="lessThan">
      <formula>50.96</formula>
    </cfRule>
  </conditionalFormatting>
  <conditionalFormatting sqref="G160">
    <cfRule type="cellIs" dxfId="238" priority="959" operator="lessThan">
      <formula>10.7</formula>
    </cfRule>
  </conditionalFormatting>
  <conditionalFormatting sqref="G162">
    <cfRule type="cellIs" dxfId="237" priority="972" operator="lessThan">
      <formula>10.7</formula>
    </cfRule>
  </conditionalFormatting>
  <conditionalFormatting sqref="G168 G170:G171">
    <cfRule type="cellIs" dxfId="236" priority="946" operator="lessThan">
      <formula>50.96</formula>
    </cfRule>
  </conditionalFormatting>
  <conditionalFormatting sqref="G169">
    <cfRule type="cellIs" dxfId="235" priority="936" operator="lessThan">
      <formula>10.7</formula>
    </cfRule>
  </conditionalFormatting>
  <conditionalFormatting sqref="G171">
    <cfRule type="cellIs" dxfId="234" priority="942" operator="lessThan">
      <formula>10.7</formula>
    </cfRule>
  </conditionalFormatting>
  <conditionalFormatting sqref="G177 G179:G180">
    <cfRule type="cellIs" dxfId="233" priority="923" operator="lessThan">
      <formula>50.96</formula>
    </cfRule>
  </conditionalFormatting>
  <conditionalFormatting sqref="G178">
    <cfRule type="cellIs" dxfId="232" priority="913" operator="lessThan">
      <formula>10.7</formula>
    </cfRule>
  </conditionalFormatting>
  <conditionalFormatting sqref="G180">
    <cfRule type="cellIs" dxfId="231" priority="919" operator="lessThan">
      <formula>10.7</formula>
    </cfRule>
  </conditionalFormatting>
  <conditionalFormatting sqref="G186 G188:G189">
    <cfRule type="cellIs" dxfId="230" priority="900" operator="lessThan">
      <formula>50.96</formula>
    </cfRule>
  </conditionalFormatting>
  <conditionalFormatting sqref="G187">
    <cfRule type="cellIs" dxfId="229" priority="890" operator="lessThan">
      <formula>10.7</formula>
    </cfRule>
  </conditionalFormatting>
  <conditionalFormatting sqref="G189">
    <cfRule type="cellIs" dxfId="228" priority="896" operator="lessThan">
      <formula>10.7</formula>
    </cfRule>
  </conditionalFormatting>
  <conditionalFormatting sqref="G195 G197">
    <cfRule type="cellIs" dxfId="227" priority="877" operator="lessThan">
      <formula>50.96</formula>
    </cfRule>
  </conditionalFormatting>
  <conditionalFormatting sqref="G196">
    <cfRule type="cellIs" dxfId="226" priority="867" operator="lessThan">
      <formula>10.7</formula>
    </cfRule>
  </conditionalFormatting>
  <conditionalFormatting sqref="G198">
    <cfRule type="cellIs" dxfId="225" priority="842" operator="lessThan">
      <formula>10.7</formula>
    </cfRule>
  </conditionalFormatting>
  <conditionalFormatting sqref="G204 G206:G207">
    <cfRule type="cellIs" dxfId="224" priority="854" operator="lessThan">
      <formula>50.96</formula>
    </cfRule>
  </conditionalFormatting>
  <conditionalFormatting sqref="G205">
    <cfRule type="cellIs" dxfId="223" priority="844" operator="lessThan">
      <formula>10.7</formula>
    </cfRule>
  </conditionalFormatting>
  <conditionalFormatting sqref="G207">
    <cfRule type="cellIs" dxfId="222" priority="850" operator="lessThan">
      <formula>10.7</formula>
    </cfRule>
  </conditionalFormatting>
  <conditionalFormatting sqref="G213 G215">
    <cfRule type="cellIs" dxfId="221" priority="833" operator="lessThan">
      <formula>50.96</formula>
    </cfRule>
  </conditionalFormatting>
  <conditionalFormatting sqref="G214">
    <cfRule type="cellIs" dxfId="220" priority="825" operator="lessThan">
      <formula>10.7</formula>
    </cfRule>
  </conditionalFormatting>
  <conditionalFormatting sqref="G216">
    <cfRule type="cellIs" dxfId="219" priority="823" operator="lessThan">
      <formula>10.7</formula>
    </cfRule>
  </conditionalFormatting>
  <conditionalFormatting sqref="G222 G224">
    <cfRule type="cellIs" dxfId="218" priority="814" operator="lessThan">
      <formula>50.96</formula>
    </cfRule>
  </conditionalFormatting>
  <conditionalFormatting sqref="G223">
    <cfRule type="cellIs" dxfId="217" priority="806" operator="lessThan">
      <formula>10.7</formula>
    </cfRule>
  </conditionalFormatting>
  <conditionalFormatting sqref="G225">
    <cfRule type="cellIs" dxfId="216" priority="804" operator="lessThan">
      <formula>10.7</formula>
    </cfRule>
  </conditionalFormatting>
  <conditionalFormatting sqref="G231 G233">
    <cfRule type="cellIs" dxfId="215" priority="776" operator="lessThan">
      <formula>50.96</formula>
    </cfRule>
  </conditionalFormatting>
  <conditionalFormatting sqref="G232">
    <cfRule type="cellIs" dxfId="214" priority="768" operator="lessThan">
      <formula>10.7</formula>
    </cfRule>
  </conditionalFormatting>
  <conditionalFormatting sqref="G234">
    <cfRule type="cellIs" dxfId="213" priority="766" operator="lessThan">
      <formula>10.7</formula>
    </cfRule>
  </conditionalFormatting>
  <conditionalFormatting sqref="G240 G242">
    <cfRule type="cellIs" dxfId="212" priority="757" operator="lessThan">
      <formula>50.96</formula>
    </cfRule>
  </conditionalFormatting>
  <conditionalFormatting sqref="G241">
    <cfRule type="cellIs" dxfId="211" priority="749" operator="lessThan">
      <formula>10.7</formula>
    </cfRule>
  </conditionalFormatting>
  <conditionalFormatting sqref="G243">
    <cfRule type="cellIs" dxfId="210" priority="748" operator="lessThan">
      <formula>10.7</formula>
    </cfRule>
  </conditionalFormatting>
  <conditionalFormatting sqref="G249 G251">
    <cfRule type="cellIs" dxfId="209" priority="625" operator="lessThan">
      <formula>50.96</formula>
    </cfRule>
  </conditionalFormatting>
  <conditionalFormatting sqref="G250">
    <cfRule type="cellIs" dxfId="208" priority="598" operator="lessThan">
      <formula>10.7</formula>
    </cfRule>
  </conditionalFormatting>
  <conditionalFormatting sqref="G252">
    <cfRule type="cellIs" dxfId="207" priority="621" operator="lessThan">
      <formula>10.7</formula>
    </cfRule>
  </conditionalFormatting>
  <conditionalFormatting sqref="G258 G260">
    <cfRule type="cellIs" dxfId="206" priority="613" operator="lessThan">
      <formula>50.96</formula>
    </cfRule>
  </conditionalFormatting>
  <conditionalFormatting sqref="G259">
    <cfRule type="cellIs" dxfId="205" priority="605" operator="lessThan">
      <formula>10.7</formula>
    </cfRule>
  </conditionalFormatting>
  <conditionalFormatting sqref="G261">
    <cfRule type="cellIs" dxfId="204" priority="604" operator="lessThan">
      <formula>10.7</formula>
    </cfRule>
  </conditionalFormatting>
  <conditionalFormatting sqref="G267 G269">
    <cfRule type="cellIs" dxfId="203" priority="703" operator="lessThan">
      <formula>50.96</formula>
    </cfRule>
  </conditionalFormatting>
  <conditionalFormatting sqref="G268">
    <cfRule type="cellIs" dxfId="202" priority="695" operator="lessThan">
      <formula>10.7</formula>
    </cfRule>
  </conditionalFormatting>
  <conditionalFormatting sqref="G270">
    <cfRule type="cellIs" dxfId="201" priority="694" operator="lessThan">
      <formula>10.7</formula>
    </cfRule>
  </conditionalFormatting>
  <conditionalFormatting sqref="G276 G278">
    <cfRule type="cellIs" dxfId="200" priority="685" operator="lessThan">
      <formula>50.96</formula>
    </cfRule>
  </conditionalFormatting>
  <conditionalFormatting sqref="G277">
    <cfRule type="cellIs" dxfId="199" priority="677" operator="lessThan">
      <formula>10.7</formula>
    </cfRule>
  </conditionalFormatting>
  <conditionalFormatting sqref="G279">
    <cfRule type="cellIs" dxfId="198" priority="676" operator="lessThan">
      <formula>10.7</formula>
    </cfRule>
  </conditionalFormatting>
  <conditionalFormatting sqref="G285 G287">
    <cfRule type="cellIs" dxfId="197" priority="643" operator="lessThan">
      <formula>50.96</formula>
    </cfRule>
  </conditionalFormatting>
  <conditionalFormatting sqref="G286">
    <cfRule type="cellIs" dxfId="196" priority="635" operator="lessThan">
      <formula>10.7</formula>
    </cfRule>
  </conditionalFormatting>
  <conditionalFormatting sqref="G288">
    <cfRule type="cellIs" dxfId="195" priority="634" operator="lessThan">
      <formula>10.7</formula>
    </cfRule>
  </conditionalFormatting>
  <conditionalFormatting sqref="G294 G296">
    <cfRule type="cellIs" dxfId="194" priority="571" operator="lessThan">
      <formula>50.96</formula>
    </cfRule>
  </conditionalFormatting>
  <conditionalFormatting sqref="G295">
    <cfRule type="cellIs" dxfId="193" priority="563" operator="lessThan">
      <formula>10.7</formula>
    </cfRule>
  </conditionalFormatting>
  <conditionalFormatting sqref="G297">
    <cfRule type="cellIs" dxfId="192" priority="562" operator="lessThan">
      <formula>10.7</formula>
    </cfRule>
  </conditionalFormatting>
  <conditionalFormatting sqref="G303 G305">
    <cfRule type="cellIs" dxfId="191" priority="553" operator="lessThan">
      <formula>50.96</formula>
    </cfRule>
  </conditionalFormatting>
  <conditionalFormatting sqref="G304">
    <cfRule type="cellIs" dxfId="190" priority="545" operator="lessThan">
      <formula>10.7</formula>
    </cfRule>
  </conditionalFormatting>
  <conditionalFormatting sqref="G306">
    <cfRule type="cellIs" dxfId="189" priority="544" operator="lessThan">
      <formula>10.7</formula>
    </cfRule>
  </conditionalFormatting>
  <conditionalFormatting sqref="G312 G314">
    <cfRule type="cellIs" dxfId="188" priority="535" operator="lessThan">
      <formula>50.96</formula>
    </cfRule>
  </conditionalFormatting>
  <conditionalFormatting sqref="G313">
    <cfRule type="cellIs" dxfId="187" priority="527" operator="lessThan">
      <formula>10.7</formula>
    </cfRule>
  </conditionalFormatting>
  <conditionalFormatting sqref="G315">
    <cfRule type="cellIs" dxfId="186" priority="526" operator="lessThan">
      <formula>10.7</formula>
    </cfRule>
  </conditionalFormatting>
  <conditionalFormatting sqref="G321 G323">
    <cfRule type="cellIs" dxfId="185" priority="517" operator="lessThan">
      <formula>50.96</formula>
    </cfRule>
  </conditionalFormatting>
  <conditionalFormatting sqref="G322">
    <cfRule type="cellIs" dxfId="184" priority="509" operator="lessThan">
      <formula>10.7</formula>
    </cfRule>
  </conditionalFormatting>
  <conditionalFormatting sqref="G324">
    <cfRule type="cellIs" dxfId="183" priority="508" operator="lessThan">
      <formula>10.7</formula>
    </cfRule>
  </conditionalFormatting>
  <conditionalFormatting sqref="G330 G332">
    <cfRule type="cellIs" dxfId="182" priority="482" operator="lessThan">
      <formula>50.96</formula>
    </cfRule>
  </conditionalFormatting>
  <conditionalFormatting sqref="G331">
    <cfRule type="cellIs" dxfId="181" priority="474" operator="lessThan">
      <formula>10.7</formula>
    </cfRule>
  </conditionalFormatting>
  <conditionalFormatting sqref="G333">
    <cfRule type="cellIs" dxfId="180" priority="473" operator="lessThan">
      <formula>10.7</formula>
    </cfRule>
  </conditionalFormatting>
  <conditionalFormatting sqref="G339 G341">
    <cfRule type="cellIs" dxfId="179" priority="461" operator="lessThan">
      <formula>50.96</formula>
    </cfRule>
  </conditionalFormatting>
  <conditionalFormatting sqref="G340">
    <cfRule type="cellIs" dxfId="178" priority="454" operator="lessThan">
      <formula>10.7</formula>
    </cfRule>
  </conditionalFormatting>
  <conditionalFormatting sqref="G342">
    <cfRule type="cellIs" dxfId="177" priority="453" operator="lessThan">
      <formula>10.7</formula>
    </cfRule>
  </conditionalFormatting>
  <conditionalFormatting sqref="G348 G350">
    <cfRule type="cellIs" dxfId="176" priority="442" operator="lessThan">
      <formula>50.96</formula>
    </cfRule>
  </conditionalFormatting>
  <conditionalFormatting sqref="G349">
    <cfRule type="cellIs" dxfId="175" priority="435" operator="lessThan">
      <formula>10.7</formula>
    </cfRule>
  </conditionalFormatting>
  <conditionalFormatting sqref="G351">
    <cfRule type="cellIs" dxfId="174" priority="434" operator="lessThan">
      <formula>10.7</formula>
    </cfRule>
  </conditionalFormatting>
  <conditionalFormatting sqref="G357 G359">
    <cfRule type="cellIs" dxfId="173" priority="423" operator="lessThan">
      <formula>50.96</formula>
    </cfRule>
  </conditionalFormatting>
  <conditionalFormatting sqref="G358">
    <cfRule type="cellIs" dxfId="172" priority="416" operator="lessThan">
      <formula>10.7</formula>
    </cfRule>
  </conditionalFormatting>
  <conditionalFormatting sqref="G360">
    <cfRule type="cellIs" dxfId="171" priority="415" operator="lessThan">
      <formula>10.7</formula>
    </cfRule>
  </conditionalFormatting>
  <conditionalFormatting sqref="G366 G368">
    <cfRule type="cellIs" dxfId="170" priority="404" operator="lessThan">
      <formula>50.96</formula>
    </cfRule>
  </conditionalFormatting>
  <conditionalFormatting sqref="G367">
    <cfRule type="cellIs" dxfId="169" priority="398" operator="lessThan">
      <formula>10.7</formula>
    </cfRule>
  </conditionalFormatting>
  <conditionalFormatting sqref="G369">
    <cfRule type="cellIs" dxfId="168" priority="397" operator="lessThan">
      <formula>10.7</formula>
    </cfRule>
  </conditionalFormatting>
  <conditionalFormatting sqref="G375 G377">
    <cfRule type="cellIs" dxfId="167" priority="386" operator="lessThan">
      <formula>50.96</formula>
    </cfRule>
  </conditionalFormatting>
  <conditionalFormatting sqref="G376">
    <cfRule type="cellIs" dxfId="166" priority="380" operator="lessThan">
      <formula>10.7</formula>
    </cfRule>
  </conditionalFormatting>
  <conditionalFormatting sqref="G378">
    <cfRule type="cellIs" dxfId="165" priority="379" operator="lessThan">
      <formula>10.7</formula>
    </cfRule>
  </conditionalFormatting>
  <conditionalFormatting sqref="G384">
    <cfRule type="cellIs" dxfId="164" priority="368" operator="lessThan">
      <formula>50.96</formula>
    </cfRule>
  </conditionalFormatting>
  <conditionalFormatting sqref="G385">
    <cfRule type="cellIs" dxfId="163" priority="362" operator="lessThan">
      <formula>10.7</formula>
    </cfRule>
  </conditionalFormatting>
  <conditionalFormatting sqref="G386">
    <cfRule type="cellIs" dxfId="162" priority="357" operator="lessThan">
      <formula>50.96</formula>
    </cfRule>
  </conditionalFormatting>
  <conditionalFormatting sqref="G387">
    <cfRule type="cellIs" dxfId="161" priority="361" operator="lessThan">
      <formula>10.7</formula>
    </cfRule>
  </conditionalFormatting>
  <conditionalFormatting sqref="G393">
    <cfRule type="cellIs" dxfId="160" priority="347" operator="lessThan">
      <formula>50.96</formula>
    </cfRule>
  </conditionalFormatting>
  <conditionalFormatting sqref="G394">
    <cfRule type="cellIs" dxfId="159" priority="341" operator="lessThan">
      <formula>10.7</formula>
    </cfRule>
  </conditionalFormatting>
  <conditionalFormatting sqref="G395">
    <cfRule type="cellIs" dxfId="158" priority="337" operator="lessThan">
      <formula>50.96</formula>
    </cfRule>
  </conditionalFormatting>
  <conditionalFormatting sqref="G396">
    <cfRule type="cellIs" dxfId="157" priority="340" operator="lessThan">
      <formula>10.7</formula>
    </cfRule>
  </conditionalFormatting>
  <conditionalFormatting sqref="G402">
    <cfRule type="cellIs" dxfId="156" priority="327" operator="lessThan">
      <formula>50.96</formula>
    </cfRule>
  </conditionalFormatting>
  <conditionalFormatting sqref="G403">
    <cfRule type="cellIs" dxfId="155" priority="312" operator="lessThan">
      <formula>10.7</formula>
    </cfRule>
  </conditionalFormatting>
  <conditionalFormatting sqref="G404">
    <cfRule type="cellIs" dxfId="154" priority="317" operator="lessThan">
      <formula>50.96</formula>
    </cfRule>
  </conditionalFormatting>
  <conditionalFormatting sqref="G405">
    <cfRule type="cellIs" dxfId="153" priority="320" operator="lessThan">
      <formula>10.7</formula>
    </cfRule>
  </conditionalFormatting>
  <conditionalFormatting sqref="G411">
    <cfRule type="cellIs" dxfId="152" priority="304" operator="lessThan">
      <formula>50.96</formula>
    </cfRule>
  </conditionalFormatting>
  <conditionalFormatting sqref="G412">
    <cfRule type="cellIs" dxfId="151" priority="291" operator="lessThan">
      <formula>10.7</formula>
    </cfRule>
  </conditionalFormatting>
  <conditionalFormatting sqref="G413">
    <cfRule type="cellIs" dxfId="150" priority="296" operator="lessThan">
      <formula>50.96</formula>
    </cfRule>
  </conditionalFormatting>
  <conditionalFormatting sqref="G414">
    <cfRule type="cellIs" dxfId="149" priority="298" operator="lessThan">
      <formula>10.7</formula>
    </cfRule>
  </conditionalFormatting>
  <conditionalFormatting sqref="G420">
    <cfRule type="cellIs" dxfId="148" priority="283" operator="lessThan">
      <formula>50.96</formula>
    </cfRule>
  </conditionalFormatting>
  <conditionalFormatting sqref="G421">
    <cfRule type="cellIs" dxfId="147" priority="271" operator="lessThan">
      <formula>10.7</formula>
    </cfRule>
  </conditionalFormatting>
  <conditionalFormatting sqref="G422">
    <cfRule type="cellIs" dxfId="146" priority="276" operator="lessThan">
      <formula>50.96</formula>
    </cfRule>
  </conditionalFormatting>
  <conditionalFormatting sqref="G423">
    <cfRule type="cellIs" dxfId="145" priority="277" operator="lessThan">
      <formula>10.7</formula>
    </cfRule>
  </conditionalFormatting>
  <conditionalFormatting sqref="G429">
    <cfRule type="cellIs" dxfId="144" priority="263" operator="lessThan">
      <formula>50.96</formula>
    </cfRule>
  </conditionalFormatting>
  <conditionalFormatting sqref="G430">
    <cfRule type="cellIs" dxfId="143" priority="251" operator="lessThan">
      <formula>10.7</formula>
    </cfRule>
  </conditionalFormatting>
  <conditionalFormatting sqref="G431">
    <cfRule type="cellIs" dxfId="142" priority="256" operator="lessThan">
      <formula>50.96</formula>
    </cfRule>
  </conditionalFormatting>
  <conditionalFormatting sqref="G432">
    <cfRule type="cellIs" dxfId="141" priority="257" operator="lessThan">
      <formula>10.7</formula>
    </cfRule>
  </conditionalFormatting>
  <conditionalFormatting sqref="G438">
    <cfRule type="cellIs" dxfId="140" priority="243" operator="lessThan">
      <formula>50.96</formula>
    </cfRule>
  </conditionalFormatting>
  <conditionalFormatting sqref="G439">
    <cfRule type="cellIs" dxfId="139" priority="231" operator="lessThan">
      <formula>10.7</formula>
    </cfRule>
  </conditionalFormatting>
  <conditionalFormatting sqref="G440">
    <cfRule type="cellIs" dxfId="138" priority="208" operator="lessThan">
      <formula>50.96</formula>
    </cfRule>
  </conditionalFormatting>
  <conditionalFormatting sqref="G441">
    <cfRule type="cellIs" dxfId="137" priority="205" operator="lessThan">
      <formula>10.7</formula>
    </cfRule>
  </conditionalFormatting>
  <conditionalFormatting sqref="G447">
    <cfRule type="cellIs" dxfId="136" priority="223" operator="lessThan">
      <formula>50.96</formula>
    </cfRule>
  </conditionalFormatting>
  <conditionalFormatting sqref="G448">
    <cfRule type="cellIs" dxfId="135" priority="211" operator="lessThan">
      <formula>10.7</formula>
    </cfRule>
  </conditionalFormatting>
  <conditionalFormatting sqref="G449">
    <cfRule type="cellIs" dxfId="134" priority="216" operator="lessThan">
      <formula>50.96</formula>
    </cfRule>
  </conditionalFormatting>
  <conditionalFormatting sqref="G450">
    <cfRule type="cellIs" dxfId="133" priority="217" operator="lessThan">
      <formula>10.7</formula>
    </cfRule>
  </conditionalFormatting>
  <conditionalFormatting sqref="G456">
    <cfRule type="cellIs" dxfId="132" priority="197" operator="lessThan">
      <formula>50.96</formula>
    </cfRule>
  </conditionalFormatting>
  <conditionalFormatting sqref="G457">
    <cfRule type="cellIs" dxfId="131" priority="185" operator="lessThan">
      <formula>10.7</formula>
    </cfRule>
  </conditionalFormatting>
  <conditionalFormatting sqref="G458">
    <cfRule type="cellIs" dxfId="130" priority="190" operator="lessThan">
      <formula>50.96</formula>
    </cfRule>
  </conditionalFormatting>
  <conditionalFormatting sqref="G459">
    <cfRule type="cellIs" dxfId="129" priority="191" operator="lessThan">
      <formula>10.7</formula>
    </cfRule>
  </conditionalFormatting>
  <conditionalFormatting sqref="G465">
    <cfRule type="cellIs" dxfId="128" priority="177" operator="lessThan">
      <formula>50.96</formula>
    </cfRule>
  </conditionalFormatting>
  <conditionalFormatting sqref="G466">
    <cfRule type="cellIs" dxfId="127" priority="165" operator="lessThan">
      <formula>10.7</formula>
    </cfRule>
  </conditionalFormatting>
  <conditionalFormatting sqref="G467">
    <cfRule type="cellIs" dxfId="126" priority="170" operator="lessThan">
      <formula>50.96</formula>
    </cfRule>
  </conditionalFormatting>
  <conditionalFormatting sqref="G468">
    <cfRule type="cellIs" dxfId="125" priority="171" operator="lessThan">
      <formula>10.7</formula>
    </cfRule>
  </conditionalFormatting>
  <conditionalFormatting sqref="G474">
    <cfRule type="cellIs" dxfId="124" priority="157" operator="lessThan">
      <formula>50.96</formula>
    </cfRule>
  </conditionalFormatting>
  <conditionalFormatting sqref="G475">
    <cfRule type="cellIs" dxfId="123" priority="145" operator="lessThan">
      <formula>10.7</formula>
    </cfRule>
  </conditionalFormatting>
  <conditionalFormatting sqref="G476">
    <cfRule type="cellIs" dxfId="122" priority="150" operator="lessThan">
      <formula>50.96</formula>
    </cfRule>
  </conditionalFormatting>
  <conditionalFormatting sqref="G477">
    <cfRule type="cellIs" dxfId="121" priority="151" operator="lessThan">
      <formula>10.7</formula>
    </cfRule>
  </conditionalFormatting>
  <conditionalFormatting sqref="G483">
    <cfRule type="cellIs" dxfId="120" priority="137" operator="lessThan">
      <formula>50.96</formula>
    </cfRule>
  </conditionalFormatting>
  <conditionalFormatting sqref="G484">
    <cfRule type="cellIs" dxfId="119" priority="125" operator="lessThan">
      <formula>10.7</formula>
    </cfRule>
  </conditionalFormatting>
  <conditionalFormatting sqref="G485">
    <cfRule type="cellIs" dxfId="118" priority="130" operator="lessThan">
      <formula>50.96</formula>
    </cfRule>
  </conditionalFormatting>
  <conditionalFormatting sqref="G486">
    <cfRule type="cellIs" dxfId="117" priority="131" operator="lessThan">
      <formula>10.7</formula>
    </cfRule>
  </conditionalFormatting>
  <conditionalFormatting sqref="G492:G495">
    <cfRule type="cellIs" dxfId="116" priority="110" operator="lessThan">
      <formula>50.96</formula>
    </cfRule>
  </conditionalFormatting>
  <conditionalFormatting sqref="G501:G504">
    <cfRule type="cellIs" dxfId="115" priority="97" operator="lessThan">
      <formula>50.96</formula>
    </cfRule>
  </conditionalFormatting>
  <conditionalFormatting sqref="G510:G513">
    <cfRule type="cellIs" dxfId="114" priority="21" operator="lessThan">
      <formula>50.96</formula>
    </cfRule>
  </conditionalFormatting>
  <conditionalFormatting sqref="G519:G522">
    <cfRule type="cellIs" dxfId="113" priority="30" operator="lessThan">
      <formula>50.96</formula>
    </cfRule>
  </conditionalFormatting>
  <conditionalFormatting sqref="G528:G531">
    <cfRule type="cellIs" dxfId="112" priority="3" operator="lessThan">
      <formula>50.96</formula>
    </cfRule>
  </conditionalFormatting>
  <conditionalFormatting sqref="G537:G540">
    <cfRule type="cellIs" dxfId="111" priority="57" operator="lessThan">
      <formula>50.96</formula>
    </cfRule>
  </conditionalFormatting>
  <conditionalFormatting sqref="H123">
    <cfRule type="cellIs" dxfId="110" priority="1046" operator="lessThan">
      <formula>20</formula>
    </cfRule>
  </conditionalFormatting>
  <conditionalFormatting sqref="H124">
    <cfRule type="cellIs" dxfId="109" priority="1042" operator="lessThan">
      <formula>4.2</formula>
    </cfRule>
  </conditionalFormatting>
  <conditionalFormatting sqref="H125">
    <cfRule type="cellIs" dxfId="108" priority="1038" operator="lessThan">
      <formula>20</formula>
    </cfRule>
  </conditionalFormatting>
  <conditionalFormatting sqref="H126">
    <cfRule type="cellIs" dxfId="107" priority="1034" operator="lessThan">
      <formula>4.2</formula>
    </cfRule>
  </conditionalFormatting>
  <conditionalFormatting sqref="H132:H135">
    <cfRule type="cellIs" dxfId="106" priority="1054" operator="lessThan">
      <formula>20</formula>
    </cfRule>
  </conditionalFormatting>
  <conditionalFormatting sqref="H133:H135">
    <cfRule type="cellIs" dxfId="105" priority="1050" operator="lessThan">
      <formula>4.2</formula>
    </cfRule>
  </conditionalFormatting>
  <conditionalFormatting sqref="H141:H144">
    <cfRule type="cellIs" dxfId="104" priority="1013" operator="lessThan">
      <formula>20</formula>
    </cfRule>
  </conditionalFormatting>
  <conditionalFormatting sqref="H142">
    <cfRule type="cellIs" dxfId="103" priority="1019" operator="lessThan">
      <formula>4.2</formula>
    </cfRule>
  </conditionalFormatting>
  <conditionalFormatting sqref="H144">
    <cfRule type="cellIs" dxfId="102" priority="1009" operator="lessThan">
      <formula>4.2</formula>
    </cfRule>
  </conditionalFormatting>
  <conditionalFormatting sqref="H150:H153">
    <cfRule type="cellIs" dxfId="101" priority="994" operator="lessThan">
      <formula>20</formula>
    </cfRule>
  </conditionalFormatting>
  <conditionalFormatting sqref="H151:H153">
    <cfRule type="cellIs" dxfId="100" priority="990" operator="lessThan">
      <formula>4.2</formula>
    </cfRule>
  </conditionalFormatting>
  <conditionalFormatting sqref="H159 H161:H162">
    <cfRule type="cellIs" dxfId="99" priority="975" operator="lessThan">
      <formula>20</formula>
    </cfRule>
  </conditionalFormatting>
  <conditionalFormatting sqref="H160:H162">
    <cfRule type="cellIs" dxfId="98" priority="958" operator="lessThan">
      <formula>4.2</formula>
    </cfRule>
  </conditionalFormatting>
  <conditionalFormatting sqref="H168 H170:H171">
    <cfRule type="cellIs" dxfId="97" priority="945" operator="lessThan">
      <formula>20</formula>
    </cfRule>
  </conditionalFormatting>
  <conditionalFormatting sqref="H169:H171">
    <cfRule type="cellIs" dxfId="96" priority="935" operator="lessThan">
      <formula>4.2</formula>
    </cfRule>
  </conditionalFormatting>
  <conditionalFormatting sqref="H177 H179:H180">
    <cfRule type="cellIs" dxfId="95" priority="922" operator="lessThan">
      <formula>20</formula>
    </cfRule>
  </conditionalFormatting>
  <conditionalFormatting sqref="H178:H180">
    <cfRule type="cellIs" dxfId="94" priority="912" operator="lessThan">
      <formula>4.2</formula>
    </cfRule>
  </conditionalFormatting>
  <conditionalFormatting sqref="H186 H188:H189">
    <cfRule type="cellIs" dxfId="93" priority="899" operator="lessThan">
      <formula>20</formula>
    </cfRule>
  </conditionalFormatting>
  <conditionalFormatting sqref="H187:H189">
    <cfRule type="cellIs" dxfId="92" priority="889" operator="lessThan">
      <formula>4.2</formula>
    </cfRule>
  </conditionalFormatting>
  <conditionalFormatting sqref="H195 H197">
    <cfRule type="cellIs" dxfId="91" priority="876" operator="lessThan">
      <formula>20</formula>
    </cfRule>
  </conditionalFormatting>
  <conditionalFormatting sqref="H196:H198">
    <cfRule type="cellIs" dxfId="90" priority="841" operator="lessThan">
      <formula>4.2</formula>
    </cfRule>
  </conditionalFormatting>
  <conditionalFormatting sqref="H204 H206:H207">
    <cfRule type="cellIs" dxfId="89" priority="853" operator="lessThan">
      <formula>20</formula>
    </cfRule>
  </conditionalFormatting>
  <conditionalFormatting sqref="H205:H207">
    <cfRule type="cellIs" dxfId="88" priority="843" operator="lessThan">
      <formula>4.2</formula>
    </cfRule>
  </conditionalFormatting>
  <conditionalFormatting sqref="H213 H215">
    <cfRule type="cellIs" dxfId="87" priority="832" operator="lessThan">
      <formula>20</formula>
    </cfRule>
  </conditionalFormatting>
  <conditionalFormatting sqref="H214:H216">
    <cfRule type="cellIs" dxfId="86" priority="822" operator="lessThan">
      <formula>4.2</formula>
    </cfRule>
  </conditionalFormatting>
  <conditionalFormatting sqref="H222 H224">
    <cfRule type="cellIs" dxfId="85" priority="813" operator="lessThan">
      <formula>20</formula>
    </cfRule>
  </conditionalFormatting>
  <conditionalFormatting sqref="H223:H225">
    <cfRule type="cellIs" dxfId="84" priority="803" operator="lessThan">
      <formula>4.2</formula>
    </cfRule>
  </conditionalFormatting>
  <conditionalFormatting sqref="H231 H233">
    <cfRule type="cellIs" dxfId="83" priority="775" operator="lessThan">
      <formula>20</formula>
    </cfRule>
  </conditionalFormatting>
  <conditionalFormatting sqref="H232:H234">
    <cfRule type="cellIs" dxfId="82" priority="765" operator="lessThan">
      <formula>4.2</formula>
    </cfRule>
  </conditionalFormatting>
  <conditionalFormatting sqref="H240 H242">
    <cfRule type="cellIs" dxfId="81" priority="756" operator="lessThan">
      <formula>20</formula>
    </cfRule>
  </conditionalFormatting>
  <conditionalFormatting sqref="H241:H243">
    <cfRule type="cellIs" dxfId="80" priority="747" operator="lessThan">
      <formula>4.2</formula>
    </cfRule>
  </conditionalFormatting>
  <conditionalFormatting sqref="H249 H251">
    <cfRule type="cellIs" dxfId="79" priority="624" operator="lessThan">
      <formula>20</formula>
    </cfRule>
  </conditionalFormatting>
  <conditionalFormatting sqref="H250:H252">
    <cfRule type="cellIs" dxfId="78" priority="597" operator="lessThan">
      <formula>4.2</formula>
    </cfRule>
  </conditionalFormatting>
  <conditionalFormatting sqref="H258 H260">
    <cfRule type="cellIs" dxfId="77" priority="612" operator="lessThan">
      <formula>20</formula>
    </cfRule>
  </conditionalFormatting>
  <conditionalFormatting sqref="H259:H261">
    <cfRule type="cellIs" dxfId="76" priority="603" operator="lessThan">
      <formula>4.2</formula>
    </cfRule>
  </conditionalFormatting>
  <conditionalFormatting sqref="H267 H269">
    <cfRule type="cellIs" dxfId="75" priority="702" operator="lessThan">
      <formula>20</formula>
    </cfRule>
  </conditionalFormatting>
  <conditionalFormatting sqref="H268:H270">
    <cfRule type="cellIs" dxfId="74" priority="693" operator="lessThan">
      <formula>4.2</formula>
    </cfRule>
  </conditionalFormatting>
  <conditionalFormatting sqref="H276 H278">
    <cfRule type="cellIs" dxfId="73" priority="684" operator="lessThan">
      <formula>20</formula>
    </cfRule>
  </conditionalFormatting>
  <conditionalFormatting sqref="H277:H279">
    <cfRule type="cellIs" dxfId="72" priority="675" operator="lessThan">
      <formula>4.2</formula>
    </cfRule>
  </conditionalFormatting>
  <conditionalFormatting sqref="H285 H287">
    <cfRule type="cellIs" dxfId="71" priority="642" operator="lessThan">
      <formula>20</formula>
    </cfRule>
  </conditionalFormatting>
  <conditionalFormatting sqref="H286:H288">
    <cfRule type="cellIs" dxfId="70" priority="633" operator="lessThan">
      <formula>4.2</formula>
    </cfRule>
  </conditionalFormatting>
  <conditionalFormatting sqref="H294 H296">
    <cfRule type="cellIs" dxfId="69" priority="570" operator="lessThan">
      <formula>20</formula>
    </cfRule>
  </conditionalFormatting>
  <conditionalFormatting sqref="H295:H297">
    <cfRule type="cellIs" dxfId="68" priority="561" operator="lessThan">
      <formula>4.2</formula>
    </cfRule>
  </conditionalFormatting>
  <conditionalFormatting sqref="H303 H305">
    <cfRule type="cellIs" dxfId="67" priority="552" operator="lessThan">
      <formula>20</formula>
    </cfRule>
  </conditionalFormatting>
  <conditionalFormatting sqref="H304:H306">
    <cfRule type="cellIs" dxfId="66" priority="543" operator="lessThan">
      <formula>4.2</formula>
    </cfRule>
  </conditionalFormatting>
  <conditionalFormatting sqref="H312 H314">
    <cfRule type="cellIs" dxfId="65" priority="534" operator="lessThan">
      <formula>20</formula>
    </cfRule>
  </conditionalFormatting>
  <conditionalFormatting sqref="H313:H315">
    <cfRule type="cellIs" dxfId="64" priority="525" operator="lessThan">
      <formula>4.2</formula>
    </cfRule>
  </conditionalFormatting>
  <conditionalFormatting sqref="H321 H323">
    <cfRule type="cellIs" dxfId="63" priority="516" operator="lessThan">
      <formula>20</formula>
    </cfRule>
  </conditionalFormatting>
  <conditionalFormatting sqref="H322:H324">
    <cfRule type="cellIs" dxfId="62" priority="507" operator="lessThan">
      <formula>4.2</formula>
    </cfRule>
  </conditionalFormatting>
  <conditionalFormatting sqref="H330 H332">
    <cfRule type="cellIs" dxfId="61" priority="481" operator="lessThan">
      <formula>20</formula>
    </cfRule>
  </conditionalFormatting>
  <conditionalFormatting sqref="H331:H333">
    <cfRule type="cellIs" dxfId="60" priority="472" operator="lessThan">
      <formula>4.2</formula>
    </cfRule>
  </conditionalFormatting>
  <conditionalFormatting sqref="H339 H341">
    <cfRule type="cellIs" dxfId="59" priority="460" operator="lessThan">
      <formula>20</formula>
    </cfRule>
  </conditionalFormatting>
  <conditionalFormatting sqref="H340:H342">
    <cfRule type="cellIs" dxfId="58" priority="452" operator="lessThan">
      <formula>4.2</formula>
    </cfRule>
  </conditionalFormatting>
  <conditionalFormatting sqref="H348 H350">
    <cfRule type="cellIs" dxfId="57" priority="441" operator="lessThan">
      <formula>20</formula>
    </cfRule>
  </conditionalFormatting>
  <conditionalFormatting sqref="H349:H351">
    <cfRule type="cellIs" dxfId="56" priority="433" operator="lessThan">
      <formula>4.2</formula>
    </cfRule>
  </conditionalFormatting>
  <conditionalFormatting sqref="H357 H359">
    <cfRule type="cellIs" dxfId="55" priority="422" operator="lessThan">
      <formula>20</formula>
    </cfRule>
  </conditionalFormatting>
  <conditionalFormatting sqref="H358:H360">
    <cfRule type="cellIs" dxfId="54" priority="414" operator="lessThan">
      <formula>4.2</formula>
    </cfRule>
  </conditionalFormatting>
  <conditionalFormatting sqref="H366 H368">
    <cfRule type="cellIs" dxfId="53" priority="403" operator="lessThan">
      <formula>20</formula>
    </cfRule>
  </conditionalFormatting>
  <conditionalFormatting sqref="H367:H369">
    <cfRule type="cellIs" dxfId="52" priority="396" operator="lessThan">
      <formula>4.2</formula>
    </cfRule>
  </conditionalFormatting>
  <conditionalFormatting sqref="H375 H377">
    <cfRule type="cellIs" dxfId="51" priority="385" operator="lessThan">
      <formula>20</formula>
    </cfRule>
  </conditionalFormatting>
  <conditionalFormatting sqref="H376:H378">
    <cfRule type="cellIs" dxfId="50" priority="378" operator="lessThan">
      <formula>4.2</formula>
    </cfRule>
  </conditionalFormatting>
  <conditionalFormatting sqref="H384">
    <cfRule type="cellIs" dxfId="49" priority="367" operator="lessThan">
      <formula>20</formula>
    </cfRule>
  </conditionalFormatting>
  <conditionalFormatting sqref="H385:H387">
    <cfRule type="cellIs" dxfId="48" priority="355" operator="lessThan">
      <formula>4.2</formula>
    </cfRule>
  </conditionalFormatting>
  <conditionalFormatting sqref="H386">
    <cfRule type="cellIs" dxfId="47" priority="356" operator="lessThan">
      <formula>20</formula>
    </cfRule>
  </conditionalFormatting>
  <conditionalFormatting sqref="H393">
    <cfRule type="cellIs" dxfId="46" priority="346" operator="lessThan">
      <formula>20</formula>
    </cfRule>
  </conditionalFormatting>
  <conditionalFormatting sqref="H394:H396">
    <cfRule type="cellIs" dxfId="45" priority="335" operator="lessThan">
      <formula>4.2</formula>
    </cfRule>
  </conditionalFormatting>
  <conditionalFormatting sqref="H395">
    <cfRule type="cellIs" dxfId="44" priority="336" operator="lessThan">
      <formula>20</formula>
    </cfRule>
  </conditionalFormatting>
  <conditionalFormatting sqref="H402">
    <cfRule type="cellIs" dxfId="43" priority="326" operator="lessThan">
      <formula>20</formula>
    </cfRule>
  </conditionalFormatting>
  <conditionalFormatting sqref="H403:H405">
    <cfRule type="cellIs" dxfId="42" priority="315" operator="lessThan">
      <formula>4.2</formula>
    </cfRule>
  </conditionalFormatting>
  <conditionalFormatting sqref="H404">
    <cfRule type="cellIs" dxfId="41" priority="316" operator="lessThan">
      <formula>20</formula>
    </cfRule>
  </conditionalFormatting>
  <conditionalFormatting sqref="H411">
    <cfRule type="cellIs" dxfId="40" priority="303" operator="lessThan">
      <formula>20</formula>
    </cfRule>
  </conditionalFormatting>
  <conditionalFormatting sqref="H412:H414">
    <cfRule type="cellIs" dxfId="39" priority="294" operator="lessThan">
      <formula>4.2</formula>
    </cfRule>
  </conditionalFormatting>
  <conditionalFormatting sqref="H413">
    <cfRule type="cellIs" dxfId="38" priority="295" operator="lessThan">
      <formula>20</formula>
    </cfRule>
  </conditionalFormatting>
  <conditionalFormatting sqref="H420">
    <cfRule type="cellIs" dxfId="37" priority="282" operator="lessThan">
      <formula>20</formula>
    </cfRule>
  </conditionalFormatting>
  <conditionalFormatting sqref="H421:H423">
    <cfRule type="cellIs" dxfId="36" priority="274" operator="lessThan">
      <formula>4.2</formula>
    </cfRule>
  </conditionalFormatting>
  <conditionalFormatting sqref="H422">
    <cfRule type="cellIs" dxfId="35" priority="275" operator="lessThan">
      <formula>20</formula>
    </cfRule>
  </conditionalFormatting>
  <conditionalFormatting sqref="H429">
    <cfRule type="cellIs" dxfId="34" priority="262" operator="lessThan">
      <formula>20</formula>
    </cfRule>
  </conditionalFormatting>
  <conditionalFormatting sqref="H430:H432">
    <cfRule type="cellIs" dxfId="33" priority="254" operator="lessThan">
      <formula>4.2</formula>
    </cfRule>
  </conditionalFormatting>
  <conditionalFormatting sqref="H431">
    <cfRule type="cellIs" dxfId="32" priority="255" operator="lessThan">
      <formula>20</formula>
    </cfRule>
  </conditionalFormatting>
  <conditionalFormatting sqref="H438">
    <cfRule type="cellIs" dxfId="31" priority="242" operator="lessThan">
      <formula>20</formula>
    </cfRule>
  </conditionalFormatting>
  <conditionalFormatting sqref="H439 H441">
    <cfRule type="cellIs" dxfId="30" priority="234" operator="lessThan">
      <formula>4.2</formula>
    </cfRule>
  </conditionalFormatting>
  <conditionalFormatting sqref="H440">
    <cfRule type="cellIs" dxfId="29" priority="207" operator="lessThan">
      <formula>20</formula>
    </cfRule>
  </conditionalFormatting>
  <conditionalFormatting sqref="H447">
    <cfRule type="cellIs" dxfId="28" priority="222" operator="lessThan">
      <formula>20</formula>
    </cfRule>
  </conditionalFormatting>
  <conditionalFormatting sqref="H448:H450">
    <cfRule type="cellIs" dxfId="27" priority="214" operator="lessThan">
      <formula>4.2</formula>
    </cfRule>
  </conditionalFormatting>
  <conditionalFormatting sqref="H449">
    <cfRule type="cellIs" dxfId="26" priority="215" operator="lessThan">
      <formula>20</formula>
    </cfRule>
  </conditionalFormatting>
  <conditionalFormatting sqref="H456">
    <cfRule type="cellIs" dxfId="25" priority="196" operator="lessThan">
      <formula>20</formula>
    </cfRule>
  </conditionalFormatting>
  <conditionalFormatting sqref="H457:H459">
    <cfRule type="cellIs" dxfId="24" priority="188" operator="lessThan">
      <formula>4.2</formula>
    </cfRule>
  </conditionalFormatting>
  <conditionalFormatting sqref="H458">
    <cfRule type="cellIs" dxfId="23" priority="189" operator="lessThan">
      <formula>20</formula>
    </cfRule>
  </conditionalFormatting>
  <conditionalFormatting sqref="H465">
    <cfRule type="cellIs" dxfId="22" priority="176" operator="lessThan">
      <formula>20</formula>
    </cfRule>
  </conditionalFormatting>
  <conditionalFormatting sqref="H466:H468">
    <cfRule type="cellIs" dxfId="21" priority="168" operator="lessThan">
      <formula>4.2</formula>
    </cfRule>
  </conditionalFormatting>
  <conditionalFormatting sqref="H467">
    <cfRule type="cellIs" dxfId="20" priority="169" operator="lessThan">
      <formula>20</formula>
    </cfRule>
  </conditionalFormatting>
  <conditionalFormatting sqref="H474">
    <cfRule type="cellIs" dxfId="19" priority="156" operator="lessThan">
      <formula>20</formula>
    </cfRule>
  </conditionalFormatting>
  <conditionalFormatting sqref="H475:H477">
    <cfRule type="cellIs" dxfId="18" priority="148" operator="lessThan">
      <formula>4.2</formula>
    </cfRule>
  </conditionalFormatting>
  <conditionalFormatting sqref="H476">
    <cfRule type="cellIs" dxfId="17" priority="149" operator="lessThan">
      <formula>20</formula>
    </cfRule>
  </conditionalFormatting>
  <conditionalFormatting sqref="H483">
    <cfRule type="cellIs" dxfId="16" priority="136" operator="lessThan">
      <formula>20</formula>
    </cfRule>
  </conditionalFormatting>
  <conditionalFormatting sqref="H484:H486">
    <cfRule type="cellIs" dxfId="15" priority="128" operator="lessThan">
      <formula>4.2</formula>
    </cfRule>
  </conditionalFormatting>
  <conditionalFormatting sqref="H485">
    <cfRule type="cellIs" dxfId="14" priority="129" operator="lessThan">
      <formula>20</formula>
    </cfRule>
  </conditionalFormatting>
  <conditionalFormatting sqref="H492:H495">
    <cfRule type="cellIs" dxfId="13" priority="108" operator="lessThan">
      <formula>4.2</formula>
    </cfRule>
    <cfRule type="cellIs" dxfId="12" priority="109" operator="lessThan">
      <formula>20</formula>
    </cfRule>
  </conditionalFormatting>
  <conditionalFormatting sqref="H501:H504">
    <cfRule type="cellIs" dxfId="11" priority="95" operator="lessThan">
      <formula>4.2</formula>
    </cfRule>
    <cfRule type="cellIs" dxfId="10" priority="96" operator="lessThan">
      <formula>20</formula>
    </cfRule>
  </conditionalFormatting>
  <conditionalFormatting sqref="H510:H513">
    <cfRule type="cellIs" dxfId="9" priority="19" operator="lessThan">
      <formula>4.2</formula>
    </cfRule>
    <cfRule type="cellIs" dxfId="8" priority="20" operator="lessThan">
      <formula>20</formula>
    </cfRule>
  </conditionalFormatting>
  <conditionalFormatting sqref="H519:H522">
    <cfRule type="cellIs" dxfId="7" priority="28" operator="lessThan">
      <formula>4.2</formula>
    </cfRule>
    <cfRule type="cellIs" dxfId="6" priority="29" operator="lessThan">
      <formula>20</formula>
    </cfRule>
  </conditionalFormatting>
  <conditionalFormatting sqref="H528:H531">
    <cfRule type="cellIs" dxfId="5" priority="1" operator="lessThan">
      <formula>4.2</formula>
    </cfRule>
    <cfRule type="cellIs" dxfId="4" priority="2" operator="lessThan">
      <formula>20</formula>
    </cfRule>
  </conditionalFormatting>
  <conditionalFormatting sqref="H537:H540">
    <cfRule type="cellIs" dxfId="3" priority="55" operator="lessThan">
      <formula>4.2</formula>
    </cfRule>
    <cfRule type="cellIs" dxfId="2" priority="56" operator="lessThan">
      <formula>20</formula>
    </cfRule>
  </conditionalFormatting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N25"/>
  <sheetViews>
    <sheetView zoomScaleNormal="100" workbookViewId="0">
      <selection activeCell="H17" sqref="H17"/>
    </sheetView>
  </sheetViews>
  <sheetFormatPr defaultRowHeight="14.4" x14ac:dyDescent="0.3"/>
  <cols>
    <col min="3" max="3" width="38.6640625" customWidth="1"/>
    <col min="4" max="4" width="15.5546875" style="54" customWidth="1"/>
    <col min="5" max="5" width="11.44140625" customWidth="1"/>
    <col min="7" max="7" width="9.33203125" customWidth="1"/>
    <col min="8" max="8" width="9" customWidth="1"/>
    <col min="11" max="11" width="17.44140625" customWidth="1"/>
    <col min="12" max="14" width="0" hidden="1" customWidth="1"/>
  </cols>
  <sheetData>
    <row r="1" spans="2:14" ht="15" thickBot="1" x14ac:dyDescent="0.35"/>
    <row r="2" spans="2:14" x14ac:dyDescent="0.3">
      <c r="B2" s="429" t="s">
        <v>367</v>
      </c>
      <c r="C2" s="430"/>
      <c r="D2" s="430"/>
      <c r="E2" s="431"/>
    </row>
    <row r="3" spans="2:14" ht="5.4" customHeight="1" x14ac:dyDescent="0.3">
      <c r="B3" s="432" t="s">
        <v>316</v>
      </c>
      <c r="C3" s="434" t="s">
        <v>317</v>
      </c>
      <c r="D3" s="436" t="s">
        <v>318</v>
      </c>
      <c r="E3" s="427" t="s">
        <v>351</v>
      </c>
    </row>
    <row r="4" spans="2:14" ht="15" thickBot="1" x14ac:dyDescent="0.35">
      <c r="B4" s="433"/>
      <c r="C4" s="435"/>
      <c r="D4" s="437"/>
      <c r="E4" s="428"/>
      <c r="L4" s="182"/>
      <c r="M4" s="182"/>
      <c r="N4" s="183"/>
    </row>
    <row r="5" spans="2:14" x14ac:dyDescent="0.3">
      <c r="B5" s="241" t="s">
        <v>328</v>
      </c>
      <c r="C5" s="242" t="s">
        <v>331</v>
      </c>
      <c r="D5" s="243" t="s">
        <v>333</v>
      </c>
      <c r="E5" s="185" t="s">
        <v>320</v>
      </c>
      <c r="L5" s="182"/>
      <c r="M5" s="182"/>
      <c r="N5" s="183"/>
    </row>
    <row r="6" spans="2:14" x14ac:dyDescent="0.3">
      <c r="B6" s="184" t="s">
        <v>329</v>
      </c>
      <c r="C6" s="176" t="s">
        <v>332</v>
      </c>
      <c r="D6" s="175" t="s">
        <v>334</v>
      </c>
      <c r="E6" s="185" t="s">
        <v>320</v>
      </c>
      <c r="L6" s="181"/>
      <c r="M6" s="181"/>
      <c r="N6" s="181"/>
    </row>
    <row r="7" spans="2:14" ht="15" thickBot="1" x14ac:dyDescent="0.35">
      <c r="B7" s="184" t="s">
        <v>330</v>
      </c>
      <c r="C7" s="176" t="s">
        <v>335</v>
      </c>
      <c r="D7" s="175" t="s">
        <v>336</v>
      </c>
      <c r="E7" s="185" t="s">
        <v>320</v>
      </c>
    </row>
    <row r="8" spans="2:14" x14ac:dyDescent="0.3">
      <c r="B8" s="184" t="s">
        <v>337</v>
      </c>
      <c r="C8" s="176" t="s">
        <v>338</v>
      </c>
      <c r="D8" s="175" t="s">
        <v>339</v>
      </c>
      <c r="E8" s="185" t="s">
        <v>320</v>
      </c>
      <c r="G8" s="424" t="s">
        <v>319</v>
      </c>
      <c r="H8" s="425"/>
      <c r="I8" s="425"/>
      <c r="J8" s="426"/>
      <c r="K8" s="247"/>
      <c r="L8" s="247"/>
      <c r="M8" s="247"/>
      <c r="N8" s="248"/>
    </row>
    <row r="9" spans="2:14" x14ac:dyDescent="0.3">
      <c r="B9" s="184" t="s">
        <v>340</v>
      </c>
      <c r="C9" s="176" t="s">
        <v>378</v>
      </c>
      <c r="D9" s="175" t="s">
        <v>339</v>
      </c>
      <c r="E9" s="185" t="s">
        <v>320</v>
      </c>
      <c r="G9" s="187" t="s">
        <v>320</v>
      </c>
      <c r="H9" s="172" t="s">
        <v>379</v>
      </c>
      <c r="I9" s="173" t="s">
        <v>321</v>
      </c>
      <c r="J9" s="188"/>
      <c r="K9" s="249" t="s">
        <v>269</v>
      </c>
      <c r="L9" s="87" t="s">
        <v>59</v>
      </c>
      <c r="M9" s="87" t="s">
        <v>60</v>
      </c>
      <c r="N9" s="188" t="s">
        <v>61</v>
      </c>
    </row>
    <row r="10" spans="2:14" ht="14.4" customHeight="1" thickBot="1" x14ac:dyDescent="0.35">
      <c r="B10" s="184" t="s">
        <v>341</v>
      </c>
      <c r="C10" s="176" t="s">
        <v>342</v>
      </c>
      <c r="D10" s="175" t="s">
        <v>334</v>
      </c>
      <c r="E10" s="227" t="s">
        <v>320</v>
      </c>
      <c r="G10" s="189" t="s">
        <v>263</v>
      </c>
      <c r="H10" s="190" t="s">
        <v>273</v>
      </c>
      <c r="I10" s="191" t="s">
        <v>322</v>
      </c>
      <c r="J10" s="228" t="s">
        <v>323</v>
      </c>
      <c r="K10" s="250" t="s">
        <v>324</v>
      </c>
      <c r="L10" s="192" t="s">
        <v>325</v>
      </c>
      <c r="M10" s="192" t="s">
        <v>326</v>
      </c>
      <c r="N10" s="193" t="s">
        <v>327</v>
      </c>
    </row>
    <row r="11" spans="2:14" x14ac:dyDescent="0.3">
      <c r="B11" s="184" t="s">
        <v>84</v>
      </c>
      <c r="C11" s="174" t="s">
        <v>343</v>
      </c>
      <c r="D11" s="175" t="s">
        <v>336</v>
      </c>
      <c r="E11" s="185" t="s">
        <v>320</v>
      </c>
    </row>
    <row r="12" spans="2:14" x14ac:dyDescent="0.3">
      <c r="B12" s="184" t="s">
        <v>85</v>
      </c>
      <c r="C12" s="176" t="s">
        <v>344</v>
      </c>
      <c r="D12" s="175" t="s">
        <v>336</v>
      </c>
      <c r="E12" s="185" t="s">
        <v>320</v>
      </c>
    </row>
    <row r="13" spans="2:14" x14ac:dyDescent="0.3">
      <c r="B13" s="184" t="s">
        <v>86</v>
      </c>
      <c r="C13" s="176" t="s">
        <v>346</v>
      </c>
      <c r="D13" s="175" t="s">
        <v>368</v>
      </c>
      <c r="E13" s="185" t="s">
        <v>320</v>
      </c>
    </row>
    <row r="14" spans="2:14" x14ac:dyDescent="0.3">
      <c r="B14" s="184" t="s">
        <v>345</v>
      </c>
      <c r="C14" s="174" t="s">
        <v>347</v>
      </c>
      <c r="D14" s="175" t="s">
        <v>336</v>
      </c>
      <c r="E14" s="185" t="s">
        <v>320</v>
      </c>
    </row>
    <row r="15" spans="2:14" x14ac:dyDescent="0.3">
      <c r="B15" s="184" t="s">
        <v>348</v>
      </c>
      <c r="C15" s="174" t="s">
        <v>395</v>
      </c>
      <c r="D15" s="175" t="s">
        <v>371</v>
      </c>
      <c r="E15" s="172" t="s">
        <v>379</v>
      </c>
    </row>
    <row r="16" spans="2:14" x14ac:dyDescent="0.3">
      <c r="B16" s="184" t="s">
        <v>349</v>
      </c>
      <c r="C16" s="174" t="s">
        <v>350</v>
      </c>
      <c r="D16" s="175" t="s">
        <v>371</v>
      </c>
      <c r="E16" s="185" t="s">
        <v>320</v>
      </c>
    </row>
    <row r="17" spans="2:10" x14ac:dyDescent="0.3">
      <c r="B17" s="184" t="s">
        <v>352</v>
      </c>
      <c r="C17" s="176" t="s">
        <v>355</v>
      </c>
      <c r="D17" s="175" t="s">
        <v>371</v>
      </c>
      <c r="E17" s="185" t="s">
        <v>320</v>
      </c>
    </row>
    <row r="18" spans="2:10" x14ac:dyDescent="0.3">
      <c r="B18" s="184" t="s">
        <v>353</v>
      </c>
      <c r="C18" s="176" t="s">
        <v>356</v>
      </c>
      <c r="D18" s="175" t="s">
        <v>371</v>
      </c>
      <c r="E18" s="185" t="s">
        <v>320</v>
      </c>
    </row>
    <row r="19" spans="2:10" x14ac:dyDescent="0.3">
      <c r="B19" s="184" t="s">
        <v>354</v>
      </c>
      <c r="C19" s="176" t="s">
        <v>357</v>
      </c>
      <c r="D19" s="175" t="s">
        <v>371</v>
      </c>
      <c r="E19" s="185" t="s">
        <v>320</v>
      </c>
    </row>
    <row r="20" spans="2:10" x14ac:dyDescent="0.3">
      <c r="B20" s="184" t="s">
        <v>98</v>
      </c>
      <c r="C20" s="176" t="s">
        <v>358</v>
      </c>
      <c r="D20" s="175" t="s">
        <v>371</v>
      </c>
      <c r="E20" s="185" t="s">
        <v>320</v>
      </c>
    </row>
    <row r="21" spans="2:10" x14ac:dyDescent="0.3">
      <c r="B21" s="184" t="s">
        <v>102</v>
      </c>
      <c r="C21" s="176" t="s">
        <v>359</v>
      </c>
      <c r="D21" s="175" t="s">
        <v>336</v>
      </c>
      <c r="E21" s="185" t="s">
        <v>320</v>
      </c>
    </row>
    <row r="22" spans="2:10" x14ac:dyDescent="0.3">
      <c r="B22" s="184" t="s">
        <v>100</v>
      </c>
      <c r="C22" s="176" t="s">
        <v>369</v>
      </c>
      <c r="D22" s="175" t="s">
        <v>334</v>
      </c>
      <c r="E22" s="185" t="s">
        <v>320</v>
      </c>
    </row>
    <row r="23" spans="2:10" x14ac:dyDescent="0.3">
      <c r="B23" s="184" t="s">
        <v>99</v>
      </c>
      <c r="C23" s="176" t="s">
        <v>370</v>
      </c>
      <c r="D23" s="175" t="s">
        <v>333</v>
      </c>
      <c r="E23" s="185" t="s">
        <v>320</v>
      </c>
    </row>
    <row r="24" spans="2:10" ht="15" thickBot="1" x14ac:dyDescent="0.35">
      <c r="B24" s="244" t="s">
        <v>372</v>
      </c>
      <c r="C24" s="245" t="s">
        <v>373</v>
      </c>
      <c r="D24" s="186" t="s">
        <v>374</v>
      </c>
      <c r="E24" s="246" t="s">
        <v>320</v>
      </c>
      <c r="J24" s="229"/>
    </row>
    <row r="25" spans="2:10" ht="15" thickBot="1" x14ac:dyDescent="0.35">
      <c r="B25" s="238"/>
      <c r="C25" s="239" t="s">
        <v>396</v>
      </c>
      <c r="D25" s="240" t="s">
        <v>415</v>
      </c>
      <c r="E25" s="185" t="s">
        <v>320</v>
      </c>
    </row>
  </sheetData>
  <mergeCells count="6">
    <mergeCell ref="G8:J8"/>
    <mergeCell ref="E3:E4"/>
    <mergeCell ref="B2:E2"/>
    <mergeCell ref="B3:B4"/>
    <mergeCell ref="C3:C4"/>
    <mergeCell ref="D3:D4"/>
  </mergeCells>
  <phoneticPr fontId="24" type="noConversion"/>
  <pageMargins left="0.511811024" right="0.511811024" top="0.78740157499999996" bottom="0.78740157499999996" header="0.31496062000000002" footer="0.31496062000000002"/>
  <pageSetup paperSize="9" orientation="portrait" r:id="rId1"/>
  <ignoredErrors>
    <ignoredError sqref="B5:B24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D3F6F-A40B-41D4-92CD-94C4879F62EB}">
  <dimension ref="B4:F35"/>
  <sheetViews>
    <sheetView workbookViewId="0">
      <selection activeCell="B10" sqref="B10"/>
    </sheetView>
  </sheetViews>
  <sheetFormatPr defaultRowHeight="14.4" x14ac:dyDescent="0.3"/>
  <cols>
    <col min="2" max="2" width="12.109375" style="159" customWidth="1"/>
    <col min="3" max="3" width="13.109375" customWidth="1"/>
    <col min="4" max="4" width="11.6640625" customWidth="1"/>
    <col min="5" max="5" width="13.6640625" customWidth="1"/>
  </cols>
  <sheetData>
    <row r="4" spans="2:6" x14ac:dyDescent="0.3">
      <c r="B4" s="71" t="s">
        <v>206</v>
      </c>
      <c r="C4" s="77" t="s">
        <v>132</v>
      </c>
      <c r="D4" s="60">
        <v>39</v>
      </c>
      <c r="E4" s="60" t="s">
        <v>134</v>
      </c>
    </row>
    <row r="5" spans="2:6" x14ac:dyDescent="0.3">
      <c r="B5" s="71" t="s">
        <v>212</v>
      </c>
      <c r="C5" s="77" t="s">
        <v>132</v>
      </c>
      <c r="D5" s="60">
        <v>38</v>
      </c>
      <c r="E5" s="60" t="s">
        <v>134</v>
      </c>
    </row>
    <row r="6" spans="2:6" x14ac:dyDescent="0.3">
      <c r="B6" s="71" t="s">
        <v>213</v>
      </c>
      <c r="C6" s="77" t="s">
        <v>132</v>
      </c>
      <c r="D6" s="60">
        <v>34</v>
      </c>
      <c r="E6" s="60" t="s">
        <v>134</v>
      </c>
    </row>
    <row r="7" spans="2:6" x14ac:dyDescent="0.3">
      <c r="B7" s="71" t="s">
        <v>214</v>
      </c>
      <c r="C7" s="77" t="s">
        <v>132</v>
      </c>
      <c r="D7" s="60">
        <v>36</v>
      </c>
      <c r="E7" s="60" t="s">
        <v>134</v>
      </c>
    </row>
    <row r="8" spans="2:6" x14ac:dyDescent="0.3">
      <c r="B8" s="71" t="s">
        <v>254</v>
      </c>
      <c r="C8" s="77" t="s">
        <v>132</v>
      </c>
      <c r="D8" s="60">
        <v>53</v>
      </c>
      <c r="E8" s="60" t="s">
        <v>134</v>
      </c>
    </row>
    <row r="9" spans="2:6" x14ac:dyDescent="0.3">
      <c r="B9" s="71" t="s">
        <v>256</v>
      </c>
      <c r="C9" s="77" t="s">
        <v>132</v>
      </c>
      <c r="D9" s="60">
        <v>48</v>
      </c>
      <c r="E9" s="60" t="s">
        <v>134</v>
      </c>
    </row>
    <row r="10" spans="2:6" x14ac:dyDescent="0.3">
      <c r="B10" s="71" t="s">
        <v>257</v>
      </c>
      <c r="C10" s="77" t="s">
        <v>132</v>
      </c>
      <c r="D10" s="60">
        <v>39</v>
      </c>
      <c r="E10" s="60" t="s">
        <v>134</v>
      </c>
    </row>
    <row r="11" spans="2:6" x14ac:dyDescent="0.3">
      <c r="B11" s="61" t="s">
        <v>270</v>
      </c>
      <c r="C11" s="77" t="s">
        <v>132</v>
      </c>
      <c r="D11" s="60">
        <v>42</v>
      </c>
      <c r="E11" s="60" t="s">
        <v>134</v>
      </c>
    </row>
    <row r="12" spans="2:6" x14ac:dyDescent="0.3">
      <c r="B12" s="71" t="s">
        <v>309</v>
      </c>
      <c r="C12" s="77" t="s">
        <v>132</v>
      </c>
      <c r="D12" s="60">
        <v>47</v>
      </c>
      <c r="E12" s="60" t="s">
        <v>134</v>
      </c>
    </row>
    <row r="13" spans="2:6" x14ac:dyDescent="0.3">
      <c r="B13" s="71" t="s">
        <v>310</v>
      </c>
      <c r="C13" s="77" t="s">
        <v>132</v>
      </c>
      <c r="D13" s="60">
        <v>44</v>
      </c>
      <c r="E13" s="60" t="s">
        <v>134</v>
      </c>
    </row>
    <row r="14" spans="2:6" x14ac:dyDescent="0.3">
      <c r="B14" s="58" t="s">
        <v>311</v>
      </c>
      <c r="C14" s="77" t="s">
        <v>132</v>
      </c>
      <c r="D14" s="60" t="s">
        <v>135</v>
      </c>
      <c r="E14" s="263" t="s">
        <v>275</v>
      </c>
    </row>
    <row r="15" spans="2:6" x14ac:dyDescent="0.3">
      <c r="B15" s="58" t="s">
        <v>252</v>
      </c>
      <c r="C15" s="77" t="s">
        <v>132</v>
      </c>
      <c r="D15" s="60">
        <v>43</v>
      </c>
      <c r="E15" s="263" t="s">
        <v>275</v>
      </c>
      <c r="F15" t="s">
        <v>419</v>
      </c>
    </row>
    <row r="16" spans="2:6" x14ac:dyDescent="0.3">
      <c r="B16" s="262" t="s">
        <v>253</v>
      </c>
      <c r="C16" s="77" t="s">
        <v>132</v>
      </c>
      <c r="D16" s="60">
        <v>40</v>
      </c>
      <c r="E16" s="60" t="s">
        <v>134</v>
      </c>
    </row>
    <row r="17" spans="2:5" x14ac:dyDescent="0.3">
      <c r="B17" s="58" t="s">
        <v>218</v>
      </c>
      <c r="C17" s="77" t="s">
        <v>132</v>
      </c>
      <c r="D17" s="60">
        <v>44</v>
      </c>
      <c r="E17" s="60" t="s">
        <v>134</v>
      </c>
    </row>
    <row r="18" spans="2:5" x14ac:dyDescent="0.3">
      <c r="B18" s="262" t="s">
        <v>231</v>
      </c>
      <c r="C18" s="77" t="s">
        <v>132</v>
      </c>
      <c r="D18" s="60">
        <v>49</v>
      </c>
      <c r="E18" s="60" t="s">
        <v>134</v>
      </c>
    </row>
    <row r="19" spans="2:5" x14ac:dyDescent="0.3">
      <c r="B19" s="58" t="s">
        <v>312</v>
      </c>
      <c r="C19" s="77" t="s">
        <v>132</v>
      </c>
      <c r="D19" s="60" t="s">
        <v>135</v>
      </c>
      <c r="E19" s="263" t="s">
        <v>275</v>
      </c>
    </row>
    <row r="20" spans="2:5" x14ac:dyDescent="0.3">
      <c r="B20" s="262" t="s">
        <v>247</v>
      </c>
      <c r="C20" s="77" t="s">
        <v>132</v>
      </c>
      <c r="D20" s="60">
        <v>50</v>
      </c>
      <c r="E20" s="60" t="s">
        <v>134</v>
      </c>
    </row>
    <row r="21" spans="2:5" x14ac:dyDescent="0.3">
      <c r="B21" s="262" t="s">
        <v>248</v>
      </c>
      <c r="C21" s="77" t="s">
        <v>132</v>
      </c>
      <c r="D21" s="60">
        <v>52</v>
      </c>
      <c r="E21" s="60" t="s">
        <v>134</v>
      </c>
    </row>
    <row r="22" spans="2:5" x14ac:dyDescent="0.3">
      <c r="B22" s="262" t="s">
        <v>245</v>
      </c>
      <c r="C22" s="77" t="s">
        <v>132</v>
      </c>
      <c r="D22" s="60">
        <v>51</v>
      </c>
      <c r="E22" s="60" t="s">
        <v>134</v>
      </c>
    </row>
    <row r="23" spans="2:5" x14ac:dyDescent="0.3">
      <c r="B23" s="262" t="s">
        <v>246</v>
      </c>
      <c r="C23" s="77" t="s">
        <v>132</v>
      </c>
      <c r="D23" s="60">
        <v>52</v>
      </c>
      <c r="E23" s="60" t="s">
        <v>134</v>
      </c>
    </row>
    <row r="24" spans="2:5" x14ac:dyDescent="0.3">
      <c r="B24" s="262" t="s">
        <v>234</v>
      </c>
      <c r="C24" s="77" t="s">
        <v>132</v>
      </c>
      <c r="D24" s="60">
        <v>53</v>
      </c>
      <c r="E24" s="60" t="s">
        <v>134</v>
      </c>
    </row>
    <row r="25" spans="2:5" x14ac:dyDescent="0.3">
      <c r="B25" s="262" t="s">
        <v>250</v>
      </c>
      <c r="C25" s="77" t="s">
        <v>132</v>
      </c>
      <c r="D25" s="60">
        <v>48</v>
      </c>
      <c r="E25" s="60" t="s">
        <v>134</v>
      </c>
    </row>
    <row r="26" spans="2:5" x14ac:dyDescent="0.3">
      <c r="B26" s="262" t="s">
        <v>215</v>
      </c>
      <c r="C26" s="77" t="s">
        <v>132</v>
      </c>
      <c r="D26" s="60">
        <v>51</v>
      </c>
      <c r="E26" s="60" t="s">
        <v>134</v>
      </c>
    </row>
    <row r="27" spans="2:5" x14ac:dyDescent="0.3">
      <c r="B27" s="262" t="s">
        <v>216</v>
      </c>
      <c r="C27" s="77" t="s">
        <v>132</v>
      </c>
      <c r="D27" s="60">
        <v>52</v>
      </c>
      <c r="E27" s="60" t="s">
        <v>134</v>
      </c>
    </row>
    <row r="28" spans="2:5" x14ac:dyDescent="0.3">
      <c r="B28" s="58" t="s">
        <v>313</v>
      </c>
      <c r="C28" s="77" t="s">
        <v>132</v>
      </c>
      <c r="D28" s="60" t="s">
        <v>135</v>
      </c>
      <c r="E28" s="264" t="s">
        <v>275</v>
      </c>
    </row>
    <row r="29" spans="2:5" x14ac:dyDescent="0.3">
      <c r="B29" s="262" t="s">
        <v>222</v>
      </c>
      <c r="C29" s="77" t="s">
        <v>132</v>
      </c>
      <c r="D29" s="60">
        <v>48</v>
      </c>
      <c r="E29" s="60" t="s">
        <v>134</v>
      </c>
    </row>
    <row r="30" spans="2:5" x14ac:dyDescent="0.3">
      <c r="B30" s="262" t="s">
        <v>225</v>
      </c>
      <c r="C30" s="77" t="s">
        <v>132</v>
      </c>
      <c r="D30" s="60">
        <v>50</v>
      </c>
      <c r="E30" s="60" t="s">
        <v>134</v>
      </c>
    </row>
    <row r="31" spans="2:5" x14ac:dyDescent="0.3">
      <c r="B31" s="58" t="s">
        <v>217</v>
      </c>
      <c r="C31" s="77" t="s">
        <v>132</v>
      </c>
      <c r="D31" s="60">
        <v>47</v>
      </c>
      <c r="E31" s="60" t="s">
        <v>134</v>
      </c>
    </row>
    <row r="32" spans="2:5" x14ac:dyDescent="0.3">
      <c r="B32" s="262" t="s">
        <v>244</v>
      </c>
      <c r="C32" s="77" t="s">
        <v>132</v>
      </c>
      <c r="D32" s="60">
        <v>49</v>
      </c>
      <c r="E32" s="60" t="s">
        <v>134</v>
      </c>
    </row>
    <row r="33" spans="2:5" x14ac:dyDescent="0.3">
      <c r="B33" s="262" t="s">
        <v>232</v>
      </c>
      <c r="C33" s="77" t="s">
        <v>132</v>
      </c>
      <c r="D33" s="60">
        <v>50</v>
      </c>
      <c r="E33" s="60" t="s">
        <v>134</v>
      </c>
    </row>
    <row r="34" spans="2:5" x14ac:dyDescent="0.3">
      <c r="B34" s="262" t="s">
        <v>229</v>
      </c>
      <c r="C34" s="77" t="s">
        <v>132</v>
      </c>
      <c r="D34" s="60">
        <v>51</v>
      </c>
      <c r="E34" s="60" t="s">
        <v>134</v>
      </c>
    </row>
    <row r="35" spans="2:5" x14ac:dyDescent="0.3">
      <c r="B35" s="262" t="s">
        <v>230</v>
      </c>
      <c r="C35" s="77" t="s">
        <v>132</v>
      </c>
      <c r="D35" s="60">
        <v>51</v>
      </c>
      <c r="E35" s="60" t="s">
        <v>134</v>
      </c>
    </row>
  </sheetData>
  <autoFilter ref="B4:F35" xr:uid="{5AFD3F6F-A40B-41D4-92CD-94C4879F62EB}"/>
  <conditionalFormatting sqref="B4:B35">
    <cfRule type="duplicateValues" dxfId="1" priority="1"/>
    <cfRule type="duplicateValues" dxfId="0" priority="2"/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Raw material</vt:lpstr>
      <vt:lpstr>Bare pipes</vt:lpstr>
      <vt:lpstr>Blasting</vt:lpstr>
      <vt:lpstr>Aplic</vt:lpstr>
      <vt:lpstr>Dimensional</vt:lpstr>
      <vt:lpstr>Final inspect</vt:lpstr>
      <vt:lpstr> Lab Test PQT</vt:lpstr>
      <vt:lpstr> Lab Test - Early batch</vt:lpstr>
      <vt:lpstr>Early Batch Coated</vt:lpstr>
      <vt:lpstr>Peel Strength</vt:lpstr>
      <vt:lpstr>Tests status PQT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Fernando</dc:creator>
  <cp:lastModifiedBy>Luiz Fernando Mello</cp:lastModifiedBy>
  <dcterms:created xsi:type="dcterms:W3CDTF">2021-05-03T16:40:16Z</dcterms:created>
  <dcterms:modified xsi:type="dcterms:W3CDTF">2026-06-19T18:38:18Z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2026-04-29T02:42:23Z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387700f3-6dcb-423c-9c1a-9e101e901825</vt:lpwstr>
  </property>
  <property fmtid="{D5CDD505-2E9C-101B-9397-08002B2CF9AE}" pid="7" name="MSIP_Label_defa4170-0d19-0005-0004-bc88714345d2_ActionId">
    <vt:lpwstr>34d14f20-fb08-41f0-8e6c-2188648381d0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